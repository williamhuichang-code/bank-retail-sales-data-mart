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821" firstSheet="0" activeTab="0" autoFilterDateGrouping="1"/>
  </bookViews>
  <sheets>
    <sheet xmlns:r="http://schemas.openxmlformats.org/officeDocument/2006/relationships" name="1_raw_log" sheetId="1" state="visible" r:id="rId1"/>
    <sheet xmlns:r="http://schemas.openxmlformats.org/officeDocument/2006/relationships" name="2_enriched_log" sheetId="2" state="visible" r:id="rId2"/>
    <sheet xmlns:r="http://schemas.openxmlformats.org/officeDocument/2006/relationships" name="3_ref_date" sheetId="3" state="visible" r:id="rId3"/>
    <sheet xmlns:r="http://schemas.openxmlformats.org/officeDocument/2006/relationships" name="4_ref_time" sheetId="4" state="visible" r:id="rId4"/>
    <sheet xmlns:r="http://schemas.openxmlformats.org/officeDocument/2006/relationships" name="5_branch" sheetId="5" state="visible" r:id="rId5"/>
    <sheet xmlns:r="http://schemas.openxmlformats.org/officeDocument/2006/relationships" name="6_3nf_branch_history" sheetId="6" state="visible" r:id="rId6"/>
    <sheet xmlns:r="http://schemas.openxmlformats.org/officeDocument/2006/relationships" name="7_3nf_product" sheetId="7" state="visible" r:id="rId7"/>
    <sheet xmlns:r="http://schemas.openxmlformats.org/officeDocument/2006/relationships" name="8_3nf_customer" sheetId="8" state="visible" r:id="rId8"/>
    <sheet xmlns:r="http://schemas.openxmlformats.org/officeDocument/2006/relationships" name="9_3nf_customer_history" sheetId="9" state="visible" r:id="rId9"/>
    <sheet xmlns:r="http://schemas.openxmlformats.org/officeDocument/2006/relationships" name="10_ref_fx_rate" sheetId="10" state="visible" r:id="rId10"/>
    <sheet xmlns:r="http://schemas.openxmlformats.org/officeDocument/2006/relationships" name="11_3nf_sales_person" sheetId="11" state="visible" r:id="rId11"/>
    <sheet xmlns:r="http://schemas.openxmlformats.org/officeDocument/2006/relationships" name="12_sales_person_confirmation" sheetId="12" state="visible" r:id="rId12"/>
    <sheet xmlns:r="http://schemas.openxmlformats.org/officeDocument/2006/relationships" name="13_checks" sheetId="13" state="visible" r:id="rId13"/>
    <sheet xmlns:r="http://schemas.openxmlformats.org/officeDocument/2006/relationships" name="14_report" sheetId="14" state="visible" r:id="rId14"/>
    <sheet xmlns:r="http://schemas.openxmlformats.org/officeDocument/2006/relationships" name="notes" sheetId="15" state="visible" r:id="rId15"/>
  </sheets>
  <definedNames>
    <definedName name="_xlnm._FilterDatabase" localSheetId="0" hidden="1">'1_raw_log'!$A$1:$K$501</definedName>
    <definedName name="_xlnm._FilterDatabase" localSheetId="1" hidden="1">'2_enriched_log'!$A$1:$AS$501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yyyy\-mm\-dd\ hh:mm"/>
    <numFmt numFmtId="165" formatCode="yyyy\-mm\-dd"/>
    <numFmt numFmtId="166" formatCode="0.0000"/>
    <numFmt numFmtId="167" formatCode="hh:mm"/>
    <numFmt numFmtId="168" formatCode="yyyy-mm-dd"/>
    <numFmt numFmtId="169" formatCode="yyyy-mm"/>
    <numFmt numFmtId="170" formatCode="#,##0.0"/>
    <numFmt numFmtId="171" formatCode="0.0%"/>
  </numFmts>
  <fonts count="19">
    <font>
      <name val="Calibri"/>
      <charset val="1"/>
      <family val="2"/>
      <color theme="1"/>
      <sz val="11"/>
    </font>
    <font>
      <name val="Arial"/>
      <charset val="1"/>
      <b val="1"/>
      <color rgb="FF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FFFFFFFF"/>
      <sz val="11"/>
    </font>
    <font>
      <name val="Arial"/>
      <i val="1"/>
      <sz val="10"/>
    </font>
    <font>
      <name val="Arial"/>
      <b val="1"/>
      <sz val="10"/>
    </font>
    <font>
      <name val="Arial"/>
      <i val="1"/>
      <color rgb="FF595959"/>
      <sz val="10"/>
    </font>
    <font>
      <name val="Arial"/>
      <i val="1"/>
      <color rgb="FF595959"/>
      <sz val="10"/>
    </font>
    <font>
      <name val="Arial"/>
      <b val="1"/>
      <color rgb="00FFFFFF"/>
    </font>
    <font>
      <name val="Arial"/>
      <i val="1"/>
      <color rgb="00595959"/>
      <sz val="10"/>
    </font>
    <font>
      <name val="Arial"/>
      <b val="1"/>
    </font>
    <font>
      <name val="Arial"/>
      <b val="1"/>
      <sz val="14"/>
    </font>
    <font>
      <name val="Arial"/>
      <b val="1"/>
      <sz val="12"/>
    </font>
    <font>
      <name val="Arial"/>
      <b val="1"/>
      <sz val="16"/>
    </font>
    <font>
      <name val="Arial"/>
      <i val="1"/>
      <color rgb="0052514E"/>
      <sz val="10"/>
    </font>
    <font>
      <name val="Arial"/>
      <b val="1"/>
      <color rgb="00FFFFFF"/>
      <sz val="10"/>
    </font>
    <font>
      <name val="Arial"/>
      <b val="1"/>
      <sz val="20"/>
    </font>
  </fonts>
  <fills count="19">
    <fill>
      <patternFill/>
    </fill>
    <fill>
      <patternFill patternType="gray125"/>
    </fill>
    <fill>
      <patternFill patternType="solid">
        <fgColor rgb="FF7F6000"/>
        <bgColor rgb="FF833C0B"/>
      </patternFill>
    </fill>
    <fill>
      <patternFill patternType="solid">
        <fgColor rgb="FF2F5597"/>
      </patternFill>
    </fill>
    <fill>
      <patternFill patternType="solid">
        <fgColor rgb="FF808080"/>
      </patternFill>
    </fill>
    <fill>
      <patternFill patternType="solid">
        <fgColor rgb="FF7F6000"/>
      </patternFill>
    </fill>
    <fill>
      <patternFill patternType="solid">
        <fgColor rgb="FF00B0F0"/>
      </patternFill>
    </fill>
    <fill>
      <patternFill patternType="solid">
        <fgColor rgb="FF2E75B6"/>
      </patternFill>
    </fill>
    <fill>
      <patternFill patternType="solid">
        <fgColor rgb="FF0070C0"/>
      </patternFill>
    </fill>
    <fill>
      <patternFill patternType="solid">
        <fgColor rgb="002F5597"/>
      </patternFill>
    </fill>
    <fill>
      <patternFill patternType="solid">
        <fgColor rgb="00808080"/>
      </patternFill>
    </fill>
    <fill>
      <patternFill patternType="solid">
        <fgColor rgb="007F6000"/>
      </patternFill>
    </fill>
    <fill>
      <patternFill patternType="solid">
        <fgColor rgb="002E75B6"/>
      </patternFill>
    </fill>
    <fill>
      <patternFill patternType="solid">
        <fgColor rgb="0000B0F0"/>
      </patternFill>
    </fill>
    <fill>
      <patternFill patternType="solid">
        <fgColor rgb="007030A0"/>
      </patternFill>
    </fill>
    <fill>
      <patternFill patternType="solid">
        <fgColor rgb="00C55A11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833C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1" fontId="2" fillId="0" borderId="0" pivotButton="0" quotePrefix="0" xfId="0"/>
    <xf numFmtId="165" fontId="2" fillId="0" borderId="0" pivotButton="0" quotePrefix="0" xfId="0"/>
    <xf numFmtId="10" fontId="2" fillId="0" borderId="0" pivotButton="0" quotePrefix="0" xfId="0"/>
    <xf numFmtId="3" fontId="2" fillId="0" borderId="0" pivotButton="0" quotePrefix="0" xfId="0"/>
    <xf numFmtId="166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167" fontId="2" fillId="0" borderId="0" pivotButton="0" quotePrefix="0" xfId="0"/>
    <xf numFmtId="0" fontId="9" fillId="0" borderId="0" pivotButton="0" quotePrefix="0" xfId="0"/>
    <xf numFmtId="0" fontId="10" fillId="11" borderId="0" applyAlignment="1" pivotButton="0" quotePrefix="0" xfId="0">
      <alignment horizontal="center" vertical="center" wrapText="1"/>
    </xf>
    <xf numFmtId="0" fontId="10" fillId="12" borderId="0" applyAlignment="1" pivotButton="0" quotePrefix="0" xfId="0">
      <alignment horizontal="center" vertical="center" wrapText="1"/>
    </xf>
    <xf numFmtId="0" fontId="10" fillId="13" borderId="0" applyAlignment="1" pivotButton="0" quotePrefix="0" xfId="0">
      <alignment horizontal="center" vertical="center" wrapText="1"/>
    </xf>
    <xf numFmtId="0" fontId="10" fillId="14" borderId="0" applyAlignment="1" pivotButton="0" quotePrefix="0" xfId="0">
      <alignment horizontal="center" vertical="center" wrapText="1"/>
    </xf>
    <xf numFmtId="168" fontId="2" fillId="0" borderId="0" pivotButton="0" quotePrefix="0" xfId="0"/>
    <xf numFmtId="0" fontId="10" fillId="9" borderId="0" applyAlignment="1" pivotButton="0" quotePrefix="0" xfId="0">
      <alignment horizontal="center" vertical="center" wrapText="1"/>
    </xf>
    <xf numFmtId="0" fontId="10" fillId="10" borderId="0" applyAlignment="1" pivotButton="0" quotePrefix="0" xfId="0">
      <alignment horizontal="center" vertical="center" wrapText="1"/>
    </xf>
    <xf numFmtId="0" fontId="11" fillId="0" borderId="0" pivotButton="0" quotePrefix="0" xfId="0"/>
    <xf numFmtId="168" fontId="2" fillId="0" borderId="0" pivotButton="0" quotePrefix="0" xfId="0"/>
    <xf numFmtId="0" fontId="10" fillId="15" borderId="0" applyAlignment="1" pivotButton="0" quotePrefix="0" xfId="0">
      <alignment horizontal="center" vertical="center" wrapText="1"/>
    </xf>
    <xf numFmtId="0" fontId="10" fillId="16" borderId="0" applyAlignment="1" pivotButton="0" quotePrefix="0" xfId="0">
      <alignment horizontal="center" vertical="center" wrapText="1"/>
    </xf>
    <xf numFmtId="49" fontId="2" fillId="0" borderId="0" pivotButton="0" quotePrefix="0" xfId="0"/>
    <xf numFmtId="0" fontId="12" fillId="0" borderId="0" pivotButton="0" quotePrefix="0" xfId="0"/>
    <xf numFmtId="169" fontId="2" fillId="0" borderId="0" pivotButton="0" quotePrefix="0" xfId="0"/>
    <xf numFmtId="0" fontId="10" fillId="17" borderId="0" applyAlignment="1" pivotButton="0" quotePrefix="0" xfId="0">
      <alignment horizontal="center" vertical="center" wrapText="1"/>
    </xf>
    <xf numFmtId="4" fontId="2" fillId="0" borderId="0" pivotButton="0" quotePrefix="0" xfId="0"/>
    <xf numFmtId="0" fontId="10" fillId="18" borderId="0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14" borderId="0" applyAlignment="1" pivotButton="0" quotePrefix="0" xfId="0">
      <alignment horizontal="center"/>
    </xf>
    <xf numFmtId="170" fontId="2" fillId="0" borderId="0" pivotButton="0" quotePrefix="0" xfId="0"/>
    <xf numFmtId="0" fontId="18" fillId="0" borderId="0" pivotButton="0" quotePrefix="0" xfId="0"/>
    <xf numFmtId="171" fontId="13" fillId="0" borderId="0" pivotButton="0" quotePrefix="0" xfId="0"/>
    <xf numFmtId="4" fontId="0" fillId="0" borderId="0" pivotButton="0" quotePrefix="0" xfId="0"/>
  </cellXfs>
  <cellStyles count="1">
    <cellStyle name="Normal" xfId="0" builtinId="0"/>
  </cellStyles>
  <dxfs count="8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DDEBF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C0C0C0"/>
      <rgbColor rgb="FF7F7F7F"/>
      <rgbColor rgb="FF9999FF"/>
      <rgbColor rgb="FF7030A0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BF8F00"/>
      <rgbColor rgb="FFFFCC00"/>
      <rgbColor rgb="FFBF9000"/>
      <rgbColor rgb="FFC55A11"/>
      <rgbColor rgb="FF666699"/>
      <rgbColor rgb="FF969696"/>
      <rgbColor rgb="FF003366"/>
      <rgbColor rgb="FF548235"/>
      <rgbColor rgb="FF003300"/>
      <rgbColor rgb="FF333300"/>
      <rgbColor rgb="FF833C0B"/>
      <rgbColor rgb="FF993366"/>
      <rgbColor rgb="FF2F5597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sales by month (HKD 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'14_report'!B6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'14_report'!$A$7:$A$12</f>
            </numRef>
          </cat>
          <val>
            <numRef>
              <f>'14_report'!$B$7:$B$12</f>
            </numRef>
          </val>
        </ser>
        <dLbls>
          <numFmt formatCode="#,##0.0"/>
          <showLegendKey val="0"/>
          <showVal val="1"/>
          <showCatName val="0"/>
          <showSerName val="0"/>
          <showPercent val="0"/>
        </dLbls>
        <gapWidth val="6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5E4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HKD m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sales by product category, Q1 vs Q2 (HKD m)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'14_report'!B15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'14_report'!$A$16:$A$20</f>
            </numRef>
          </cat>
          <val>
            <numRef>
              <f>'14_report'!$B$16:$B$20</f>
            </numRef>
          </val>
        </ser>
        <ser>
          <idx val="1"/>
          <order val="1"/>
          <tx>
            <strRef>
              <f>'14_report'!C15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'14_report'!$A$16:$A$20</f>
            </numRef>
          </cat>
          <val>
            <numRef>
              <f>'14_report'!$C$16:$C$20</f>
            </numRef>
          </val>
        </ser>
        <gapWidth val="6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5E4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HKD m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Completed sales by time of day: RM-assisted vs self-directed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'14_report'!B23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'14_report'!$A$24:$A$27</f>
            </numRef>
          </cat>
          <val>
            <numRef>
              <f>'14_report'!$B$24:$B$27</f>
            </numRef>
          </val>
        </ser>
        <ser>
          <idx val="1"/>
          <order val="1"/>
          <tx>
            <strRef>
              <f>'14_report'!C23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'14_report'!$A$24:$A$27</f>
            </numRef>
          </cat>
          <val>
            <numRef>
              <f>'14_report'!$C$24:$C$27</f>
            </numRef>
          </val>
        </ser>
        <gapWidth val="6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5E4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sales by customer segment (HKD m)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'14_report'!B30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'14_report'!$A$31:$A$33</f>
            </numRef>
          </cat>
          <val>
            <numRef>
              <f>'14_report'!$B$31:$B$33</f>
            </numRef>
          </val>
        </ser>
        <dLbls>
          <numFmt formatCode="#,##0.0"/>
          <showLegendKey val="0"/>
          <showVal val="1"/>
          <showCatName val="0"/>
          <showSerName val="0"/>
          <showPercent val="0"/>
        </dLbls>
        <gapWidth val="6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5E4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HKD m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sales by branch, current names (HKD m)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'14_report'!B36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'14_report'!$A$37:$A$41</f>
            </numRef>
          </cat>
          <val>
            <numRef>
              <f>'14_report'!$B$37:$B$41</f>
            </numRef>
          </val>
        </ser>
        <dLbls>
          <numFmt formatCode="#,##0.0"/>
          <showLegendKey val="0"/>
          <showVal val="1"/>
          <showCatName val="0"/>
          <showSerName val="0"/>
          <showPercent val="0"/>
        </dLbls>
        <gapWidth val="6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5E4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HKD m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20</row>
      <rowOff>0</rowOff>
    </from>
    <ext cx="576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36</row>
      <rowOff>0</rowOff>
    </from>
    <ext cx="576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52</row>
      <rowOff>0</rowOff>
    </from>
    <ext cx="5760000" cy="21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7</col>
      <colOff>0</colOff>
      <row>66</row>
      <rowOff>0</rowOff>
    </from>
    <ext cx="576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BF9000"/>
    <outlinePr summaryBelow="1" summaryRight="1"/>
    <pageSetUpPr/>
  </sheetPr>
  <dimension ref="A1:K501"/>
  <sheetViews>
    <sheetView zoomScaleNormal="10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2" sqref="A2"/>
      <selection pane="bottomRight" activeCell="B32" sqref="B32"/>
    </sheetView>
  </sheetViews>
  <sheetFormatPr baseColWidth="8" defaultColWidth="8.6328125" defaultRowHeight="14.5"/>
  <cols>
    <col width="10" customWidth="1" min="1" max="1"/>
    <col width="17" customWidth="1" min="2" max="2"/>
    <col width="13" customWidth="1" min="3" max="3"/>
    <col width="13" customWidth="1" min="4" max="5"/>
    <col width="13" customWidth="1" min="5" max="5"/>
    <col width="13" customWidth="1" min="6" max="6"/>
    <col width="13" customWidth="1" min="7" max="7"/>
    <col width="13" customWidth="1" min="8" max="12"/>
    <col width="13" customWidth="1" min="9" max="9"/>
    <col width="15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24"/>
    <col width="15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 ht="31.5" customHeight="1">
      <c r="A1" s="1" t="inlineStr">
        <is>
          <t>txn_id</t>
        </is>
      </c>
      <c r="B1" s="1" t="inlineStr">
        <is>
          <t>txn_date_time</t>
        </is>
      </c>
      <c r="C1" s="1" t="inlineStr">
        <is>
          <t>branch_code</t>
        </is>
      </c>
      <c r="D1" s="1" t="inlineStr">
        <is>
          <t>product_code</t>
        </is>
      </c>
      <c r="E1" s="1" t="inlineStr">
        <is>
          <t>cust_id</t>
        </is>
      </c>
      <c r="F1" s="1" t="inlineStr">
        <is>
          <t>channel</t>
        </is>
      </c>
      <c r="G1" s="1" t="inlineStr">
        <is>
          <t>campaign_code</t>
        </is>
      </c>
      <c r="H1" s="1" t="inlineStr">
        <is>
          <t>currency</t>
        </is>
      </c>
      <c r="I1" s="1" t="inlineStr">
        <is>
          <t>amount_local</t>
        </is>
      </c>
      <c r="J1" s="1" t="inlineStr">
        <is>
          <t>sales_person_id</t>
        </is>
      </c>
      <c r="K1" s="1" t="inlineStr">
        <is>
          <t>status</t>
        </is>
      </c>
    </row>
    <row r="2">
      <c r="A2" s="2" t="inlineStr">
        <is>
          <t>T00001</t>
        </is>
      </c>
      <c r="B2" s="3" t="n">
        <v>45659.4375</v>
      </c>
      <c r="C2" s="2" t="inlineStr">
        <is>
          <t>B01</t>
        </is>
      </c>
      <c r="D2" s="2" t="inlineStr">
        <is>
          <t>P06</t>
        </is>
      </c>
      <c r="E2" s="4" t="n">
        <v>55691590</v>
      </c>
      <c r="F2" s="2" t="inlineStr">
        <is>
          <t>Branch</t>
        </is>
      </c>
      <c r="G2" s="2" t="n"/>
      <c r="H2" s="2" t="inlineStr">
        <is>
          <t>USD</t>
        </is>
      </c>
      <c r="I2" s="7" t="n">
        <v>602000</v>
      </c>
      <c r="J2" s="2" t="inlineStr">
        <is>
          <t>E105</t>
        </is>
      </c>
      <c r="K2" s="2" t="inlineStr">
        <is>
          <t>Completed</t>
        </is>
      </c>
    </row>
    <row r="3">
      <c r="A3" s="2" t="inlineStr">
        <is>
          <t>T00002</t>
        </is>
      </c>
      <c r="B3" s="3" t="n">
        <v>45660.39583333334</v>
      </c>
      <c r="C3" s="2" t="inlineStr">
        <is>
          <t>B01</t>
        </is>
      </c>
      <c r="D3" s="2" t="inlineStr">
        <is>
          <t>P04</t>
        </is>
      </c>
      <c r="E3" s="4" t="n">
        <v>1809923365</v>
      </c>
      <c r="F3" s="2" t="inlineStr">
        <is>
          <t>Branch</t>
        </is>
      </c>
      <c r="G3" s="2" t="n"/>
      <c r="H3" s="2" t="inlineStr">
        <is>
          <t>HKD</t>
        </is>
      </c>
      <c r="I3" s="7" t="n">
        <v>484000</v>
      </c>
      <c r="J3" s="2" t="inlineStr">
        <is>
          <t>E101</t>
        </is>
      </c>
      <c r="K3" s="2" t="inlineStr">
        <is>
          <t>Completed</t>
        </is>
      </c>
    </row>
    <row r="4">
      <c r="A4" s="2" t="inlineStr">
        <is>
          <t>T00003</t>
        </is>
      </c>
      <c r="B4" s="3" t="n">
        <v>45660.40277777778</v>
      </c>
      <c r="C4" s="2" t="inlineStr">
        <is>
          <t>B02</t>
        </is>
      </c>
      <c r="D4" s="2" t="inlineStr">
        <is>
          <t>P03</t>
        </is>
      </c>
      <c r="E4" s="4" t="inlineStr">
        <is>
          <t>0057825472</t>
        </is>
      </c>
      <c r="F4" s="2" t="inlineStr">
        <is>
          <t>Branch</t>
        </is>
      </c>
      <c r="G4" s="2" t="n"/>
      <c r="H4" s="2" t="inlineStr">
        <is>
          <t>HKD</t>
        </is>
      </c>
      <c r="I4" s="7" t="n">
        <v>874000</v>
      </c>
      <c r="J4" s="2" t="inlineStr">
        <is>
          <t>E104</t>
        </is>
      </c>
      <c r="K4" s="2" t="inlineStr">
        <is>
          <t>Completed</t>
        </is>
      </c>
    </row>
    <row r="5">
      <c r="A5" s="2" t="inlineStr">
        <is>
          <t>T00004</t>
        </is>
      </c>
      <c r="B5" s="3" t="n">
        <v>45660.44444444445</v>
      </c>
      <c r="C5" s="2" t="inlineStr">
        <is>
          <t>B03</t>
        </is>
      </c>
      <c r="D5" s="2" t="inlineStr">
        <is>
          <t>P04</t>
        </is>
      </c>
      <c r="E5" s="4" t="n">
        <v>7667641457</v>
      </c>
      <c r="F5" s="2" t="inlineStr">
        <is>
          <t>Mobile App</t>
        </is>
      </c>
      <c r="G5" s="2" t="n"/>
      <c r="H5" s="2" t="inlineStr">
        <is>
          <t>USD</t>
        </is>
      </c>
      <c r="I5" s="7" t="n">
        <v>46000</v>
      </c>
      <c r="J5" s="2" t="n"/>
      <c r="K5" s="2" t="inlineStr">
        <is>
          <t>Completed</t>
        </is>
      </c>
    </row>
    <row r="6">
      <c r="A6" s="2" t="inlineStr">
        <is>
          <t>T00005</t>
        </is>
      </c>
      <c r="B6" s="3" t="n">
        <v>45660.71875</v>
      </c>
      <c r="C6" s="2" t="inlineStr">
        <is>
          <t>B03</t>
        </is>
      </c>
      <c r="D6" s="2" t="inlineStr">
        <is>
          <t>P02</t>
        </is>
      </c>
      <c r="E6" s="4" t="n">
        <v>8383656346</v>
      </c>
      <c r="F6" s="2" t="inlineStr">
        <is>
          <t>Phone Banking</t>
        </is>
      </c>
      <c r="G6" s="2" t="n"/>
      <c r="H6" s="2" t="inlineStr">
        <is>
          <t>USD</t>
        </is>
      </c>
      <c r="I6" s="7" t="n">
        <v>39000</v>
      </c>
      <c r="J6" s="2" t="inlineStr">
        <is>
          <t>E109</t>
        </is>
      </c>
      <c r="K6" s="2" t="inlineStr">
        <is>
          <t>Completed</t>
        </is>
      </c>
    </row>
    <row r="7">
      <c r="A7" s="2" t="inlineStr">
        <is>
          <t>T00006</t>
        </is>
      </c>
      <c r="B7" s="3" t="n">
        <v>45660.72222222222</v>
      </c>
      <c r="C7" s="2" t="inlineStr">
        <is>
          <t>B01</t>
        </is>
      </c>
      <c r="D7" s="2" t="inlineStr">
        <is>
          <t>P07</t>
        </is>
      </c>
      <c r="E7" s="4" t="n">
        <v>4100023781</v>
      </c>
      <c r="F7" s="2" t="inlineStr">
        <is>
          <t>Phone Banking</t>
        </is>
      </c>
      <c r="G7" s="2" t="n"/>
      <c r="H7" s="2" t="inlineStr">
        <is>
          <t>USD</t>
        </is>
      </c>
      <c r="I7" s="7" t="n">
        <v>213000</v>
      </c>
      <c r="J7" s="2" t="inlineStr">
        <is>
          <t>E108</t>
        </is>
      </c>
      <c r="K7" s="2" t="inlineStr">
        <is>
          <t>Completed</t>
        </is>
      </c>
    </row>
    <row r="8">
      <c r="A8" s="2" t="inlineStr">
        <is>
          <t>T00007</t>
        </is>
      </c>
      <c r="B8" s="3" t="n">
        <v>45660.82638888889</v>
      </c>
      <c r="C8" s="2" t="inlineStr">
        <is>
          <t>B03</t>
        </is>
      </c>
      <c r="D8" s="2" t="inlineStr">
        <is>
          <t>P02</t>
        </is>
      </c>
      <c r="E8" s="4" t="n">
        <v>2751672943</v>
      </c>
      <c r="F8" s="2" t="inlineStr">
        <is>
          <t>Mobile App</t>
        </is>
      </c>
      <c r="G8" s="2" t="n"/>
      <c r="H8" s="2" t="inlineStr">
        <is>
          <t>USD</t>
        </is>
      </c>
      <c r="I8" s="7" t="n">
        <v>197000</v>
      </c>
      <c r="J8" s="2" t="n"/>
      <c r="K8" s="2" t="inlineStr">
        <is>
          <t>Completed</t>
        </is>
      </c>
    </row>
    <row r="9">
      <c r="A9" s="2" t="inlineStr">
        <is>
          <t>T00008</t>
        </is>
      </c>
      <c r="B9" s="3" t="n">
        <v>45663.42708333334</v>
      </c>
      <c r="C9" s="2" t="inlineStr">
        <is>
          <t>B01</t>
        </is>
      </c>
      <c r="D9" s="2" t="inlineStr">
        <is>
          <t>P01</t>
        </is>
      </c>
      <c r="E9" s="4" t="n">
        <v>4100023781</v>
      </c>
      <c r="F9" s="2" t="inlineStr">
        <is>
          <t>Branch</t>
        </is>
      </c>
      <c r="G9" s="2" t="n"/>
      <c r="H9" s="2" t="inlineStr">
        <is>
          <t>USD</t>
        </is>
      </c>
      <c r="I9" s="7" t="n">
        <v>25000</v>
      </c>
      <c r="J9" s="2" t="inlineStr">
        <is>
          <t>E101</t>
        </is>
      </c>
      <c r="K9" s="2" t="inlineStr">
        <is>
          <t>Completed</t>
        </is>
      </c>
    </row>
    <row r="10">
      <c r="A10" s="2" t="inlineStr">
        <is>
          <t>T00009</t>
        </is>
      </c>
      <c r="B10" s="3" t="n">
        <v>45663.47222222222</v>
      </c>
      <c r="C10" s="2" t="inlineStr">
        <is>
          <t>B05</t>
        </is>
      </c>
      <c r="D10" s="2" t="inlineStr">
        <is>
          <t>P04</t>
        </is>
      </c>
      <c r="E10" s="4" t="n">
        <v>5637223790</v>
      </c>
      <c r="F10" s="2" t="inlineStr">
        <is>
          <t>Branch</t>
        </is>
      </c>
      <c r="G10" s="2" t="n"/>
      <c r="H10" s="2" t="inlineStr">
        <is>
          <t>USD</t>
        </is>
      </c>
      <c r="I10" s="7" t="n">
        <v>32000</v>
      </c>
      <c r="J10" s="2" t="inlineStr">
        <is>
          <t>E107</t>
        </is>
      </c>
      <c r="K10" s="2" t="inlineStr">
        <is>
          <t>Completed</t>
        </is>
      </c>
    </row>
    <row r="11">
      <c r="A11" s="2" t="inlineStr">
        <is>
          <t>T00010</t>
        </is>
      </c>
      <c r="B11" s="3" t="n">
        <v>45663.58333333334</v>
      </c>
      <c r="C11" s="2" t="inlineStr">
        <is>
          <t>B02</t>
        </is>
      </c>
      <c r="D11" s="2" t="inlineStr">
        <is>
          <t>P02</t>
        </is>
      </c>
      <c r="E11" s="4" t="n">
        <v>53083943</v>
      </c>
      <c r="F11" s="2" t="inlineStr">
        <is>
          <t>Branch</t>
        </is>
      </c>
      <c r="G11" s="2" t="n"/>
      <c r="H11" s="2" t="inlineStr">
        <is>
          <t>USD</t>
        </is>
      </c>
      <c r="I11" s="7" t="n">
        <v>87000</v>
      </c>
      <c r="J11" s="2" t="inlineStr">
        <is>
          <t>E103</t>
        </is>
      </c>
      <c r="K11" s="2" t="inlineStr">
        <is>
          <t>Completed</t>
        </is>
      </c>
    </row>
    <row r="12">
      <c r="A12" s="2" t="inlineStr">
        <is>
          <t>T00011</t>
        </is>
      </c>
      <c r="B12" s="3" t="n">
        <v>45663.61111111111</v>
      </c>
      <c r="C12" s="2" t="inlineStr">
        <is>
          <t>B02</t>
        </is>
      </c>
      <c r="D12" s="2" t="inlineStr">
        <is>
          <t>P04</t>
        </is>
      </c>
      <c r="E12" s="4" t="n">
        <v>8523286479</v>
      </c>
      <c r="F12" s="2" t="inlineStr">
        <is>
          <t>Branch</t>
        </is>
      </c>
      <c r="G12" s="2" t="n"/>
      <c r="H12" s="2" t="inlineStr">
        <is>
          <t>HKD</t>
        </is>
      </c>
      <c r="I12" s="7" t="n">
        <v>437000</v>
      </c>
      <c r="J12" s="2" t="inlineStr">
        <is>
          <t>E103</t>
        </is>
      </c>
      <c r="K12" s="2" t="inlineStr">
        <is>
          <t>Completed</t>
        </is>
      </c>
    </row>
    <row r="13">
      <c r="A13" s="2" t="inlineStr">
        <is>
          <t>T00012</t>
        </is>
      </c>
      <c r="B13" s="3" t="n">
        <v>45663.67361111111</v>
      </c>
      <c r="C13" s="2" t="inlineStr">
        <is>
          <t>B01</t>
        </is>
      </c>
      <c r="D13" s="2" t="inlineStr">
        <is>
          <t>P06</t>
        </is>
      </c>
      <c r="E13" s="4" t="n">
        <v>3179016710</v>
      </c>
      <c r="F13" s="2" t="inlineStr">
        <is>
          <t>Branch</t>
        </is>
      </c>
      <c r="G13" s="2" t="n"/>
      <c r="H13" s="2" t="inlineStr">
        <is>
          <t>HKD</t>
        </is>
      </c>
      <c r="I13" s="7" t="n">
        <v>577000</v>
      </c>
      <c r="J13" s="2" t="inlineStr">
        <is>
          <t>E101</t>
        </is>
      </c>
      <c r="K13" s="2" t="inlineStr">
        <is>
          <t>Cancelled</t>
        </is>
      </c>
    </row>
    <row r="14">
      <c r="A14" s="2" t="inlineStr">
        <is>
          <t>T00013</t>
        </is>
      </c>
      <c r="B14" s="3" t="n">
        <v>45664.4375</v>
      </c>
      <c r="C14" s="2" t="inlineStr">
        <is>
          <t>B02</t>
        </is>
      </c>
      <c r="D14" s="2" t="inlineStr">
        <is>
          <t>P04</t>
        </is>
      </c>
      <c r="E14" s="4" t="n">
        <v>4256229846</v>
      </c>
      <c r="F14" s="2" t="inlineStr">
        <is>
          <t>Mobile App</t>
        </is>
      </c>
      <c r="G14" s="2" t="n"/>
      <c r="H14" s="2" t="inlineStr">
        <is>
          <t>USD</t>
        </is>
      </c>
      <c r="I14" s="7" t="n">
        <v>18000</v>
      </c>
      <c r="J14" s="2" t="n"/>
      <c r="K14" s="2" t="inlineStr">
        <is>
          <t>Cancelled</t>
        </is>
      </c>
    </row>
    <row r="15">
      <c r="A15" s="2" t="inlineStr">
        <is>
          <t>T00014</t>
        </is>
      </c>
      <c r="B15" s="3" t="n">
        <v>45664.59027777778</v>
      </c>
      <c r="C15" s="2" t="inlineStr">
        <is>
          <t>B02</t>
        </is>
      </c>
      <c r="D15" s="2" t="inlineStr">
        <is>
          <t>P02</t>
        </is>
      </c>
      <c r="E15" s="4" t="inlineStr">
        <is>
          <t>0086890319</t>
        </is>
      </c>
      <c r="F15" s="2" t="inlineStr">
        <is>
          <t>Branch</t>
        </is>
      </c>
      <c r="G15" s="2" t="n"/>
      <c r="H15" s="2" t="inlineStr">
        <is>
          <t>HKD</t>
        </is>
      </c>
      <c r="I15" s="7" t="n">
        <v>304000</v>
      </c>
      <c r="J15" s="2" t="inlineStr">
        <is>
          <t>E104</t>
        </is>
      </c>
      <c r="K15" s="2" t="inlineStr">
        <is>
          <t>Completed</t>
        </is>
      </c>
    </row>
    <row r="16">
      <c r="A16" s="2" t="inlineStr">
        <is>
          <t>T00015</t>
        </is>
      </c>
      <c r="B16" s="3" t="n">
        <v>45664.92013888889</v>
      </c>
      <c r="C16" s="2" t="inlineStr">
        <is>
          <t>B02</t>
        </is>
      </c>
      <c r="D16" s="2" t="inlineStr">
        <is>
          <t>P01</t>
        </is>
      </c>
      <c r="E16" s="4" t="n">
        <v>2531925273</v>
      </c>
      <c r="F16" s="2" t="inlineStr">
        <is>
          <t>Mobile App</t>
        </is>
      </c>
      <c r="G16" s="2" t="n"/>
      <c r="H16" s="2" t="inlineStr">
        <is>
          <t>CNY</t>
        </is>
      </c>
      <c r="I16" s="7" t="n">
        <v>136000</v>
      </c>
      <c r="J16" s="2" t="n"/>
      <c r="K16" s="2" t="inlineStr">
        <is>
          <t>Completed</t>
        </is>
      </c>
    </row>
    <row r="17">
      <c r="A17" s="2" t="inlineStr">
        <is>
          <t>T00016</t>
        </is>
      </c>
      <c r="B17" s="3" t="n">
        <v>45665.39236111111</v>
      </c>
      <c r="C17" s="2" t="inlineStr">
        <is>
          <t>B03</t>
        </is>
      </c>
      <c r="D17" s="2" t="inlineStr">
        <is>
          <t>P07</t>
        </is>
      </c>
      <c r="E17" s="4" t="n">
        <v>8585205808</v>
      </c>
      <c r="F17" s="2" t="inlineStr">
        <is>
          <t>Branch</t>
        </is>
      </c>
      <c r="G17" s="2" t="n"/>
      <c r="H17" s="2" t="inlineStr">
        <is>
          <t>USD</t>
        </is>
      </c>
      <c r="I17" s="7" t="n">
        <v>65000</v>
      </c>
      <c r="J17" s="2" t="inlineStr">
        <is>
          <t>E109</t>
        </is>
      </c>
      <c r="K17" s="2" t="inlineStr">
        <is>
          <t>Completed</t>
        </is>
      </c>
    </row>
    <row r="18">
      <c r="A18" s="2" t="inlineStr">
        <is>
          <t>T00017</t>
        </is>
      </c>
      <c r="B18" s="3" t="n">
        <v>45665.60416666666</v>
      </c>
      <c r="C18" s="2" t="inlineStr">
        <is>
          <t>B02</t>
        </is>
      </c>
      <c r="D18" s="2" t="inlineStr">
        <is>
          <t>P04</t>
        </is>
      </c>
      <c r="E18" s="4" t="n">
        <v>2277513075</v>
      </c>
      <c r="F18" s="2" t="inlineStr">
        <is>
          <t>Phone Banking</t>
        </is>
      </c>
      <c r="G18" s="2" t="n"/>
      <c r="H18" s="2" t="inlineStr">
        <is>
          <t>HKD</t>
        </is>
      </c>
      <c r="I18" s="7" t="n">
        <v>788000</v>
      </c>
      <c r="J18" s="2" t="inlineStr">
        <is>
          <t>E103</t>
        </is>
      </c>
      <c r="K18" s="2" t="inlineStr">
        <is>
          <t>Completed</t>
        </is>
      </c>
    </row>
    <row r="19">
      <c r="A19" s="2" t="inlineStr">
        <is>
          <t>T00018</t>
        </is>
      </c>
      <c r="B19" s="3" t="n">
        <v>45666.48958333334</v>
      </c>
      <c r="C19" s="2" t="inlineStr">
        <is>
          <t>B01</t>
        </is>
      </c>
      <c r="D19" s="2" t="inlineStr">
        <is>
          <t>P03</t>
        </is>
      </c>
      <c r="E19" s="4" t="inlineStr">
        <is>
          <t>0017404366</t>
        </is>
      </c>
      <c r="F19" s="2" t="inlineStr">
        <is>
          <t>Branch</t>
        </is>
      </c>
      <c r="G19" s="2" t="n"/>
      <c r="H19" s="2" t="inlineStr">
        <is>
          <t>USD</t>
        </is>
      </c>
      <c r="I19" s="7" t="n">
        <v>41000</v>
      </c>
      <c r="J19" s="2" t="inlineStr">
        <is>
          <t>E108</t>
        </is>
      </c>
      <c r="K19" s="2" t="inlineStr">
        <is>
          <t>Completed</t>
        </is>
      </c>
    </row>
    <row r="20">
      <c r="A20" s="2" t="inlineStr">
        <is>
          <t>T00019</t>
        </is>
      </c>
      <c r="B20" s="3" t="n">
        <v>45666.54513888889</v>
      </c>
      <c r="C20" s="2" t="inlineStr">
        <is>
          <t>B02</t>
        </is>
      </c>
      <c r="D20" s="2" t="inlineStr">
        <is>
          <t>P03</t>
        </is>
      </c>
      <c r="E20" s="4" t="n">
        <v>2531925273</v>
      </c>
      <c r="F20" s="2" t="inlineStr">
        <is>
          <t>Branch</t>
        </is>
      </c>
      <c r="G20" s="2" t="n"/>
      <c r="H20" s="2" t="inlineStr">
        <is>
          <t>USD</t>
        </is>
      </c>
      <c r="I20" s="7" t="n">
        <v>109000</v>
      </c>
      <c r="J20" s="2" t="inlineStr">
        <is>
          <t>E103</t>
        </is>
      </c>
      <c r="K20" s="2" t="inlineStr">
        <is>
          <t>Completed</t>
        </is>
      </c>
    </row>
    <row r="21">
      <c r="A21" s="2" t="inlineStr">
        <is>
          <t>T00020</t>
        </is>
      </c>
      <c r="B21" s="3" t="n">
        <v>45666.57291666666</v>
      </c>
      <c r="C21" s="2" t="inlineStr">
        <is>
          <t>B03</t>
        </is>
      </c>
      <c r="D21" s="2" t="inlineStr">
        <is>
          <t>P07</t>
        </is>
      </c>
      <c r="E21" s="4" t="n">
        <v>7569827088</v>
      </c>
      <c r="F21" s="2" t="inlineStr">
        <is>
          <t>Phone Banking</t>
        </is>
      </c>
      <c r="G21" s="2" t="n"/>
      <c r="H21" s="2" t="inlineStr">
        <is>
          <t>USD</t>
        </is>
      </c>
      <c r="I21" s="7" t="n">
        <v>171000</v>
      </c>
      <c r="J21" s="2" t="inlineStr">
        <is>
          <t>E109</t>
        </is>
      </c>
      <c r="K21" s="2" t="inlineStr">
        <is>
          <t>Completed</t>
        </is>
      </c>
    </row>
    <row r="22">
      <c r="A22" s="2" t="inlineStr">
        <is>
          <t>T00021</t>
        </is>
      </c>
      <c r="B22" s="3" t="n">
        <v>45666.57986111111</v>
      </c>
      <c r="C22" s="2" t="inlineStr">
        <is>
          <t>B02</t>
        </is>
      </c>
      <c r="D22" s="2" t="inlineStr">
        <is>
          <t>P08</t>
        </is>
      </c>
      <c r="E22" s="4" t="n">
        <v>4085391267</v>
      </c>
      <c r="F22" s="2" t="inlineStr">
        <is>
          <t>Branch</t>
        </is>
      </c>
      <c r="G22" s="2" t="n"/>
      <c r="H22" s="2" t="inlineStr">
        <is>
          <t>HKD</t>
        </is>
      </c>
      <c r="I22" s="7" t="n">
        <v>998000</v>
      </c>
      <c r="J22" s="2" t="inlineStr">
        <is>
          <t>E103</t>
        </is>
      </c>
      <c r="K22" s="2" t="inlineStr">
        <is>
          <t>Completed</t>
        </is>
      </c>
    </row>
    <row r="23">
      <c r="A23" s="2" t="inlineStr">
        <is>
          <t>T00022</t>
        </is>
      </c>
      <c r="B23" s="3" t="n">
        <v>45666.61111111111</v>
      </c>
      <c r="C23" s="2" t="inlineStr">
        <is>
          <t>B05</t>
        </is>
      </c>
      <c r="D23" s="2" t="inlineStr">
        <is>
          <t>P03</t>
        </is>
      </c>
      <c r="E23" s="4" t="n">
        <v>45128803</v>
      </c>
      <c r="F23" s="2" t="inlineStr">
        <is>
          <t>Mobile App</t>
        </is>
      </c>
      <c r="G23" s="2" t="n"/>
      <c r="H23" s="2" t="inlineStr">
        <is>
          <t>HKD</t>
        </is>
      </c>
      <c r="I23" s="7" t="n">
        <v>80000</v>
      </c>
      <c r="J23" s="2" t="inlineStr">
        <is>
          <t>E107</t>
        </is>
      </c>
      <c r="K23" s="2" t="inlineStr">
        <is>
          <t>Completed</t>
        </is>
      </c>
    </row>
    <row r="24">
      <c r="A24" s="2" t="inlineStr">
        <is>
          <t>T00023</t>
        </is>
      </c>
      <c r="B24" s="3" t="n">
        <v>45666.64236111111</v>
      </c>
      <c r="C24" s="2" t="inlineStr">
        <is>
          <t>B03</t>
        </is>
      </c>
      <c r="D24" s="2" t="inlineStr">
        <is>
          <t>P08</t>
        </is>
      </c>
      <c r="E24" s="4" t="n">
        <v>8487706006</v>
      </c>
      <c r="F24" s="2" t="inlineStr">
        <is>
          <t>Branch</t>
        </is>
      </c>
      <c r="G24" s="2" t="n"/>
      <c r="H24" s="2" t="inlineStr">
        <is>
          <t>HKD</t>
        </is>
      </c>
      <c r="I24" s="7" t="n">
        <v>211000</v>
      </c>
      <c r="J24" s="2" t="inlineStr">
        <is>
          <t>E103</t>
        </is>
      </c>
      <c r="K24" s="2" t="inlineStr">
        <is>
          <t>Completed</t>
        </is>
      </c>
    </row>
    <row r="25">
      <c r="A25" s="2" t="inlineStr">
        <is>
          <t>T00024</t>
        </is>
      </c>
      <c r="B25" s="3" t="n">
        <v>45666.68055555555</v>
      </c>
      <c r="C25" s="2" t="inlineStr">
        <is>
          <t>B02</t>
        </is>
      </c>
      <c r="D25" s="2" t="inlineStr">
        <is>
          <t>P08</t>
        </is>
      </c>
      <c r="E25" s="4" t="n">
        <v>1272232039</v>
      </c>
      <c r="F25" s="2" t="inlineStr">
        <is>
          <t>Mobile App</t>
        </is>
      </c>
      <c r="G25" s="2" t="n"/>
      <c r="H25" s="2" t="inlineStr">
        <is>
          <t>HKD</t>
        </is>
      </c>
      <c r="I25" s="7" t="n">
        <v>4797000</v>
      </c>
      <c r="J25" s="2" t="n"/>
      <c r="K25" s="2" t="inlineStr">
        <is>
          <t>Completed</t>
        </is>
      </c>
    </row>
    <row r="26">
      <c r="A26" s="2" t="inlineStr">
        <is>
          <t>T00025</t>
        </is>
      </c>
      <c r="B26" s="3" t="n">
        <v>45667.38541666666</v>
      </c>
      <c r="C26" s="2" t="inlineStr">
        <is>
          <t>B01</t>
        </is>
      </c>
      <c r="D26" s="2" t="inlineStr">
        <is>
          <t>P02</t>
        </is>
      </c>
      <c r="E26" s="4" t="n">
        <v>4309083358</v>
      </c>
      <c r="F26" s="2" t="inlineStr">
        <is>
          <t>Branch</t>
        </is>
      </c>
      <c r="G26" s="2" t="n"/>
      <c r="H26" s="2" t="inlineStr">
        <is>
          <t>USD</t>
        </is>
      </c>
      <c r="I26" s="7" t="n">
        <v>70000</v>
      </c>
      <c r="J26" s="2" t="inlineStr">
        <is>
          <t>E14</t>
        </is>
      </c>
      <c r="K26" s="2" t="inlineStr">
        <is>
          <t>Completed</t>
        </is>
      </c>
    </row>
    <row r="27">
      <c r="A27" s="2" t="inlineStr">
        <is>
          <t>T00026</t>
        </is>
      </c>
      <c r="B27" s="3" t="n">
        <v>45667.47222222222</v>
      </c>
      <c r="C27" s="2" t="inlineStr">
        <is>
          <t>B02</t>
        </is>
      </c>
      <c r="D27" s="2" t="inlineStr">
        <is>
          <t>P08</t>
        </is>
      </c>
      <c r="E27" s="4" t="n">
        <v>8355315526</v>
      </c>
      <c r="F27" s="2" t="inlineStr">
        <is>
          <t>Mobile App</t>
        </is>
      </c>
      <c r="G27" s="2" t="n"/>
      <c r="H27" s="2" t="inlineStr">
        <is>
          <t>USD</t>
        </is>
      </c>
      <c r="I27" s="7" t="n">
        <v>185000</v>
      </c>
      <c r="J27" s="2" t="inlineStr">
        <is>
          <t>E104</t>
        </is>
      </c>
      <c r="K27" s="2" t="inlineStr">
        <is>
          <t>Completed</t>
        </is>
      </c>
    </row>
    <row r="28">
      <c r="A28" s="2" t="inlineStr">
        <is>
          <t>T00027</t>
        </is>
      </c>
      <c r="B28" s="3" t="n">
        <v>45670.6875</v>
      </c>
      <c r="C28" s="2" t="inlineStr">
        <is>
          <t>B02</t>
        </is>
      </c>
      <c r="D28" s="2" t="inlineStr">
        <is>
          <t>P04</t>
        </is>
      </c>
      <c r="E28" s="4" t="n">
        <v>1272232039</v>
      </c>
      <c r="F28" s="2" t="inlineStr">
        <is>
          <t>Branch</t>
        </is>
      </c>
      <c r="G28" s="2" t="n"/>
      <c r="H28" s="2" t="inlineStr">
        <is>
          <t>HKD</t>
        </is>
      </c>
      <c r="I28" s="7" t="n">
        <v>1997000</v>
      </c>
      <c r="J28" s="2" t="inlineStr">
        <is>
          <t>E104</t>
        </is>
      </c>
      <c r="K28" s="2" t="inlineStr">
        <is>
          <t>Completed</t>
        </is>
      </c>
    </row>
    <row r="29">
      <c r="A29" s="2" t="inlineStr">
        <is>
          <t>T00028</t>
        </is>
      </c>
      <c r="B29" s="3" t="n">
        <v>45670.6875</v>
      </c>
      <c r="C29" s="2" t="inlineStr">
        <is>
          <t>B03</t>
        </is>
      </c>
      <c r="D29" s="2" t="inlineStr">
        <is>
          <t>P03</t>
        </is>
      </c>
      <c r="E29" s="4" t="n">
        <v>8585205808</v>
      </c>
      <c r="F29" s="2" t="inlineStr">
        <is>
          <t>Branch</t>
        </is>
      </c>
      <c r="G29" s="2" t="n"/>
      <c r="H29" s="2" t="inlineStr">
        <is>
          <t>HKD</t>
        </is>
      </c>
      <c r="I29" s="7" t="n">
        <v>148000</v>
      </c>
      <c r="J29" s="2" t="inlineStr">
        <is>
          <t>E105</t>
        </is>
      </c>
      <c r="K29" s="2" t="inlineStr">
        <is>
          <t>Completed</t>
        </is>
      </c>
    </row>
    <row r="30">
      <c r="A30" s="2" t="inlineStr">
        <is>
          <t>T00029</t>
        </is>
      </c>
      <c r="B30" s="3" t="n">
        <v>45670.73958333334</v>
      </c>
      <c r="C30" s="2" t="inlineStr">
        <is>
          <t>B02</t>
        </is>
      </c>
      <c r="D30" s="2" t="inlineStr">
        <is>
          <t>P05</t>
        </is>
      </c>
      <c r="E30" s="4" t="n">
        <v>53083943</v>
      </c>
      <c r="F30" s="2" t="inlineStr">
        <is>
          <t>Branch</t>
        </is>
      </c>
      <c r="G30" s="2" t="n"/>
      <c r="H30" s="2" t="inlineStr">
        <is>
          <t>USD</t>
        </is>
      </c>
      <c r="I30" s="7" t="n">
        <v>23000</v>
      </c>
      <c r="J30" s="2" t="inlineStr">
        <is>
          <t>E104</t>
        </is>
      </c>
      <c r="K30" s="2" t="inlineStr">
        <is>
          <t>Completed</t>
        </is>
      </c>
    </row>
    <row r="31">
      <c r="A31" s="2" t="inlineStr">
        <is>
          <t>T00030</t>
        </is>
      </c>
      <c r="B31" s="3" t="n">
        <v>45671.53819444445</v>
      </c>
      <c r="C31" s="2" t="inlineStr">
        <is>
          <t>B02</t>
        </is>
      </c>
      <c r="D31" s="2" t="inlineStr">
        <is>
          <t>P02</t>
        </is>
      </c>
      <c r="E31" s="4" t="n">
        <v>3207719945</v>
      </c>
      <c r="F31" s="2" t="inlineStr">
        <is>
          <t>Phone Banking</t>
        </is>
      </c>
      <c r="G31" s="2" t="n"/>
      <c r="H31" s="2" t="inlineStr">
        <is>
          <t>USD</t>
        </is>
      </c>
      <c r="I31" s="7" t="n">
        <v>225000</v>
      </c>
      <c r="J31" s="2" t="inlineStr">
        <is>
          <t xml:space="preserve">e104 </t>
        </is>
      </c>
      <c r="K31" s="2" t="inlineStr">
        <is>
          <t>Cancelled</t>
        </is>
      </c>
    </row>
    <row r="32">
      <c r="A32" s="2" t="inlineStr">
        <is>
          <t>T00031</t>
        </is>
      </c>
      <c r="B32" s="3" t="n">
        <v>45671.65625</v>
      </c>
      <c r="C32" s="2" t="inlineStr">
        <is>
          <t>B02</t>
        </is>
      </c>
      <c r="D32" s="2" t="inlineStr">
        <is>
          <t>P02</t>
        </is>
      </c>
      <c r="E32" s="4" t="n">
        <v>8355315526</v>
      </c>
      <c r="F32" s="2" t="inlineStr">
        <is>
          <t>Phone Banking</t>
        </is>
      </c>
      <c r="G32" s="2" t="n"/>
      <c r="H32" s="2" t="inlineStr">
        <is>
          <t>USD</t>
        </is>
      </c>
      <c r="I32" s="7" t="n">
        <v>16000</v>
      </c>
      <c r="J32" s="2" t="inlineStr">
        <is>
          <t>E104</t>
        </is>
      </c>
      <c r="K32" s="2" t="inlineStr">
        <is>
          <t>Completed</t>
        </is>
      </c>
    </row>
    <row r="33">
      <c r="A33" s="2" t="inlineStr">
        <is>
          <t>T00032</t>
        </is>
      </c>
      <c r="B33" s="3" t="n">
        <v>45672.72569444445</v>
      </c>
      <c r="C33" s="2" t="inlineStr">
        <is>
          <t>B01</t>
        </is>
      </c>
      <c r="D33" s="2" t="inlineStr">
        <is>
          <t>P06</t>
        </is>
      </c>
      <c r="E33" s="4" t="n">
        <v>4387664751</v>
      </c>
      <c r="F33" s="2" t="inlineStr">
        <is>
          <t>Mobile App</t>
        </is>
      </c>
      <c r="G33" s="2" t="inlineStr">
        <is>
          <t>CMP-CNY25</t>
        </is>
      </c>
      <c r="H33" s="2" t="inlineStr">
        <is>
          <t>USD</t>
        </is>
      </c>
      <c r="I33" s="7" t="n">
        <v>35000</v>
      </c>
      <c r="J33" s="2" t="n"/>
      <c r="K33" s="2" t="inlineStr">
        <is>
          <t>Completed</t>
        </is>
      </c>
    </row>
    <row r="34">
      <c r="A34" s="2" t="inlineStr">
        <is>
          <t>T00033</t>
        </is>
      </c>
      <c r="B34" s="3" t="n">
        <v>45673.40277777778</v>
      </c>
      <c r="C34" s="2" t="inlineStr">
        <is>
          <t>B03</t>
        </is>
      </c>
      <c r="D34" s="2" t="inlineStr">
        <is>
          <t>P06</t>
        </is>
      </c>
      <c r="E34" s="4" t="n">
        <v>8487706006</v>
      </c>
      <c r="F34" s="2" t="inlineStr">
        <is>
          <t>Phone Banking</t>
        </is>
      </c>
      <c r="G34" s="2" t="inlineStr">
        <is>
          <t>CMP-CNY25</t>
        </is>
      </c>
      <c r="H34" s="2" t="inlineStr">
        <is>
          <t>USD</t>
        </is>
      </c>
      <c r="I34" s="7" t="n">
        <v>763000</v>
      </c>
      <c r="J34" s="2" t="inlineStr">
        <is>
          <t>E109</t>
        </is>
      </c>
      <c r="K34" s="2" t="inlineStr">
        <is>
          <t>Completed</t>
        </is>
      </c>
    </row>
    <row r="35">
      <c r="A35" s="2" t="inlineStr">
        <is>
          <t>T00034</t>
        </is>
      </c>
      <c r="B35" s="3" t="n">
        <v>45673.46180555555</v>
      </c>
      <c r="C35" s="2" t="inlineStr">
        <is>
          <t>B01</t>
        </is>
      </c>
      <c r="D35" s="2" t="inlineStr">
        <is>
          <t>P07</t>
        </is>
      </c>
      <c r="E35" s="4" t="n">
        <v>17885621</v>
      </c>
      <c r="F35" s="2" t="inlineStr">
        <is>
          <t>Branch</t>
        </is>
      </c>
      <c r="G35" s="2" t="inlineStr">
        <is>
          <t>CMP-CNY25</t>
        </is>
      </c>
      <c r="H35" s="2" t="inlineStr">
        <is>
          <t>USD</t>
        </is>
      </c>
      <c r="I35" s="7" t="n">
        <v>75000</v>
      </c>
      <c r="J35" s="2" t="inlineStr">
        <is>
          <t>E101</t>
        </is>
      </c>
      <c r="K35" s="2" t="inlineStr">
        <is>
          <t>Completed</t>
        </is>
      </c>
    </row>
    <row r="36">
      <c r="A36" s="2" t="inlineStr">
        <is>
          <t>T00035</t>
        </is>
      </c>
      <c r="B36" s="3" t="n">
        <v>45673.46875</v>
      </c>
      <c r="C36" s="2" t="inlineStr">
        <is>
          <t>B01</t>
        </is>
      </c>
      <c r="D36" s="2" t="inlineStr">
        <is>
          <t>P02</t>
        </is>
      </c>
      <c r="E36" s="4" t="inlineStr">
        <is>
          <t>0032025226</t>
        </is>
      </c>
      <c r="F36" s="2" t="inlineStr">
        <is>
          <t>Branch</t>
        </is>
      </c>
      <c r="G36" s="2" t="n"/>
      <c r="H36" s="2" t="inlineStr">
        <is>
          <t>USD</t>
        </is>
      </c>
      <c r="I36" s="7" t="n">
        <v>61000</v>
      </c>
      <c r="J36" s="2" t="inlineStr">
        <is>
          <t>E101</t>
        </is>
      </c>
      <c r="K36" s="2" t="inlineStr">
        <is>
          <t>Completed</t>
        </is>
      </c>
    </row>
    <row r="37">
      <c r="A37" s="2" t="inlineStr">
        <is>
          <t>T00036</t>
        </is>
      </c>
      <c r="B37" s="3" t="n">
        <v>45673.59375</v>
      </c>
      <c r="C37" s="2" t="inlineStr">
        <is>
          <t>B02</t>
        </is>
      </c>
      <c r="D37" s="2" t="inlineStr">
        <is>
          <t>P03</t>
        </is>
      </c>
      <c r="E37" s="4" t="inlineStr">
        <is>
          <t>0044509861</t>
        </is>
      </c>
      <c r="F37" s="2" t="inlineStr">
        <is>
          <t>Phone Banking</t>
        </is>
      </c>
      <c r="G37" s="2" t="inlineStr">
        <is>
          <t>CMP-CNY25</t>
        </is>
      </c>
      <c r="H37" s="2" t="inlineStr">
        <is>
          <t>HKD</t>
        </is>
      </c>
      <c r="I37" s="7" t="n">
        <v>2223000</v>
      </c>
      <c r="J37" s="2" t="inlineStr">
        <is>
          <t>E1033</t>
        </is>
      </c>
      <c r="K37" s="2" t="inlineStr">
        <is>
          <t>Completed</t>
        </is>
      </c>
    </row>
    <row r="38">
      <c r="A38" s="2" t="inlineStr">
        <is>
          <t>T00037</t>
        </is>
      </c>
      <c r="B38" s="3" t="n">
        <v>45674.59722222222</v>
      </c>
      <c r="C38" s="2" t="inlineStr">
        <is>
          <t>B01</t>
        </is>
      </c>
      <c r="D38" s="2" t="inlineStr">
        <is>
          <t>P08</t>
        </is>
      </c>
      <c r="E38" s="4" t="n">
        <v>55245666</v>
      </c>
      <c r="F38" s="2" t="inlineStr">
        <is>
          <t>Mobile App</t>
        </is>
      </c>
      <c r="G38" s="2" t="inlineStr">
        <is>
          <t>CMP-CNY25</t>
        </is>
      </c>
      <c r="H38" s="2" t="inlineStr">
        <is>
          <t>HKD</t>
        </is>
      </c>
      <c r="I38" s="7" t="n">
        <v>1349000</v>
      </c>
      <c r="J38" s="2" t="n"/>
      <c r="K38" s="2" t="inlineStr">
        <is>
          <t>Completed</t>
        </is>
      </c>
    </row>
    <row r="39">
      <c r="A39" s="2" t="inlineStr">
        <is>
          <t>T00038</t>
        </is>
      </c>
      <c r="B39" s="3" t="n">
        <v>45674.69097222222</v>
      </c>
      <c r="C39" s="2" t="inlineStr">
        <is>
          <t>B05</t>
        </is>
      </c>
      <c r="D39" s="2" t="inlineStr">
        <is>
          <t>P04</t>
        </is>
      </c>
      <c r="E39" s="4" t="n">
        <v>5637223790</v>
      </c>
      <c r="F39" s="2" t="inlineStr">
        <is>
          <t>Mobile App</t>
        </is>
      </c>
      <c r="G39" s="2" t="n"/>
      <c r="H39" s="2" t="inlineStr">
        <is>
          <t>USD</t>
        </is>
      </c>
      <c r="I39" s="7" t="n">
        <v>23000</v>
      </c>
      <c r="J39" s="2" t="inlineStr">
        <is>
          <t>E110</t>
        </is>
      </c>
      <c r="K39" s="2" t="inlineStr">
        <is>
          <t>Completed</t>
        </is>
      </c>
    </row>
    <row r="40">
      <c r="A40" s="2" t="inlineStr">
        <is>
          <t>T00039</t>
        </is>
      </c>
      <c r="B40" s="3" t="n">
        <v>45674.77083333334</v>
      </c>
      <c r="C40" s="2" t="inlineStr">
        <is>
          <t>B02</t>
        </is>
      </c>
      <c r="D40" s="2" t="inlineStr">
        <is>
          <t>P01</t>
        </is>
      </c>
      <c r="E40" s="4" t="n">
        <v>4206911990</v>
      </c>
      <c r="F40" s="2" t="inlineStr">
        <is>
          <t>Mobile App</t>
        </is>
      </c>
      <c r="G40" s="2" t="inlineStr">
        <is>
          <t>CMP-CNY25</t>
        </is>
      </c>
      <c r="H40" s="2" t="inlineStr">
        <is>
          <t>USD</t>
        </is>
      </c>
      <c r="I40" s="7" t="n">
        <v>113000</v>
      </c>
      <c r="J40" s="2" t="n"/>
      <c r="K40" s="2" t="inlineStr">
        <is>
          <t>Completed</t>
        </is>
      </c>
    </row>
    <row r="41">
      <c r="A41" s="2" t="inlineStr">
        <is>
          <t>T00040</t>
        </is>
      </c>
      <c r="B41" s="3" t="n">
        <v>45675.64236111111</v>
      </c>
      <c r="C41" s="2" t="inlineStr">
        <is>
          <t>B01</t>
        </is>
      </c>
      <c r="D41" s="2" t="inlineStr">
        <is>
          <t>P06</t>
        </is>
      </c>
      <c r="E41" s="4" t="inlineStr">
        <is>
          <t>0032025226</t>
        </is>
      </c>
      <c r="F41" s="2" t="inlineStr">
        <is>
          <t>Phone Banking</t>
        </is>
      </c>
      <c r="G41" s="2" t="n"/>
      <c r="H41" s="2" t="inlineStr">
        <is>
          <t>USD</t>
        </is>
      </c>
      <c r="I41" s="7" t="n">
        <v>246000</v>
      </c>
      <c r="J41" s="2" t="n"/>
      <c r="K41" s="2" t="inlineStr">
        <is>
          <t>Completed</t>
        </is>
      </c>
    </row>
    <row r="42">
      <c r="A42" s="2" t="inlineStr">
        <is>
          <t>T00041</t>
        </is>
      </c>
      <c r="B42" s="3" t="n">
        <v>45676.32986111111</v>
      </c>
      <c r="C42" s="2" t="inlineStr">
        <is>
          <t>B02</t>
        </is>
      </c>
      <c r="D42" s="2" t="inlineStr">
        <is>
          <t>P07</t>
        </is>
      </c>
      <c r="E42" s="4" t="n">
        <v>4206911990</v>
      </c>
      <c r="F42" s="2" t="inlineStr">
        <is>
          <t>Phone Banking</t>
        </is>
      </c>
      <c r="G42" s="2" t="inlineStr">
        <is>
          <t>CMP-CNY25</t>
        </is>
      </c>
      <c r="H42" s="2" t="inlineStr">
        <is>
          <t>HKD</t>
        </is>
      </c>
      <c r="I42" s="7" t="n">
        <v>1810000</v>
      </c>
      <c r="J42" s="2" t="n"/>
      <c r="K42" s="2" t="inlineStr">
        <is>
          <t>Cancelled</t>
        </is>
      </c>
    </row>
    <row r="43">
      <c r="A43" s="2" t="inlineStr">
        <is>
          <t>T00042</t>
        </is>
      </c>
      <c r="B43" s="3" t="n">
        <v>45677.38194444445</v>
      </c>
      <c r="C43" s="2" t="inlineStr">
        <is>
          <t>B01</t>
        </is>
      </c>
      <c r="D43" s="2" t="inlineStr">
        <is>
          <t>P04</t>
        </is>
      </c>
      <c r="E43" s="4" t="inlineStr">
        <is>
          <t>0097309879</t>
        </is>
      </c>
      <c r="F43" s="2" t="inlineStr">
        <is>
          <t>Branch</t>
        </is>
      </c>
      <c r="G43" s="2" t="n"/>
      <c r="H43" s="2" t="inlineStr">
        <is>
          <t>HKD</t>
        </is>
      </c>
      <c r="I43" s="7" t="n">
        <v>788000</v>
      </c>
      <c r="J43" s="2" t="inlineStr">
        <is>
          <t>E108</t>
        </is>
      </c>
      <c r="K43" s="2" t="inlineStr">
        <is>
          <t>Completed</t>
        </is>
      </c>
    </row>
    <row r="44">
      <c r="A44" s="2" t="inlineStr">
        <is>
          <t>T00043</t>
        </is>
      </c>
      <c r="B44" s="3" t="n">
        <v>45677.42708333334</v>
      </c>
      <c r="C44" s="2" t="inlineStr">
        <is>
          <t>B02</t>
        </is>
      </c>
      <c r="D44" s="2" t="inlineStr">
        <is>
          <t>P03</t>
        </is>
      </c>
      <c r="E44" s="4" t="n">
        <v>1369982817</v>
      </c>
      <c r="F44" s="2" t="inlineStr">
        <is>
          <t>Phone Banking</t>
        </is>
      </c>
      <c r="G44" s="2" t="inlineStr">
        <is>
          <t>CMP-CNY25</t>
        </is>
      </c>
      <c r="H44" s="2" t="inlineStr">
        <is>
          <t>USD</t>
        </is>
      </c>
      <c r="I44" s="7" t="n">
        <v>31000</v>
      </c>
      <c r="J44" s="2" t="inlineStr">
        <is>
          <t>E103</t>
        </is>
      </c>
      <c r="K44" s="2" t="inlineStr">
        <is>
          <t>Completed</t>
        </is>
      </c>
    </row>
    <row r="45">
      <c r="A45" s="2" t="inlineStr">
        <is>
          <t>T00044</t>
        </is>
      </c>
      <c r="B45" s="3" t="n">
        <v>45677.46180555555</v>
      </c>
      <c r="C45" s="2" t="inlineStr">
        <is>
          <t>B02</t>
        </is>
      </c>
      <c r="D45" s="2" t="inlineStr">
        <is>
          <t>P05</t>
        </is>
      </c>
      <c r="E45" s="4" t="n">
        <v>3207719945</v>
      </c>
      <c r="F45" s="2" t="inlineStr">
        <is>
          <t>Branch</t>
        </is>
      </c>
      <c r="G45" s="2" t="inlineStr">
        <is>
          <t>CMP-CNY25</t>
        </is>
      </c>
      <c r="H45" s="2" t="inlineStr">
        <is>
          <t>USD</t>
        </is>
      </c>
      <c r="I45" s="7" t="n">
        <v>150000</v>
      </c>
      <c r="J45" s="2" t="inlineStr">
        <is>
          <t>E104</t>
        </is>
      </c>
      <c r="K45" s="2" t="inlineStr">
        <is>
          <t>Completed</t>
        </is>
      </c>
    </row>
    <row r="46">
      <c r="A46" s="2" t="inlineStr">
        <is>
          <t>T00045</t>
        </is>
      </c>
      <c r="B46" s="3" t="n">
        <v>45677.49652777778</v>
      </c>
      <c r="C46" s="2" t="inlineStr">
        <is>
          <t>B02</t>
        </is>
      </c>
      <c r="D46" s="2" t="inlineStr">
        <is>
          <t>P07</t>
        </is>
      </c>
      <c r="E46" s="4" t="n">
        <v>2277513075</v>
      </c>
      <c r="F46" s="2" t="inlineStr">
        <is>
          <t>Mobile App</t>
        </is>
      </c>
      <c r="G46" s="2" t="n"/>
      <c r="H46" s="2" t="inlineStr">
        <is>
          <t>USD</t>
        </is>
      </c>
      <c r="I46" s="7" t="n">
        <v>146000</v>
      </c>
      <c r="J46" s="2" t="inlineStr">
        <is>
          <t>E103</t>
        </is>
      </c>
      <c r="K46" s="2" t="inlineStr">
        <is>
          <t>Completed</t>
        </is>
      </c>
    </row>
    <row r="47">
      <c r="A47" s="2" t="inlineStr">
        <is>
          <t>T00046</t>
        </is>
      </c>
      <c r="B47" s="3" t="n">
        <v>45677.55555555555</v>
      </c>
      <c r="C47" s="2" t="inlineStr">
        <is>
          <t>B02</t>
        </is>
      </c>
      <c r="D47" s="2" t="inlineStr">
        <is>
          <t>P02</t>
        </is>
      </c>
      <c r="E47" s="4" t="n">
        <v>5138950247</v>
      </c>
      <c r="F47" s="2" t="inlineStr">
        <is>
          <t>Branch</t>
        </is>
      </c>
      <c r="G47" s="2" t="inlineStr">
        <is>
          <t>CMP-CNY25</t>
        </is>
      </c>
      <c r="H47" s="2" t="inlineStr">
        <is>
          <t>USD</t>
        </is>
      </c>
      <c r="I47" s="7" t="n">
        <v>214000</v>
      </c>
      <c r="J47" s="2" t="inlineStr">
        <is>
          <t>E13</t>
        </is>
      </c>
      <c r="K47" s="2" t="inlineStr">
        <is>
          <t>Completed</t>
        </is>
      </c>
    </row>
    <row r="48">
      <c r="A48" s="2" t="inlineStr">
        <is>
          <t>T00047</t>
        </is>
      </c>
      <c r="B48" s="3" t="n">
        <v>45677.64583333334</v>
      </c>
      <c r="C48" s="2" t="inlineStr">
        <is>
          <t>B03</t>
        </is>
      </c>
      <c r="D48" s="2" t="inlineStr">
        <is>
          <t>P03</t>
        </is>
      </c>
      <c r="E48" s="4" t="n">
        <v>6130984472</v>
      </c>
      <c r="F48" s="2" t="inlineStr">
        <is>
          <t>Branch</t>
        </is>
      </c>
      <c r="G48" s="2" t="inlineStr">
        <is>
          <t>CMP-CNY25</t>
        </is>
      </c>
      <c r="H48" s="2" t="inlineStr">
        <is>
          <t>CNY</t>
        </is>
      </c>
      <c r="I48" s="7" t="n">
        <v>83000</v>
      </c>
      <c r="J48" s="2" t="inlineStr">
        <is>
          <t>E105</t>
        </is>
      </c>
      <c r="K48" s="2" t="inlineStr">
        <is>
          <t>Completed</t>
        </is>
      </c>
    </row>
    <row r="49">
      <c r="A49" s="2" t="inlineStr">
        <is>
          <t>T00048</t>
        </is>
      </c>
      <c r="B49" s="3" t="n">
        <v>45678.49305555555</v>
      </c>
      <c r="C49" s="2" t="inlineStr">
        <is>
          <t>B02</t>
        </is>
      </c>
      <c r="D49" s="2" t="inlineStr">
        <is>
          <t>P08</t>
        </is>
      </c>
      <c r="E49" s="4" t="n">
        <v>3207719945</v>
      </c>
      <c r="F49" s="2" t="inlineStr">
        <is>
          <t>Mobile App</t>
        </is>
      </c>
      <c r="G49" s="2" t="n"/>
      <c r="H49" s="2" t="inlineStr">
        <is>
          <t>USD</t>
        </is>
      </c>
      <c r="I49" s="7" t="n">
        <v>100000</v>
      </c>
      <c r="J49" s="2" t="n"/>
      <c r="K49" s="2" t="inlineStr">
        <is>
          <t>Completed</t>
        </is>
      </c>
    </row>
    <row r="50">
      <c r="A50" s="2" t="inlineStr">
        <is>
          <t>T00049</t>
        </is>
      </c>
      <c r="B50" s="3" t="n">
        <v>45678.51041666666</v>
      </c>
      <c r="C50" s="2" t="inlineStr">
        <is>
          <t>B03</t>
        </is>
      </c>
      <c r="D50" s="2" t="inlineStr">
        <is>
          <t>P07</t>
        </is>
      </c>
      <c r="E50" s="4" t="n">
        <v>7667641457</v>
      </c>
      <c r="F50" s="2" t="inlineStr">
        <is>
          <t>Branch</t>
        </is>
      </c>
      <c r="G50" s="2" t="inlineStr">
        <is>
          <t>CMP-CNY25</t>
        </is>
      </c>
      <c r="H50" s="2" t="inlineStr">
        <is>
          <t>USD</t>
        </is>
      </c>
      <c r="I50" s="7" t="n">
        <v>43000</v>
      </c>
      <c r="J50" s="2" t="inlineStr">
        <is>
          <t>e102</t>
        </is>
      </c>
      <c r="K50" s="2" t="inlineStr">
        <is>
          <t>Completed</t>
        </is>
      </c>
    </row>
    <row r="51">
      <c r="A51" s="2" t="inlineStr">
        <is>
          <t>T00050</t>
        </is>
      </c>
      <c r="B51" s="3" t="n">
        <v>45678.52777777778</v>
      </c>
      <c r="C51" s="2" t="inlineStr">
        <is>
          <t>B01</t>
        </is>
      </c>
      <c r="D51" s="2" t="inlineStr">
        <is>
          <t>P07</t>
        </is>
      </c>
      <c r="E51" s="4" t="n">
        <v>1345733448</v>
      </c>
      <c r="F51" s="2" t="inlineStr">
        <is>
          <t>Phone Banking</t>
        </is>
      </c>
      <c r="G51" s="2" t="inlineStr">
        <is>
          <t>CMP-CNY25</t>
        </is>
      </c>
      <c r="H51" s="2" t="inlineStr">
        <is>
          <t>USD</t>
        </is>
      </c>
      <c r="I51" s="7" t="n">
        <v>310000</v>
      </c>
      <c r="J51" s="2" t="inlineStr">
        <is>
          <t>E102</t>
        </is>
      </c>
      <c r="K51" s="2" t="inlineStr">
        <is>
          <t>Completed</t>
        </is>
      </c>
    </row>
    <row r="52">
      <c r="A52" s="2" t="inlineStr">
        <is>
          <t>T00051</t>
        </is>
      </c>
      <c r="B52" s="3" t="n">
        <v>45678.57638888889</v>
      </c>
      <c r="C52" s="2" t="inlineStr">
        <is>
          <t>B02</t>
        </is>
      </c>
      <c r="D52" s="2" t="inlineStr">
        <is>
          <t>P01</t>
        </is>
      </c>
      <c r="E52" s="4" t="n">
        <v>4085391267</v>
      </c>
      <c r="F52" s="2" t="inlineStr">
        <is>
          <t>Branch</t>
        </is>
      </c>
      <c r="G52" s="2" t="inlineStr">
        <is>
          <t>CMP-CNY25</t>
        </is>
      </c>
      <c r="H52" s="2" t="inlineStr">
        <is>
          <t>USD</t>
        </is>
      </c>
      <c r="I52" s="7" t="n">
        <v>159000</v>
      </c>
      <c r="J52" s="2" t="inlineStr">
        <is>
          <t>E104</t>
        </is>
      </c>
      <c r="K52" s="2" t="inlineStr">
        <is>
          <t>Completed</t>
        </is>
      </c>
    </row>
    <row r="53">
      <c r="A53" s="2" t="inlineStr">
        <is>
          <t>T00052</t>
        </is>
      </c>
      <c r="B53" s="3" t="n">
        <v>45678.64930555555</v>
      </c>
      <c r="C53" s="2" t="inlineStr">
        <is>
          <t>B03</t>
        </is>
      </c>
      <c r="D53" s="2" t="inlineStr">
        <is>
          <t>P02</t>
        </is>
      </c>
      <c r="E53" s="4" t="n">
        <v>1777759401</v>
      </c>
      <c r="F53" s="2" t="inlineStr">
        <is>
          <t>Phone Banking</t>
        </is>
      </c>
      <c r="G53" s="2" t="inlineStr">
        <is>
          <t>CMP-CNY25</t>
        </is>
      </c>
      <c r="H53" s="2" t="inlineStr">
        <is>
          <t>USD</t>
        </is>
      </c>
      <c r="I53" s="7" t="n">
        <v>18000</v>
      </c>
      <c r="J53" s="2" t="inlineStr">
        <is>
          <t>E109</t>
        </is>
      </c>
      <c r="K53" s="2" t="inlineStr">
        <is>
          <t>Cancelled</t>
        </is>
      </c>
    </row>
    <row r="54">
      <c r="A54" s="2" t="inlineStr">
        <is>
          <t>T00053</t>
        </is>
      </c>
      <c r="B54" s="3" t="n">
        <v>45678.65625</v>
      </c>
      <c r="C54" s="2" t="inlineStr">
        <is>
          <t>B02</t>
        </is>
      </c>
      <c r="D54" s="2" t="inlineStr">
        <is>
          <t>P06</t>
        </is>
      </c>
      <c r="E54" s="4" t="n">
        <v>4085391267</v>
      </c>
      <c r="F54" s="2" t="inlineStr">
        <is>
          <t>Branch</t>
        </is>
      </c>
      <c r="G54" s="2" t="n"/>
      <c r="H54" s="2" t="inlineStr">
        <is>
          <t>HKD</t>
        </is>
      </c>
      <c r="I54" s="7" t="n">
        <v>655000</v>
      </c>
      <c r="J54" s="2" t="inlineStr">
        <is>
          <t>E104</t>
        </is>
      </c>
      <c r="K54" s="2" t="inlineStr">
        <is>
          <t>Completed</t>
        </is>
      </c>
    </row>
    <row r="55">
      <c r="A55" s="2" t="inlineStr">
        <is>
          <t>T00054</t>
        </is>
      </c>
      <c r="B55" s="3" t="n">
        <v>45678.67361111111</v>
      </c>
      <c r="C55" s="2" t="inlineStr">
        <is>
          <t>B02</t>
        </is>
      </c>
      <c r="D55" s="2" t="inlineStr">
        <is>
          <t>P06</t>
        </is>
      </c>
      <c r="E55" s="4" t="inlineStr">
        <is>
          <t>0044509861</t>
        </is>
      </c>
      <c r="F55" s="2" t="inlineStr">
        <is>
          <t>Branch</t>
        </is>
      </c>
      <c r="G55" s="2" t="inlineStr">
        <is>
          <t>CMP-CNY25</t>
        </is>
      </c>
      <c r="H55" s="2" t="inlineStr">
        <is>
          <t>CNY</t>
        </is>
      </c>
      <c r="I55" s="7" t="n">
        <v>6468000</v>
      </c>
      <c r="J55" s="2" t="inlineStr">
        <is>
          <t>E104</t>
        </is>
      </c>
      <c r="K55" s="2" t="inlineStr">
        <is>
          <t>Completed</t>
        </is>
      </c>
    </row>
    <row r="56">
      <c r="A56" s="2" t="inlineStr">
        <is>
          <t>T00055</t>
        </is>
      </c>
      <c r="B56" s="3" t="n">
        <v>45679.51388888889</v>
      </c>
      <c r="C56" s="2" t="inlineStr">
        <is>
          <t>B02</t>
        </is>
      </c>
      <c r="D56" s="2" t="inlineStr">
        <is>
          <t>P07</t>
        </is>
      </c>
      <c r="E56" s="4" t="n">
        <v>8355315526</v>
      </c>
      <c r="F56" s="2" t="inlineStr">
        <is>
          <t>Phone Banking</t>
        </is>
      </c>
      <c r="G56" s="2" t="n"/>
      <c r="H56" s="2" t="inlineStr">
        <is>
          <t>USD</t>
        </is>
      </c>
      <c r="I56" s="7" t="n">
        <v>173000</v>
      </c>
      <c r="J56" s="2" t="inlineStr">
        <is>
          <t>E104</t>
        </is>
      </c>
      <c r="K56" s="2" t="inlineStr">
        <is>
          <t>Completed</t>
        </is>
      </c>
    </row>
    <row r="57">
      <c r="A57" s="2" t="inlineStr">
        <is>
          <t>T00056</t>
        </is>
      </c>
      <c r="B57" s="3" t="n">
        <v>45679.51736111111</v>
      </c>
      <c r="C57" s="2" t="inlineStr">
        <is>
          <t>B02</t>
        </is>
      </c>
      <c r="D57" s="2" t="inlineStr">
        <is>
          <t>P06</t>
        </is>
      </c>
      <c r="E57" s="4" t="n">
        <v>4085391267</v>
      </c>
      <c r="F57" s="2" t="inlineStr">
        <is>
          <t>Phone Banking</t>
        </is>
      </c>
      <c r="G57" s="2" t="inlineStr">
        <is>
          <t>CMP-CNY25</t>
        </is>
      </c>
      <c r="H57" s="2" t="inlineStr">
        <is>
          <t>HKD</t>
        </is>
      </c>
      <c r="I57" s="7" t="n">
        <v>3557000</v>
      </c>
      <c r="J57" s="2" t="inlineStr">
        <is>
          <t>E140</t>
        </is>
      </c>
      <c r="K57" s="2" t="inlineStr">
        <is>
          <t>Completed</t>
        </is>
      </c>
    </row>
    <row r="58">
      <c r="A58" s="2" t="inlineStr">
        <is>
          <t>T00057</t>
        </is>
      </c>
      <c r="B58" s="3" t="n">
        <v>45679.64236111111</v>
      </c>
      <c r="C58" s="2" t="inlineStr">
        <is>
          <t>B01</t>
        </is>
      </c>
      <c r="D58" s="2" t="inlineStr">
        <is>
          <t>P07</t>
        </is>
      </c>
      <c r="E58" s="4" t="n">
        <v>71204459</v>
      </c>
      <c r="F58" s="2" t="inlineStr">
        <is>
          <t>Branch</t>
        </is>
      </c>
      <c r="G58" s="2" t="n"/>
      <c r="H58" s="2" t="inlineStr">
        <is>
          <t>USD</t>
        </is>
      </c>
      <c r="I58" s="7" t="n">
        <v>431000</v>
      </c>
      <c r="J58" s="2" t="inlineStr">
        <is>
          <t>E111</t>
        </is>
      </c>
      <c r="K58" s="2" t="inlineStr">
        <is>
          <t>Completed</t>
        </is>
      </c>
    </row>
    <row r="59">
      <c r="A59" s="2" t="inlineStr">
        <is>
          <t>T00058</t>
        </is>
      </c>
      <c r="B59" s="3" t="n">
        <v>45680.50694444445</v>
      </c>
      <c r="C59" s="2" t="inlineStr">
        <is>
          <t>B02</t>
        </is>
      </c>
      <c r="D59" s="2" t="inlineStr">
        <is>
          <t>P06</t>
        </is>
      </c>
      <c r="E59" s="4" t="n">
        <v>2277513075</v>
      </c>
      <c r="F59" s="2" t="inlineStr">
        <is>
          <t>Phone Banking</t>
        </is>
      </c>
      <c r="G59" s="2" t="inlineStr">
        <is>
          <t>CMP-CNY25</t>
        </is>
      </c>
      <c r="H59" s="2" t="inlineStr">
        <is>
          <t>HKD</t>
        </is>
      </c>
      <c r="I59" s="7" t="n">
        <v>1856000</v>
      </c>
      <c r="J59" s="2" t="inlineStr">
        <is>
          <t>E1O3</t>
        </is>
      </c>
      <c r="K59" s="2" t="inlineStr">
        <is>
          <t>Completed</t>
        </is>
      </c>
    </row>
    <row r="60">
      <c r="A60" s="2" t="inlineStr">
        <is>
          <t>T00059</t>
        </is>
      </c>
      <c r="B60" s="3" t="n">
        <v>45680.55555555555</v>
      </c>
      <c r="C60" s="2" t="inlineStr">
        <is>
          <t>B02</t>
        </is>
      </c>
      <c r="D60" s="2" t="inlineStr">
        <is>
          <t>P06</t>
        </is>
      </c>
      <c r="E60" s="4" t="n">
        <v>9448071998</v>
      </c>
      <c r="F60" s="2" t="inlineStr">
        <is>
          <t>Mobile App</t>
        </is>
      </c>
      <c r="G60" s="2" t="inlineStr">
        <is>
          <t>CMP-CNY25</t>
        </is>
      </c>
      <c r="H60" s="2" t="inlineStr">
        <is>
          <t>USD</t>
        </is>
      </c>
      <c r="I60" s="7" t="n">
        <v>108000</v>
      </c>
      <c r="J60" s="2" t="n"/>
      <c r="K60" s="2" t="inlineStr">
        <is>
          <t>Completed</t>
        </is>
      </c>
    </row>
    <row r="61">
      <c r="A61" s="2" t="inlineStr">
        <is>
          <t>T00060</t>
        </is>
      </c>
      <c r="B61" s="3" t="n">
        <v>45680.67708333334</v>
      </c>
      <c r="C61" s="2" t="inlineStr">
        <is>
          <t>B01</t>
        </is>
      </c>
      <c r="D61" s="2" t="inlineStr">
        <is>
          <t>P01</t>
        </is>
      </c>
      <c r="E61" s="4" t="n">
        <v>3179016710</v>
      </c>
      <c r="F61" s="2" t="inlineStr">
        <is>
          <t>Mobile App</t>
        </is>
      </c>
      <c r="G61" s="2" t="inlineStr">
        <is>
          <t>CMP-CNY25</t>
        </is>
      </c>
      <c r="H61" s="2" t="inlineStr">
        <is>
          <t>CNY</t>
        </is>
      </c>
      <c r="I61" s="7" t="n">
        <v>128000</v>
      </c>
      <c r="J61" s="2" t="n"/>
      <c r="K61" s="2" t="inlineStr">
        <is>
          <t>Completed</t>
        </is>
      </c>
    </row>
    <row r="62">
      <c r="A62" s="2" t="inlineStr">
        <is>
          <t>T00061</t>
        </is>
      </c>
      <c r="B62" s="3" t="n">
        <v>45680.72222222222</v>
      </c>
      <c r="C62" s="2" t="inlineStr">
        <is>
          <t>B01</t>
        </is>
      </c>
      <c r="D62" s="2" t="inlineStr">
        <is>
          <t>P03</t>
        </is>
      </c>
      <c r="E62" s="4" t="n">
        <v>3694833017</v>
      </c>
      <c r="F62" s="2" t="inlineStr">
        <is>
          <t>Branch</t>
        </is>
      </c>
      <c r="G62" s="2" t="inlineStr">
        <is>
          <t>CMP-CNY25</t>
        </is>
      </c>
      <c r="H62" s="2" t="inlineStr">
        <is>
          <t>HKD</t>
        </is>
      </c>
      <c r="I62" s="7" t="n">
        <v>320000</v>
      </c>
      <c r="J62" s="2" t="inlineStr">
        <is>
          <t>E108</t>
        </is>
      </c>
      <c r="K62" s="2" t="inlineStr">
        <is>
          <t>Completed</t>
        </is>
      </c>
    </row>
    <row r="63">
      <c r="A63" s="2" t="inlineStr">
        <is>
          <t>T00062</t>
        </is>
      </c>
      <c r="B63" s="3" t="n">
        <v>45681.37847222222</v>
      </c>
      <c r="C63" s="2" t="inlineStr">
        <is>
          <t>B02</t>
        </is>
      </c>
      <c r="D63" s="2" t="inlineStr">
        <is>
          <t>P03</t>
        </is>
      </c>
      <c r="E63" s="4" t="n">
        <v>9448071998</v>
      </c>
      <c r="F63" s="2" t="inlineStr">
        <is>
          <t>Branch</t>
        </is>
      </c>
      <c r="G63" s="2" t="n"/>
      <c r="H63" s="2" t="inlineStr">
        <is>
          <t>USD</t>
        </is>
      </c>
      <c r="I63" s="7" t="n">
        <v>25000</v>
      </c>
      <c r="J63" s="2" t="inlineStr">
        <is>
          <t>e103</t>
        </is>
      </c>
      <c r="K63" s="2" t="inlineStr">
        <is>
          <t>Completed</t>
        </is>
      </c>
    </row>
    <row r="64">
      <c r="A64" s="2" t="inlineStr">
        <is>
          <t>T00063</t>
        </is>
      </c>
      <c r="B64" s="3" t="n">
        <v>45681.39236111111</v>
      </c>
      <c r="C64" s="2" t="inlineStr">
        <is>
          <t>B01</t>
        </is>
      </c>
      <c r="D64" s="2" t="inlineStr">
        <is>
          <t>P02</t>
        </is>
      </c>
      <c r="E64" s="4" t="inlineStr">
        <is>
          <t>0032025226</t>
        </is>
      </c>
      <c r="F64" s="2" t="inlineStr">
        <is>
          <t>Mobile App</t>
        </is>
      </c>
      <c r="G64" s="2" t="inlineStr">
        <is>
          <t>CMP-CNY25</t>
        </is>
      </c>
      <c r="H64" s="2" t="inlineStr">
        <is>
          <t>HKD</t>
        </is>
      </c>
      <c r="I64" s="7" t="n">
        <v>78000</v>
      </c>
      <c r="J64" s="2" t="n"/>
      <c r="K64" s="2" t="inlineStr">
        <is>
          <t>Completed</t>
        </is>
      </c>
    </row>
    <row r="65">
      <c r="A65" s="2" t="inlineStr">
        <is>
          <t>T00064</t>
        </is>
      </c>
      <c r="B65" s="3" t="n">
        <v>45681.39930555555</v>
      </c>
      <c r="C65" s="2" t="inlineStr">
        <is>
          <t>B01</t>
        </is>
      </c>
      <c r="D65" s="2" t="inlineStr">
        <is>
          <t>P01</t>
        </is>
      </c>
      <c r="E65" s="4" t="n">
        <v>5910720333</v>
      </c>
      <c r="F65" s="2" t="inlineStr">
        <is>
          <t>Phone Banking</t>
        </is>
      </c>
      <c r="G65" s="2" t="inlineStr">
        <is>
          <t>CMP-CNY25</t>
        </is>
      </c>
      <c r="H65" s="2" t="inlineStr">
        <is>
          <t>USD</t>
        </is>
      </c>
      <c r="I65" s="7" t="n">
        <v>84000</v>
      </c>
      <c r="J65" s="2" t="inlineStr">
        <is>
          <t>E108</t>
        </is>
      </c>
      <c r="K65" s="2" t="inlineStr">
        <is>
          <t>Completed</t>
        </is>
      </c>
    </row>
    <row r="66">
      <c r="A66" s="2" t="inlineStr">
        <is>
          <t>T00065</t>
        </is>
      </c>
      <c r="B66" s="3" t="n">
        <v>45681.57291666666</v>
      </c>
      <c r="C66" s="2" t="inlineStr">
        <is>
          <t>B03</t>
        </is>
      </c>
      <c r="D66" s="2" t="inlineStr">
        <is>
          <t>P03</t>
        </is>
      </c>
      <c r="E66" s="4" t="n">
        <v>8585205808</v>
      </c>
      <c r="F66" s="2" t="inlineStr">
        <is>
          <t>Mobile App</t>
        </is>
      </c>
      <c r="G66" s="2" t="inlineStr">
        <is>
          <t>CMP-CNY25</t>
        </is>
      </c>
      <c r="H66" s="2" t="inlineStr">
        <is>
          <t>USD</t>
        </is>
      </c>
      <c r="I66" s="7" t="n">
        <v>11000</v>
      </c>
      <c r="J66" s="2" t="inlineStr">
        <is>
          <t>E109</t>
        </is>
      </c>
      <c r="K66" s="2" t="inlineStr">
        <is>
          <t>Completed</t>
        </is>
      </c>
    </row>
    <row r="67">
      <c r="A67" s="2" t="inlineStr">
        <is>
          <t>T00066</t>
        </is>
      </c>
      <c r="B67" s="3" t="n">
        <v>45681.67708333334</v>
      </c>
      <c r="C67" s="2" t="inlineStr">
        <is>
          <t>B01</t>
        </is>
      </c>
      <c r="D67" s="2" t="inlineStr">
        <is>
          <t>P08</t>
        </is>
      </c>
      <c r="E67" s="4" t="n">
        <v>3179016710</v>
      </c>
      <c r="F67" s="2" t="inlineStr">
        <is>
          <t>Phone Banking</t>
        </is>
      </c>
      <c r="G67" s="2" t="inlineStr">
        <is>
          <t>CMP-CNY25</t>
        </is>
      </c>
      <c r="H67" s="2" t="inlineStr">
        <is>
          <t>USD</t>
        </is>
      </c>
      <c r="I67" s="7" t="n">
        <v>40000</v>
      </c>
      <c r="J67" s="2" t="inlineStr">
        <is>
          <t>E101</t>
        </is>
      </c>
      <c r="K67" s="2" t="inlineStr">
        <is>
          <t>Completed</t>
        </is>
      </c>
    </row>
    <row r="68">
      <c r="A68" s="2" t="inlineStr">
        <is>
          <t>T00067</t>
        </is>
      </c>
      <c r="B68" s="3" t="n">
        <v>45681.68055555555</v>
      </c>
      <c r="C68" s="2" t="inlineStr">
        <is>
          <t>B01</t>
        </is>
      </c>
      <c r="D68" s="2" t="inlineStr">
        <is>
          <t>P02</t>
        </is>
      </c>
      <c r="E68" s="4" t="n">
        <v>98231104</v>
      </c>
      <c r="F68" s="2" t="inlineStr">
        <is>
          <t>Phone Banking</t>
        </is>
      </c>
      <c r="G68" s="2" t="inlineStr">
        <is>
          <t>CMP-CNY25</t>
        </is>
      </c>
      <c r="H68" s="2" t="inlineStr">
        <is>
          <t>USD</t>
        </is>
      </c>
      <c r="I68" s="7" t="n">
        <v>18000</v>
      </c>
      <c r="J68" s="2" t="inlineStr">
        <is>
          <t>E102</t>
        </is>
      </c>
      <c r="K68" s="2" t="inlineStr">
        <is>
          <t>Completed</t>
        </is>
      </c>
    </row>
    <row r="69">
      <c r="A69" s="2" t="inlineStr">
        <is>
          <t>T00068</t>
        </is>
      </c>
      <c r="B69" s="3" t="n">
        <v>45682.87152777778</v>
      </c>
      <c r="C69" s="2" t="inlineStr">
        <is>
          <t>B02</t>
        </is>
      </c>
      <c r="D69" s="2" t="inlineStr">
        <is>
          <t>P06</t>
        </is>
      </c>
      <c r="E69" s="4" t="inlineStr">
        <is>
          <t>0057825472</t>
        </is>
      </c>
      <c r="F69" s="2" t="inlineStr">
        <is>
          <t>Mobile App</t>
        </is>
      </c>
      <c r="G69" s="2" t="n"/>
      <c r="H69" s="2" t="inlineStr">
        <is>
          <t>USD</t>
        </is>
      </c>
      <c r="I69" s="7" t="n">
        <v>67000</v>
      </c>
      <c r="J69" s="2" t="n"/>
      <c r="K69" s="2" t="inlineStr">
        <is>
          <t>Completed</t>
        </is>
      </c>
    </row>
    <row r="70">
      <c r="A70" s="2" t="inlineStr">
        <is>
          <t>T00069</t>
        </is>
      </c>
      <c r="B70" s="3" t="n">
        <v>45684.41319444445</v>
      </c>
      <c r="C70" s="2" t="inlineStr">
        <is>
          <t>B03</t>
        </is>
      </c>
      <c r="D70" s="2" t="inlineStr">
        <is>
          <t>P02</t>
        </is>
      </c>
      <c r="E70" s="4" t="n">
        <v>8383656346</v>
      </c>
      <c r="F70" s="2" t="inlineStr">
        <is>
          <t>Phone Banking</t>
        </is>
      </c>
      <c r="G70" s="2" t="n"/>
      <c r="H70" s="2" t="inlineStr">
        <is>
          <t>USD</t>
        </is>
      </c>
      <c r="I70" s="7" t="n">
        <v>18000</v>
      </c>
      <c r="J70" s="2" t="inlineStr">
        <is>
          <t>E105</t>
        </is>
      </c>
      <c r="K70" s="2" t="inlineStr">
        <is>
          <t>Completed</t>
        </is>
      </c>
    </row>
    <row r="71">
      <c r="A71" s="2" t="inlineStr">
        <is>
          <t>T00070</t>
        </is>
      </c>
      <c r="B71" s="3" t="n">
        <v>45684.63888888889</v>
      </c>
      <c r="C71" s="2" t="inlineStr">
        <is>
          <t>B01</t>
        </is>
      </c>
      <c r="D71" s="2" t="inlineStr">
        <is>
          <t>P07</t>
        </is>
      </c>
      <c r="E71" s="4" t="n">
        <v>4100023781</v>
      </c>
      <c r="F71" s="2" t="inlineStr">
        <is>
          <t>Phone Banking</t>
        </is>
      </c>
      <c r="G71" s="2" t="n"/>
      <c r="H71" s="2" t="inlineStr">
        <is>
          <t>USD</t>
        </is>
      </c>
      <c r="I71" s="7" t="n">
        <v>107000</v>
      </c>
      <c r="J71" s="2" t="inlineStr">
        <is>
          <t>E108</t>
        </is>
      </c>
      <c r="K71" s="2" t="inlineStr">
        <is>
          <t>Completed</t>
        </is>
      </c>
    </row>
    <row r="72">
      <c r="A72" s="2" t="inlineStr">
        <is>
          <t>T00071</t>
        </is>
      </c>
      <c r="B72" s="3" t="n">
        <v>45684.72569444445</v>
      </c>
      <c r="C72" s="2" t="inlineStr">
        <is>
          <t>B01</t>
        </is>
      </c>
      <c r="D72" s="2" t="inlineStr">
        <is>
          <t>P01</t>
        </is>
      </c>
      <c r="E72" s="4" t="n">
        <v>5185642036</v>
      </c>
      <c r="F72" s="2" t="inlineStr">
        <is>
          <t>Branch</t>
        </is>
      </c>
      <c r="G72" s="2" t="n"/>
      <c r="H72" s="2" t="inlineStr">
        <is>
          <t>USD</t>
        </is>
      </c>
      <c r="I72" s="7" t="n">
        <v>78000</v>
      </c>
      <c r="J72" s="2" t="inlineStr">
        <is>
          <t>E108</t>
        </is>
      </c>
      <c r="K72" s="2" t="inlineStr">
        <is>
          <t>Completed</t>
        </is>
      </c>
    </row>
    <row r="73">
      <c r="A73" s="2" t="inlineStr">
        <is>
          <t>T00072</t>
        </is>
      </c>
      <c r="B73" s="3" t="n">
        <v>45684.76041666666</v>
      </c>
      <c r="C73" s="2" t="inlineStr">
        <is>
          <t>B03</t>
        </is>
      </c>
      <c r="D73" s="2" t="inlineStr">
        <is>
          <t>P07</t>
        </is>
      </c>
      <c r="E73" s="4" t="n">
        <v>5512098834</v>
      </c>
      <c r="F73" s="2" t="inlineStr">
        <is>
          <t>Mobile App</t>
        </is>
      </c>
      <c r="G73" s="2" t="inlineStr">
        <is>
          <t>CMP-CNY25</t>
        </is>
      </c>
      <c r="H73" s="2" t="inlineStr">
        <is>
          <t>HKD</t>
        </is>
      </c>
      <c r="I73" s="7" t="n">
        <v>593000</v>
      </c>
      <c r="J73" s="2" t="n"/>
      <c r="K73" s="2" t="inlineStr">
        <is>
          <t>Completed</t>
        </is>
      </c>
    </row>
    <row r="74">
      <c r="A74" s="2" t="inlineStr">
        <is>
          <t>T00073</t>
        </is>
      </c>
      <c r="B74" s="3" t="n">
        <v>45684.8125</v>
      </c>
      <c r="C74" s="2" t="inlineStr">
        <is>
          <t>B01</t>
        </is>
      </c>
      <c r="D74" s="2" t="inlineStr">
        <is>
          <t>P06</t>
        </is>
      </c>
      <c r="E74" s="4" t="n">
        <v>7186063045</v>
      </c>
      <c r="F74" s="2" t="inlineStr">
        <is>
          <t>Mobile App</t>
        </is>
      </c>
      <c r="G74" s="2" t="n"/>
      <c r="H74" s="2" t="inlineStr">
        <is>
          <t>HKD</t>
        </is>
      </c>
      <c r="I74" s="7" t="n">
        <v>2816000</v>
      </c>
      <c r="J74" s="2" t="n"/>
      <c r="K74" s="2" t="inlineStr">
        <is>
          <t>Completed</t>
        </is>
      </c>
    </row>
    <row r="75">
      <c r="A75" s="2" t="inlineStr">
        <is>
          <t>T00074</t>
        </is>
      </c>
      <c r="B75" s="3" t="n">
        <v>45685.48611111111</v>
      </c>
      <c r="C75" s="2" t="inlineStr">
        <is>
          <t>B03</t>
        </is>
      </c>
      <c r="D75" s="2" t="inlineStr">
        <is>
          <t>P07</t>
        </is>
      </c>
      <c r="E75" s="4" t="n">
        <v>5505973626</v>
      </c>
      <c r="F75" s="2" t="inlineStr">
        <is>
          <t>Branch</t>
        </is>
      </c>
      <c r="G75" s="2" t="inlineStr">
        <is>
          <t>CMP-CNY25</t>
        </is>
      </c>
      <c r="H75" s="2" t="inlineStr">
        <is>
          <t>USD</t>
        </is>
      </c>
      <c r="I75" s="7" t="n">
        <v>97000</v>
      </c>
      <c r="J75" s="2" t="inlineStr">
        <is>
          <t>E109</t>
        </is>
      </c>
      <c r="K75" s="2" t="inlineStr">
        <is>
          <t>Completed</t>
        </is>
      </c>
    </row>
    <row r="76">
      <c r="A76" s="2" t="inlineStr">
        <is>
          <t>T00075</t>
        </is>
      </c>
      <c r="B76" s="3" t="n">
        <v>45685.55902777778</v>
      </c>
      <c r="C76" s="2" t="inlineStr">
        <is>
          <t>B03</t>
        </is>
      </c>
      <c r="D76" s="2" t="inlineStr">
        <is>
          <t>P07</t>
        </is>
      </c>
      <c r="E76" s="4" t="n">
        <v>8585205808</v>
      </c>
      <c r="F76" s="2" t="inlineStr">
        <is>
          <t>Mobile App</t>
        </is>
      </c>
      <c r="G76" s="2" t="inlineStr">
        <is>
          <t>CMP-CNY25</t>
        </is>
      </c>
      <c r="H76" s="2" t="inlineStr">
        <is>
          <t>HKD</t>
        </is>
      </c>
      <c r="I76" s="7" t="n">
        <v>554000</v>
      </c>
      <c r="J76" s="2" t="inlineStr">
        <is>
          <t>E105</t>
        </is>
      </c>
      <c r="K76" s="2" t="inlineStr">
        <is>
          <t>Completed</t>
        </is>
      </c>
    </row>
    <row r="77">
      <c r="A77" s="2" t="inlineStr">
        <is>
          <t>T00076</t>
        </is>
      </c>
      <c r="B77" s="3" t="n">
        <v>45685.71180555555</v>
      </c>
      <c r="C77" s="2" t="inlineStr">
        <is>
          <t>B02</t>
        </is>
      </c>
      <c r="D77" s="2" t="inlineStr">
        <is>
          <t>P04</t>
        </is>
      </c>
      <c r="E77" s="4" t="n">
        <v>2277513075</v>
      </c>
      <c r="F77" s="2" t="inlineStr">
        <is>
          <t>Branch</t>
        </is>
      </c>
      <c r="G77" s="2" t="n"/>
      <c r="H77" s="2" t="inlineStr">
        <is>
          <t>USD</t>
        </is>
      </c>
      <c r="I77" s="7" t="n">
        <v>82000</v>
      </c>
      <c r="J77" s="2" t="inlineStr">
        <is>
          <t>E103</t>
        </is>
      </c>
      <c r="K77" s="2" t="inlineStr">
        <is>
          <t>Completed</t>
        </is>
      </c>
    </row>
    <row r="78">
      <c r="A78" s="2" t="inlineStr">
        <is>
          <t>T00077</t>
        </is>
      </c>
      <c r="B78" s="3" t="n">
        <v>45686.41319444445</v>
      </c>
      <c r="C78" s="2" t="inlineStr">
        <is>
          <t>B02</t>
        </is>
      </c>
      <c r="D78" s="2" t="inlineStr">
        <is>
          <t>P07</t>
        </is>
      </c>
      <c r="E78" s="4" t="inlineStr">
        <is>
          <t>0044509861</t>
        </is>
      </c>
      <c r="F78" s="2" t="inlineStr">
        <is>
          <t>Branch</t>
        </is>
      </c>
      <c r="G78" s="2" t="inlineStr">
        <is>
          <t>CMP-CNY25</t>
        </is>
      </c>
      <c r="H78" s="2" t="inlineStr">
        <is>
          <t>USD</t>
        </is>
      </c>
      <c r="I78" s="7" t="n">
        <v>481000</v>
      </c>
      <c r="J78" s="2" t="inlineStr">
        <is>
          <t>E104</t>
        </is>
      </c>
      <c r="K78" s="2" t="inlineStr">
        <is>
          <t>Completed</t>
        </is>
      </c>
    </row>
    <row r="79">
      <c r="A79" s="2" t="inlineStr">
        <is>
          <t>T00078</t>
        </is>
      </c>
      <c r="B79" s="3" t="n">
        <v>45686.56944444445</v>
      </c>
      <c r="C79" s="2" t="inlineStr">
        <is>
          <t>B01</t>
        </is>
      </c>
      <c r="D79" s="2" t="inlineStr">
        <is>
          <t>P03</t>
        </is>
      </c>
      <c r="E79" s="4" t="n">
        <v>4100023781</v>
      </c>
      <c r="F79" s="2" t="inlineStr">
        <is>
          <t>Phone Banking</t>
        </is>
      </c>
      <c r="G79" s="2" t="inlineStr">
        <is>
          <t>CMP-CNY25</t>
        </is>
      </c>
      <c r="H79" s="2" t="inlineStr">
        <is>
          <t>HKD</t>
        </is>
      </c>
      <c r="I79" s="7" t="n">
        <v>780000</v>
      </c>
      <c r="J79" s="2" t="inlineStr">
        <is>
          <t>E101</t>
        </is>
      </c>
      <c r="K79" s="2" t="inlineStr">
        <is>
          <t>Completed</t>
        </is>
      </c>
    </row>
    <row r="80">
      <c r="A80" s="2" t="inlineStr">
        <is>
          <t>T00079</t>
        </is>
      </c>
      <c r="B80" s="3" t="n">
        <v>45686.68055555555</v>
      </c>
      <c r="C80" s="2" t="inlineStr">
        <is>
          <t>B03</t>
        </is>
      </c>
      <c r="D80" s="2" t="inlineStr">
        <is>
          <t>P06</t>
        </is>
      </c>
      <c r="E80" s="4" t="inlineStr">
        <is>
          <t>0056294337</t>
        </is>
      </c>
      <c r="F80" s="2" t="inlineStr">
        <is>
          <t>Mobile App</t>
        </is>
      </c>
      <c r="G80" s="2" t="inlineStr">
        <is>
          <t>CMP-CNY25</t>
        </is>
      </c>
      <c r="H80" s="2" t="inlineStr">
        <is>
          <t>USD</t>
        </is>
      </c>
      <c r="I80" s="7" t="n">
        <v>246000</v>
      </c>
      <c r="J80" s="2" t="inlineStr">
        <is>
          <t>E103</t>
        </is>
      </c>
      <c r="K80" s="2" t="inlineStr">
        <is>
          <t>Cancelled</t>
        </is>
      </c>
    </row>
    <row r="81">
      <c r="A81" s="2" t="inlineStr">
        <is>
          <t>T00080</t>
        </is>
      </c>
      <c r="B81" s="3" t="n">
        <v>45686.71180555555</v>
      </c>
      <c r="C81" s="2" t="inlineStr">
        <is>
          <t>B01</t>
        </is>
      </c>
      <c r="D81" s="2" t="inlineStr">
        <is>
          <t>P02</t>
        </is>
      </c>
      <c r="E81" s="4" t="n">
        <v>2639172015</v>
      </c>
      <c r="F81" s="2" t="inlineStr">
        <is>
          <t>Branch</t>
        </is>
      </c>
      <c r="G81" s="2" t="inlineStr">
        <is>
          <t>CMP-CNY25</t>
        </is>
      </c>
      <c r="H81" s="2" t="inlineStr">
        <is>
          <t>USD</t>
        </is>
      </c>
      <c r="I81" s="7" t="n">
        <v>65000</v>
      </c>
      <c r="J81" s="2" t="inlineStr">
        <is>
          <t>E111</t>
        </is>
      </c>
      <c r="K81" s="2" t="inlineStr">
        <is>
          <t>Completed</t>
        </is>
      </c>
    </row>
    <row r="82">
      <c r="A82" s="2" t="inlineStr">
        <is>
          <t>T00081</t>
        </is>
      </c>
      <c r="B82" s="3" t="n">
        <v>45687.90277777778</v>
      </c>
      <c r="C82" s="2" t="inlineStr">
        <is>
          <t>B03</t>
        </is>
      </c>
      <c r="D82" s="2" t="inlineStr">
        <is>
          <t>P07</t>
        </is>
      </c>
      <c r="E82" s="4" t="n">
        <v>6429278715</v>
      </c>
      <c r="F82" s="2" t="inlineStr">
        <is>
          <t>Mobile App</t>
        </is>
      </c>
      <c r="G82" s="2" t="inlineStr">
        <is>
          <t>CMP-CNY25</t>
        </is>
      </c>
      <c r="H82" s="2" t="inlineStr">
        <is>
          <t>USD</t>
        </is>
      </c>
      <c r="I82" s="7" t="n">
        <v>117000</v>
      </c>
      <c r="J82" s="2" t="n"/>
      <c r="K82" s="2" t="inlineStr">
        <is>
          <t>Completed</t>
        </is>
      </c>
    </row>
    <row r="83">
      <c r="A83" s="2" t="inlineStr">
        <is>
          <t>T00082</t>
        </is>
      </c>
      <c r="B83" s="3" t="n">
        <v>45688.4375</v>
      </c>
      <c r="C83" s="2" t="inlineStr">
        <is>
          <t>B03</t>
        </is>
      </c>
      <c r="D83" s="2" t="inlineStr">
        <is>
          <t>P04</t>
        </is>
      </c>
      <c r="E83" s="4" t="n">
        <v>8871289681</v>
      </c>
      <c r="F83" s="2" t="inlineStr">
        <is>
          <t>Mobile App</t>
        </is>
      </c>
      <c r="G83" s="2" t="n"/>
      <c r="H83" s="2" t="inlineStr">
        <is>
          <t>HKD</t>
        </is>
      </c>
      <c r="I83" s="7" t="n">
        <v>257000</v>
      </c>
      <c r="J83" s="2" t="n"/>
      <c r="K83" s="2" t="inlineStr">
        <is>
          <t>Completed</t>
        </is>
      </c>
    </row>
    <row r="84">
      <c r="A84" s="2" t="inlineStr">
        <is>
          <t>T00083</t>
        </is>
      </c>
      <c r="B84" s="3" t="n">
        <v>45688.53472222222</v>
      </c>
      <c r="C84" s="2" t="inlineStr">
        <is>
          <t>B02</t>
        </is>
      </c>
      <c r="D84" s="2" t="inlineStr">
        <is>
          <t>P08</t>
        </is>
      </c>
      <c r="E84" s="4" t="n">
        <v>2531925273</v>
      </c>
      <c r="F84" s="2" t="inlineStr">
        <is>
          <t>Branch</t>
        </is>
      </c>
      <c r="G84" s="2" t="inlineStr">
        <is>
          <t>CMP-CNY25</t>
        </is>
      </c>
      <c r="H84" s="2" t="inlineStr">
        <is>
          <t>USD</t>
        </is>
      </c>
      <c r="I84" s="7" t="n">
        <v>180000</v>
      </c>
      <c r="J84" s="2" t="inlineStr">
        <is>
          <t>E103</t>
        </is>
      </c>
      <c r="K84" s="2" t="inlineStr">
        <is>
          <t>Completed</t>
        </is>
      </c>
    </row>
    <row r="85">
      <c r="A85" s="2" t="inlineStr">
        <is>
          <t>T00084</t>
        </is>
      </c>
      <c r="B85" s="3" t="n">
        <v>45688.54861111111</v>
      </c>
      <c r="C85" s="2" t="inlineStr">
        <is>
          <t>B02</t>
        </is>
      </c>
      <c r="D85" s="2" t="inlineStr">
        <is>
          <t>P02</t>
        </is>
      </c>
      <c r="E85" s="4" t="inlineStr">
        <is>
          <t>0057619105</t>
        </is>
      </c>
      <c r="F85" s="2" t="inlineStr">
        <is>
          <t>Branch</t>
        </is>
      </c>
      <c r="G85" s="2" t="inlineStr">
        <is>
          <t>CMP-CNY25</t>
        </is>
      </c>
      <c r="H85" s="2" t="inlineStr">
        <is>
          <t>HKD</t>
        </is>
      </c>
      <c r="I85" s="7" t="n">
        <v>242000</v>
      </c>
      <c r="J85" s="2" t="inlineStr">
        <is>
          <t>E103</t>
        </is>
      </c>
      <c r="K85" s="2" t="inlineStr">
        <is>
          <t>Completed</t>
        </is>
      </c>
    </row>
    <row r="86">
      <c r="A86" s="2" t="inlineStr">
        <is>
          <t>T00085</t>
        </is>
      </c>
      <c r="B86" s="3" t="n">
        <v>45688.69791666666</v>
      </c>
      <c r="C86" s="2" t="inlineStr">
        <is>
          <t>B01</t>
        </is>
      </c>
      <c r="D86" s="2" t="inlineStr">
        <is>
          <t>P04</t>
        </is>
      </c>
      <c r="E86" s="4" t="n">
        <v>8964346572</v>
      </c>
      <c r="F86" s="2" t="inlineStr">
        <is>
          <t>Branch</t>
        </is>
      </c>
      <c r="G86" s="2" t="inlineStr">
        <is>
          <t>CMP-CNY25</t>
        </is>
      </c>
      <c r="H86" s="2" t="inlineStr">
        <is>
          <t>HKD</t>
        </is>
      </c>
      <c r="I86" s="7" t="n">
        <v>1131000</v>
      </c>
      <c r="J86" s="2" t="inlineStr">
        <is>
          <t>E102</t>
        </is>
      </c>
      <c r="K86" s="2" t="inlineStr">
        <is>
          <t>Completed</t>
        </is>
      </c>
    </row>
    <row r="87">
      <c r="A87" s="2" t="inlineStr">
        <is>
          <t>T00086</t>
        </is>
      </c>
      <c r="B87" s="3" t="n">
        <v>45691.29166666666</v>
      </c>
      <c r="C87" s="2" t="inlineStr">
        <is>
          <t>B03</t>
        </is>
      </c>
      <c r="D87" s="2" t="inlineStr">
        <is>
          <t>P06</t>
        </is>
      </c>
      <c r="E87" s="4" t="n">
        <v>8871289681</v>
      </c>
      <c r="F87" s="2" t="inlineStr">
        <is>
          <t>Mobile App</t>
        </is>
      </c>
      <c r="G87" s="2" t="inlineStr">
        <is>
          <t>CMP-CNY25</t>
        </is>
      </c>
      <c r="H87" s="2" t="inlineStr">
        <is>
          <t>CNY</t>
        </is>
      </c>
      <c r="I87" s="7" t="n">
        <v>1781000</v>
      </c>
      <c r="J87" s="2" t="n"/>
      <c r="K87" s="2" t="inlineStr">
        <is>
          <t>Completed</t>
        </is>
      </c>
    </row>
    <row r="88">
      <c r="A88" s="2" t="inlineStr">
        <is>
          <t>T00087</t>
        </is>
      </c>
      <c r="B88" s="3" t="n">
        <v>45691.40972222222</v>
      </c>
      <c r="C88" s="2" t="inlineStr">
        <is>
          <t>B03</t>
        </is>
      </c>
      <c r="D88" s="2" t="inlineStr">
        <is>
          <t>P06</t>
        </is>
      </c>
      <c r="E88" s="4" t="n">
        <v>5512098834</v>
      </c>
      <c r="F88" s="2" t="inlineStr">
        <is>
          <t>Mobile App</t>
        </is>
      </c>
      <c r="G88" s="2" t="inlineStr">
        <is>
          <t>CMP-CNY25</t>
        </is>
      </c>
      <c r="H88" s="2" t="inlineStr">
        <is>
          <t>HKD</t>
        </is>
      </c>
      <c r="I88" s="7" t="n">
        <v>120000</v>
      </c>
      <c r="J88" s="2" t="n"/>
      <c r="K88" s="2" t="inlineStr">
        <is>
          <t>Completed</t>
        </is>
      </c>
    </row>
    <row r="89">
      <c r="A89" s="2" t="inlineStr">
        <is>
          <t>T00088</t>
        </is>
      </c>
      <c r="B89" s="3" t="n">
        <v>45691.70833333334</v>
      </c>
      <c r="C89" s="2" t="inlineStr">
        <is>
          <t>B02</t>
        </is>
      </c>
      <c r="D89" s="2" t="inlineStr">
        <is>
          <t>P02</t>
        </is>
      </c>
      <c r="E89" s="4" t="inlineStr">
        <is>
          <t>0086890319</t>
        </is>
      </c>
      <c r="F89" s="2" t="inlineStr">
        <is>
          <t>Branch</t>
        </is>
      </c>
      <c r="G89" s="2" t="inlineStr">
        <is>
          <t>CMP-CNY25</t>
        </is>
      </c>
      <c r="H89" s="2" t="inlineStr">
        <is>
          <t>HKD</t>
        </is>
      </c>
      <c r="I89" s="7" t="n">
        <v>47000</v>
      </c>
      <c r="J89" s="2" t="inlineStr">
        <is>
          <t>E104</t>
        </is>
      </c>
      <c r="K89" s="2" t="inlineStr">
        <is>
          <t>Completed</t>
        </is>
      </c>
    </row>
    <row r="90">
      <c r="A90" s="2" t="inlineStr">
        <is>
          <t>T00089</t>
        </is>
      </c>
      <c r="B90" s="3" t="n">
        <v>45692.46527777778</v>
      </c>
      <c r="C90" s="2" t="inlineStr">
        <is>
          <t>B02</t>
        </is>
      </c>
      <c r="D90" s="2" t="inlineStr">
        <is>
          <t>P04</t>
        </is>
      </c>
      <c r="E90" s="4" t="n">
        <v>8523286479</v>
      </c>
      <c r="F90" s="2" t="inlineStr">
        <is>
          <t>Branch</t>
        </is>
      </c>
      <c r="G90" s="2" t="inlineStr">
        <is>
          <t>CMP-CNY25</t>
        </is>
      </c>
      <c r="H90" s="2" t="inlineStr">
        <is>
          <t>USD</t>
        </is>
      </c>
      <c r="I90" s="7" t="n">
        <v>145000</v>
      </c>
      <c r="J90" s="2" t="inlineStr">
        <is>
          <t>E103</t>
        </is>
      </c>
      <c r="K90" s="2" t="inlineStr">
        <is>
          <t>Completed</t>
        </is>
      </c>
    </row>
    <row r="91">
      <c r="A91" s="2" t="inlineStr">
        <is>
          <t>T00090</t>
        </is>
      </c>
      <c r="B91" s="3" t="n">
        <v>45692.51041666666</v>
      </c>
      <c r="C91" s="2" t="inlineStr">
        <is>
          <t>B02</t>
        </is>
      </c>
      <c r="D91" s="2" t="inlineStr">
        <is>
          <t>P08</t>
        </is>
      </c>
      <c r="E91" s="4" t="n">
        <v>8355315526</v>
      </c>
      <c r="F91" s="2" t="inlineStr">
        <is>
          <t>Branch</t>
        </is>
      </c>
      <c r="G91" s="2" t="inlineStr">
        <is>
          <t>CMP-CNY25</t>
        </is>
      </c>
      <c r="H91" s="2" t="inlineStr">
        <is>
          <t>USD</t>
        </is>
      </c>
      <c r="I91" s="7" t="n">
        <v>181000</v>
      </c>
      <c r="J91" s="2" t="inlineStr">
        <is>
          <t>E104</t>
        </is>
      </c>
      <c r="K91" s="2" t="inlineStr">
        <is>
          <t>Completed</t>
        </is>
      </c>
    </row>
    <row r="92">
      <c r="A92" s="2" t="inlineStr">
        <is>
          <t>T00091</t>
        </is>
      </c>
      <c r="B92" s="3" t="n">
        <v>45692.53125</v>
      </c>
      <c r="C92" s="2" t="inlineStr">
        <is>
          <t>B01</t>
        </is>
      </c>
      <c r="D92" s="2" t="inlineStr">
        <is>
          <t>P01</t>
        </is>
      </c>
      <c r="E92" s="4" t="n">
        <v>2639172015</v>
      </c>
      <c r="F92" s="2" t="inlineStr">
        <is>
          <t>Branch</t>
        </is>
      </c>
      <c r="G92" s="2" t="n"/>
      <c r="H92" s="2" t="inlineStr">
        <is>
          <t>HKD</t>
        </is>
      </c>
      <c r="I92" s="7" t="n">
        <v>1825000</v>
      </c>
      <c r="J92" s="2" t="inlineStr">
        <is>
          <t>E110</t>
        </is>
      </c>
      <c r="K92" s="2" t="inlineStr">
        <is>
          <t>Completed</t>
        </is>
      </c>
    </row>
    <row r="93">
      <c r="A93" s="2" t="inlineStr">
        <is>
          <t>T00092</t>
        </is>
      </c>
      <c r="B93" s="3" t="n">
        <v>45692.55208333334</v>
      </c>
      <c r="C93" s="2" t="inlineStr">
        <is>
          <t>B02</t>
        </is>
      </c>
      <c r="D93" s="2" t="inlineStr">
        <is>
          <t>P02</t>
        </is>
      </c>
      <c r="E93" s="4" t="n">
        <v>4085391267</v>
      </c>
      <c r="F93" s="2" t="inlineStr">
        <is>
          <t>Mobile App</t>
        </is>
      </c>
      <c r="G93" s="2" t="inlineStr">
        <is>
          <t>CMP-CNY25</t>
        </is>
      </c>
      <c r="H93" s="2" t="inlineStr">
        <is>
          <t>USD</t>
        </is>
      </c>
      <c r="I93" s="7" t="n">
        <v>283000</v>
      </c>
      <c r="J93" s="2" t="inlineStr">
        <is>
          <t>E103</t>
        </is>
      </c>
      <c r="K93" s="2" t="inlineStr">
        <is>
          <t>Completed</t>
        </is>
      </c>
    </row>
    <row r="94">
      <c r="A94" s="2" t="inlineStr">
        <is>
          <t>T00093</t>
        </is>
      </c>
      <c r="B94" s="3" t="n">
        <v>45692.63541666666</v>
      </c>
      <c r="C94" s="2" t="inlineStr">
        <is>
          <t>B02</t>
        </is>
      </c>
      <c r="D94" s="2" t="inlineStr">
        <is>
          <t>P07</t>
        </is>
      </c>
      <c r="E94" s="4" t="n">
        <v>4206911990</v>
      </c>
      <c r="F94" s="2" t="inlineStr">
        <is>
          <t>Phone Banking</t>
        </is>
      </c>
      <c r="G94" s="2" t="inlineStr">
        <is>
          <t>CMP-CNY25</t>
        </is>
      </c>
      <c r="H94" s="2" t="inlineStr">
        <is>
          <t>HKD</t>
        </is>
      </c>
      <c r="I94" s="7" t="n">
        <v>1303000</v>
      </c>
      <c r="J94" s="2" t="inlineStr">
        <is>
          <t>E104</t>
        </is>
      </c>
      <c r="K94" s="2" t="inlineStr">
        <is>
          <t>Cancelled</t>
        </is>
      </c>
    </row>
    <row r="95">
      <c r="A95" s="2" t="inlineStr">
        <is>
          <t>T00094</t>
        </is>
      </c>
      <c r="B95" s="3" t="n">
        <v>45692.64930555555</v>
      </c>
      <c r="C95" s="2" t="inlineStr">
        <is>
          <t>B05</t>
        </is>
      </c>
      <c r="D95" s="2" t="inlineStr">
        <is>
          <t>P05</t>
        </is>
      </c>
      <c r="E95" s="4" t="n">
        <v>1842303686</v>
      </c>
      <c r="F95" s="2" t="inlineStr">
        <is>
          <t>Phone Banking</t>
        </is>
      </c>
      <c r="G95" s="2" t="inlineStr">
        <is>
          <t>CMP-CNY25</t>
        </is>
      </c>
      <c r="H95" s="2" t="inlineStr">
        <is>
          <t>USD</t>
        </is>
      </c>
      <c r="I95" s="7" t="n">
        <v>74000</v>
      </c>
      <c r="J95" s="2" t="inlineStr">
        <is>
          <t>E107</t>
        </is>
      </c>
      <c r="K95" s="2" t="inlineStr">
        <is>
          <t>Completed</t>
        </is>
      </c>
    </row>
    <row r="96">
      <c r="A96" s="2" t="inlineStr">
        <is>
          <t>T00095</t>
        </is>
      </c>
      <c r="B96" s="3" t="n">
        <v>45692.80555555555</v>
      </c>
      <c r="C96" s="2" t="inlineStr">
        <is>
          <t>B02</t>
        </is>
      </c>
      <c r="D96" s="2" t="inlineStr">
        <is>
          <t>P02</t>
        </is>
      </c>
      <c r="E96" s="4" t="n">
        <v>1272232039</v>
      </c>
      <c r="F96" s="2" t="inlineStr">
        <is>
          <t>Mobile App</t>
        </is>
      </c>
      <c r="G96" s="2" t="inlineStr">
        <is>
          <t>CMP-CNY25</t>
        </is>
      </c>
      <c r="H96" s="2" t="inlineStr">
        <is>
          <t>HKD</t>
        </is>
      </c>
      <c r="I96" s="7" t="n">
        <v>952000</v>
      </c>
      <c r="J96" s="2" t="n"/>
      <c r="K96" s="2" t="inlineStr">
        <is>
          <t>Completed</t>
        </is>
      </c>
    </row>
    <row r="97">
      <c r="A97" s="2" t="inlineStr">
        <is>
          <t>T00096</t>
        </is>
      </c>
      <c r="B97" s="3" t="n">
        <v>45693.48611111111</v>
      </c>
      <c r="C97" s="2" t="inlineStr">
        <is>
          <t>B01</t>
        </is>
      </c>
      <c r="D97" s="2" t="inlineStr">
        <is>
          <t>P06</t>
        </is>
      </c>
      <c r="E97" s="4" t="n">
        <v>4100023781</v>
      </c>
      <c r="F97" s="2" t="inlineStr">
        <is>
          <t>Mobile App</t>
        </is>
      </c>
      <c r="G97" s="2" t="n"/>
      <c r="H97" s="2" t="inlineStr">
        <is>
          <t>HKD</t>
        </is>
      </c>
      <c r="I97" s="7" t="n">
        <v>2660000</v>
      </c>
      <c r="J97" s="2" t="n"/>
      <c r="K97" s="2" t="inlineStr">
        <is>
          <t>Completed</t>
        </is>
      </c>
    </row>
    <row r="98">
      <c r="A98" s="2" t="inlineStr">
        <is>
          <t>T00097</t>
        </is>
      </c>
      <c r="B98" s="3" t="n">
        <v>45693.59027777778</v>
      </c>
      <c r="C98" s="2" t="inlineStr">
        <is>
          <t>B01</t>
        </is>
      </c>
      <c r="D98" s="2" t="inlineStr">
        <is>
          <t>P07</t>
        </is>
      </c>
      <c r="E98" s="4" t="n">
        <v>4309083358</v>
      </c>
      <c r="F98" s="2" t="inlineStr">
        <is>
          <t>Branch</t>
        </is>
      </c>
      <c r="G98" s="2" t="n"/>
      <c r="H98" s="2" t="inlineStr">
        <is>
          <t>HKD</t>
        </is>
      </c>
      <c r="I98" s="7" t="n">
        <v>1022000</v>
      </c>
      <c r="J98" s="2" t="inlineStr">
        <is>
          <t>E102</t>
        </is>
      </c>
      <c r="K98" s="2" t="inlineStr">
        <is>
          <t>Completed</t>
        </is>
      </c>
    </row>
    <row r="99">
      <c r="A99" s="2" t="inlineStr">
        <is>
          <t>T00098</t>
        </is>
      </c>
      <c r="B99" s="3" t="n">
        <v>45693.69791666666</v>
      </c>
      <c r="C99" s="2" t="inlineStr">
        <is>
          <t>B01</t>
        </is>
      </c>
      <c r="D99" s="2" t="inlineStr">
        <is>
          <t>P02</t>
        </is>
      </c>
      <c r="E99" s="4" t="n">
        <v>98231104</v>
      </c>
      <c r="F99" s="2" t="inlineStr">
        <is>
          <t>Branch</t>
        </is>
      </c>
      <c r="G99" s="2" t="inlineStr">
        <is>
          <t>CMP-CNY25</t>
        </is>
      </c>
      <c r="H99" s="2" t="inlineStr">
        <is>
          <t>HKD</t>
        </is>
      </c>
      <c r="I99" s="7" t="n">
        <v>281000</v>
      </c>
      <c r="J99" s="2" t="inlineStr">
        <is>
          <t>E108</t>
        </is>
      </c>
      <c r="K99" s="2" t="inlineStr">
        <is>
          <t>Completed</t>
        </is>
      </c>
    </row>
    <row r="100">
      <c r="A100" s="2" t="inlineStr">
        <is>
          <t>T00099</t>
        </is>
      </c>
      <c r="B100" s="3" t="n">
        <v>45694.41666666666</v>
      </c>
      <c r="C100" s="2" t="inlineStr">
        <is>
          <t>B02</t>
        </is>
      </c>
      <c r="D100" s="2" t="inlineStr">
        <is>
          <t>P08</t>
        </is>
      </c>
      <c r="E100" s="4" t="n">
        <v>7745016628</v>
      </c>
      <c r="F100" s="2" t="inlineStr">
        <is>
          <t>Mobile App</t>
        </is>
      </c>
      <c r="G100" s="2" t="inlineStr">
        <is>
          <t>CMP-CNY25</t>
        </is>
      </c>
      <c r="H100" s="2" t="inlineStr">
        <is>
          <t>HKD</t>
        </is>
      </c>
      <c r="I100" s="7" t="n">
        <v>4314000</v>
      </c>
      <c r="J100" s="2" t="inlineStr">
        <is>
          <t>E103</t>
        </is>
      </c>
      <c r="K100" s="2" t="inlineStr">
        <is>
          <t>Completed</t>
        </is>
      </c>
    </row>
    <row r="101">
      <c r="A101" s="2" t="inlineStr">
        <is>
          <t>T00100</t>
        </is>
      </c>
      <c r="B101" s="3" t="n">
        <v>45694.52777777778</v>
      </c>
      <c r="C101" s="2" t="inlineStr">
        <is>
          <t>B02</t>
        </is>
      </c>
      <c r="D101" s="2" t="inlineStr">
        <is>
          <t>P01</t>
        </is>
      </c>
      <c r="E101" s="4" t="n">
        <v>4206911990</v>
      </c>
      <c r="F101" s="2" t="inlineStr">
        <is>
          <t>Phone Banking</t>
        </is>
      </c>
      <c r="G101" s="2" t="inlineStr">
        <is>
          <t>CMP-CNY25</t>
        </is>
      </c>
      <c r="H101" s="2" t="inlineStr">
        <is>
          <t>USD</t>
        </is>
      </c>
      <c r="I101" s="7" t="n">
        <v>103000</v>
      </c>
      <c r="J101" s="2" t="inlineStr">
        <is>
          <t>E103</t>
        </is>
      </c>
      <c r="K101" s="2" t="inlineStr">
        <is>
          <t>Completed</t>
        </is>
      </c>
    </row>
    <row r="102">
      <c r="A102" s="2" t="inlineStr">
        <is>
          <t>T00101</t>
        </is>
      </c>
      <c r="B102" s="3" t="n">
        <v>45694.71527777778</v>
      </c>
      <c r="C102" s="2" t="inlineStr">
        <is>
          <t>B02</t>
        </is>
      </c>
      <c r="D102" s="2" t="inlineStr">
        <is>
          <t>P03</t>
        </is>
      </c>
      <c r="E102" s="4" t="n">
        <v>1369982817</v>
      </c>
      <c r="F102" s="2" t="inlineStr">
        <is>
          <t>Phone Banking</t>
        </is>
      </c>
      <c r="G102" s="2" t="n"/>
      <c r="H102" s="2" t="inlineStr">
        <is>
          <t>HKD</t>
        </is>
      </c>
      <c r="I102" s="7" t="n">
        <v>195000</v>
      </c>
      <c r="J102" s="2" t="inlineStr">
        <is>
          <t>e104</t>
        </is>
      </c>
      <c r="K102" s="2" t="inlineStr">
        <is>
          <t>Completed</t>
        </is>
      </c>
    </row>
    <row r="103">
      <c r="A103" s="2" t="inlineStr">
        <is>
          <t>T00102</t>
        </is>
      </c>
      <c r="B103" s="3" t="n">
        <v>45695.35416666666</v>
      </c>
      <c r="C103" s="2" t="inlineStr">
        <is>
          <t>B02</t>
        </is>
      </c>
      <c r="D103" s="2" t="inlineStr">
        <is>
          <t>P08</t>
        </is>
      </c>
      <c r="E103" s="4" t="n">
        <v>7745016628</v>
      </c>
      <c r="F103" s="2" t="inlineStr">
        <is>
          <t>Phone Banking</t>
        </is>
      </c>
      <c r="G103" s="2" t="inlineStr">
        <is>
          <t>CMP-CNY25</t>
        </is>
      </c>
      <c r="H103" s="2" t="inlineStr">
        <is>
          <t>HKD</t>
        </is>
      </c>
      <c r="I103" s="7" t="n">
        <v>3167000</v>
      </c>
      <c r="J103" s="2" t="n"/>
      <c r="K103" s="2" t="inlineStr">
        <is>
          <t>Cancelled</t>
        </is>
      </c>
    </row>
    <row r="104">
      <c r="A104" s="2" t="inlineStr">
        <is>
          <t>T00103</t>
        </is>
      </c>
      <c r="B104" s="3" t="n">
        <v>45695.47222222222</v>
      </c>
      <c r="C104" s="2" t="inlineStr">
        <is>
          <t>B03</t>
        </is>
      </c>
      <c r="D104" s="2" t="inlineStr">
        <is>
          <t>P03</t>
        </is>
      </c>
      <c r="E104" s="4" t="n">
        <v>7667641457</v>
      </c>
      <c r="F104" s="2" t="inlineStr">
        <is>
          <t>Branch</t>
        </is>
      </c>
      <c r="G104" s="2" t="n"/>
      <c r="H104" s="2" t="inlineStr">
        <is>
          <t>USD</t>
        </is>
      </c>
      <c r="I104" s="7" t="n">
        <v>39000</v>
      </c>
      <c r="J104" s="2" t="inlineStr">
        <is>
          <t>E105</t>
        </is>
      </c>
      <c r="K104" s="2" t="inlineStr">
        <is>
          <t>Completed</t>
        </is>
      </c>
    </row>
    <row r="105">
      <c r="A105" s="2" t="inlineStr">
        <is>
          <t>T00104</t>
        </is>
      </c>
      <c r="B105" s="3" t="n">
        <v>45695.56597222222</v>
      </c>
      <c r="C105" s="2" t="inlineStr">
        <is>
          <t>B02</t>
        </is>
      </c>
      <c r="D105" s="2" t="inlineStr">
        <is>
          <t>P08</t>
        </is>
      </c>
      <c r="E105" s="4" t="n">
        <v>8355315526</v>
      </c>
      <c r="F105" s="2" t="inlineStr">
        <is>
          <t>Branch</t>
        </is>
      </c>
      <c r="G105" s="2" t="n"/>
      <c r="H105" s="2" t="inlineStr">
        <is>
          <t>USD</t>
        </is>
      </c>
      <c r="I105" s="7" t="n">
        <v>206000</v>
      </c>
      <c r="J105" s="2" t="inlineStr">
        <is>
          <t>E103</t>
        </is>
      </c>
      <c r="K105" s="2" t="inlineStr">
        <is>
          <t>Completed</t>
        </is>
      </c>
    </row>
    <row r="106">
      <c r="A106" s="2" t="inlineStr">
        <is>
          <t>T00105</t>
        </is>
      </c>
      <c r="B106" s="3" t="n">
        <v>45695.66319444445</v>
      </c>
      <c r="C106" s="2" t="inlineStr">
        <is>
          <t>B02</t>
        </is>
      </c>
      <c r="D106" s="2" t="inlineStr">
        <is>
          <t>P03</t>
        </is>
      </c>
      <c r="E106" s="4" t="n">
        <v>86890319</v>
      </c>
      <c r="F106" s="2" t="inlineStr">
        <is>
          <t>Branch</t>
        </is>
      </c>
      <c r="G106" s="2" t="inlineStr">
        <is>
          <t>CMP-CNY25</t>
        </is>
      </c>
      <c r="H106" s="2" t="inlineStr">
        <is>
          <t>USD</t>
        </is>
      </c>
      <c r="I106" s="7" t="n">
        <v>3000</v>
      </c>
      <c r="J106" s="2" t="inlineStr">
        <is>
          <t>E104</t>
        </is>
      </c>
      <c r="K106" s="2" t="inlineStr">
        <is>
          <t>Completed</t>
        </is>
      </c>
    </row>
    <row r="107">
      <c r="A107" s="2" t="inlineStr">
        <is>
          <t>T00106</t>
        </is>
      </c>
      <c r="B107" s="3" t="n">
        <v>45695.69791666666</v>
      </c>
      <c r="C107" s="2" t="inlineStr">
        <is>
          <t>B05</t>
        </is>
      </c>
      <c r="D107" s="2" t="inlineStr">
        <is>
          <t>P03</t>
        </is>
      </c>
      <c r="E107" s="4" t="n">
        <v>2203391157</v>
      </c>
      <c r="F107" s="2" t="inlineStr">
        <is>
          <t>Mobile App</t>
        </is>
      </c>
      <c r="G107" s="2" t="inlineStr">
        <is>
          <t>CMP-CNY25</t>
        </is>
      </c>
      <c r="H107" s="2" t="inlineStr">
        <is>
          <t>USD</t>
        </is>
      </c>
      <c r="I107" s="7" t="n">
        <v>89000</v>
      </c>
      <c r="J107" s="2" t="inlineStr">
        <is>
          <t>E107</t>
        </is>
      </c>
      <c r="K107" s="2" t="inlineStr">
        <is>
          <t>Completed</t>
        </is>
      </c>
    </row>
    <row r="108">
      <c r="A108" s="2" t="inlineStr">
        <is>
          <t>T00107</t>
        </is>
      </c>
      <c r="B108" s="3" t="n">
        <v>45696.36111111111</v>
      </c>
      <c r="C108" s="2" t="inlineStr">
        <is>
          <t>B03</t>
        </is>
      </c>
      <c r="D108" s="2" t="inlineStr">
        <is>
          <t>P04</t>
        </is>
      </c>
      <c r="E108" s="4" t="n">
        <v>7569827088</v>
      </c>
      <c r="F108" s="2" t="inlineStr">
        <is>
          <t>Mobile App</t>
        </is>
      </c>
      <c r="G108" s="2" t="n"/>
      <c r="H108" s="2" t="inlineStr">
        <is>
          <t>HKD</t>
        </is>
      </c>
      <c r="I108" s="7" t="n">
        <v>538000</v>
      </c>
      <c r="J108" s="2" t="n"/>
      <c r="K108" s="2" t="inlineStr">
        <is>
          <t>Completed</t>
        </is>
      </c>
    </row>
    <row r="109">
      <c r="A109" s="2" t="inlineStr">
        <is>
          <t>T00108</t>
        </is>
      </c>
      <c r="B109" s="3" t="n">
        <v>45696.74305555555</v>
      </c>
      <c r="C109" s="2" t="inlineStr">
        <is>
          <t>B02</t>
        </is>
      </c>
      <c r="D109" s="2" t="inlineStr">
        <is>
          <t>P02</t>
        </is>
      </c>
      <c r="E109" s="4" t="n">
        <v>5138950247</v>
      </c>
      <c r="F109" s="2" t="inlineStr">
        <is>
          <t>Mobile App</t>
        </is>
      </c>
      <c r="G109" s="2" t="inlineStr">
        <is>
          <t>CMP-CNY25</t>
        </is>
      </c>
      <c r="H109" s="2" t="inlineStr">
        <is>
          <t>USD</t>
        </is>
      </c>
      <c r="I109" s="7" t="n">
        <v>155000</v>
      </c>
      <c r="J109" s="2" t="n"/>
      <c r="K109" s="2" t="inlineStr">
        <is>
          <t>Completed</t>
        </is>
      </c>
    </row>
    <row r="110">
      <c r="A110" s="2" t="inlineStr">
        <is>
          <t>T00109</t>
        </is>
      </c>
      <c r="B110" s="3" t="n">
        <v>45698.4375</v>
      </c>
      <c r="C110" s="2" t="inlineStr">
        <is>
          <t>B02</t>
        </is>
      </c>
      <c r="D110" s="2" t="inlineStr">
        <is>
          <t>P04</t>
        </is>
      </c>
      <c r="E110" s="4" t="n">
        <v>4256229846</v>
      </c>
      <c r="F110" s="2" t="inlineStr">
        <is>
          <t>Mobile App</t>
        </is>
      </c>
      <c r="G110" s="2" t="inlineStr">
        <is>
          <t>CMP-CNY25</t>
        </is>
      </c>
      <c r="H110" s="2" t="inlineStr">
        <is>
          <t>USD</t>
        </is>
      </c>
      <c r="I110" s="7" t="n">
        <v>35000</v>
      </c>
      <c r="J110" s="2" t="inlineStr">
        <is>
          <t>E103</t>
        </is>
      </c>
      <c r="K110" s="2" t="inlineStr">
        <is>
          <t>Completed</t>
        </is>
      </c>
    </row>
    <row r="111">
      <c r="A111" s="2" t="inlineStr">
        <is>
          <t>T00110</t>
        </is>
      </c>
      <c r="B111" s="3" t="n">
        <v>45698.70833333334</v>
      </c>
      <c r="C111" s="2" t="inlineStr">
        <is>
          <t>B01</t>
        </is>
      </c>
      <c r="D111" s="2" t="inlineStr">
        <is>
          <t>P08</t>
        </is>
      </c>
      <c r="E111" s="4" t="n">
        <v>55691590</v>
      </c>
      <c r="F111" s="2" t="inlineStr">
        <is>
          <t>Branch</t>
        </is>
      </c>
      <c r="G111" s="2" t="inlineStr">
        <is>
          <t>CMP-CNY25</t>
        </is>
      </c>
      <c r="H111" s="2" t="inlineStr">
        <is>
          <t>USD</t>
        </is>
      </c>
      <c r="I111" s="7" t="n">
        <v>352000</v>
      </c>
      <c r="J111" s="2" t="inlineStr">
        <is>
          <t>E101</t>
        </is>
      </c>
      <c r="K111" s="2" t="inlineStr">
        <is>
          <t>Cancelled</t>
        </is>
      </c>
    </row>
    <row r="112">
      <c r="A112" s="2" t="inlineStr">
        <is>
          <t>T00111</t>
        </is>
      </c>
      <c r="B112" s="3" t="n">
        <v>45699.44791666666</v>
      </c>
      <c r="C112" s="2" t="inlineStr">
        <is>
          <t>B01</t>
        </is>
      </c>
      <c r="D112" s="2" t="inlineStr">
        <is>
          <t>P02</t>
        </is>
      </c>
      <c r="E112" s="4" t="n">
        <v>7504397999</v>
      </c>
      <c r="F112" s="2" t="inlineStr">
        <is>
          <t>Mobile App</t>
        </is>
      </c>
      <c r="G112" s="2" t="n"/>
      <c r="H112" s="2" t="inlineStr">
        <is>
          <t>USD</t>
        </is>
      </c>
      <c r="I112" s="7" t="n">
        <v>169000</v>
      </c>
      <c r="J112" s="2" t="n"/>
      <c r="K112" s="2" t="inlineStr">
        <is>
          <t>Completed</t>
        </is>
      </c>
    </row>
    <row r="113">
      <c r="A113" s="2" t="inlineStr">
        <is>
          <t>T00112</t>
        </is>
      </c>
      <c r="B113" s="3" t="n">
        <v>45699.46875</v>
      </c>
      <c r="C113" s="2" t="inlineStr">
        <is>
          <t>B01</t>
        </is>
      </c>
      <c r="D113" s="2" t="inlineStr">
        <is>
          <t>P03</t>
        </is>
      </c>
      <c r="E113" s="4" t="n">
        <v>7186063045</v>
      </c>
      <c r="F113" s="2" t="inlineStr">
        <is>
          <t>Branch</t>
        </is>
      </c>
      <c r="G113" s="2" t="n"/>
      <c r="H113" s="2" t="inlineStr">
        <is>
          <t>USD</t>
        </is>
      </c>
      <c r="I113" s="7" t="n">
        <v>43000</v>
      </c>
      <c r="J113" s="2" t="inlineStr">
        <is>
          <t>E101</t>
        </is>
      </c>
      <c r="K113" s="2" t="inlineStr">
        <is>
          <t>Completed</t>
        </is>
      </c>
    </row>
    <row r="114">
      <c r="A114" s="2" t="inlineStr">
        <is>
          <t>T00113</t>
        </is>
      </c>
      <c r="B114" s="3" t="n">
        <v>45699.48263888889</v>
      </c>
      <c r="C114" s="2" t="inlineStr">
        <is>
          <t>B01</t>
        </is>
      </c>
      <c r="D114" s="2" t="inlineStr">
        <is>
          <t>P02</t>
        </is>
      </c>
      <c r="E114" s="4" t="inlineStr">
        <is>
          <t>0019295191</t>
        </is>
      </c>
      <c r="F114" s="2" t="inlineStr">
        <is>
          <t>Branch</t>
        </is>
      </c>
      <c r="G114" s="2" t="n"/>
      <c r="H114" s="2" t="inlineStr">
        <is>
          <t>USD</t>
        </is>
      </c>
      <c r="I114" s="7" t="n">
        <v>68000</v>
      </c>
      <c r="J114" s="2" t="inlineStr">
        <is>
          <t>E111</t>
        </is>
      </c>
      <c r="K114" s="2" t="inlineStr">
        <is>
          <t>Completed</t>
        </is>
      </c>
    </row>
    <row r="115">
      <c r="A115" s="2" t="inlineStr">
        <is>
          <t>T00114</t>
        </is>
      </c>
      <c r="B115" s="3" t="n">
        <v>45699.64583333334</v>
      </c>
      <c r="C115" s="2" t="inlineStr">
        <is>
          <t>B01</t>
        </is>
      </c>
      <c r="D115" s="2" t="inlineStr">
        <is>
          <t>P07</t>
        </is>
      </c>
      <c r="E115" s="4" t="inlineStr">
        <is>
          <t>0071204459</t>
        </is>
      </c>
      <c r="F115" s="2" t="inlineStr">
        <is>
          <t>Branch</t>
        </is>
      </c>
      <c r="G115" s="2" t="inlineStr">
        <is>
          <t>CMP-CNY25</t>
        </is>
      </c>
      <c r="H115" s="2" t="inlineStr">
        <is>
          <t>USD</t>
        </is>
      </c>
      <c r="I115" s="7" t="n">
        <v>200000</v>
      </c>
      <c r="J115" s="2" t="inlineStr">
        <is>
          <t>E101</t>
        </is>
      </c>
      <c r="K115" s="2" t="inlineStr">
        <is>
          <t>Completed</t>
        </is>
      </c>
    </row>
    <row r="116">
      <c r="A116" s="2" t="inlineStr">
        <is>
          <t>T00115</t>
        </is>
      </c>
      <c r="B116" s="3" t="n">
        <v>45699.65277777778</v>
      </c>
      <c r="C116" s="2" t="inlineStr">
        <is>
          <t>B02</t>
        </is>
      </c>
      <c r="D116" s="2" t="inlineStr">
        <is>
          <t>P01</t>
        </is>
      </c>
      <c r="E116" s="4" t="inlineStr">
        <is>
          <t>0044509861</t>
        </is>
      </c>
      <c r="F116" s="2" t="inlineStr">
        <is>
          <t>Branch</t>
        </is>
      </c>
      <c r="G116" s="2" t="inlineStr">
        <is>
          <t>CMP-CNY25</t>
        </is>
      </c>
      <c r="H116" s="2" t="inlineStr">
        <is>
          <t>HKD</t>
        </is>
      </c>
      <c r="I116" s="7" t="n">
        <v>577000</v>
      </c>
      <c r="J116" s="2" t="inlineStr">
        <is>
          <t>E103</t>
        </is>
      </c>
      <c r="K116" s="2" t="inlineStr">
        <is>
          <t>Completed</t>
        </is>
      </c>
    </row>
    <row r="117">
      <c r="A117" s="2" t="inlineStr">
        <is>
          <t>T00116</t>
        </is>
      </c>
      <c r="B117" s="3" t="n">
        <v>45699.71180555555</v>
      </c>
      <c r="C117" s="2" t="inlineStr">
        <is>
          <t>B03</t>
        </is>
      </c>
      <c r="D117" s="2" t="inlineStr">
        <is>
          <t>P07</t>
        </is>
      </c>
      <c r="E117" s="4" t="n">
        <v>8585205808</v>
      </c>
      <c r="F117" s="2" t="inlineStr">
        <is>
          <t>Branch</t>
        </is>
      </c>
      <c r="G117" s="2" t="inlineStr">
        <is>
          <t>CMP-CNY25</t>
        </is>
      </c>
      <c r="H117" s="2" t="inlineStr">
        <is>
          <t>HKD</t>
        </is>
      </c>
      <c r="I117" s="7" t="n">
        <v>577000</v>
      </c>
      <c r="J117" s="2" t="inlineStr">
        <is>
          <t>E110</t>
        </is>
      </c>
      <c r="K117" s="2" t="inlineStr">
        <is>
          <t>Completed</t>
        </is>
      </c>
    </row>
    <row r="118">
      <c r="A118" s="2" t="inlineStr">
        <is>
          <t>T00117</t>
        </is>
      </c>
      <c r="B118" s="3" t="n">
        <v>45699.73611111111</v>
      </c>
      <c r="C118" s="2" t="inlineStr">
        <is>
          <t>B03</t>
        </is>
      </c>
      <c r="D118" s="2" t="inlineStr">
        <is>
          <t>P07</t>
        </is>
      </c>
      <c r="E118" s="4" t="n">
        <v>6429278715</v>
      </c>
      <c r="F118" s="2" t="inlineStr">
        <is>
          <t>Phone Banking</t>
        </is>
      </c>
      <c r="G118" s="2" t="inlineStr">
        <is>
          <t>CMP-CNY25</t>
        </is>
      </c>
      <c r="H118" s="2" t="inlineStr">
        <is>
          <t>HKD</t>
        </is>
      </c>
      <c r="I118" s="7" t="n">
        <v>1661000</v>
      </c>
      <c r="J118" s="2" t="n"/>
      <c r="K118" s="2" t="inlineStr">
        <is>
          <t>Completed</t>
        </is>
      </c>
    </row>
    <row r="119">
      <c r="A119" s="2" t="inlineStr">
        <is>
          <t>T00118</t>
        </is>
      </c>
      <c r="B119" s="3" t="n">
        <v>45700.55555555555</v>
      </c>
      <c r="C119" s="2" t="inlineStr">
        <is>
          <t>B03</t>
        </is>
      </c>
      <c r="D119" s="2" t="inlineStr">
        <is>
          <t>P04</t>
        </is>
      </c>
      <c r="E119" s="4" t="n">
        <v>6429278715</v>
      </c>
      <c r="F119" s="2" t="inlineStr">
        <is>
          <t>Mobile App</t>
        </is>
      </c>
      <c r="G119" s="2" t="inlineStr">
        <is>
          <t>CMP-CNY25</t>
        </is>
      </c>
      <c r="H119" s="2" t="inlineStr">
        <is>
          <t>USD</t>
        </is>
      </c>
      <c r="I119" s="7" t="n">
        <v>188000</v>
      </c>
      <c r="J119" s="2" t="n"/>
      <c r="K119" s="2" t="inlineStr">
        <is>
          <t>Completed</t>
        </is>
      </c>
    </row>
    <row r="120">
      <c r="A120" s="2" t="inlineStr">
        <is>
          <t>T00119</t>
        </is>
      </c>
      <c r="B120" s="3" t="n">
        <v>45700.56597222222</v>
      </c>
      <c r="C120" s="2" t="inlineStr">
        <is>
          <t>B01</t>
        </is>
      </c>
      <c r="D120" s="2" t="inlineStr">
        <is>
          <t>P06</t>
        </is>
      </c>
      <c r="E120" s="4" t="n">
        <v>9627692505</v>
      </c>
      <c r="F120" s="2" t="inlineStr">
        <is>
          <t>Branch</t>
        </is>
      </c>
      <c r="G120" s="2" t="n"/>
      <c r="H120" s="2" t="inlineStr">
        <is>
          <t>USD</t>
        </is>
      </c>
      <c r="I120" s="7" t="n">
        <v>134000</v>
      </c>
      <c r="J120" s="2" t="inlineStr">
        <is>
          <t>E102</t>
        </is>
      </c>
      <c r="K120" s="2" t="inlineStr">
        <is>
          <t>Completed</t>
        </is>
      </c>
    </row>
    <row r="121">
      <c r="A121" s="2" t="inlineStr">
        <is>
          <t>T00120</t>
        </is>
      </c>
      <c r="B121" s="3" t="n">
        <v>45700.64236111111</v>
      </c>
      <c r="C121" s="2" t="inlineStr">
        <is>
          <t>B02</t>
        </is>
      </c>
      <c r="D121" s="2" t="inlineStr">
        <is>
          <t>P06</t>
        </is>
      </c>
      <c r="E121" s="4" t="n">
        <v>7745016628</v>
      </c>
      <c r="F121" s="2" t="inlineStr">
        <is>
          <t>Phone Banking</t>
        </is>
      </c>
      <c r="G121" s="2" t="n"/>
      <c r="H121" s="2" t="inlineStr">
        <is>
          <t>CNY</t>
        </is>
      </c>
      <c r="I121" s="7" t="n">
        <v>5926000</v>
      </c>
      <c r="J121" s="2" t="inlineStr">
        <is>
          <t>E107</t>
        </is>
      </c>
      <c r="K121" s="2" t="inlineStr">
        <is>
          <t>Completed</t>
        </is>
      </c>
    </row>
    <row r="122">
      <c r="A122" s="2" t="inlineStr">
        <is>
          <t>T00121</t>
        </is>
      </c>
      <c r="B122" s="3" t="n">
        <v>45700.67361111111</v>
      </c>
      <c r="C122" s="2" t="inlineStr">
        <is>
          <t>B03</t>
        </is>
      </c>
      <c r="D122" s="2" t="inlineStr">
        <is>
          <t>P02</t>
        </is>
      </c>
      <c r="E122" s="4" t="n">
        <v>2751672943</v>
      </c>
      <c r="F122" s="2" t="inlineStr">
        <is>
          <t>Branch</t>
        </is>
      </c>
      <c r="G122" s="2" t="inlineStr">
        <is>
          <t>CMP-CNY25</t>
        </is>
      </c>
      <c r="H122" s="2" t="inlineStr">
        <is>
          <t>USD</t>
        </is>
      </c>
      <c r="I122" s="7" t="n">
        <v>21000</v>
      </c>
      <c r="J122" s="2" t="inlineStr">
        <is>
          <t>E105</t>
        </is>
      </c>
      <c r="K122" s="2" t="inlineStr">
        <is>
          <t>Completed</t>
        </is>
      </c>
    </row>
    <row r="123">
      <c r="A123" s="2" t="inlineStr">
        <is>
          <t>T00122</t>
        </is>
      </c>
      <c r="B123" s="3" t="n">
        <v>45700.94097222222</v>
      </c>
      <c r="C123" s="2" t="inlineStr">
        <is>
          <t>B02</t>
        </is>
      </c>
      <c r="D123" s="2" t="inlineStr">
        <is>
          <t>P04</t>
        </is>
      </c>
      <c r="E123" s="4" t="n">
        <v>53083943</v>
      </c>
      <c r="F123" s="2" t="inlineStr">
        <is>
          <t>Mobile App</t>
        </is>
      </c>
      <c r="G123" s="2" t="inlineStr">
        <is>
          <t>CMP-CNY25</t>
        </is>
      </c>
      <c r="H123" s="2" t="inlineStr">
        <is>
          <t>USD</t>
        </is>
      </c>
      <c r="I123" s="7" t="n">
        <v>139000</v>
      </c>
      <c r="J123" s="2" t="n"/>
      <c r="K123" s="2" t="inlineStr">
        <is>
          <t>Completed</t>
        </is>
      </c>
    </row>
    <row r="124">
      <c r="A124" s="2" t="inlineStr">
        <is>
          <t>T00123</t>
        </is>
      </c>
      <c r="B124" s="3" t="n">
        <v>45701.46180555555</v>
      </c>
      <c r="C124" s="2" t="inlineStr">
        <is>
          <t>B03</t>
        </is>
      </c>
      <c r="D124" s="2" t="inlineStr">
        <is>
          <t>P03</t>
        </is>
      </c>
      <c r="E124" s="4" t="n">
        <v>8383656346</v>
      </c>
      <c r="F124" s="2" t="inlineStr">
        <is>
          <t>Branch</t>
        </is>
      </c>
      <c r="G124" s="2" t="n"/>
      <c r="H124" s="2" t="inlineStr">
        <is>
          <t>USD</t>
        </is>
      </c>
      <c r="I124" s="7" t="n">
        <v>5000</v>
      </c>
      <c r="J124" s="2" t="inlineStr">
        <is>
          <t>E109</t>
        </is>
      </c>
      <c r="K124" s="2" t="inlineStr">
        <is>
          <t>Completed</t>
        </is>
      </c>
    </row>
    <row r="125">
      <c r="A125" s="2" t="inlineStr">
        <is>
          <t>T00124</t>
        </is>
      </c>
      <c r="B125" s="3" t="n">
        <v>45701.69444444445</v>
      </c>
      <c r="C125" s="2" t="inlineStr">
        <is>
          <t>B02</t>
        </is>
      </c>
      <c r="D125" s="2" t="inlineStr">
        <is>
          <t>P01</t>
        </is>
      </c>
      <c r="E125" s="4" t="n">
        <v>4256229846</v>
      </c>
      <c r="F125" s="2" t="inlineStr">
        <is>
          <t>Mobile App</t>
        </is>
      </c>
      <c r="G125" s="2" t="n"/>
      <c r="H125" s="2" t="inlineStr">
        <is>
          <t>USD</t>
        </is>
      </c>
      <c r="I125" s="7" t="n">
        <v>24000</v>
      </c>
      <c r="J125" s="2" t="inlineStr">
        <is>
          <t>E104</t>
        </is>
      </c>
      <c r="K125" s="2" t="inlineStr">
        <is>
          <t>Cancelled</t>
        </is>
      </c>
    </row>
    <row r="126">
      <c r="A126" s="2" t="inlineStr">
        <is>
          <t>T00125</t>
        </is>
      </c>
      <c r="B126" s="3" t="n">
        <v>45701.69791666666</v>
      </c>
      <c r="C126" s="2" t="inlineStr">
        <is>
          <t>B01</t>
        </is>
      </c>
      <c r="D126" s="2" t="inlineStr">
        <is>
          <t>P04</t>
        </is>
      </c>
      <c r="E126" s="4" t="n">
        <v>7186063045</v>
      </c>
      <c r="F126" s="2" t="inlineStr">
        <is>
          <t>Branch</t>
        </is>
      </c>
      <c r="G126" s="2" t="inlineStr">
        <is>
          <t>CMP-CNY25</t>
        </is>
      </c>
      <c r="H126" s="2" t="inlineStr">
        <is>
          <t>HKD</t>
        </is>
      </c>
      <c r="I126" s="7" t="n">
        <v>507000</v>
      </c>
      <c r="J126" s="2" t="inlineStr">
        <is>
          <t>E101</t>
        </is>
      </c>
      <c r="K126" s="2" t="inlineStr">
        <is>
          <t>Completed</t>
        </is>
      </c>
    </row>
    <row r="127">
      <c r="A127" s="2" t="inlineStr">
        <is>
          <t>T00126</t>
        </is>
      </c>
      <c r="B127" s="3" t="n">
        <v>45701.85416666666</v>
      </c>
      <c r="C127" s="2" t="inlineStr">
        <is>
          <t>B01</t>
        </is>
      </c>
      <c r="D127" s="2" t="inlineStr">
        <is>
          <t>P01</t>
        </is>
      </c>
      <c r="E127" s="4" t="n">
        <v>71204459</v>
      </c>
      <c r="F127" s="2" t="inlineStr">
        <is>
          <t>Mobile App</t>
        </is>
      </c>
      <c r="G127" s="2" t="n"/>
      <c r="H127" s="2" t="inlineStr">
        <is>
          <t>USD</t>
        </is>
      </c>
      <c r="I127" s="7" t="n">
        <v>67000</v>
      </c>
      <c r="J127" s="2" t="n"/>
      <c r="K127" s="2" t="inlineStr">
        <is>
          <t>Completed</t>
        </is>
      </c>
    </row>
    <row r="128">
      <c r="A128" s="2" t="inlineStr">
        <is>
          <t>T00127</t>
        </is>
      </c>
      <c r="B128" s="3" t="n">
        <v>45702.41666666666</v>
      </c>
      <c r="C128" s="2" t="inlineStr">
        <is>
          <t>B05</t>
        </is>
      </c>
      <c r="D128" s="2" t="inlineStr">
        <is>
          <t>P04</t>
        </is>
      </c>
      <c r="E128" s="4" t="n">
        <v>2203391157</v>
      </c>
      <c r="F128" s="2" t="inlineStr">
        <is>
          <t>Branch</t>
        </is>
      </c>
      <c r="G128" s="2" t="inlineStr">
        <is>
          <t>CMP-CNY25</t>
        </is>
      </c>
      <c r="H128" s="2" t="inlineStr">
        <is>
          <t>HKD</t>
        </is>
      </c>
      <c r="I128" s="7" t="n">
        <v>60000</v>
      </c>
      <c r="J128" s="2" t="inlineStr">
        <is>
          <t>E107</t>
        </is>
      </c>
      <c r="K128" s="2" t="inlineStr">
        <is>
          <t>Cancelled</t>
        </is>
      </c>
    </row>
    <row r="129">
      <c r="A129" s="2" t="inlineStr">
        <is>
          <t>T00128</t>
        </is>
      </c>
      <c r="B129" s="3" t="n">
        <v>45702.44791666666</v>
      </c>
      <c r="C129" s="2" t="inlineStr">
        <is>
          <t>B02</t>
        </is>
      </c>
      <c r="D129" s="2" t="inlineStr">
        <is>
          <t>P02</t>
        </is>
      </c>
      <c r="E129" s="4" t="n">
        <v>6106674386</v>
      </c>
      <c r="F129" s="2" t="inlineStr">
        <is>
          <t>Phone Banking</t>
        </is>
      </c>
      <c r="G129" s="2" t="inlineStr">
        <is>
          <t>CMP-CNY25</t>
        </is>
      </c>
      <c r="H129" s="2" t="inlineStr">
        <is>
          <t>HKD</t>
        </is>
      </c>
      <c r="I129" s="7" t="n">
        <v>250000</v>
      </c>
      <c r="J129" s="2" t="inlineStr">
        <is>
          <t>E104</t>
        </is>
      </c>
      <c r="K129" s="2" t="inlineStr">
        <is>
          <t>Completed</t>
        </is>
      </c>
    </row>
    <row r="130">
      <c r="A130" s="2" t="inlineStr">
        <is>
          <t>T00129</t>
        </is>
      </c>
      <c r="B130" s="3" t="n">
        <v>45702.45486111111</v>
      </c>
      <c r="C130" s="2" t="inlineStr">
        <is>
          <t>B01</t>
        </is>
      </c>
      <c r="D130" s="2" t="inlineStr">
        <is>
          <t>P07</t>
        </is>
      </c>
      <c r="E130" s="4" t="n">
        <v>7504397999</v>
      </c>
      <c r="F130" s="2" t="inlineStr">
        <is>
          <t>Branch</t>
        </is>
      </c>
      <c r="G130" s="2" t="inlineStr">
        <is>
          <t>CMP-CNY25</t>
        </is>
      </c>
      <c r="H130" s="2" t="inlineStr">
        <is>
          <t>USD</t>
        </is>
      </c>
      <c r="I130" s="7" t="n">
        <v>308000</v>
      </c>
      <c r="J130" s="2" t="inlineStr">
        <is>
          <t>E110</t>
        </is>
      </c>
      <c r="K130" s="2" t="inlineStr">
        <is>
          <t>Completed</t>
        </is>
      </c>
    </row>
    <row r="131">
      <c r="A131" s="2" t="inlineStr">
        <is>
          <t>T00130</t>
        </is>
      </c>
      <c r="B131" s="3" t="n">
        <v>45702.62847222222</v>
      </c>
      <c r="C131" s="2" t="inlineStr">
        <is>
          <t>B01</t>
        </is>
      </c>
      <c r="D131" s="2" t="inlineStr">
        <is>
          <t>P07</t>
        </is>
      </c>
      <c r="E131" s="4" t="n">
        <v>1345733448</v>
      </c>
      <c r="F131" s="2" t="inlineStr">
        <is>
          <t>Branch</t>
        </is>
      </c>
      <c r="G131" s="2" t="inlineStr">
        <is>
          <t>CMP-CNY25</t>
        </is>
      </c>
      <c r="H131" s="2" t="inlineStr">
        <is>
          <t>USD</t>
        </is>
      </c>
      <c r="I131" s="7" t="n">
        <v>538000</v>
      </c>
      <c r="J131" s="2" t="inlineStr">
        <is>
          <t>E102</t>
        </is>
      </c>
      <c r="K131" s="2" t="inlineStr">
        <is>
          <t>Completed</t>
        </is>
      </c>
    </row>
    <row r="132">
      <c r="A132" s="2" t="inlineStr">
        <is>
          <t>T00131</t>
        </is>
      </c>
      <c r="B132" s="3" t="n">
        <v>45702.69097222222</v>
      </c>
      <c r="C132" s="2" t="inlineStr">
        <is>
          <t>B02</t>
        </is>
      </c>
      <c r="D132" s="2" t="inlineStr">
        <is>
          <t>P03</t>
        </is>
      </c>
      <c r="E132" s="4" t="n">
        <v>6989217536</v>
      </c>
      <c r="F132" s="2" t="inlineStr">
        <is>
          <t>Phone Banking</t>
        </is>
      </c>
      <c r="G132" s="2" t="inlineStr">
        <is>
          <t>CMP-CNY25</t>
        </is>
      </c>
      <c r="H132" s="2" t="inlineStr">
        <is>
          <t>USD</t>
        </is>
      </c>
      <c r="I132" s="7" t="n">
        <v>92000</v>
      </c>
      <c r="J132" s="2" t="inlineStr">
        <is>
          <t>E104</t>
        </is>
      </c>
      <c r="K132" s="2" t="inlineStr">
        <is>
          <t>Completed</t>
        </is>
      </c>
    </row>
    <row r="133">
      <c r="A133" s="2" t="inlineStr">
        <is>
          <t>T00132</t>
        </is>
      </c>
      <c r="B133" s="3" t="n">
        <v>45702.73958333334</v>
      </c>
      <c r="C133" s="2" t="inlineStr">
        <is>
          <t>B03</t>
        </is>
      </c>
      <c r="D133" s="2" t="inlineStr">
        <is>
          <t>P07</t>
        </is>
      </c>
      <c r="E133" s="4" t="n">
        <v>1777759401</v>
      </c>
      <c r="F133" s="2" t="inlineStr">
        <is>
          <t>Branch</t>
        </is>
      </c>
      <c r="G133" s="2" t="inlineStr">
        <is>
          <t>CMP-CNY25</t>
        </is>
      </c>
      <c r="H133" s="2" t="inlineStr">
        <is>
          <t>USD</t>
        </is>
      </c>
      <c r="I133" s="7" t="n">
        <v>165000</v>
      </c>
      <c r="J133" s="2" t="inlineStr">
        <is>
          <t>E105</t>
        </is>
      </c>
      <c r="K133" s="2" t="inlineStr">
        <is>
          <t>Completed</t>
        </is>
      </c>
    </row>
    <row r="134">
      <c r="A134" s="2" t="inlineStr">
        <is>
          <t>T00133</t>
        </is>
      </c>
      <c r="B134" s="3" t="n">
        <v>45703.47569444445</v>
      </c>
      <c r="C134" s="2" t="inlineStr">
        <is>
          <t>B02</t>
        </is>
      </c>
      <c r="D134" s="2" t="inlineStr">
        <is>
          <t>P07</t>
        </is>
      </c>
      <c r="E134" s="4" t="n">
        <v>9567133447</v>
      </c>
      <c r="F134" s="2" t="inlineStr">
        <is>
          <t>Mobile App</t>
        </is>
      </c>
      <c r="G134" s="2" t="inlineStr">
        <is>
          <t>CMP-CNY25</t>
        </is>
      </c>
      <c r="H134" s="2" t="inlineStr">
        <is>
          <t>USD</t>
        </is>
      </c>
      <c r="I134" s="7" t="n">
        <v>170000</v>
      </c>
      <c r="J134" s="2" t="n"/>
      <c r="K134" s="2" t="inlineStr">
        <is>
          <t>Completed</t>
        </is>
      </c>
    </row>
    <row r="135">
      <c r="A135" s="2" t="inlineStr">
        <is>
          <t>T00134</t>
        </is>
      </c>
      <c r="B135" s="3" t="n">
        <v>45704.38888888889</v>
      </c>
      <c r="C135" s="2" t="inlineStr">
        <is>
          <t>B05</t>
        </is>
      </c>
      <c r="D135" s="2" t="inlineStr">
        <is>
          <t>P03</t>
        </is>
      </c>
      <c r="E135" s="4" t="n">
        <v>2203391157</v>
      </c>
      <c r="F135" s="2" t="inlineStr">
        <is>
          <t>Mobile App</t>
        </is>
      </c>
      <c r="G135" s="2" t="inlineStr">
        <is>
          <t>CMP-CNY25</t>
        </is>
      </c>
      <c r="H135" s="2" t="inlineStr">
        <is>
          <t>HKD</t>
        </is>
      </c>
      <c r="I135" s="7" t="n">
        <v>359000</v>
      </c>
      <c r="J135" s="2" t="n"/>
      <c r="K135" s="2" t="inlineStr">
        <is>
          <t>Completed</t>
        </is>
      </c>
    </row>
    <row r="136">
      <c r="A136" s="2" t="inlineStr">
        <is>
          <t>T00135</t>
        </is>
      </c>
      <c r="B136" s="3" t="n">
        <v>45704.73958333334</v>
      </c>
      <c r="C136" s="2" t="inlineStr">
        <is>
          <t>B02</t>
        </is>
      </c>
      <c r="D136" s="2" t="inlineStr">
        <is>
          <t>P03</t>
        </is>
      </c>
      <c r="E136" s="4" t="n">
        <v>7745016628</v>
      </c>
      <c r="F136" s="2" t="inlineStr">
        <is>
          <t>Phone Banking</t>
        </is>
      </c>
      <c r="G136" s="2" t="n"/>
      <c r="H136" s="2" t="inlineStr">
        <is>
          <t>CNY</t>
        </is>
      </c>
      <c r="I136" s="7" t="n">
        <v>205000</v>
      </c>
      <c r="J136" s="2" t="n"/>
      <c r="K136" s="2" t="inlineStr">
        <is>
          <t>Cancelled</t>
        </is>
      </c>
    </row>
    <row r="137">
      <c r="A137" s="2" t="inlineStr">
        <is>
          <t>T00136</t>
        </is>
      </c>
      <c r="B137" s="3" t="n">
        <v>45705.56597222222</v>
      </c>
      <c r="C137" s="2" t="inlineStr">
        <is>
          <t>B02</t>
        </is>
      </c>
      <c r="D137" s="2" t="inlineStr">
        <is>
          <t>P02</t>
        </is>
      </c>
      <c r="E137" s="4" t="n">
        <v>4085391267</v>
      </c>
      <c r="F137" s="2" t="inlineStr">
        <is>
          <t>Branch</t>
        </is>
      </c>
      <c r="G137" s="2" t="inlineStr">
        <is>
          <t>CMP-CNY25</t>
        </is>
      </c>
      <c r="H137" s="2" t="inlineStr">
        <is>
          <t>USD</t>
        </is>
      </c>
      <c r="I137" s="7" t="n">
        <v>206000</v>
      </c>
      <c r="J137" s="2" t="inlineStr">
        <is>
          <t>E104</t>
        </is>
      </c>
      <c r="K137" s="2" t="inlineStr">
        <is>
          <t>Completed</t>
        </is>
      </c>
    </row>
    <row r="138">
      <c r="A138" s="2" t="inlineStr">
        <is>
          <t>T00137</t>
        </is>
      </c>
      <c r="B138" s="3" t="n">
        <v>45705.69444444445</v>
      </c>
      <c r="C138" s="2" t="inlineStr">
        <is>
          <t>B01</t>
        </is>
      </c>
      <c r="D138" s="2" t="inlineStr">
        <is>
          <t>P07</t>
        </is>
      </c>
      <c r="E138" s="4" t="n">
        <v>5185642036</v>
      </c>
      <c r="F138" s="2" t="inlineStr">
        <is>
          <t>Phone Banking</t>
        </is>
      </c>
      <c r="G138" s="2" t="inlineStr">
        <is>
          <t>CMP-CNY25</t>
        </is>
      </c>
      <c r="H138" s="2" t="inlineStr">
        <is>
          <t>USD</t>
        </is>
      </c>
      <c r="I138" s="7" t="n">
        <v>540000</v>
      </c>
      <c r="J138" s="2" t="inlineStr">
        <is>
          <t>E111</t>
        </is>
      </c>
      <c r="K138" s="2" t="inlineStr">
        <is>
          <t>Completed</t>
        </is>
      </c>
    </row>
    <row r="139">
      <c r="A139" s="2" t="inlineStr">
        <is>
          <t>T00138</t>
        </is>
      </c>
      <c r="B139" s="3" t="n">
        <v>45706.44444444445</v>
      </c>
      <c r="C139" s="2" t="inlineStr">
        <is>
          <t>B03</t>
        </is>
      </c>
      <c r="D139" s="2" t="inlineStr">
        <is>
          <t>P03</t>
        </is>
      </c>
      <c r="E139" s="4" t="n">
        <v>5505973626</v>
      </c>
      <c r="F139" s="2" t="inlineStr">
        <is>
          <t>Branch</t>
        </is>
      </c>
      <c r="G139" s="2" t="inlineStr">
        <is>
          <t>CMP-CNY25</t>
        </is>
      </c>
      <c r="H139" s="2" t="inlineStr">
        <is>
          <t>USD</t>
        </is>
      </c>
      <c r="I139" s="7" t="n">
        <v>5000</v>
      </c>
      <c r="J139" s="2" t="inlineStr">
        <is>
          <t>E105</t>
        </is>
      </c>
      <c r="K139" s="2" t="inlineStr">
        <is>
          <t>Completed</t>
        </is>
      </c>
    </row>
    <row r="140">
      <c r="A140" s="2" t="inlineStr">
        <is>
          <t>T00139</t>
        </is>
      </c>
      <c r="B140" s="3" t="n">
        <v>45706.72569444445</v>
      </c>
      <c r="C140" s="2" t="inlineStr">
        <is>
          <t>B01</t>
        </is>
      </c>
      <c r="D140" s="2" t="inlineStr">
        <is>
          <t>P04</t>
        </is>
      </c>
      <c r="E140" s="4" t="n">
        <v>55245666</v>
      </c>
      <c r="F140" s="2" t="inlineStr">
        <is>
          <t>Branch</t>
        </is>
      </c>
      <c r="G140" s="2" t="n"/>
      <c r="H140" s="2" t="inlineStr">
        <is>
          <t>HKD</t>
        </is>
      </c>
      <c r="I140" s="7" t="n">
        <v>343000</v>
      </c>
      <c r="J140" s="2" t="inlineStr">
        <is>
          <t>E102</t>
        </is>
      </c>
      <c r="K140" s="2" t="inlineStr">
        <is>
          <t>Completed</t>
        </is>
      </c>
    </row>
    <row r="141">
      <c r="A141" s="2" t="inlineStr">
        <is>
          <t>T00140</t>
        </is>
      </c>
      <c r="B141" s="3" t="n">
        <v>45707.42013888889</v>
      </c>
      <c r="C141" s="2" t="inlineStr">
        <is>
          <t>B02</t>
        </is>
      </c>
      <c r="D141" s="2" t="inlineStr">
        <is>
          <t>P03</t>
        </is>
      </c>
      <c r="E141" s="4" t="n">
        <v>8805210249</v>
      </c>
      <c r="F141" s="2" t="inlineStr">
        <is>
          <t>Branch</t>
        </is>
      </c>
      <c r="G141" s="2" t="inlineStr">
        <is>
          <t>CMP-CNY25</t>
        </is>
      </c>
      <c r="H141" s="2" t="inlineStr">
        <is>
          <t>USD</t>
        </is>
      </c>
      <c r="I141" s="7" t="n">
        <v>20000</v>
      </c>
      <c r="J141" s="2" t="inlineStr">
        <is>
          <t>E104</t>
        </is>
      </c>
      <c r="K141" s="2" t="inlineStr">
        <is>
          <t>Completed</t>
        </is>
      </c>
    </row>
    <row r="142">
      <c r="A142" s="2" t="inlineStr">
        <is>
          <t>T00141</t>
        </is>
      </c>
      <c r="B142" s="3" t="n">
        <v>45707.52777777778</v>
      </c>
      <c r="C142" s="2" t="inlineStr">
        <is>
          <t>B02</t>
        </is>
      </c>
      <c r="D142" s="2" t="inlineStr">
        <is>
          <t>P06</t>
        </is>
      </c>
      <c r="E142" s="4" t="n">
        <v>44509861</v>
      </c>
      <c r="F142" s="2" t="inlineStr">
        <is>
          <t>Branch</t>
        </is>
      </c>
      <c r="G142" s="2" t="n"/>
      <c r="H142" s="2" t="inlineStr">
        <is>
          <t>USD</t>
        </is>
      </c>
      <c r="I142" s="7" t="n">
        <v>248000</v>
      </c>
      <c r="J142" s="2" t="inlineStr">
        <is>
          <t>E104</t>
        </is>
      </c>
      <c r="K142" s="2" t="inlineStr">
        <is>
          <t>Completed</t>
        </is>
      </c>
    </row>
    <row r="143">
      <c r="A143" s="2" t="inlineStr">
        <is>
          <t>T00142</t>
        </is>
      </c>
      <c r="B143" s="3" t="n">
        <v>45707.52777777778</v>
      </c>
      <c r="C143" s="2" t="inlineStr">
        <is>
          <t>B03</t>
        </is>
      </c>
      <c r="D143" s="2" t="inlineStr">
        <is>
          <t>P02</t>
        </is>
      </c>
      <c r="E143" s="4" t="n">
        <v>5990686117</v>
      </c>
      <c r="F143" s="2" t="inlineStr">
        <is>
          <t>Phone Banking</t>
        </is>
      </c>
      <c r="G143" s="2" t="n"/>
      <c r="H143" s="2" t="inlineStr">
        <is>
          <t>HKD</t>
        </is>
      </c>
      <c r="I143" s="7" t="n">
        <v>367000</v>
      </c>
      <c r="J143" s="2" t="n"/>
      <c r="K143" s="2" t="inlineStr">
        <is>
          <t>Completed</t>
        </is>
      </c>
    </row>
    <row r="144">
      <c r="A144" s="2" t="inlineStr">
        <is>
          <t>T00143</t>
        </is>
      </c>
      <c r="B144" s="3" t="n">
        <v>45707.57291666666</v>
      </c>
      <c r="C144" s="2" t="inlineStr">
        <is>
          <t>B03</t>
        </is>
      </c>
      <c r="D144" s="2" t="inlineStr">
        <is>
          <t>P01</t>
        </is>
      </c>
      <c r="E144" s="4" t="n">
        <v>2751672943</v>
      </c>
      <c r="F144" s="2" t="inlineStr">
        <is>
          <t>Phone Banking</t>
        </is>
      </c>
      <c r="G144" s="2" t="inlineStr">
        <is>
          <t>CMP-CNY25</t>
        </is>
      </c>
      <c r="H144" s="2" t="inlineStr">
        <is>
          <t>USD</t>
        </is>
      </c>
      <c r="I144" s="7" t="n">
        <v>216000</v>
      </c>
      <c r="J144" s="2" t="inlineStr">
        <is>
          <t>E105</t>
        </is>
      </c>
      <c r="K144" s="2" t="inlineStr">
        <is>
          <t>Completed</t>
        </is>
      </c>
    </row>
    <row r="145">
      <c r="A145" s="2" t="inlineStr">
        <is>
          <t>T00144</t>
        </is>
      </c>
      <c r="B145" s="3" t="n">
        <v>45707.57986111111</v>
      </c>
      <c r="C145" s="2" t="inlineStr">
        <is>
          <t>B03</t>
        </is>
      </c>
      <c r="D145" s="2" t="inlineStr">
        <is>
          <t>P07</t>
        </is>
      </c>
      <c r="E145" s="4" t="n">
        <v>7667641457</v>
      </c>
      <c r="F145" s="2" t="inlineStr">
        <is>
          <t>Phone Banking</t>
        </is>
      </c>
      <c r="G145" s="2" t="n"/>
      <c r="H145" s="2" t="inlineStr">
        <is>
          <t>USD</t>
        </is>
      </c>
      <c r="I145" s="7" t="n">
        <v>56000</v>
      </c>
      <c r="J145" s="2" t="n"/>
      <c r="K145" s="2" t="inlineStr">
        <is>
          <t>Completed</t>
        </is>
      </c>
    </row>
    <row r="146">
      <c r="A146" s="2" t="inlineStr">
        <is>
          <t>T00145</t>
        </is>
      </c>
      <c r="B146" s="3" t="n">
        <v>45707.62152777778</v>
      </c>
      <c r="C146" s="2" t="inlineStr">
        <is>
          <t>B01</t>
        </is>
      </c>
      <c r="D146" s="2" t="inlineStr">
        <is>
          <t>P03</t>
        </is>
      </c>
      <c r="E146" s="4" t="n">
        <v>9627692505</v>
      </c>
      <c r="F146" s="2" t="inlineStr">
        <is>
          <t>Branch</t>
        </is>
      </c>
      <c r="G146" s="2" t="inlineStr">
        <is>
          <t>CMP-CNY25</t>
        </is>
      </c>
      <c r="H146" s="2" t="inlineStr">
        <is>
          <t>CNY</t>
        </is>
      </c>
      <c r="I146" s="7" t="n">
        <v>1561000</v>
      </c>
      <c r="J146" s="2" t="inlineStr">
        <is>
          <t>E111</t>
        </is>
      </c>
      <c r="K146" s="2" t="inlineStr">
        <is>
          <t>Completed</t>
        </is>
      </c>
    </row>
    <row r="147">
      <c r="A147" s="2" t="inlineStr">
        <is>
          <t>T00146</t>
        </is>
      </c>
      <c r="B147" s="3" t="n">
        <v>45707.71527777778</v>
      </c>
      <c r="C147" s="2" t="inlineStr">
        <is>
          <t>B02</t>
        </is>
      </c>
      <c r="D147" s="2" t="inlineStr">
        <is>
          <t>P03</t>
        </is>
      </c>
      <c r="E147" s="4" t="inlineStr">
        <is>
          <t>0044509861</t>
        </is>
      </c>
      <c r="F147" s="2" t="inlineStr">
        <is>
          <t>Branch</t>
        </is>
      </c>
      <c r="G147" s="2" t="inlineStr">
        <is>
          <t>CMP-CNY25</t>
        </is>
      </c>
      <c r="H147" s="2" t="inlineStr">
        <is>
          <t>USD</t>
        </is>
      </c>
      <c r="I147" s="7" t="n">
        <v>87000</v>
      </c>
      <c r="J147" s="2" t="inlineStr">
        <is>
          <t>E1O3</t>
        </is>
      </c>
      <c r="K147" s="2" t="inlineStr">
        <is>
          <t>Completed</t>
        </is>
      </c>
    </row>
    <row r="148">
      <c r="A148" s="2" t="inlineStr">
        <is>
          <t>T00147</t>
        </is>
      </c>
      <c r="B148" s="3" t="n">
        <v>45707.72916666666</v>
      </c>
      <c r="C148" s="2" t="inlineStr">
        <is>
          <t>B01</t>
        </is>
      </c>
      <c r="D148" s="2" t="inlineStr">
        <is>
          <t>P07</t>
        </is>
      </c>
      <c r="E148" s="4" t="n">
        <v>4309083358</v>
      </c>
      <c r="F148" s="2" t="inlineStr">
        <is>
          <t>Mobile App</t>
        </is>
      </c>
      <c r="G148" s="2" t="n"/>
      <c r="H148" s="2" t="inlineStr">
        <is>
          <t>USD</t>
        </is>
      </c>
      <c r="I148" s="7" t="n">
        <v>97000</v>
      </c>
      <c r="J148" s="2" t="n"/>
      <c r="K148" s="2" t="inlineStr">
        <is>
          <t>Completed</t>
        </is>
      </c>
    </row>
    <row r="149">
      <c r="A149" s="2" t="inlineStr">
        <is>
          <t>T00148</t>
        </is>
      </c>
      <c r="B149" s="3" t="n">
        <v>45708.41666666666</v>
      </c>
      <c r="C149" s="2" t="inlineStr">
        <is>
          <t>B03</t>
        </is>
      </c>
      <c r="D149" s="2" t="inlineStr">
        <is>
          <t>P06</t>
        </is>
      </c>
      <c r="E149" s="4" t="n">
        <v>8383656346</v>
      </c>
      <c r="F149" s="2" t="inlineStr">
        <is>
          <t>Branch</t>
        </is>
      </c>
      <c r="G149" s="2" t="inlineStr">
        <is>
          <t>CMP-CNY25</t>
        </is>
      </c>
      <c r="H149" s="2" t="inlineStr">
        <is>
          <t>USD</t>
        </is>
      </c>
      <c r="I149" s="7" t="n">
        <v>131000</v>
      </c>
      <c r="J149" s="2" t="inlineStr">
        <is>
          <t>E109</t>
        </is>
      </c>
      <c r="K149" s="2" t="inlineStr">
        <is>
          <t>Completed</t>
        </is>
      </c>
    </row>
    <row r="150">
      <c r="A150" s="2" t="inlineStr">
        <is>
          <t>T00149</t>
        </is>
      </c>
      <c r="B150" s="3" t="n">
        <v>45708.46875</v>
      </c>
      <c r="C150" s="2" t="inlineStr">
        <is>
          <t>B02</t>
        </is>
      </c>
      <c r="D150" s="2" t="inlineStr">
        <is>
          <t>P03</t>
        </is>
      </c>
      <c r="E150" s="4" t="n">
        <v>6989217536</v>
      </c>
      <c r="F150" s="2" t="inlineStr">
        <is>
          <t>Mobile App</t>
        </is>
      </c>
      <c r="G150" s="2" t="inlineStr">
        <is>
          <t>CMP-CNY25</t>
        </is>
      </c>
      <c r="H150" s="2" t="inlineStr">
        <is>
          <t>USD</t>
        </is>
      </c>
      <c r="I150" s="7" t="n">
        <v>27000</v>
      </c>
      <c r="J150" s="2" t="inlineStr">
        <is>
          <t>E103</t>
        </is>
      </c>
      <c r="K150" s="2" t="inlineStr">
        <is>
          <t>Completed</t>
        </is>
      </c>
    </row>
    <row r="151">
      <c r="A151" s="2" t="inlineStr">
        <is>
          <t>T00150</t>
        </is>
      </c>
      <c r="B151" s="3" t="n">
        <v>45708.63541666666</v>
      </c>
      <c r="C151" s="2" t="inlineStr">
        <is>
          <t>B01</t>
        </is>
      </c>
      <c r="D151" s="2" t="inlineStr">
        <is>
          <t>P02</t>
        </is>
      </c>
      <c r="E151" s="4" t="n">
        <v>55691590</v>
      </c>
      <c r="F151" s="2" t="inlineStr">
        <is>
          <t>Mobile App</t>
        </is>
      </c>
      <c r="G151" s="2" t="inlineStr">
        <is>
          <t>CMP-CNY25</t>
        </is>
      </c>
      <c r="H151" s="2" t="inlineStr">
        <is>
          <t>HKD</t>
        </is>
      </c>
      <c r="I151" s="7" t="n">
        <v>1903000</v>
      </c>
      <c r="J151" s="2" t="n"/>
      <c r="K151" s="2" t="inlineStr">
        <is>
          <t>Completed</t>
        </is>
      </c>
    </row>
    <row r="152">
      <c r="A152" s="2" t="inlineStr">
        <is>
          <t>T00151</t>
        </is>
      </c>
      <c r="B152" s="3" t="n">
        <v>45708.71875</v>
      </c>
      <c r="C152" s="2" t="inlineStr">
        <is>
          <t>B01</t>
        </is>
      </c>
      <c r="D152" s="2" t="inlineStr">
        <is>
          <t>P06</t>
        </is>
      </c>
      <c r="E152" s="4" t="n">
        <v>7186063045</v>
      </c>
      <c r="F152" s="2" t="inlineStr">
        <is>
          <t>Branch</t>
        </is>
      </c>
      <c r="G152" s="2" t="inlineStr">
        <is>
          <t>CMP-CNY25</t>
        </is>
      </c>
      <c r="H152" s="2" t="inlineStr">
        <is>
          <t>USD</t>
        </is>
      </c>
      <c r="I152" s="7" t="n">
        <v>291000</v>
      </c>
      <c r="J152" s="2" t="inlineStr">
        <is>
          <t>E101</t>
        </is>
      </c>
      <c r="K152" s="2" t="inlineStr">
        <is>
          <t>Completed</t>
        </is>
      </c>
    </row>
    <row r="153">
      <c r="A153" s="2" t="inlineStr">
        <is>
          <t>T00152</t>
        </is>
      </c>
      <c r="B153" s="3" t="n">
        <v>45709.4375</v>
      </c>
      <c r="C153" s="2" t="inlineStr">
        <is>
          <t>B01</t>
        </is>
      </c>
      <c r="D153" s="2" t="inlineStr">
        <is>
          <t>P07</t>
        </is>
      </c>
      <c r="E153" s="4" t="n">
        <v>4309083358</v>
      </c>
      <c r="F153" s="2" t="inlineStr">
        <is>
          <t>Phone Banking</t>
        </is>
      </c>
      <c r="G153" s="2" t="inlineStr">
        <is>
          <t>CMP-CNY25</t>
        </is>
      </c>
      <c r="H153" s="2" t="inlineStr">
        <is>
          <t>HKD</t>
        </is>
      </c>
      <c r="I153" s="7" t="n">
        <v>1217000</v>
      </c>
      <c r="J153" s="2" t="inlineStr">
        <is>
          <t>E103</t>
        </is>
      </c>
      <c r="K153" s="2" t="inlineStr">
        <is>
          <t>Completed</t>
        </is>
      </c>
    </row>
    <row r="154">
      <c r="A154" s="2" t="inlineStr">
        <is>
          <t>T00153</t>
        </is>
      </c>
      <c r="B154" s="3" t="n">
        <v>45709.48958333334</v>
      </c>
      <c r="C154" s="2" t="inlineStr">
        <is>
          <t>B01</t>
        </is>
      </c>
      <c r="D154" s="2" t="inlineStr">
        <is>
          <t>P03</t>
        </is>
      </c>
      <c r="E154" s="4" t="n">
        <v>9627692505</v>
      </c>
      <c r="F154" s="2" t="inlineStr">
        <is>
          <t>Phone Banking</t>
        </is>
      </c>
      <c r="G154" s="2" t="inlineStr">
        <is>
          <t>CMP-CNY25</t>
        </is>
      </c>
      <c r="H154" s="2" t="inlineStr">
        <is>
          <t>HKD</t>
        </is>
      </c>
      <c r="I154" s="7" t="n">
        <v>2309000</v>
      </c>
      <c r="J154" s="2" t="inlineStr">
        <is>
          <t>E102</t>
        </is>
      </c>
      <c r="K154" s="2" t="inlineStr">
        <is>
          <t>Completed</t>
        </is>
      </c>
    </row>
    <row r="155">
      <c r="A155" s="2" t="inlineStr">
        <is>
          <t>T00154</t>
        </is>
      </c>
      <c r="B155" s="3" t="n">
        <v>45709.51736111111</v>
      </c>
      <c r="C155" s="2" t="inlineStr">
        <is>
          <t>B01</t>
        </is>
      </c>
      <c r="D155" s="2" t="inlineStr">
        <is>
          <t>P01</t>
        </is>
      </c>
      <c r="E155" s="4" t="n">
        <v>55691590</v>
      </c>
      <c r="F155" s="2" t="inlineStr">
        <is>
          <t>Mobile App</t>
        </is>
      </c>
      <c r="G155" s="2" t="n"/>
      <c r="H155" s="2" t="inlineStr">
        <is>
          <t>HKD</t>
        </is>
      </c>
      <c r="I155" s="7" t="n">
        <v>1989000</v>
      </c>
      <c r="J155" s="2" t="inlineStr">
        <is>
          <t>E102</t>
        </is>
      </c>
      <c r="K155" s="2" t="inlineStr">
        <is>
          <t>Completed</t>
        </is>
      </c>
    </row>
    <row r="156">
      <c r="A156" s="2" t="inlineStr">
        <is>
          <t>T00155</t>
        </is>
      </c>
      <c r="B156" s="3" t="n">
        <v>45712.44444444445</v>
      </c>
      <c r="C156" s="2" t="inlineStr">
        <is>
          <t>B02</t>
        </is>
      </c>
      <c r="D156" s="2" t="inlineStr">
        <is>
          <t>P05</t>
        </is>
      </c>
      <c r="E156" s="4" t="n">
        <v>3207719945</v>
      </c>
      <c r="F156" s="2" t="inlineStr">
        <is>
          <t>Branch</t>
        </is>
      </c>
      <c r="G156" s="2" t="inlineStr">
        <is>
          <t>CMP-CNY25</t>
        </is>
      </c>
      <c r="H156" s="2" t="inlineStr">
        <is>
          <t>HKD</t>
        </is>
      </c>
      <c r="I156" s="7" t="n">
        <v>1973000</v>
      </c>
      <c r="J156" s="2" t="inlineStr">
        <is>
          <t>E108</t>
        </is>
      </c>
      <c r="K156" s="2" t="inlineStr">
        <is>
          <t>Completed</t>
        </is>
      </c>
    </row>
    <row r="157">
      <c r="A157" s="2" t="inlineStr">
        <is>
          <t>T00156</t>
        </is>
      </c>
      <c r="B157" s="3" t="n">
        <v>45712.54513888889</v>
      </c>
      <c r="C157" s="2" t="inlineStr">
        <is>
          <t>B02</t>
        </is>
      </c>
      <c r="D157" s="2" t="inlineStr">
        <is>
          <t>P03</t>
        </is>
      </c>
      <c r="E157" s="4" t="n">
        <v>2897597490</v>
      </c>
      <c r="F157" s="2" t="inlineStr">
        <is>
          <t>Phone Banking</t>
        </is>
      </c>
      <c r="G157" s="2" t="n"/>
      <c r="H157" s="2" t="inlineStr">
        <is>
          <t>USD</t>
        </is>
      </c>
      <c r="I157" s="7" t="n">
        <v>3000</v>
      </c>
      <c r="J157" s="2" t="inlineStr">
        <is>
          <t>E103</t>
        </is>
      </c>
      <c r="K157" s="2" t="inlineStr">
        <is>
          <t>Completed</t>
        </is>
      </c>
    </row>
    <row r="158">
      <c r="A158" s="2" t="inlineStr">
        <is>
          <t>T00157</t>
        </is>
      </c>
      <c r="B158" s="3" t="n">
        <v>45712.55555555555</v>
      </c>
      <c r="C158" s="2" t="inlineStr">
        <is>
          <t>B02</t>
        </is>
      </c>
      <c r="D158" s="2" t="inlineStr">
        <is>
          <t>P08</t>
        </is>
      </c>
      <c r="E158" s="4" t="n">
        <v>4085391267</v>
      </c>
      <c r="F158" s="2" t="inlineStr">
        <is>
          <t>Mobile App</t>
        </is>
      </c>
      <c r="G158" s="2" t="inlineStr">
        <is>
          <t>CMP-CNY25</t>
        </is>
      </c>
      <c r="H158" s="2" t="inlineStr">
        <is>
          <t>USD</t>
        </is>
      </c>
      <c r="I158" s="7" t="n">
        <v>119000</v>
      </c>
      <c r="J158" s="2" t="n"/>
      <c r="K158" s="2" t="inlineStr">
        <is>
          <t>Completed</t>
        </is>
      </c>
    </row>
    <row r="159">
      <c r="A159" s="2" t="inlineStr">
        <is>
          <t>T00158</t>
        </is>
      </c>
      <c r="B159" s="3" t="n">
        <v>45712.61111111111</v>
      </c>
      <c r="C159" s="2" t="inlineStr">
        <is>
          <t>B01</t>
        </is>
      </c>
      <c r="D159" s="2" t="inlineStr">
        <is>
          <t>P08</t>
        </is>
      </c>
      <c r="E159" s="4" t="inlineStr">
        <is>
          <t>0071204459</t>
        </is>
      </c>
      <c r="F159" s="2" t="inlineStr">
        <is>
          <t>Mobile App</t>
        </is>
      </c>
      <c r="G159" s="2" t="n"/>
      <c r="H159" s="2" t="inlineStr">
        <is>
          <t>CNY</t>
        </is>
      </c>
      <c r="I159" s="7" t="n">
        <v>3744000</v>
      </c>
      <c r="J159" s="2" t="n"/>
      <c r="K159" s="2" t="inlineStr">
        <is>
          <t>Completed</t>
        </is>
      </c>
    </row>
    <row r="160">
      <c r="A160" s="2" t="inlineStr">
        <is>
          <t>T00159</t>
        </is>
      </c>
      <c r="B160" s="3" t="n">
        <v>45712.61805555555</v>
      </c>
      <c r="C160" s="2" t="inlineStr">
        <is>
          <t>B02</t>
        </is>
      </c>
      <c r="D160" s="2" t="inlineStr">
        <is>
          <t>P04</t>
        </is>
      </c>
      <c r="E160" s="4" t="n">
        <v>8523286479</v>
      </c>
      <c r="F160" s="2" t="inlineStr">
        <is>
          <t>Branch</t>
        </is>
      </c>
      <c r="G160" s="2" t="n"/>
      <c r="H160" s="2" t="inlineStr">
        <is>
          <t>USD</t>
        </is>
      </c>
      <c r="I160" s="7" t="n">
        <v>41000</v>
      </c>
      <c r="J160" s="2" t="inlineStr">
        <is>
          <t>E104</t>
        </is>
      </c>
      <c r="K160" s="2" t="inlineStr">
        <is>
          <t>Completed</t>
        </is>
      </c>
    </row>
    <row r="161">
      <c r="A161" s="2" t="inlineStr">
        <is>
          <t>T00160</t>
        </is>
      </c>
      <c r="B161" s="3" t="n">
        <v>45712.67361111111</v>
      </c>
      <c r="C161" s="2" t="inlineStr">
        <is>
          <t>B03</t>
        </is>
      </c>
      <c r="D161" s="2" t="inlineStr">
        <is>
          <t>P06</t>
        </is>
      </c>
      <c r="E161" s="4" t="n">
        <v>1003425081</v>
      </c>
      <c r="F161" s="2" t="inlineStr">
        <is>
          <t>Phone Banking</t>
        </is>
      </c>
      <c r="G161" s="2" t="inlineStr">
        <is>
          <t>CMP-CNY25</t>
        </is>
      </c>
      <c r="H161" s="2" t="inlineStr">
        <is>
          <t>USD</t>
        </is>
      </c>
      <c r="I161" s="7" t="n">
        <v>383000</v>
      </c>
      <c r="J161" s="2" t="inlineStr">
        <is>
          <t>E105</t>
        </is>
      </c>
      <c r="K161" s="2" t="inlineStr">
        <is>
          <t>Completed</t>
        </is>
      </c>
    </row>
    <row r="162">
      <c r="A162" s="2" t="inlineStr">
        <is>
          <t>T00161</t>
        </is>
      </c>
      <c r="B162" s="3" t="n">
        <v>45712.77083333334</v>
      </c>
      <c r="C162" s="2" t="inlineStr">
        <is>
          <t>B01</t>
        </is>
      </c>
      <c r="D162" s="2" t="inlineStr">
        <is>
          <t>P07</t>
        </is>
      </c>
      <c r="E162" s="4" t="n">
        <v>5185642036</v>
      </c>
      <c r="F162" s="2" t="inlineStr">
        <is>
          <t>Phone Banking</t>
        </is>
      </c>
      <c r="G162" s="2" t="inlineStr">
        <is>
          <t>CMP-CNY25</t>
        </is>
      </c>
      <c r="H162" s="2" t="inlineStr">
        <is>
          <t>USD</t>
        </is>
      </c>
      <c r="I162" s="7" t="n">
        <v>193000</v>
      </c>
      <c r="J162" s="2" t="n"/>
      <c r="K162" s="2" t="inlineStr">
        <is>
          <t>Completed</t>
        </is>
      </c>
    </row>
    <row r="163">
      <c r="A163" s="2" t="inlineStr">
        <is>
          <t>T00162</t>
        </is>
      </c>
      <c r="B163" s="3" t="n">
        <v>45713.47916666666</v>
      </c>
      <c r="C163" s="2" t="inlineStr">
        <is>
          <t>B03</t>
        </is>
      </c>
      <c r="D163" s="2" t="inlineStr">
        <is>
          <t>P06</t>
        </is>
      </c>
      <c r="E163" s="4" t="n">
        <v>1272084999</v>
      </c>
      <c r="F163" s="2" t="inlineStr">
        <is>
          <t>Phone Banking</t>
        </is>
      </c>
      <c r="G163" s="2" t="n"/>
      <c r="H163" s="2" t="inlineStr">
        <is>
          <t>USD</t>
        </is>
      </c>
      <c r="I163" s="7" t="n">
        <v>90000</v>
      </c>
      <c r="J163" s="2" t="inlineStr">
        <is>
          <t>E105</t>
        </is>
      </c>
      <c r="K163" s="2" t="inlineStr">
        <is>
          <t>Completed</t>
        </is>
      </c>
    </row>
    <row r="164">
      <c r="A164" s="2" t="inlineStr">
        <is>
          <t>T00163</t>
        </is>
      </c>
      <c r="B164" s="3" t="n">
        <v>45713.57291666666</v>
      </c>
      <c r="C164" s="2" t="inlineStr">
        <is>
          <t>B03</t>
        </is>
      </c>
      <c r="D164" s="2" t="inlineStr">
        <is>
          <t>P01</t>
        </is>
      </c>
      <c r="E164" s="4" t="n">
        <v>6130984472</v>
      </c>
      <c r="F164" s="2" t="inlineStr">
        <is>
          <t>Mobile App</t>
        </is>
      </c>
      <c r="G164" s="2" t="n"/>
      <c r="H164" s="2" t="inlineStr">
        <is>
          <t>HKD</t>
        </is>
      </c>
      <c r="I164" s="7" t="n">
        <v>15000</v>
      </c>
      <c r="J164" s="2" t="inlineStr">
        <is>
          <t>E105</t>
        </is>
      </c>
      <c r="K164" s="2" t="inlineStr">
        <is>
          <t>Completed</t>
        </is>
      </c>
    </row>
    <row r="165">
      <c r="A165" s="2" t="inlineStr">
        <is>
          <t>T00164</t>
        </is>
      </c>
      <c r="B165" s="3" t="n">
        <v>45713.63888888889</v>
      </c>
      <c r="C165" s="2" t="inlineStr">
        <is>
          <t>B02</t>
        </is>
      </c>
      <c r="D165" s="2" t="inlineStr">
        <is>
          <t>P08</t>
        </is>
      </c>
      <c r="E165" s="4" t="n">
        <v>8355315526</v>
      </c>
      <c r="F165" s="2" t="inlineStr">
        <is>
          <t>Mobile App</t>
        </is>
      </c>
      <c r="G165" s="2" t="inlineStr">
        <is>
          <t>CMP-CNY25</t>
        </is>
      </c>
      <c r="H165" s="2" t="inlineStr">
        <is>
          <t>USD</t>
        </is>
      </c>
      <c r="I165" s="7" t="n">
        <v>25000</v>
      </c>
      <c r="J165" s="2" t="inlineStr">
        <is>
          <t>E103</t>
        </is>
      </c>
      <c r="K165" s="2" t="inlineStr">
        <is>
          <t>Completed</t>
        </is>
      </c>
    </row>
    <row r="166">
      <c r="A166" s="2" t="inlineStr">
        <is>
          <t>T00165</t>
        </is>
      </c>
      <c r="B166" s="3" t="n">
        <v>45714.40972222222</v>
      </c>
      <c r="C166" s="2" t="inlineStr">
        <is>
          <t>B01</t>
        </is>
      </c>
      <c r="D166" s="2" t="inlineStr">
        <is>
          <t>P06</t>
        </is>
      </c>
      <c r="E166" s="4" t="n">
        <v>9627692505</v>
      </c>
      <c r="F166" s="2" t="inlineStr">
        <is>
          <t>Branch</t>
        </is>
      </c>
      <c r="G166" s="2" t="n"/>
      <c r="H166" s="2" t="inlineStr">
        <is>
          <t>HKD</t>
        </is>
      </c>
      <c r="I166" s="7" t="n">
        <v>4470000</v>
      </c>
      <c r="J166" s="2" t="inlineStr">
        <is>
          <t>E11</t>
        </is>
      </c>
      <c r="K166" s="2" t="inlineStr">
        <is>
          <t>Completed</t>
        </is>
      </c>
    </row>
    <row r="167">
      <c r="A167" s="2" t="inlineStr">
        <is>
          <t>T00166</t>
        </is>
      </c>
      <c r="B167" s="3" t="n">
        <v>45714.41319444445</v>
      </c>
      <c r="C167" s="2" t="inlineStr">
        <is>
          <t>B02</t>
        </is>
      </c>
      <c r="D167" s="2" t="inlineStr">
        <is>
          <t>P08</t>
        </is>
      </c>
      <c r="E167" s="4" t="n">
        <v>4085391267</v>
      </c>
      <c r="F167" s="2" t="inlineStr">
        <is>
          <t>Phone Banking</t>
        </is>
      </c>
      <c r="G167" s="2" t="inlineStr">
        <is>
          <t>CMP-CNY25</t>
        </is>
      </c>
      <c r="H167" s="2" t="inlineStr">
        <is>
          <t>USD</t>
        </is>
      </c>
      <c r="I167" s="7" t="n">
        <v>429000</v>
      </c>
      <c r="J167" s="2" t="inlineStr">
        <is>
          <t>E103</t>
        </is>
      </c>
      <c r="K167" s="2" t="inlineStr">
        <is>
          <t>Cancelled</t>
        </is>
      </c>
    </row>
    <row r="168">
      <c r="A168" s="2" t="inlineStr">
        <is>
          <t>T00167</t>
        </is>
      </c>
      <c r="B168" s="3" t="n">
        <v>45714.42013888889</v>
      </c>
      <c r="C168" s="2" t="inlineStr">
        <is>
          <t>B01</t>
        </is>
      </c>
      <c r="D168" s="2" t="inlineStr">
        <is>
          <t>P02</t>
        </is>
      </c>
      <c r="E168" s="4" t="inlineStr">
        <is>
          <t>0019295191</t>
        </is>
      </c>
      <c r="F168" s="2" t="inlineStr">
        <is>
          <t>Branch</t>
        </is>
      </c>
      <c r="G168" s="2" t="n"/>
      <c r="H168" s="2" t="inlineStr">
        <is>
          <t>USD</t>
        </is>
      </c>
      <c r="I168" s="7" t="n">
        <v>71000</v>
      </c>
      <c r="J168" s="2" t="inlineStr">
        <is>
          <t>E111</t>
        </is>
      </c>
      <c r="K168" s="2" t="inlineStr">
        <is>
          <t>Completed</t>
        </is>
      </c>
    </row>
    <row r="169">
      <c r="A169" s="2" t="inlineStr">
        <is>
          <t>T00168</t>
        </is>
      </c>
      <c r="B169" s="3" t="n">
        <v>45714.42361111111</v>
      </c>
      <c r="C169" s="2" t="inlineStr">
        <is>
          <t>B03</t>
        </is>
      </c>
      <c r="D169" s="2" t="inlineStr">
        <is>
          <t>P07</t>
        </is>
      </c>
      <c r="E169" s="4" t="n">
        <v>2751672943</v>
      </c>
      <c r="F169" s="2" t="inlineStr">
        <is>
          <t>Branch</t>
        </is>
      </c>
      <c r="G169" s="2" t="inlineStr">
        <is>
          <t>CMP-CNY25</t>
        </is>
      </c>
      <c r="H169" s="2" t="inlineStr">
        <is>
          <t>USD</t>
        </is>
      </c>
      <c r="I169" s="7" t="n">
        <v>556000</v>
      </c>
      <c r="J169" s="2" t="inlineStr">
        <is>
          <t>E105</t>
        </is>
      </c>
      <c r="K169" s="2" t="inlineStr">
        <is>
          <t>Completed</t>
        </is>
      </c>
    </row>
    <row r="170">
      <c r="A170" s="2" t="inlineStr">
        <is>
          <t>T00169</t>
        </is>
      </c>
      <c r="B170" s="3" t="n">
        <v>45714.49652777778</v>
      </c>
      <c r="C170" s="2" t="inlineStr">
        <is>
          <t>B03</t>
        </is>
      </c>
      <c r="D170" s="2" t="inlineStr">
        <is>
          <t>P07</t>
        </is>
      </c>
      <c r="E170" s="4" t="n">
        <v>7667641457</v>
      </c>
      <c r="F170" s="2" t="inlineStr">
        <is>
          <t>Phone Banking</t>
        </is>
      </c>
      <c r="G170" s="2" t="inlineStr">
        <is>
          <t>CMP-CNY25</t>
        </is>
      </c>
      <c r="H170" s="2" t="inlineStr">
        <is>
          <t>HKD</t>
        </is>
      </c>
      <c r="I170" s="7" t="n">
        <v>117000</v>
      </c>
      <c r="J170" s="2" t="inlineStr">
        <is>
          <t>E105</t>
        </is>
      </c>
      <c r="K170" s="2" t="inlineStr">
        <is>
          <t>Completed</t>
        </is>
      </c>
    </row>
    <row r="171">
      <c r="A171" s="2" t="inlineStr">
        <is>
          <t>T00170</t>
        </is>
      </c>
      <c r="B171" s="3" t="n">
        <v>45715.50347222222</v>
      </c>
      <c r="C171" s="2" t="inlineStr">
        <is>
          <t>B01</t>
        </is>
      </c>
      <c r="D171" s="2" t="inlineStr">
        <is>
          <t>P01</t>
        </is>
      </c>
      <c r="E171" s="4" t="inlineStr">
        <is>
          <t>0055691590</t>
        </is>
      </c>
      <c r="F171" s="2" t="inlineStr">
        <is>
          <t>Phone Banking</t>
        </is>
      </c>
      <c r="G171" s="2" t="inlineStr">
        <is>
          <t>CMP-CNY25</t>
        </is>
      </c>
      <c r="H171" s="2" t="inlineStr">
        <is>
          <t>HKD</t>
        </is>
      </c>
      <c r="I171" s="7" t="n">
        <v>2262000</v>
      </c>
      <c r="J171" s="2" t="inlineStr">
        <is>
          <t>E101</t>
        </is>
      </c>
      <c r="K171" s="2" t="inlineStr">
        <is>
          <t>Completed</t>
        </is>
      </c>
    </row>
    <row r="172">
      <c r="A172" s="2" t="inlineStr">
        <is>
          <t>T00171</t>
        </is>
      </c>
      <c r="B172" s="3" t="n">
        <v>45715.5625</v>
      </c>
      <c r="C172" s="2" t="inlineStr">
        <is>
          <t>B01</t>
        </is>
      </c>
      <c r="D172" s="2" t="inlineStr">
        <is>
          <t>P07</t>
        </is>
      </c>
      <c r="E172" s="4" t="n">
        <v>9627692505</v>
      </c>
      <c r="F172" s="2" t="inlineStr">
        <is>
          <t>Mobile App</t>
        </is>
      </c>
      <c r="G172" s="2" t="n"/>
      <c r="H172" s="2" t="inlineStr">
        <is>
          <t>USD</t>
        </is>
      </c>
      <c r="I172" s="7" t="n">
        <v>346000</v>
      </c>
      <c r="J172" s="2" t="inlineStr">
        <is>
          <t>E103</t>
        </is>
      </c>
      <c r="K172" s="2" t="inlineStr">
        <is>
          <t>Completed</t>
        </is>
      </c>
    </row>
    <row r="173">
      <c r="A173" s="2" t="inlineStr">
        <is>
          <t>T00172</t>
        </is>
      </c>
      <c r="B173" s="3" t="n">
        <v>45715.59027777778</v>
      </c>
      <c r="C173" s="2" t="inlineStr">
        <is>
          <t>B03</t>
        </is>
      </c>
      <c r="D173" s="2" t="inlineStr">
        <is>
          <t>P04</t>
        </is>
      </c>
      <c r="E173" s="4" t="n">
        <v>1272084999</v>
      </c>
      <c r="F173" s="2" t="inlineStr">
        <is>
          <t>Branch</t>
        </is>
      </c>
      <c r="G173" s="2" t="inlineStr">
        <is>
          <t>CMP-CNY25</t>
        </is>
      </c>
      <c r="H173" s="2" t="inlineStr">
        <is>
          <t>USD</t>
        </is>
      </c>
      <c r="I173" s="7" t="n">
        <v>24000</v>
      </c>
      <c r="J173" s="2" t="inlineStr">
        <is>
          <t>E103</t>
        </is>
      </c>
      <c r="K173" s="2" t="inlineStr">
        <is>
          <t>Completed</t>
        </is>
      </c>
    </row>
    <row r="174">
      <c r="A174" s="2" t="inlineStr">
        <is>
          <t>T00173</t>
        </is>
      </c>
      <c r="B174" s="3" t="n">
        <v>45716.40277777778</v>
      </c>
      <c r="C174" s="2" t="inlineStr">
        <is>
          <t>B02</t>
        </is>
      </c>
      <c r="D174" s="2" t="inlineStr">
        <is>
          <t>P01</t>
        </is>
      </c>
      <c r="E174" s="4" t="n">
        <v>5138950247</v>
      </c>
      <c r="F174" s="2" t="inlineStr">
        <is>
          <t>Branch</t>
        </is>
      </c>
      <c r="G174" s="2" t="inlineStr">
        <is>
          <t>CMP-CNY25</t>
        </is>
      </c>
      <c r="H174" s="2" t="inlineStr">
        <is>
          <t>HKD</t>
        </is>
      </c>
      <c r="I174" s="7" t="n">
        <v>226000</v>
      </c>
      <c r="J174" s="2" t="inlineStr">
        <is>
          <t>E104</t>
        </is>
      </c>
      <c r="K174" s="2" t="inlineStr">
        <is>
          <t>Completed</t>
        </is>
      </c>
    </row>
    <row r="175">
      <c r="A175" s="2" t="inlineStr">
        <is>
          <t>T00174</t>
        </is>
      </c>
      <c r="B175" s="3" t="n">
        <v>45716.46180555555</v>
      </c>
      <c r="C175" s="2" t="inlineStr">
        <is>
          <t>B01</t>
        </is>
      </c>
      <c r="D175" s="2" t="inlineStr">
        <is>
          <t>P07</t>
        </is>
      </c>
      <c r="E175" s="4" t="inlineStr">
        <is>
          <t>0071204459</t>
        </is>
      </c>
      <c r="F175" s="2" t="inlineStr">
        <is>
          <t>Branch</t>
        </is>
      </c>
      <c r="G175" s="2" t="inlineStr">
        <is>
          <t>CMP-CNY25</t>
        </is>
      </c>
      <c r="H175" s="2" t="inlineStr">
        <is>
          <t>HKD</t>
        </is>
      </c>
      <c r="I175" s="7" t="n">
        <v>1833000</v>
      </c>
      <c r="J175" s="2" t="inlineStr">
        <is>
          <t>E101</t>
        </is>
      </c>
      <c r="K175" s="2" t="inlineStr">
        <is>
          <t>Completed</t>
        </is>
      </c>
    </row>
    <row r="176">
      <c r="A176" s="2" t="inlineStr">
        <is>
          <t>T00175</t>
        </is>
      </c>
      <c r="B176" s="3" t="n">
        <v>45716.53125</v>
      </c>
      <c r="C176" s="2" t="inlineStr">
        <is>
          <t>B03</t>
        </is>
      </c>
      <c r="D176" s="2" t="inlineStr">
        <is>
          <t>P03</t>
        </is>
      </c>
      <c r="E176" s="4" t="n">
        <v>1272084999</v>
      </c>
      <c r="F176" s="2" t="inlineStr">
        <is>
          <t>Branch</t>
        </is>
      </c>
      <c r="G176" s="2" t="n"/>
      <c r="H176" s="2" t="inlineStr">
        <is>
          <t>USD</t>
        </is>
      </c>
      <c r="I176" s="7" t="n">
        <v>21000</v>
      </c>
      <c r="J176" s="2" t="inlineStr">
        <is>
          <t>E105</t>
        </is>
      </c>
      <c r="K176" s="2" t="inlineStr">
        <is>
          <t>Completed</t>
        </is>
      </c>
    </row>
    <row r="177">
      <c r="A177" s="2" t="inlineStr">
        <is>
          <t>T00176</t>
        </is>
      </c>
      <c r="B177" s="3" t="n">
        <v>45716.68055555555</v>
      </c>
      <c r="C177" s="2" t="inlineStr">
        <is>
          <t>B03</t>
        </is>
      </c>
      <c r="D177" s="2" t="inlineStr">
        <is>
          <t>P06</t>
        </is>
      </c>
      <c r="E177" s="4" t="n">
        <v>5512098834</v>
      </c>
      <c r="F177" s="2" t="inlineStr">
        <is>
          <t>Phone Banking</t>
        </is>
      </c>
      <c r="G177" s="2" t="n"/>
      <c r="H177" s="2" t="inlineStr">
        <is>
          <t>USD</t>
        </is>
      </c>
      <c r="I177" s="7" t="n">
        <v>122000</v>
      </c>
      <c r="J177" s="2" t="inlineStr">
        <is>
          <t>E105</t>
        </is>
      </c>
      <c r="K177" s="2" t="inlineStr">
        <is>
          <t>Completed</t>
        </is>
      </c>
    </row>
    <row r="178">
      <c r="A178" s="2" t="inlineStr">
        <is>
          <t>T00177</t>
        </is>
      </c>
      <c r="B178" s="3" t="n">
        <v>45716.72916666666</v>
      </c>
      <c r="C178" s="2" t="inlineStr">
        <is>
          <t>B01</t>
        </is>
      </c>
      <c r="D178" s="2" t="inlineStr">
        <is>
          <t>P08</t>
        </is>
      </c>
      <c r="E178" s="4" t="n">
        <v>2639172015</v>
      </c>
      <c r="F178" s="2" t="inlineStr">
        <is>
          <t>Phone Banking</t>
        </is>
      </c>
      <c r="G178" s="2" t="n"/>
      <c r="H178" s="2" t="inlineStr">
        <is>
          <t>USD</t>
        </is>
      </c>
      <c r="I178" s="7" t="n">
        <v>620000</v>
      </c>
      <c r="J178" s="2" t="inlineStr">
        <is>
          <t>E108</t>
        </is>
      </c>
      <c r="K178" s="2" t="inlineStr">
        <is>
          <t>Completed</t>
        </is>
      </c>
    </row>
    <row r="179">
      <c r="A179" s="2" t="inlineStr">
        <is>
          <t>T00178</t>
        </is>
      </c>
      <c r="B179" s="3" t="n">
        <v>45716.89583333334</v>
      </c>
      <c r="C179" s="2" t="inlineStr">
        <is>
          <t>B02</t>
        </is>
      </c>
      <c r="D179" s="2" t="inlineStr">
        <is>
          <t>P03</t>
        </is>
      </c>
      <c r="E179" s="4" t="n">
        <v>4206911990</v>
      </c>
      <c r="F179" s="2" t="inlineStr">
        <is>
          <t>Mobile App</t>
        </is>
      </c>
      <c r="G179" s="2" t="n"/>
      <c r="H179" s="2" t="inlineStr">
        <is>
          <t>USD</t>
        </is>
      </c>
      <c r="I179" s="7" t="n">
        <v>57000</v>
      </c>
      <c r="J179" s="2" t="n"/>
      <c r="K179" s="2" t="inlineStr">
        <is>
          <t>Completed</t>
        </is>
      </c>
    </row>
    <row r="180">
      <c r="A180" s="2" t="inlineStr">
        <is>
          <t>T00179</t>
        </is>
      </c>
      <c r="B180" s="3" t="n">
        <v>45718.38888888889</v>
      </c>
      <c r="C180" s="2" t="inlineStr">
        <is>
          <t>B02</t>
        </is>
      </c>
      <c r="D180" s="2" t="inlineStr">
        <is>
          <t>P03</t>
        </is>
      </c>
      <c r="E180" s="4" t="n">
        <v>3207719945</v>
      </c>
      <c r="F180" s="2" t="inlineStr">
        <is>
          <t>Mobile App</t>
        </is>
      </c>
      <c r="G180" s="2" t="n"/>
      <c r="H180" s="2" t="inlineStr">
        <is>
          <t>USD</t>
        </is>
      </c>
      <c r="I180" s="7" t="n">
        <v>246000</v>
      </c>
      <c r="J180" s="2" t="n"/>
      <c r="K180" s="2" t="inlineStr">
        <is>
          <t>Cancelled</t>
        </is>
      </c>
    </row>
    <row r="181">
      <c r="A181" s="2" t="inlineStr">
        <is>
          <t>T00180</t>
        </is>
      </c>
      <c r="B181" s="3" t="n">
        <v>45719.45486111111</v>
      </c>
      <c r="C181" s="2" t="inlineStr">
        <is>
          <t>B02</t>
        </is>
      </c>
      <c r="D181" s="2" t="inlineStr">
        <is>
          <t>P08</t>
        </is>
      </c>
      <c r="E181" s="4" t="n">
        <v>4206911990</v>
      </c>
      <c r="F181" s="2" t="inlineStr">
        <is>
          <t>Branch</t>
        </is>
      </c>
      <c r="G181" s="2" t="n"/>
      <c r="H181" s="2" t="inlineStr">
        <is>
          <t>CNY</t>
        </is>
      </c>
      <c r="I181" s="7" t="n">
        <v>1624000</v>
      </c>
      <c r="J181" s="2" t="inlineStr">
        <is>
          <t>E104</t>
        </is>
      </c>
      <c r="K181" s="2" t="inlineStr">
        <is>
          <t>Completed</t>
        </is>
      </c>
    </row>
    <row r="182">
      <c r="A182" s="2" t="inlineStr">
        <is>
          <t>T00181</t>
        </is>
      </c>
      <c r="B182" s="3" t="n">
        <v>45719.55555555555</v>
      </c>
      <c r="C182" s="2" t="inlineStr">
        <is>
          <t>B03</t>
        </is>
      </c>
      <c r="D182" s="2" t="inlineStr">
        <is>
          <t>P07</t>
        </is>
      </c>
      <c r="E182" s="4" t="n">
        <v>8383656346</v>
      </c>
      <c r="F182" s="2" t="inlineStr">
        <is>
          <t>Branch</t>
        </is>
      </c>
      <c r="G182" s="2" t="n"/>
      <c r="H182" s="2" t="inlineStr">
        <is>
          <t>USD</t>
        </is>
      </c>
      <c r="I182" s="7" t="n">
        <v>70000</v>
      </c>
      <c r="J182" s="2" t="inlineStr">
        <is>
          <t>E105</t>
        </is>
      </c>
      <c r="K182" s="2" t="inlineStr">
        <is>
          <t>Completed</t>
        </is>
      </c>
    </row>
    <row r="183">
      <c r="A183" s="2" t="inlineStr">
        <is>
          <t>T00182</t>
        </is>
      </c>
      <c r="B183" s="3" t="n">
        <v>45719.5625</v>
      </c>
      <c r="C183" s="2" t="inlineStr">
        <is>
          <t>B01</t>
        </is>
      </c>
      <c r="D183" s="2" t="inlineStr">
        <is>
          <t>P03</t>
        </is>
      </c>
      <c r="E183" s="4" t="n">
        <v>1809923365</v>
      </c>
      <c r="F183" s="2" t="inlineStr">
        <is>
          <t>Branch</t>
        </is>
      </c>
      <c r="G183" s="2" t="n"/>
      <c r="H183" s="2" t="inlineStr">
        <is>
          <t>USD</t>
        </is>
      </c>
      <c r="I183" s="7" t="n">
        <v>18000</v>
      </c>
      <c r="J183" s="2" t="inlineStr">
        <is>
          <t>E102</t>
        </is>
      </c>
      <c r="K183" s="2" t="inlineStr">
        <is>
          <t>Completed</t>
        </is>
      </c>
    </row>
    <row r="184">
      <c r="A184" s="2" t="inlineStr">
        <is>
          <t>T00183</t>
        </is>
      </c>
      <c r="B184" s="3" t="n">
        <v>45719.57986111111</v>
      </c>
      <c r="C184" s="2" t="inlineStr">
        <is>
          <t>B02</t>
        </is>
      </c>
      <c r="D184" s="2" t="inlineStr">
        <is>
          <t>P01</t>
        </is>
      </c>
      <c r="E184" s="4" t="n">
        <v>8805210249</v>
      </c>
      <c r="F184" s="2" t="inlineStr">
        <is>
          <t>Branch</t>
        </is>
      </c>
      <c r="G184" s="2" t="n"/>
      <c r="H184" s="2" t="inlineStr">
        <is>
          <t>USD</t>
        </is>
      </c>
      <c r="I184" s="7" t="n">
        <v>34000</v>
      </c>
      <c r="J184" s="2" t="inlineStr">
        <is>
          <t>E110</t>
        </is>
      </c>
      <c r="K184" s="2" t="inlineStr">
        <is>
          <t>Completed</t>
        </is>
      </c>
    </row>
    <row r="185">
      <c r="A185" s="2" t="inlineStr">
        <is>
          <t>T00184</t>
        </is>
      </c>
      <c r="B185" s="3" t="n">
        <v>45720.47916666666</v>
      </c>
      <c r="C185" s="2" t="inlineStr">
        <is>
          <t>B02</t>
        </is>
      </c>
      <c r="D185" s="2" t="inlineStr">
        <is>
          <t>P04</t>
        </is>
      </c>
      <c r="E185" s="4" t="n">
        <v>7745016628</v>
      </c>
      <c r="F185" s="2" t="inlineStr">
        <is>
          <t>Branch</t>
        </is>
      </c>
      <c r="G185" s="2" t="inlineStr">
        <is>
          <t>CMP-PROT25</t>
        </is>
      </c>
      <c r="H185" s="2" t="inlineStr">
        <is>
          <t>USD</t>
        </is>
      </c>
      <c r="I185" s="7" t="n">
        <v>50000</v>
      </c>
      <c r="J185" s="2" t="inlineStr">
        <is>
          <t>E104</t>
        </is>
      </c>
      <c r="K185" s="2" t="inlineStr">
        <is>
          <t>Completed</t>
        </is>
      </c>
    </row>
    <row r="186">
      <c r="A186" s="2" t="inlineStr">
        <is>
          <t>T00185</t>
        </is>
      </c>
      <c r="B186" s="3" t="n">
        <v>45721.66666666666</v>
      </c>
      <c r="C186" s="2" t="inlineStr">
        <is>
          <t>B03</t>
        </is>
      </c>
      <c r="D186" s="2" t="inlineStr">
        <is>
          <t>P03</t>
        </is>
      </c>
      <c r="E186" s="4" t="n">
        <v>6429278715</v>
      </c>
      <c r="F186" s="2" t="inlineStr">
        <is>
          <t>Phone Banking</t>
        </is>
      </c>
      <c r="G186" s="2" t="n"/>
      <c r="H186" s="2" t="inlineStr">
        <is>
          <t>HKD</t>
        </is>
      </c>
      <c r="I186" s="7" t="n">
        <v>1482000</v>
      </c>
      <c r="J186" s="2" t="inlineStr">
        <is>
          <t>E105</t>
        </is>
      </c>
      <c r="K186" s="2" t="inlineStr">
        <is>
          <t>Completed</t>
        </is>
      </c>
    </row>
    <row r="187">
      <c r="A187" s="2" t="inlineStr">
        <is>
          <t>T00186</t>
        </is>
      </c>
      <c r="B187" s="3" t="n">
        <v>45723.49305555555</v>
      </c>
      <c r="C187" s="2" t="inlineStr">
        <is>
          <t>B02</t>
        </is>
      </c>
      <c r="D187" s="2" t="inlineStr">
        <is>
          <t>P05</t>
        </is>
      </c>
      <c r="E187" s="4" t="n">
        <v>7745016628</v>
      </c>
      <c r="F187" s="2" t="inlineStr">
        <is>
          <t>Branch</t>
        </is>
      </c>
      <c r="G187" s="2" t="n"/>
      <c r="H187" s="2" t="inlineStr">
        <is>
          <t>HKD</t>
        </is>
      </c>
      <c r="I187" s="7" t="n">
        <v>2348000</v>
      </c>
      <c r="J187" s="2" t="inlineStr">
        <is>
          <t>E104</t>
        </is>
      </c>
      <c r="K187" s="2" t="inlineStr">
        <is>
          <t>Completed</t>
        </is>
      </c>
    </row>
    <row r="188">
      <c r="A188" s="2" t="inlineStr">
        <is>
          <t>T00187</t>
        </is>
      </c>
      <c r="B188" s="3" t="n">
        <v>45723.59027777778</v>
      </c>
      <c r="C188" s="2" t="inlineStr">
        <is>
          <t>B01</t>
        </is>
      </c>
      <c r="D188" s="2" t="inlineStr">
        <is>
          <t>P04</t>
        </is>
      </c>
      <c r="E188" s="4" t="n">
        <v>1809923365</v>
      </c>
      <c r="F188" s="2" t="inlineStr">
        <is>
          <t>Phone Banking</t>
        </is>
      </c>
      <c r="G188" s="2" t="inlineStr">
        <is>
          <t>CMP-PROT25</t>
        </is>
      </c>
      <c r="H188" s="2" t="inlineStr">
        <is>
          <t>HKD</t>
        </is>
      </c>
      <c r="I188" s="7" t="n">
        <v>240000</v>
      </c>
      <c r="J188" s="2" t="inlineStr">
        <is>
          <t>E102</t>
        </is>
      </c>
      <c r="K188" s="2" t="inlineStr">
        <is>
          <t>Completed</t>
        </is>
      </c>
    </row>
    <row r="189">
      <c r="A189" s="2" t="inlineStr">
        <is>
          <t>T00188</t>
        </is>
      </c>
      <c r="B189" s="3" t="n">
        <v>45723.64236111111</v>
      </c>
      <c r="C189" s="2" t="inlineStr">
        <is>
          <t>B02</t>
        </is>
      </c>
      <c r="D189" s="2" t="inlineStr">
        <is>
          <t>P03</t>
        </is>
      </c>
      <c r="E189" s="4" t="n">
        <v>3207719945</v>
      </c>
      <c r="F189" s="2" t="inlineStr">
        <is>
          <t>Branch</t>
        </is>
      </c>
      <c r="G189" s="2" t="n"/>
      <c r="H189" s="2" t="inlineStr">
        <is>
          <t>HKD</t>
        </is>
      </c>
      <c r="I189" s="7" t="n">
        <v>1256000</v>
      </c>
      <c r="J189" s="2" t="inlineStr">
        <is>
          <t>E103</t>
        </is>
      </c>
      <c r="K189" s="2" t="inlineStr">
        <is>
          <t>Completed</t>
        </is>
      </c>
    </row>
    <row r="190">
      <c r="A190" s="2" t="inlineStr">
        <is>
          <t>T00189</t>
        </is>
      </c>
      <c r="B190" s="3" t="n">
        <v>45726.47222222222</v>
      </c>
      <c r="C190" s="2" t="inlineStr">
        <is>
          <t>B02</t>
        </is>
      </c>
      <c r="D190" s="2" t="inlineStr">
        <is>
          <t>P04</t>
        </is>
      </c>
      <c r="E190" s="4" t="n">
        <v>8523286479</v>
      </c>
      <c r="F190" s="2" t="inlineStr">
        <is>
          <t>Branch</t>
        </is>
      </c>
      <c r="G190" s="2" t="inlineStr">
        <is>
          <t>CMP-PROT25</t>
        </is>
      </c>
      <c r="H190" s="2" t="inlineStr">
        <is>
          <t>USD</t>
        </is>
      </c>
      <c r="I190" s="7" t="n">
        <v>75000</v>
      </c>
      <c r="J190" s="2" t="inlineStr">
        <is>
          <t>E103</t>
        </is>
      </c>
      <c r="K190" s="2" t="inlineStr">
        <is>
          <t>Completed</t>
        </is>
      </c>
    </row>
    <row r="191">
      <c r="A191" s="2" t="inlineStr">
        <is>
          <t>T00190</t>
        </is>
      </c>
      <c r="B191" s="3" t="n">
        <v>45726.52430555555</v>
      </c>
      <c r="C191" s="2" t="inlineStr">
        <is>
          <t>B02</t>
        </is>
      </c>
      <c r="D191" s="2" t="inlineStr">
        <is>
          <t>P07</t>
        </is>
      </c>
      <c r="E191" s="4" t="n">
        <v>2203391157</v>
      </c>
      <c r="F191" s="2" t="inlineStr">
        <is>
          <t>Branch</t>
        </is>
      </c>
      <c r="G191" s="2" t="n"/>
      <c r="H191" s="2" t="inlineStr">
        <is>
          <t>HKD</t>
        </is>
      </c>
      <c r="I191" s="7" t="n">
        <v>312000</v>
      </c>
      <c r="J191" s="2" t="inlineStr">
        <is>
          <t>E103</t>
        </is>
      </c>
      <c r="K191" s="2" t="inlineStr">
        <is>
          <t>Completed</t>
        </is>
      </c>
    </row>
    <row r="192">
      <c r="A192" s="2" t="inlineStr">
        <is>
          <t>T00191</t>
        </is>
      </c>
      <c r="B192" s="3" t="n">
        <v>45726.58333333334</v>
      </c>
      <c r="C192" s="2" t="inlineStr">
        <is>
          <t>B02</t>
        </is>
      </c>
      <c r="D192" s="2" t="inlineStr">
        <is>
          <t>P03</t>
        </is>
      </c>
      <c r="E192" s="4" t="n">
        <v>4085391267</v>
      </c>
      <c r="F192" s="2" t="inlineStr">
        <is>
          <t>Phone Banking</t>
        </is>
      </c>
      <c r="G192" s="2" t="n"/>
      <c r="H192" s="2" t="inlineStr">
        <is>
          <t>HKD</t>
        </is>
      </c>
      <c r="I192" s="7" t="n">
        <v>359000</v>
      </c>
      <c r="J192" s="2" t="inlineStr">
        <is>
          <t>E104</t>
        </is>
      </c>
      <c r="K192" s="2" t="inlineStr">
        <is>
          <t>Completed</t>
        </is>
      </c>
    </row>
    <row r="193">
      <c r="A193" s="2" t="inlineStr">
        <is>
          <t>T00192</t>
        </is>
      </c>
      <c r="B193" s="3" t="n">
        <v>45727.51041666666</v>
      </c>
      <c r="C193" s="2" t="inlineStr">
        <is>
          <t>B02</t>
        </is>
      </c>
      <c r="D193" s="2" t="inlineStr">
        <is>
          <t>P07</t>
        </is>
      </c>
      <c r="E193" s="4" t="n">
        <v>45128803</v>
      </c>
      <c r="F193" s="2" t="inlineStr">
        <is>
          <t>Mobile App</t>
        </is>
      </c>
      <c r="G193" s="2" t="n"/>
      <c r="H193" s="2" t="inlineStr">
        <is>
          <t>USD</t>
        </is>
      </c>
      <c r="I193" s="7" t="n">
        <v>85000</v>
      </c>
      <c r="J193" s="2" t="n"/>
      <c r="K193" s="2" t="inlineStr">
        <is>
          <t>Completed</t>
        </is>
      </c>
    </row>
    <row r="194">
      <c r="A194" s="2" t="inlineStr">
        <is>
          <t>T00193</t>
        </is>
      </c>
      <c r="B194" s="3" t="n">
        <v>45727.60416666666</v>
      </c>
      <c r="C194" s="2" t="inlineStr">
        <is>
          <t>B01</t>
        </is>
      </c>
      <c r="D194" s="2" t="inlineStr">
        <is>
          <t>P08</t>
        </is>
      </c>
      <c r="E194" s="4" t="n">
        <v>55691590</v>
      </c>
      <c r="F194" s="2" t="inlineStr">
        <is>
          <t>Branch</t>
        </is>
      </c>
      <c r="G194" s="2" t="n"/>
      <c r="H194" s="2" t="inlineStr">
        <is>
          <t>HKD</t>
        </is>
      </c>
      <c r="I194" s="7" t="n">
        <v>1888000</v>
      </c>
      <c r="J194" s="2" t="inlineStr">
        <is>
          <t>E111</t>
        </is>
      </c>
      <c r="K194" s="2" t="inlineStr">
        <is>
          <t>Completed</t>
        </is>
      </c>
    </row>
    <row r="195">
      <c r="A195" s="2" t="inlineStr">
        <is>
          <t>T00194</t>
        </is>
      </c>
      <c r="B195" s="3" t="n">
        <v>45727.67708333334</v>
      </c>
      <c r="C195" s="2" t="inlineStr">
        <is>
          <t>B02</t>
        </is>
      </c>
      <c r="D195" s="2" t="inlineStr">
        <is>
          <t>P03</t>
        </is>
      </c>
      <c r="E195" s="4" t="n">
        <v>9567133447</v>
      </c>
      <c r="F195" s="2" t="inlineStr">
        <is>
          <t>Phone Banking</t>
        </is>
      </c>
      <c r="G195" s="2" t="n"/>
      <c r="H195" s="2" t="inlineStr">
        <is>
          <t>USD</t>
        </is>
      </c>
      <c r="I195" s="7" t="n">
        <v>40000</v>
      </c>
      <c r="J195" s="2" t="inlineStr">
        <is>
          <t>E105</t>
        </is>
      </c>
      <c r="K195" s="2" t="inlineStr">
        <is>
          <t>Completed</t>
        </is>
      </c>
    </row>
    <row r="196">
      <c r="A196" s="2" t="inlineStr">
        <is>
          <t>T00195</t>
        </is>
      </c>
      <c r="B196" s="3" t="n">
        <v>45728.43402777778</v>
      </c>
      <c r="C196" s="2" t="inlineStr">
        <is>
          <t>B01</t>
        </is>
      </c>
      <c r="D196" s="2" t="inlineStr">
        <is>
          <t>P08</t>
        </is>
      </c>
      <c r="E196" s="4" t="n">
        <v>4100023781</v>
      </c>
      <c r="F196" s="2" t="inlineStr">
        <is>
          <t>Branch</t>
        </is>
      </c>
      <c r="G196" s="2" t="n"/>
      <c r="H196" s="2" t="inlineStr">
        <is>
          <t>CNY</t>
        </is>
      </c>
      <c r="I196" s="7" t="n">
        <v>235000</v>
      </c>
      <c r="J196" s="2" t="inlineStr">
        <is>
          <t>E101</t>
        </is>
      </c>
      <c r="K196" s="2" t="inlineStr">
        <is>
          <t>Completed</t>
        </is>
      </c>
    </row>
    <row r="197">
      <c r="A197" s="2" t="inlineStr">
        <is>
          <t>T00196</t>
        </is>
      </c>
      <c r="B197" s="3" t="n">
        <v>45728.50694444445</v>
      </c>
      <c r="C197" s="2" t="inlineStr">
        <is>
          <t>B03</t>
        </is>
      </c>
      <c r="D197" s="2" t="inlineStr">
        <is>
          <t>P04</t>
        </is>
      </c>
      <c r="E197" s="4" t="n">
        <v>8585205808</v>
      </c>
      <c r="F197" s="2" t="inlineStr">
        <is>
          <t>Branch</t>
        </is>
      </c>
      <c r="G197" s="2" t="inlineStr">
        <is>
          <t>CMP-PROT25</t>
        </is>
      </c>
      <c r="H197" s="2" t="inlineStr">
        <is>
          <t>USD</t>
        </is>
      </c>
      <c r="I197" s="7" t="n">
        <v>21000</v>
      </c>
      <c r="J197" s="2" t="inlineStr">
        <is>
          <t>E105</t>
        </is>
      </c>
      <c r="K197" s="2" t="inlineStr">
        <is>
          <t>Completed</t>
        </is>
      </c>
    </row>
    <row r="198">
      <c r="A198" s="2" t="inlineStr">
        <is>
          <t>T00197</t>
        </is>
      </c>
      <c r="B198" s="3" t="n">
        <v>45728.63888888889</v>
      </c>
      <c r="C198" s="2" t="inlineStr">
        <is>
          <t>B01</t>
        </is>
      </c>
      <c r="D198" s="2" t="inlineStr">
        <is>
          <t>P02</t>
        </is>
      </c>
      <c r="E198" s="4" t="n">
        <v>19295191</v>
      </c>
      <c r="F198" s="2" t="inlineStr">
        <is>
          <t>Mobile App</t>
        </is>
      </c>
      <c r="G198" s="2" t="n"/>
      <c r="H198" s="2" t="inlineStr">
        <is>
          <t>USD</t>
        </is>
      </c>
      <c r="I198" s="7" t="n">
        <v>93000</v>
      </c>
      <c r="J198" s="2" t="inlineStr">
        <is>
          <t>E111</t>
        </is>
      </c>
      <c r="K198" s="2" t="inlineStr">
        <is>
          <t>Completed</t>
        </is>
      </c>
    </row>
    <row r="199">
      <c r="A199" s="2" t="inlineStr">
        <is>
          <t>T00198</t>
        </is>
      </c>
      <c r="B199" s="3" t="n">
        <v>45728.66666666666</v>
      </c>
      <c r="C199" s="2" t="inlineStr">
        <is>
          <t>B02</t>
        </is>
      </c>
      <c r="D199" s="2" t="inlineStr">
        <is>
          <t>P02</t>
        </is>
      </c>
      <c r="E199" s="4" t="n">
        <v>1842303686</v>
      </c>
      <c r="F199" s="2" t="inlineStr">
        <is>
          <t>Branch</t>
        </is>
      </c>
      <c r="G199" s="2" t="n"/>
      <c r="H199" s="2" t="inlineStr">
        <is>
          <t>USD</t>
        </is>
      </c>
      <c r="I199" s="7" t="n">
        <v>10000</v>
      </c>
      <c r="J199" s="2" t="inlineStr">
        <is>
          <t>E104</t>
        </is>
      </c>
      <c r="K199" s="2" t="inlineStr">
        <is>
          <t>Completed</t>
        </is>
      </c>
    </row>
    <row r="200">
      <c r="A200" s="2" t="inlineStr">
        <is>
          <t>T00199</t>
        </is>
      </c>
      <c r="B200" s="3" t="n">
        <v>45728.72222222222</v>
      </c>
      <c r="C200" s="2" t="inlineStr">
        <is>
          <t>B01</t>
        </is>
      </c>
      <c r="D200" s="2" t="inlineStr">
        <is>
          <t>P03</t>
        </is>
      </c>
      <c r="E200" s="4" t="n">
        <v>9627692505</v>
      </c>
      <c r="F200" s="2" t="inlineStr">
        <is>
          <t>Branch</t>
        </is>
      </c>
      <c r="G200" s="2" t="n"/>
      <c r="H200" s="2" t="inlineStr">
        <is>
          <t>USD</t>
        </is>
      </c>
      <c r="I200" s="7" t="n">
        <v>28000</v>
      </c>
      <c r="J200" s="2" t="inlineStr">
        <is>
          <t>E103</t>
        </is>
      </c>
      <c r="K200" s="2" t="inlineStr">
        <is>
          <t>Completed</t>
        </is>
      </c>
    </row>
    <row r="201">
      <c r="A201" s="2" t="inlineStr">
        <is>
          <t>T00200</t>
        </is>
      </c>
      <c r="B201" s="3" t="n">
        <v>45729.45138888889</v>
      </c>
      <c r="C201" s="2" t="inlineStr">
        <is>
          <t>B03</t>
        </is>
      </c>
      <c r="D201" s="2" t="inlineStr">
        <is>
          <t>P03</t>
        </is>
      </c>
      <c r="E201" s="4" t="n">
        <v>8585205808</v>
      </c>
      <c r="F201" s="2" t="inlineStr">
        <is>
          <t>Branch</t>
        </is>
      </c>
      <c r="G201" s="2" t="n"/>
      <c r="H201" s="2" t="inlineStr">
        <is>
          <t>HKD</t>
        </is>
      </c>
      <c r="I201" s="7" t="n">
        <v>211000</v>
      </c>
      <c r="J201" s="2" t="inlineStr">
        <is>
          <t>E109</t>
        </is>
      </c>
      <c r="K201" s="2" t="inlineStr">
        <is>
          <t>Completed</t>
        </is>
      </c>
    </row>
    <row r="202">
      <c r="A202" s="2" t="inlineStr">
        <is>
          <t>T00201</t>
        </is>
      </c>
      <c r="B202" s="3" t="n">
        <v>45729.69791666666</v>
      </c>
      <c r="C202" s="2" t="inlineStr">
        <is>
          <t>B02</t>
        </is>
      </c>
      <c r="D202" s="2" t="inlineStr">
        <is>
          <t>P06</t>
        </is>
      </c>
      <c r="E202" s="4" t="n">
        <v>3814816203</v>
      </c>
      <c r="F202" s="2" t="inlineStr">
        <is>
          <t>Branch</t>
        </is>
      </c>
      <c r="G202" s="2" t="n"/>
      <c r="H202" s="2" t="inlineStr">
        <is>
          <t>HKD</t>
        </is>
      </c>
      <c r="I202" s="7" t="n">
        <v>819000</v>
      </c>
      <c r="J202" s="2" t="inlineStr">
        <is>
          <t>E104</t>
        </is>
      </c>
      <c r="K202" s="2" t="inlineStr">
        <is>
          <t>Completed</t>
        </is>
      </c>
    </row>
    <row r="203">
      <c r="A203" s="2" t="inlineStr">
        <is>
          <t>T00202</t>
        </is>
      </c>
      <c r="B203" s="3" t="n">
        <v>45729.90277777778</v>
      </c>
      <c r="C203" s="2" t="inlineStr">
        <is>
          <t>B03</t>
        </is>
      </c>
      <c r="D203" s="2" t="inlineStr">
        <is>
          <t>P04</t>
        </is>
      </c>
      <c r="E203" s="4" t="n">
        <v>1003425081</v>
      </c>
      <c r="F203" s="2" t="inlineStr">
        <is>
          <t>Mobile App</t>
        </is>
      </c>
      <c r="G203" s="2" t="inlineStr">
        <is>
          <t>CMP-PROT25</t>
        </is>
      </c>
      <c r="H203" s="2" t="inlineStr">
        <is>
          <t>CNY</t>
        </is>
      </c>
      <c r="I203" s="7" t="n">
        <v>431000</v>
      </c>
      <c r="J203" s="2" t="n"/>
      <c r="K203" s="2" t="inlineStr">
        <is>
          <t>Completed</t>
        </is>
      </c>
    </row>
    <row r="204">
      <c r="A204" s="2" t="inlineStr">
        <is>
          <t>T00203</t>
        </is>
      </c>
      <c r="B204" s="3" t="n">
        <v>45729.91666666666</v>
      </c>
      <c r="C204" s="2" t="inlineStr">
        <is>
          <t>B02</t>
        </is>
      </c>
      <c r="D204" s="2" t="inlineStr">
        <is>
          <t>P04</t>
        </is>
      </c>
      <c r="E204" s="4" t="n">
        <v>44509861</v>
      </c>
      <c r="F204" s="2" t="inlineStr">
        <is>
          <t>Mobile App</t>
        </is>
      </c>
      <c r="G204" s="2" t="n"/>
      <c r="H204" s="2" t="inlineStr">
        <is>
          <t>USD</t>
        </is>
      </c>
      <c r="I204" s="7" t="n">
        <v>210000</v>
      </c>
      <c r="J204" s="2" t="n"/>
      <c r="K204" s="2" t="inlineStr">
        <is>
          <t>Completed</t>
        </is>
      </c>
    </row>
    <row r="205">
      <c r="A205" s="2" t="inlineStr">
        <is>
          <t>T00204</t>
        </is>
      </c>
      <c r="B205" s="3" t="n">
        <v>45730.54166666666</v>
      </c>
      <c r="C205" s="2" t="inlineStr">
        <is>
          <t>B02</t>
        </is>
      </c>
      <c r="D205" s="2" t="inlineStr">
        <is>
          <t>P03</t>
        </is>
      </c>
      <c r="E205" s="4" t="n">
        <v>2277513075</v>
      </c>
      <c r="F205" s="2" t="inlineStr">
        <is>
          <t>Branch</t>
        </is>
      </c>
      <c r="G205" s="2" t="n"/>
      <c r="H205" s="2" t="inlineStr">
        <is>
          <t>USD</t>
        </is>
      </c>
      <c r="I205" s="7" t="n">
        <v>12000</v>
      </c>
      <c r="J205" s="2" t="inlineStr">
        <is>
          <t>E110</t>
        </is>
      </c>
      <c r="K205" s="2" t="inlineStr">
        <is>
          <t>Cancelled</t>
        </is>
      </c>
    </row>
    <row r="206">
      <c r="A206" s="2" t="inlineStr">
        <is>
          <t>T00205</t>
        </is>
      </c>
      <c r="B206" s="3" t="n">
        <v>45731.56597222222</v>
      </c>
      <c r="C206" s="2" t="inlineStr">
        <is>
          <t>B03</t>
        </is>
      </c>
      <c r="D206" s="2" t="inlineStr">
        <is>
          <t>P02</t>
        </is>
      </c>
      <c r="E206" s="4" t="n">
        <v>1777759401</v>
      </c>
      <c r="F206" s="2" t="inlineStr">
        <is>
          <t>Phone Banking</t>
        </is>
      </c>
      <c r="G206" s="2" t="n"/>
      <c r="H206" s="2" t="inlineStr">
        <is>
          <t>HKD</t>
        </is>
      </c>
      <c r="I206" s="7" t="n">
        <v>679000</v>
      </c>
      <c r="J206" s="2" t="n"/>
      <c r="K206" s="2" t="inlineStr">
        <is>
          <t>Completed</t>
        </is>
      </c>
    </row>
    <row r="207">
      <c r="A207" s="2" t="inlineStr">
        <is>
          <t>T00206</t>
        </is>
      </c>
      <c r="B207" s="3" t="n">
        <v>45731.59375</v>
      </c>
      <c r="C207" s="2" t="inlineStr">
        <is>
          <t>B01</t>
        </is>
      </c>
      <c r="D207" s="2" t="inlineStr">
        <is>
          <t>P06</t>
        </is>
      </c>
      <c r="E207" s="4" t="n">
        <v>9627692505</v>
      </c>
      <c r="F207" s="2" t="inlineStr">
        <is>
          <t>Mobile App</t>
        </is>
      </c>
      <c r="G207" s="2" t="n"/>
      <c r="H207" s="2" t="inlineStr">
        <is>
          <t>HKD</t>
        </is>
      </c>
      <c r="I207" s="7" t="n">
        <v>2012000</v>
      </c>
      <c r="J207" s="2" t="n"/>
      <c r="K207" s="2" t="inlineStr">
        <is>
          <t>Completed</t>
        </is>
      </c>
    </row>
    <row r="208">
      <c r="A208" s="2" t="inlineStr">
        <is>
          <t>T00207</t>
        </is>
      </c>
      <c r="B208" s="3" t="n">
        <v>45732.70138888889</v>
      </c>
      <c r="C208" s="2" t="inlineStr">
        <is>
          <t>B03</t>
        </is>
      </c>
      <c r="D208" s="2" t="inlineStr">
        <is>
          <t>P06</t>
        </is>
      </c>
      <c r="E208" s="4" t="n">
        <v>1003425081</v>
      </c>
      <c r="F208" s="2" t="inlineStr">
        <is>
          <t>Mobile App</t>
        </is>
      </c>
      <c r="G208" s="2" t="n"/>
      <c r="H208" s="2" t="inlineStr">
        <is>
          <t>HKD</t>
        </is>
      </c>
      <c r="I208" s="7" t="n">
        <v>1318000</v>
      </c>
      <c r="J208" s="2" t="n"/>
      <c r="K208" s="2" t="inlineStr">
        <is>
          <t>Completed</t>
        </is>
      </c>
    </row>
    <row r="209">
      <c r="A209" s="2" t="inlineStr">
        <is>
          <t>T00208</t>
        </is>
      </c>
      <c r="B209" s="3" t="n">
        <v>45733.46527777778</v>
      </c>
      <c r="C209" s="2" t="inlineStr">
        <is>
          <t>B02</t>
        </is>
      </c>
      <c r="D209" s="2" t="inlineStr">
        <is>
          <t>P03</t>
        </is>
      </c>
      <c r="E209" s="4" t="n">
        <v>1272232039</v>
      </c>
      <c r="F209" s="2" t="inlineStr">
        <is>
          <t>Branch</t>
        </is>
      </c>
      <c r="G209" s="2" t="n"/>
      <c r="H209" s="2" t="inlineStr">
        <is>
          <t>USD</t>
        </is>
      </c>
      <c r="I209" s="7" t="n">
        <v>178000</v>
      </c>
      <c r="J209" s="2" t="inlineStr">
        <is>
          <t>E103</t>
        </is>
      </c>
      <c r="K209" s="2" t="inlineStr">
        <is>
          <t>Completed</t>
        </is>
      </c>
    </row>
    <row r="210">
      <c r="A210" s="2" t="inlineStr">
        <is>
          <t>T00209</t>
        </is>
      </c>
      <c r="B210" s="3" t="n">
        <v>45733.46875</v>
      </c>
      <c r="C210" s="2" t="inlineStr">
        <is>
          <t>B01</t>
        </is>
      </c>
      <c r="D210" s="2" t="inlineStr">
        <is>
          <t>P08</t>
        </is>
      </c>
      <c r="E210" s="4" t="inlineStr">
        <is>
          <t>0055691590</t>
        </is>
      </c>
      <c r="F210" s="2" t="inlineStr">
        <is>
          <t>Phone Banking</t>
        </is>
      </c>
      <c r="G210" s="2" t="n"/>
      <c r="H210" s="2" t="inlineStr">
        <is>
          <t>USD</t>
        </is>
      </c>
      <c r="I210" s="7" t="n">
        <v>465000</v>
      </c>
      <c r="J210" s="2" t="inlineStr">
        <is>
          <t>E102</t>
        </is>
      </c>
      <c r="K210" s="2" t="inlineStr">
        <is>
          <t>Completed</t>
        </is>
      </c>
    </row>
    <row r="211">
      <c r="A211" s="2" t="inlineStr">
        <is>
          <t>T00210</t>
        </is>
      </c>
      <c r="B211" s="3" t="n">
        <v>45733.48958333334</v>
      </c>
      <c r="C211" s="2" t="inlineStr">
        <is>
          <t>B02</t>
        </is>
      </c>
      <c r="D211" s="2" t="inlineStr">
        <is>
          <t>P07</t>
        </is>
      </c>
      <c r="E211" s="4" t="n">
        <v>1272232039</v>
      </c>
      <c r="F211" s="2" t="inlineStr">
        <is>
          <t>Phone Banking</t>
        </is>
      </c>
      <c r="G211" s="2" t="n"/>
      <c r="H211" s="2" t="inlineStr">
        <is>
          <t>USD</t>
        </is>
      </c>
      <c r="I211" s="7" t="n">
        <v>331000</v>
      </c>
      <c r="J211" s="2" t="inlineStr">
        <is>
          <t>E103</t>
        </is>
      </c>
      <c r="K211" s="2" t="inlineStr">
        <is>
          <t>Completed</t>
        </is>
      </c>
    </row>
    <row r="212">
      <c r="A212" s="2" t="inlineStr">
        <is>
          <t>T00211</t>
        </is>
      </c>
      <c r="B212" s="3" t="n">
        <v>45733.58680555555</v>
      </c>
      <c r="C212" s="2" t="inlineStr">
        <is>
          <t>B02</t>
        </is>
      </c>
      <c r="D212" s="2" t="inlineStr">
        <is>
          <t>P07</t>
        </is>
      </c>
      <c r="E212" s="4" t="n">
        <v>6106674386</v>
      </c>
      <c r="F212" s="2" t="inlineStr">
        <is>
          <t>Branch</t>
        </is>
      </c>
      <c r="G212" s="2" t="n"/>
      <c r="H212" s="2" t="inlineStr">
        <is>
          <t>USD</t>
        </is>
      </c>
      <c r="I212" s="7" t="n">
        <v>80000</v>
      </c>
      <c r="J212" s="2" t="inlineStr">
        <is>
          <t>E103</t>
        </is>
      </c>
      <c r="K212" s="2" t="inlineStr">
        <is>
          <t>Completed</t>
        </is>
      </c>
    </row>
    <row r="213">
      <c r="A213" s="2" t="inlineStr">
        <is>
          <t>T00212</t>
        </is>
      </c>
      <c r="B213" s="3" t="n">
        <v>45733.65277777778</v>
      </c>
      <c r="C213" s="2" t="inlineStr">
        <is>
          <t>B01</t>
        </is>
      </c>
      <c r="D213" s="2" t="inlineStr">
        <is>
          <t>P06</t>
        </is>
      </c>
      <c r="E213" s="4" t="inlineStr">
        <is>
          <t>0019295191</t>
        </is>
      </c>
      <c r="F213" s="2" t="inlineStr">
        <is>
          <t>Phone Banking</t>
        </is>
      </c>
      <c r="G213" s="2" t="n"/>
      <c r="H213" s="2" t="inlineStr">
        <is>
          <t>CNY</t>
        </is>
      </c>
      <c r="I213" s="7" t="n">
        <v>447000</v>
      </c>
      <c r="J213" s="2" t="inlineStr">
        <is>
          <t>E108</t>
        </is>
      </c>
      <c r="K213" s="2" t="inlineStr">
        <is>
          <t>Completed</t>
        </is>
      </c>
    </row>
    <row r="214">
      <c r="A214" s="2" t="inlineStr">
        <is>
          <t>T00213</t>
        </is>
      </c>
      <c r="B214" s="3" t="n">
        <v>45733.65972222222</v>
      </c>
      <c r="C214" s="2" t="inlineStr">
        <is>
          <t>B02</t>
        </is>
      </c>
      <c r="D214" s="2" t="inlineStr">
        <is>
          <t>P04</t>
        </is>
      </c>
      <c r="E214" s="4" t="n">
        <v>2203391157</v>
      </c>
      <c r="F214" s="2" t="inlineStr">
        <is>
          <t>Phone Banking</t>
        </is>
      </c>
      <c r="G214" s="2" t="inlineStr">
        <is>
          <t>CMP-PROT25</t>
        </is>
      </c>
      <c r="H214" s="2" t="inlineStr">
        <is>
          <t>USD</t>
        </is>
      </c>
      <c r="I214" s="7" t="n">
        <v>51000</v>
      </c>
      <c r="J214" s="2" t="n"/>
      <c r="K214" s="2" t="inlineStr">
        <is>
          <t>Completed</t>
        </is>
      </c>
    </row>
    <row r="215">
      <c r="A215" s="2" t="inlineStr">
        <is>
          <t>T00214</t>
        </is>
      </c>
      <c r="B215" s="3" t="n">
        <v>45733.6875</v>
      </c>
      <c r="C215" s="2" t="inlineStr">
        <is>
          <t>B03</t>
        </is>
      </c>
      <c r="D215" s="2" t="inlineStr">
        <is>
          <t>P02</t>
        </is>
      </c>
      <c r="E215" s="4" t="n">
        <v>8871289681</v>
      </c>
      <c r="F215" s="2" t="inlineStr">
        <is>
          <t>Branch</t>
        </is>
      </c>
      <c r="G215" s="2" t="n"/>
      <c r="H215" s="2" t="inlineStr">
        <is>
          <t>HKD</t>
        </is>
      </c>
      <c r="I215" s="7" t="n">
        <v>359000</v>
      </c>
      <c r="J215" s="2" t="inlineStr">
        <is>
          <t>E105</t>
        </is>
      </c>
      <c r="K215" s="2" t="inlineStr">
        <is>
          <t>Completed</t>
        </is>
      </c>
    </row>
    <row r="216">
      <c r="A216" s="2" t="inlineStr">
        <is>
          <t>T00215</t>
        </is>
      </c>
      <c r="B216" s="3" t="n">
        <v>45734.61458333334</v>
      </c>
      <c r="C216" s="2" t="inlineStr">
        <is>
          <t>B02</t>
        </is>
      </c>
      <c r="D216" s="2" t="inlineStr">
        <is>
          <t>P04</t>
        </is>
      </c>
      <c r="E216" s="4" t="inlineStr">
        <is>
          <t>0044509861</t>
        </is>
      </c>
      <c r="F216" s="2" t="inlineStr">
        <is>
          <t>Branch</t>
        </is>
      </c>
      <c r="G216" s="2" t="inlineStr">
        <is>
          <t>CMP-PROT25</t>
        </is>
      </c>
      <c r="H216" s="2" t="inlineStr">
        <is>
          <t>HKD</t>
        </is>
      </c>
      <c r="I216" s="7" t="n">
        <v>1669000</v>
      </c>
      <c r="J216" s="2" t="inlineStr">
        <is>
          <t>E103</t>
        </is>
      </c>
      <c r="K216" s="2" t="inlineStr">
        <is>
          <t>Completed</t>
        </is>
      </c>
    </row>
    <row r="217">
      <c r="A217" s="2" t="inlineStr">
        <is>
          <t>T00216</t>
        </is>
      </c>
      <c r="B217" s="3" t="n">
        <v>45734.61805555555</v>
      </c>
      <c r="C217" s="2" t="inlineStr">
        <is>
          <t>B01</t>
        </is>
      </c>
      <c r="D217" s="2" t="inlineStr">
        <is>
          <t>P06</t>
        </is>
      </c>
      <c r="E217" s="4" t="n">
        <v>9627692505</v>
      </c>
      <c r="F217" s="2" t="inlineStr">
        <is>
          <t>Branch</t>
        </is>
      </c>
      <c r="G217" s="2" t="n"/>
      <c r="H217" s="2" t="inlineStr">
        <is>
          <t>HKD</t>
        </is>
      </c>
      <c r="I217" s="7" t="n">
        <v>7496000</v>
      </c>
      <c r="J217" s="2" t="inlineStr">
        <is>
          <t>e101</t>
        </is>
      </c>
      <c r="K217" s="2" t="inlineStr">
        <is>
          <t>Completed</t>
        </is>
      </c>
    </row>
    <row r="218">
      <c r="A218" s="2" t="inlineStr">
        <is>
          <t>T00217</t>
        </is>
      </c>
      <c r="B218" s="3" t="n">
        <v>45734.66666666666</v>
      </c>
      <c r="C218" s="2" t="inlineStr">
        <is>
          <t>B01</t>
        </is>
      </c>
      <c r="D218" s="2" t="inlineStr">
        <is>
          <t>P01</t>
        </is>
      </c>
      <c r="E218" s="4" t="n">
        <v>71204459</v>
      </c>
      <c r="F218" s="2" t="inlineStr">
        <is>
          <t>Branch</t>
        </is>
      </c>
      <c r="G218" s="2" t="n"/>
      <c r="H218" s="2" t="inlineStr">
        <is>
          <t>HKD</t>
        </is>
      </c>
      <c r="I218" s="7" t="n">
        <v>835000</v>
      </c>
      <c r="J218" s="2" t="inlineStr">
        <is>
          <t>E101</t>
        </is>
      </c>
      <c r="K218" s="2" t="inlineStr">
        <is>
          <t>Completed</t>
        </is>
      </c>
    </row>
    <row r="219">
      <c r="A219" s="2" t="inlineStr">
        <is>
          <t>T00218</t>
        </is>
      </c>
      <c r="B219" s="3" t="n">
        <v>45734.71180555555</v>
      </c>
      <c r="C219" s="2" t="inlineStr">
        <is>
          <t>B02</t>
        </is>
      </c>
      <c r="D219" s="2" t="inlineStr">
        <is>
          <t>P08</t>
        </is>
      </c>
      <c r="E219" s="4" t="inlineStr">
        <is>
          <t>0045128803</t>
        </is>
      </c>
      <c r="F219" s="2" t="inlineStr">
        <is>
          <t>Mobile App</t>
        </is>
      </c>
      <c r="G219" s="2" t="n"/>
      <c r="H219" s="2" t="inlineStr">
        <is>
          <t>HKD</t>
        </is>
      </c>
      <c r="I219" s="7" t="n">
        <v>40000</v>
      </c>
      <c r="J219" s="2" t="inlineStr">
        <is>
          <t>E103</t>
        </is>
      </c>
      <c r="K219" s="2" t="inlineStr">
        <is>
          <t>Completed</t>
        </is>
      </c>
    </row>
    <row r="220">
      <c r="A220" s="2" t="inlineStr">
        <is>
          <t>T00219</t>
        </is>
      </c>
      <c r="B220" s="3" t="n">
        <v>45735.44791666666</v>
      </c>
      <c r="C220" s="2" t="inlineStr">
        <is>
          <t>B02</t>
        </is>
      </c>
      <c r="D220" s="2" t="inlineStr">
        <is>
          <t>P03</t>
        </is>
      </c>
      <c r="E220" s="4" t="n">
        <v>6989217536</v>
      </c>
      <c r="F220" s="2" t="inlineStr">
        <is>
          <t>Mobile App</t>
        </is>
      </c>
      <c r="G220" s="2" t="n"/>
      <c r="H220" s="2" t="inlineStr">
        <is>
          <t>USD</t>
        </is>
      </c>
      <c r="I220" s="7" t="n">
        <v>50000</v>
      </c>
      <c r="J220" s="2" t="n"/>
      <c r="K220" s="2" t="inlineStr">
        <is>
          <t>Completed</t>
        </is>
      </c>
    </row>
    <row r="221">
      <c r="A221" s="2" t="inlineStr">
        <is>
          <t>T00220</t>
        </is>
      </c>
      <c r="B221" s="3" t="n">
        <v>45735.54861111111</v>
      </c>
      <c r="C221" s="2" t="inlineStr">
        <is>
          <t>B02</t>
        </is>
      </c>
      <c r="D221" s="2" t="inlineStr">
        <is>
          <t>P04</t>
        </is>
      </c>
      <c r="E221" s="4" t="n">
        <v>1272232039</v>
      </c>
      <c r="F221" s="2" t="inlineStr">
        <is>
          <t>Branch</t>
        </is>
      </c>
      <c r="G221" s="2" t="inlineStr">
        <is>
          <t>CMP-PROT25</t>
        </is>
      </c>
      <c r="H221" s="2" t="inlineStr">
        <is>
          <t>USD</t>
        </is>
      </c>
      <c r="I221" s="7" t="n">
        <v>146000</v>
      </c>
      <c r="J221" s="2" t="inlineStr">
        <is>
          <t>E110</t>
        </is>
      </c>
      <c r="K221" s="2" t="inlineStr">
        <is>
          <t>Completed</t>
        </is>
      </c>
    </row>
    <row r="222">
      <c r="A222" s="2" t="inlineStr">
        <is>
          <t>T00221</t>
        </is>
      </c>
      <c r="B222" s="3" t="n">
        <v>45735.57638888889</v>
      </c>
      <c r="C222" s="2" t="inlineStr">
        <is>
          <t>B03</t>
        </is>
      </c>
      <c r="D222" s="2" t="inlineStr">
        <is>
          <t>P07</t>
        </is>
      </c>
      <c r="E222" s="4" t="n">
        <v>9794231618</v>
      </c>
      <c r="F222" s="2" t="inlineStr">
        <is>
          <t>Branch</t>
        </is>
      </c>
      <c r="G222" s="2" t="n"/>
      <c r="H222" s="2" t="inlineStr">
        <is>
          <t>USD</t>
        </is>
      </c>
      <c r="I222" s="7" t="n">
        <v>76000</v>
      </c>
      <c r="J222" s="2" t="inlineStr">
        <is>
          <t>E105</t>
        </is>
      </c>
      <c r="K222" s="2" t="inlineStr">
        <is>
          <t>Completed</t>
        </is>
      </c>
    </row>
    <row r="223">
      <c r="A223" s="2" t="inlineStr">
        <is>
          <t>T00222</t>
        </is>
      </c>
      <c r="B223" s="3" t="n">
        <v>45735.65625</v>
      </c>
      <c r="C223" s="2" t="inlineStr">
        <is>
          <t>B03</t>
        </is>
      </c>
      <c r="D223" s="2" t="inlineStr">
        <is>
          <t>P02</t>
        </is>
      </c>
      <c r="E223" s="4" t="n">
        <v>6737003611</v>
      </c>
      <c r="F223" s="2" t="inlineStr">
        <is>
          <t>Branch</t>
        </is>
      </c>
      <c r="G223" s="2" t="n"/>
      <c r="H223" s="2" t="inlineStr">
        <is>
          <t>HKD</t>
        </is>
      </c>
      <c r="I223" s="7" t="n">
        <v>125000</v>
      </c>
      <c r="J223" s="2" t="inlineStr">
        <is>
          <t>E105</t>
        </is>
      </c>
      <c r="K223" s="2" t="inlineStr">
        <is>
          <t>Completed</t>
        </is>
      </c>
    </row>
    <row r="224">
      <c r="A224" s="2" t="inlineStr">
        <is>
          <t>T00223</t>
        </is>
      </c>
      <c r="B224" s="3" t="n">
        <v>45735.6875</v>
      </c>
      <c r="C224" s="2" t="inlineStr">
        <is>
          <t>B01</t>
        </is>
      </c>
      <c r="D224" s="2" t="inlineStr">
        <is>
          <t>P01</t>
        </is>
      </c>
      <c r="E224" s="4" t="n">
        <v>5185642036</v>
      </c>
      <c r="F224" s="2" t="inlineStr">
        <is>
          <t>Mobile App</t>
        </is>
      </c>
      <c r="G224" s="2" t="n"/>
      <c r="H224" s="2" t="inlineStr">
        <is>
          <t>USD</t>
        </is>
      </c>
      <c r="I224" s="7" t="n">
        <v>222000</v>
      </c>
      <c r="J224" s="2" t="inlineStr">
        <is>
          <t>E102</t>
        </is>
      </c>
      <c r="K224" s="2" t="inlineStr">
        <is>
          <t>Completed</t>
        </is>
      </c>
    </row>
    <row r="225">
      <c r="A225" s="2" t="inlineStr">
        <is>
          <t>T00224</t>
        </is>
      </c>
      <c r="B225" s="3" t="n">
        <v>45735.71875</v>
      </c>
      <c r="C225" s="2" t="inlineStr">
        <is>
          <t>B03</t>
        </is>
      </c>
      <c r="D225" s="2" t="inlineStr">
        <is>
          <t>P03</t>
        </is>
      </c>
      <c r="E225" s="4" t="n">
        <v>7569827088</v>
      </c>
      <c r="F225" s="2" t="inlineStr">
        <is>
          <t>Phone Banking</t>
        </is>
      </c>
      <c r="G225" s="2" t="n"/>
      <c r="H225" s="2" t="inlineStr">
        <is>
          <t>USD</t>
        </is>
      </c>
      <c r="I225" s="7" t="n">
        <v>102000</v>
      </c>
      <c r="J225" s="2" t="inlineStr">
        <is>
          <t>E104</t>
        </is>
      </c>
      <c r="K225" s="2" t="inlineStr">
        <is>
          <t>Completed</t>
        </is>
      </c>
    </row>
    <row r="226">
      <c r="A226" s="2" t="inlineStr">
        <is>
          <t>T00225</t>
        </is>
      </c>
      <c r="B226" s="3" t="n">
        <v>45736.38541666666</v>
      </c>
      <c r="C226" s="2" t="inlineStr">
        <is>
          <t>B03</t>
        </is>
      </c>
      <c r="D226" s="2" t="inlineStr">
        <is>
          <t>P02</t>
        </is>
      </c>
      <c r="E226" s="4" t="n">
        <v>5512098834</v>
      </c>
      <c r="F226" s="2" t="inlineStr">
        <is>
          <t>Phone Banking</t>
        </is>
      </c>
      <c r="G226" s="2" t="n"/>
      <c r="H226" s="2" t="inlineStr">
        <is>
          <t>HKD</t>
        </is>
      </c>
      <c r="I226" s="7" t="n">
        <v>117000</v>
      </c>
      <c r="J226" s="2" t="inlineStr">
        <is>
          <t>E109</t>
        </is>
      </c>
      <c r="K226" s="2" t="inlineStr">
        <is>
          <t>Completed</t>
        </is>
      </c>
    </row>
    <row r="227">
      <c r="A227" s="2" t="inlineStr">
        <is>
          <t>T00226</t>
        </is>
      </c>
      <c r="B227" s="3" t="n">
        <v>45736.39930555555</v>
      </c>
      <c r="C227" s="2" t="inlineStr">
        <is>
          <t>B03</t>
        </is>
      </c>
      <c r="D227" s="2" t="inlineStr">
        <is>
          <t>P03</t>
        </is>
      </c>
      <c r="E227" s="4" t="n">
        <v>3328832319</v>
      </c>
      <c r="F227" s="2" t="inlineStr">
        <is>
          <t>Branch</t>
        </is>
      </c>
      <c r="G227" s="2" t="n"/>
      <c r="H227" s="2" t="inlineStr">
        <is>
          <t>HKD</t>
        </is>
      </c>
      <c r="I227" s="7" t="n">
        <v>86000</v>
      </c>
      <c r="J227" s="2" t="inlineStr">
        <is>
          <t>E108</t>
        </is>
      </c>
      <c r="K227" s="2" t="inlineStr">
        <is>
          <t>Completed</t>
        </is>
      </c>
    </row>
    <row r="228">
      <c r="A228" s="2" t="inlineStr">
        <is>
          <t>T00227</t>
        </is>
      </c>
      <c r="B228" s="3" t="n">
        <v>45736.45486111111</v>
      </c>
      <c r="C228" s="2" t="inlineStr">
        <is>
          <t>B01</t>
        </is>
      </c>
      <c r="D228" s="2" t="inlineStr">
        <is>
          <t>P03</t>
        </is>
      </c>
      <c r="E228" s="4" t="n">
        <v>4402838304</v>
      </c>
      <c r="F228" s="2" t="inlineStr">
        <is>
          <t>Branch</t>
        </is>
      </c>
      <c r="G228" s="2" t="n"/>
      <c r="H228" s="2" t="inlineStr">
        <is>
          <t>USD</t>
        </is>
      </c>
      <c r="I228" s="7" t="n">
        <v>6000</v>
      </c>
      <c r="J228" s="2" t="inlineStr">
        <is>
          <t>E102</t>
        </is>
      </c>
      <c r="K228" s="2" t="inlineStr">
        <is>
          <t>Completed</t>
        </is>
      </c>
    </row>
    <row r="229">
      <c r="A229" s="2" t="inlineStr">
        <is>
          <t>T00228</t>
        </is>
      </c>
      <c r="B229" s="3" t="n">
        <v>45736.61805555555</v>
      </c>
      <c r="C229" s="2" t="inlineStr">
        <is>
          <t>B01</t>
        </is>
      </c>
      <c r="D229" s="2" t="inlineStr">
        <is>
          <t>P05</t>
        </is>
      </c>
      <c r="E229" s="4" t="n">
        <v>2639172015</v>
      </c>
      <c r="F229" s="2" t="inlineStr">
        <is>
          <t>Branch</t>
        </is>
      </c>
      <c r="G229" s="2" t="n"/>
      <c r="H229" s="2" t="inlineStr">
        <is>
          <t>USD</t>
        </is>
      </c>
      <c r="I229" s="7" t="n">
        <v>281000</v>
      </c>
      <c r="J229" s="2" t="inlineStr">
        <is>
          <t>E101</t>
        </is>
      </c>
      <c r="K229" s="2" t="inlineStr">
        <is>
          <t>Completed</t>
        </is>
      </c>
    </row>
    <row r="230">
      <c r="A230" s="2" t="inlineStr">
        <is>
          <t>T00229</t>
        </is>
      </c>
      <c r="B230" s="3" t="n">
        <v>45736.65972222222</v>
      </c>
      <c r="C230" s="2" t="inlineStr">
        <is>
          <t>B01</t>
        </is>
      </c>
      <c r="D230" s="2" t="inlineStr">
        <is>
          <t>P03</t>
        </is>
      </c>
      <c r="E230" s="4" t="inlineStr">
        <is>
          <t>0017885621</t>
        </is>
      </c>
      <c r="F230" s="2" t="inlineStr">
        <is>
          <t>Branch</t>
        </is>
      </c>
      <c r="G230" s="2" t="n"/>
      <c r="H230" s="2" t="inlineStr">
        <is>
          <t>HKD</t>
        </is>
      </c>
      <c r="I230" s="7" t="n">
        <v>109000</v>
      </c>
      <c r="J230" s="2" t="inlineStr">
        <is>
          <t>E101</t>
        </is>
      </c>
      <c r="K230" s="2" t="inlineStr">
        <is>
          <t>Completed</t>
        </is>
      </c>
    </row>
    <row r="231">
      <c r="A231" s="2" t="inlineStr">
        <is>
          <t>T00230</t>
        </is>
      </c>
      <c r="B231" s="3" t="n">
        <v>45736.72569444445</v>
      </c>
      <c r="C231" s="2" t="inlineStr">
        <is>
          <t>B02</t>
        </is>
      </c>
      <c r="D231" s="2" t="inlineStr">
        <is>
          <t>P03</t>
        </is>
      </c>
      <c r="E231" s="4" t="inlineStr">
        <is>
          <t>0086890319</t>
        </is>
      </c>
      <c r="F231" s="2" t="inlineStr">
        <is>
          <t>Branch</t>
        </is>
      </c>
      <c r="G231" s="2" t="n"/>
      <c r="H231" s="2" t="inlineStr">
        <is>
          <t>HKD</t>
        </is>
      </c>
      <c r="I231" s="7" t="n">
        <v>320000</v>
      </c>
      <c r="J231" s="2" t="inlineStr">
        <is>
          <t>E104</t>
        </is>
      </c>
      <c r="K231" s="2" t="inlineStr">
        <is>
          <t>Completed</t>
        </is>
      </c>
    </row>
    <row r="232">
      <c r="A232" s="2" t="inlineStr">
        <is>
          <t>T00231</t>
        </is>
      </c>
      <c r="B232" s="3" t="n">
        <v>45736.76388888889</v>
      </c>
      <c r="C232" s="2" t="inlineStr">
        <is>
          <t>B02</t>
        </is>
      </c>
      <c r="D232" s="2" t="inlineStr">
        <is>
          <t>P03</t>
        </is>
      </c>
      <c r="E232" s="4" t="n">
        <v>4206911990</v>
      </c>
      <c r="F232" s="2" t="inlineStr">
        <is>
          <t>Phone Banking</t>
        </is>
      </c>
      <c r="G232" s="2" t="n"/>
      <c r="H232" s="2" t="inlineStr">
        <is>
          <t>HKD</t>
        </is>
      </c>
      <c r="I232" s="7" t="n">
        <v>445000</v>
      </c>
      <c r="J232" s="2" t="n"/>
      <c r="K232" s="2" t="inlineStr">
        <is>
          <t>Completed</t>
        </is>
      </c>
    </row>
    <row r="233">
      <c r="A233" s="2" t="inlineStr">
        <is>
          <t>T00232</t>
        </is>
      </c>
      <c r="B233" s="3" t="n">
        <v>45737.64236111111</v>
      </c>
      <c r="C233" s="2" t="inlineStr">
        <is>
          <t>B02</t>
        </is>
      </c>
      <c r="D233" s="2" t="inlineStr">
        <is>
          <t>P04</t>
        </is>
      </c>
      <c r="E233" s="4" t="n">
        <v>5138950247</v>
      </c>
      <c r="F233" s="2" t="inlineStr">
        <is>
          <t>Mobile App</t>
        </is>
      </c>
      <c r="G233" s="2" t="inlineStr">
        <is>
          <t>CMP-PROT25</t>
        </is>
      </c>
      <c r="H233" s="2" t="inlineStr">
        <is>
          <t>HKD</t>
        </is>
      </c>
      <c r="I233" s="7" t="n">
        <v>2457000</v>
      </c>
      <c r="J233" s="2" t="n"/>
      <c r="K233" s="2" t="inlineStr">
        <is>
          <t>Completed</t>
        </is>
      </c>
    </row>
    <row r="234">
      <c r="A234" s="2" t="inlineStr">
        <is>
          <t>T00233</t>
        </is>
      </c>
      <c r="B234" s="3" t="n">
        <v>45737.65277777778</v>
      </c>
      <c r="C234" s="2" t="inlineStr">
        <is>
          <t>B03</t>
        </is>
      </c>
      <c r="D234" s="2" t="inlineStr">
        <is>
          <t>P07</t>
        </is>
      </c>
      <c r="E234" s="4" t="n">
        <v>1003425081</v>
      </c>
      <c r="F234" s="2" t="inlineStr">
        <is>
          <t>Branch</t>
        </is>
      </c>
      <c r="G234" s="2" t="n"/>
      <c r="H234" s="2" t="inlineStr">
        <is>
          <t>USD</t>
        </is>
      </c>
      <c r="I234" s="7" t="n">
        <v>243000</v>
      </c>
      <c r="J234" s="2" t="inlineStr">
        <is>
          <t>E109</t>
        </is>
      </c>
      <c r="K234" s="2" t="inlineStr">
        <is>
          <t>Completed</t>
        </is>
      </c>
    </row>
    <row r="235">
      <c r="A235" s="2" t="inlineStr">
        <is>
          <t>T00234</t>
        </is>
      </c>
      <c r="B235" s="3" t="n">
        <v>45737.67361111111</v>
      </c>
      <c r="C235" s="2" t="inlineStr">
        <is>
          <t>B01</t>
        </is>
      </c>
      <c r="D235" s="2" t="inlineStr">
        <is>
          <t>P04</t>
        </is>
      </c>
      <c r="E235" s="4" t="inlineStr">
        <is>
          <t>0020737016</t>
        </is>
      </c>
      <c r="F235" s="2" t="inlineStr">
        <is>
          <t>Branch</t>
        </is>
      </c>
      <c r="G235" s="2" t="inlineStr">
        <is>
          <t>CMP-PROT25</t>
        </is>
      </c>
      <c r="H235" s="2" t="inlineStr">
        <is>
          <t>HKD</t>
        </is>
      </c>
      <c r="I235" s="7" t="n">
        <v>1053000</v>
      </c>
      <c r="J235" s="2" t="inlineStr">
        <is>
          <t>E101</t>
        </is>
      </c>
      <c r="K235" s="2" t="inlineStr">
        <is>
          <t>Completed</t>
        </is>
      </c>
    </row>
    <row r="236">
      <c r="A236" s="2" t="inlineStr">
        <is>
          <t>T00235</t>
        </is>
      </c>
      <c r="B236" s="3" t="n">
        <v>45739.53125</v>
      </c>
      <c r="C236" s="2" t="inlineStr">
        <is>
          <t>B01</t>
        </is>
      </c>
      <c r="D236" s="2" t="inlineStr">
        <is>
          <t>P02</t>
        </is>
      </c>
      <c r="E236" s="4" t="inlineStr">
        <is>
          <t>0017404366</t>
        </is>
      </c>
      <c r="F236" s="2" t="inlineStr">
        <is>
          <t>Phone Banking</t>
        </is>
      </c>
      <c r="G236" s="2" t="n"/>
      <c r="H236" s="2" t="inlineStr">
        <is>
          <t>HKD</t>
        </is>
      </c>
      <c r="I236" s="7" t="n">
        <v>117000</v>
      </c>
      <c r="J236" s="2" t="n"/>
      <c r="K236" s="2" t="inlineStr">
        <is>
          <t>Completed</t>
        </is>
      </c>
    </row>
    <row r="237">
      <c r="A237" s="2" t="inlineStr">
        <is>
          <t>T00236</t>
        </is>
      </c>
      <c r="B237" s="3" t="n">
        <v>45739.59722222222</v>
      </c>
      <c r="C237" s="2" t="inlineStr">
        <is>
          <t>B03</t>
        </is>
      </c>
      <c r="D237" s="2" t="inlineStr">
        <is>
          <t>P03</t>
        </is>
      </c>
      <c r="E237" s="4" t="n">
        <v>3328832319</v>
      </c>
      <c r="F237" s="2" t="inlineStr">
        <is>
          <t>Phone Banking</t>
        </is>
      </c>
      <c r="G237" s="2" t="n"/>
      <c r="H237" s="2" t="inlineStr">
        <is>
          <t>USD</t>
        </is>
      </c>
      <c r="I237" s="7" t="n">
        <v>14000</v>
      </c>
      <c r="J237" s="2" t="n"/>
      <c r="K237" s="2" t="inlineStr">
        <is>
          <t>Completed</t>
        </is>
      </c>
    </row>
    <row r="238">
      <c r="A238" s="2" t="inlineStr">
        <is>
          <t>T00237</t>
        </is>
      </c>
      <c r="B238" s="3" t="n">
        <v>45739.60763888889</v>
      </c>
      <c r="C238" s="2" t="inlineStr">
        <is>
          <t>B01</t>
        </is>
      </c>
      <c r="D238" s="2" t="inlineStr">
        <is>
          <t>P08</t>
        </is>
      </c>
      <c r="E238" s="4" t="inlineStr">
        <is>
          <t>0055245666</t>
        </is>
      </c>
      <c r="F238" s="2" t="inlineStr">
        <is>
          <t>Phone Banking</t>
        </is>
      </c>
      <c r="G238" s="2" t="n"/>
      <c r="H238" s="2" t="inlineStr">
        <is>
          <t>HKD</t>
        </is>
      </c>
      <c r="I238" s="7" t="n">
        <v>94000</v>
      </c>
      <c r="J238" s="2" t="n"/>
      <c r="K238" s="2" t="inlineStr">
        <is>
          <t>Completed</t>
        </is>
      </c>
    </row>
    <row r="239">
      <c r="A239" s="2" t="inlineStr">
        <is>
          <t>T00238</t>
        </is>
      </c>
      <c r="B239" s="3" t="n">
        <v>45740.38541666666</v>
      </c>
      <c r="C239" s="2" t="inlineStr">
        <is>
          <t>B03</t>
        </is>
      </c>
      <c r="D239" s="2" t="inlineStr">
        <is>
          <t>P06</t>
        </is>
      </c>
      <c r="E239" s="4" t="inlineStr">
        <is>
          <t>0056294337</t>
        </is>
      </c>
      <c r="F239" s="2" t="inlineStr">
        <is>
          <t>Branch</t>
        </is>
      </c>
      <c r="G239" s="2" t="n"/>
      <c r="H239" s="2" t="inlineStr">
        <is>
          <t>USD</t>
        </is>
      </c>
      <c r="I239" s="7" t="n">
        <v>208000</v>
      </c>
      <c r="J239" s="2" t="inlineStr">
        <is>
          <t>E105</t>
        </is>
      </c>
      <c r="K239" s="2" t="inlineStr">
        <is>
          <t>Cancelled</t>
        </is>
      </c>
    </row>
    <row r="240">
      <c r="A240" s="2" t="inlineStr">
        <is>
          <t>T00239</t>
        </is>
      </c>
      <c r="B240" s="3" t="n">
        <v>45740.89583333334</v>
      </c>
      <c r="C240" s="2" t="inlineStr">
        <is>
          <t>B03</t>
        </is>
      </c>
      <c r="D240" s="2" t="inlineStr">
        <is>
          <t>P06</t>
        </is>
      </c>
      <c r="E240" s="4" t="n">
        <v>6130984472</v>
      </c>
      <c r="F240" s="2" t="inlineStr">
        <is>
          <t>Mobile App</t>
        </is>
      </c>
      <c r="G240" s="2" t="n"/>
      <c r="H240" s="2" t="inlineStr">
        <is>
          <t>HKD</t>
        </is>
      </c>
      <c r="I240" s="7" t="n">
        <v>289000</v>
      </c>
      <c r="J240" s="2" t="n"/>
      <c r="K240" s="2" t="inlineStr">
        <is>
          <t>Completed</t>
        </is>
      </c>
    </row>
    <row r="241">
      <c r="A241" s="2" t="inlineStr">
        <is>
          <t>T00240</t>
        </is>
      </c>
      <c r="B241" s="3" t="n">
        <v>45741.40972222222</v>
      </c>
      <c r="C241" s="2" t="inlineStr">
        <is>
          <t>B02</t>
        </is>
      </c>
      <c r="D241" s="2" t="inlineStr">
        <is>
          <t>P04</t>
        </is>
      </c>
      <c r="E241" s="4" t="n">
        <v>8805210249</v>
      </c>
      <c r="F241" s="2" t="inlineStr">
        <is>
          <t>Branch</t>
        </is>
      </c>
      <c r="G241" s="2" t="inlineStr">
        <is>
          <t>CMP-PROT25</t>
        </is>
      </c>
      <c r="H241" s="2" t="inlineStr">
        <is>
          <t>HKD</t>
        </is>
      </c>
      <c r="I241" s="7" t="n">
        <v>109000</v>
      </c>
      <c r="J241" s="2" t="inlineStr">
        <is>
          <t>E104</t>
        </is>
      </c>
      <c r="K241" s="2" t="inlineStr">
        <is>
          <t>Completed</t>
        </is>
      </c>
    </row>
    <row r="242">
      <c r="A242" s="2" t="inlineStr">
        <is>
          <t>T00241</t>
        </is>
      </c>
      <c r="B242" s="3" t="n">
        <v>45741.43055555555</v>
      </c>
      <c r="C242" s="2" t="inlineStr">
        <is>
          <t>B02</t>
        </is>
      </c>
      <c r="D242" s="2" t="inlineStr">
        <is>
          <t>P06</t>
        </is>
      </c>
      <c r="E242" s="4" t="n">
        <v>8355315526</v>
      </c>
      <c r="F242" s="2" t="inlineStr">
        <is>
          <t>Phone Banking</t>
        </is>
      </c>
      <c r="G242" s="2" t="n"/>
      <c r="H242" s="2" t="inlineStr">
        <is>
          <t>USD</t>
        </is>
      </c>
      <c r="I242" s="7" t="n">
        <v>101000</v>
      </c>
      <c r="J242" s="2" t="inlineStr">
        <is>
          <t>E110</t>
        </is>
      </c>
      <c r="K242" s="2" t="inlineStr">
        <is>
          <t>Completed</t>
        </is>
      </c>
    </row>
    <row r="243">
      <c r="A243" s="2" t="inlineStr">
        <is>
          <t>T00242</t>
        </is>
      </c>
      <c r="B243" s="3" t="n">
        <v>45742.38888888889</v>
      </c>
      <c r="C243" s="2" t="inlineStr">
        <is>
          <t>B01</t>
        </is>
      </c>
      <c r="D243" s="2" t="inlineStr">
        <is>
          <t>P01</t>
        </is>
      </c>
      <c r="E243" s="4" t="n">
        <v>5185642036</v>
      </c>
      <c r="F243" s="2" t="inlineStr">
        <is>
          <t>Mobile App</t>
        </is>
      </c>
      <c r="G243" s="2" t="n"/>
      <c r="H243" s="2" t="inlineStr">
        <is>
          <t>USD</t>
        </is>
      </c>
      <c r="I243" s="7" t="n">
        <v>246000</v>
      </c>
      <c r="J243" s="2" t="inlineStr">
        <is>
          <t>E110</t>
        </is>
      </c>
      <c r="K243" s="2" t="inlineStr">
        <is>
          <t>Completed</t>
        </is>
      </c>
    </row>
    <row r="244">
      <c r="A244" s="2" t="inlineStr">
        <is>
          <t>T00243</t>
        </is>
      </c>
      <c r="B244" s="3" t="n">
        <v>45742.41666666666</v>
      </c>
      <c r="C244" s="2" t="inlineStr">
        <is>
          <t>B03</t>
        </is>
      </c>
      <c r="D244" s="2" t="inlineStr">
        <is>
          <t>P07</t>
        </is>
      </c>
      <c r="E244" s="4" t="n">
        <v>8871289681</v>
      </c>
      <c r="F244" s="2" t="inlineStr">
        <is>
          <t>Branch</t>
        </is>
      </c>
      <c r="G244" s="2" t="n"/>
      <c r="H244" s="2" t="inlineStr">
        <is>
          <t>HKD</t>
        </is>
      </c>
      <c r="I244" s="7" t="n">
        <v>1240000</v>
      </c>
      <c r="J244" s="2" t="inlineStr">
        <is>
          <t>E109</t>
        </is>
      </c>
      <c r="K244" s="2" t="inlineStr">
        <is>
          <t>Completed</t>
        </is>
      </c>
    </row>
    <row r="245">
      <c r="A245" s="2" t="inlineStr">
        <is>
          <t>T00244</t>
        </is>
      </c>
      <c r="B245" s="3" t="n">
        <v>45742.65277777778</v>
      </c>
      <c r="C245" s="2" t="inlineStr">
        <is>
          <t>B03</t>
        </is>
      </c>
      <c r="D245" s="2" t="inlineStr">
        <is>
          <t>P07</t>
        </is>
      </c>
      <c r="E245" s="4" t="n">
        <v>8487706006</v>
      </c>
      <c r="F245" s="2" t="inlineStr">
        <is>
          <t>Branch</t>
        </is>
      </c>
      <c r="G245" s="2" t="n"/>
      <c r="H245" s="2" t="inlineStr">
        <is>
          <t>USD</t>
        </is>
      </c>
      <c r="I245" s="7" t="n">
        <v>459000</v>
      </c>
      <c r="J245" s="2" t="inlineStr">
        <is>
          <t>E105</t>
        </is>
      </c>
      <c r="K245" s="2" t="inlineStr">
        <is>
          <t>Completed</t>
        </is>
      </c>
    </row>
    <row r="246">
      <c r="A246" s="2" t="inlineStr">
        <is>
          <t>T00245</t>
        </is>
      </c>
      <c r="B246" s="3" t="n">
        <v>45742.66666666666</v>
      </c>
      <c r="C246" s="2" t="inlineStr">
        <is>
          <t>B02</t>
        </is>
      </c>
      <c r="D246" s="2" t="inlineStr">
        <is>
          <t>P05</t>
        </is>
      </c>
      <c r="E246" s="4" t="n">
        <v>2531925273</v>
      </c>
      <c r="F246" s="2" t="inlineStr">
        <is>
          <t>Branch</t>
        </is>
      </c>
      <c r="G246" s="2" t="n"/>
      <c r="H246" s="2" t="inlineStr">
        <is>
          <t>HKD</t>
        </is>
      </c>
      <c r="I246" s="7" t="n">
        <v>406000</v>
      </c>
      <c r="J246" s="2" t="inlineStr">
        <is>
          <t>E130</t>
        </is>
      </c>
      <c r="K246" s="2" t="inlineStr">
        <is>
          <t>Completed</t>
        </is>
      </c>
    </row>
    <row r="247">
      <c r="A247" s="2" t="inlineStr">
        <is>
          <t>T00246</t>
        </is>
      </c>
      <c r="B247" s="3" t="n">
        <v>45742.73958333334</v>
      </c>
      <c r="C247" s="2" t="inlineStr">
        <is>
          <t>B01</t>
        </is>
      </c>
      <c r="D247" s="2" t="inlineStr">
        <is>
          <t>P06</t>
        </is>
      </c>
      <c r="E247" s="4" t="n">
        <v>1809923365</v>
      </c>
      <c r="F247" s="2" t="inlineStr">
        <is>
          <t>Phone Banking</t>
        </is>
      </c>
      <c r="G247" s="2" t="n"/>
      <c r="H247" s="2" t="inlineStr">
        <is>
          <t>USD</t>
        </is>
      </c>
      <c r="I247" s="7" t="n">
        <v>159000</v>
      </c>
      <c r="J247" s="2" t="inlineStr">
        <is>
          <t>E108</t>
        </is>
      </c>
      <c r="K247" s="2" t="inlineStr">
        <is>
          <t>Completed</t>
        </is>
      </c>
    </row>
    <row r="248">
      <c r="A248" s="2" t="inlineStr">
        <is>
          <t>T00247</t>
        </is>
      </c>
      <c r="B248" s="3" t="n">
        <v>45743.38194444445</v>
      </c>
      <c r="C248" s="2" t="inlineStr">
        <is>
          <t>B01</t>
        </is>
      </c>
      <c r="D248" s="2" t="inlineStr">
        <is>
          <t>P06</t>
        </is>
      </c>
      <c r="E248" s="4" t="n">
        <v>19295191</v>
      </c>
      <c r="F248" s="2" t="inlineStr">
        <is>
          <t>Phone Banking</t>
        </is>
      </c>
      <c r="G248" s="2" t="n"/>
      <c r="H248" s="2" t="inlineStr">
        <is>
          <t>USD</t>
        </is>
      </c>
      <c r="I248" s="7" t="n">
        <v>145000</v>
      </c>
      <c r="J248" s="2" t="inlineStr">
        <is>
          <t>E111</t>
        </is>
      </c>
      <c r="K248" s="2" t="inlineStr">
        <is>
          <t>Completed</t>
        </is>
      </c>
    </row>
    <row r="249">
      <c r="A249" s="2" t="inlineStr">
        <is>
          <t>T00248</t>
        </is>
      </c>
      <c r="B249" s="3" t="n">
        <v>45743.38541666666</v>
      </c>
      <c r="C249" s="2" t="inlineStr">
        <is>
          <t>B02</t>
        </is>
      </c>
      <c r="D249" s="2" t="inlineStr">
        <is>
          <t>P02</t>
        </is>
      </c>
      <c r="E249" s="4" t="n">
        <v>3207719945</v>
      </c>
      <c r="F249" s="2" t="inlineStr">
        <is>
          <t>Branch</t>
        </is>
      </c>
      <c r="G249" s="2" t="n"/>
      <c r="H249" s="2" t="inlineStr">
        <is>
          <t>CNY</t>
        </is>
      </c>
      <c r="I249" s="7" t="n">
        <v>784000</v>
      </c>
      <c r="J249" s="2" t="inlineStr">
        <is>
          <t>E104</t>
        </is>
      </c>
      <c r="K249" s="2" t="inlineStr">
        <is>
          <t>Completed</t>
        </is>
      </c>
    </row>
    <row r="250">
      <c r="A250" s="2" t="inlineStr">
        <is>
          <t>T00249</t>
        </is>
      </c>
      <c r="B250" s="3" t="n">
        <v>45743.50694444445</v>
      </c>
      <c r="C250" s="2" t="inlineStr">
        <is>
          <t>B02</t>
        </is>
      </c>
      <c r="D250" s="2" t="inlineStr">
        <is>
          <t>P02</t>
        </is>
      </c>
      <c r="E250" s="4" t="n">
        <v>57619105</v>
      </c>
      <c r="F250" s="2" t="inlineStr">
        <is>
          <t>Branch</t>
        </is>
      </c>
      <c r="G250" s="2" t="n"/>
      <c r="H250" s="2" t="inlineStr">
        <is>
          <t>CNY</t>
        </is>
      </c>
      <c r="I250" s="7" t="n">
        <v>188000</v>
      </c>
      <c r="J250" s="2" t="inlineStr">
        <is>
          <t>E110</t>
        </is>
      </c>
      <c r="K250" s="2" t="inlineStr">
        <is>
          <t>Completed</t>
        </is>
      </c>
    </row>
    <row r="251">
      <c r="A251" s="2" t="inlineStr">
        <is>
          <t>T00250</t>
        </is>
      </c>
      <c r="B251" s="3" t="n">
        <v>45744.39583333334</v>
      </c>
      <c r="C251" s="2" t="inlineStr">
        <is>
          <t>B02</t>
        </is>
      </c>
      <c r="D251" s="2" t="inlineStr">
        <is>
          <t>P02</t>
        </is>
      </c>
      <c r="E251" s="4" t="n">
        <v>4085391267</v>
      </c>
      <c r="F251" s="2" t="inlineStr">
        <is>
          <t>Phone Banking</t>
        </is>
      </c>
      <c r="G251" s="2" t="n"/>
      <c r="H251" s="2" t="inlineStr">
        <is>
          <t>USD</t>
        </is>
      </c>
      <c r="I251" s="7" t="n">
        <v>174000</v>
      </c>
      <c r="J251" s="2" t="inlineStr">
        <is>
          <t>E110</t>
        </is>
      </c>
      <c r="K251" s="2" t="inlineStr">
        <is>
          <t>Completed</t>
        </is>
      </c>
    </row>
    <row r="252">
      <c r="A252" s="2" t="inlineStr">
        <is>
          <t>T00251</t>
        </is>
      </c>
      <c r="B252" s="3" t="n">
        <v>45744.40625</v>
      </c>
      <c r="C252" s="2" t="inlineStr">
        <is>
          <t>B03</t>
        </is>
      </c>
      <c r="D252" s="2" t="inlineStr">
        <is>
          <t>P07</t>
        </is>
      </c>
      <c r="E252" s="4" t="n">
        <v>5512098834</v>
      </c>
      <c r="F252" s="2" t="inlineStr">
        <is>
          <t>Branch</t>
        </is>
      </c>
      <c r="G252" s="2" t="n"/>
      <c r="H252" s="2" t="inlineStr">
        <is>
          <t>HKD</t>
        </is>
      </c>
      <c r="I252" s="7" t="n">
        <v>655000</v>
      </c>
      <c r="J252" s="2" t="inlineStr">
        <is>
          <t>E109</t>
        </is>
      </c>
      <c r="K252" s="2" t="inlineStr">
        <is>
          <t>Completed</t>
        </is>
      </c>
    </row>
    <row r="253">
      <c r="A253" s="2" t="inlineStr">
        <is>
          <t>T00252</t>
        </is>
      </c>
      <c r="B253" s="3" t="n">
        <v>45744.40625</v>
      </c>
      <c r="C253" s="2" t="inlineStr">
        <is>
          <t>B03</t>
        </is>
      </c>
      <c r="D253" s="2" t="inlineStr">
        <is>
          <t>P07</t>
        </is>
      </c>
      <c r="E253" s="4" t="n">
        <v>5990686117</v>
      </c>
      <c r="F253" s="2" t="inlineStr">
        <is>
          <t>Phone Banking</t>
        </is>
      </c>
      <c r="G253" s="2" t="n"/>
      <c r="H253" s="2" t="inlineStr">
        <is>
          <t>USD</t>
        </is>
      </c>
      <c r="I253" s="7" t="n">
        <v>242000</v>
      </c>
      <c r="J253" s="2" t="inlineStr">
        <is>
          <t>E102</t>
        </is>
      </c>
      <c r="K253" s="2" t="inlineStr">
        <is>
          <t>Completed</t>
        </is>
      </c>
    </row>
    <row r="254">
      <c r="A254" s="2" t="inlineStr">
        <is>
          <t>T00253</t>
        </is>
      </c>
      <c r="B254" s="3" t="n">
        <v>45744.48958333334</v>
      </c>
      <c r="C254" s="2" t="inlineStr">
        <is>
          <t>B01</t>
        </is>
      </c>
      <c r="D254" s="2" t="inlineStr">
        <is>
          <t>P04</t>
        </is>
      </c>
      <c r="E254" s="4" t="n">
        <v>55245666</v>
      </c>
      <c r="F254" s="2" t="inlineStr">
        <is>
          <t>Branch</t>
        </is>
      </c>
      <c r="G254" s="2" t="inlineStr">
        <is>
          <t>CMP-PROT25</t>
        </is>
      </c>
      <c r="H254" s="2" t="inlineStr">
        <is>
          <t>USD</t>
        </is>
      </c>
      <c r="I254" s="7" t="n">
        <v>103000</v>
      </c>
      <c r="J254" s="2" t="inlineStr">
        <is>
          <t>E101</t>
        </is>
      </c>
      <c r="K254" s="2" t="inlineStr">
        <is>
          <t>Completed</t>
        </is>
      </c>
    </row>
    <row r="255">
      <c r="A255" s="2" t="inlineStr">
        <is>
          <t>T00254</t>
        </is>
      </c>
      <c r="B255" s="3" t="n">
        <v>45744.61458333334</v>
      </c>
      <c r="C255" s="2" t="inlineStr">
        <is>
          <t>B01</t>
        </is>
      </c>
      <c r="D255" s="2" t="inlineStr">
        <is>
          <t>P08</t>
        </is>
      </c>
      <c r="E255" s="4" t="n">
        <v>8964346572</v>
      </c>
      <c r="F255" s="2" t="inlineStr">
        <is>
          <t>Branch</t>
        </is>
      </c>
      <c r="G255" s="2" t="n"/>
      <c r="H255" s="2" t="inlineStr">
        <is>
          <t>HKD</t>
        </is>
      </c>
      <c r="I255" s="7" t="n">
        <v>632000</v>
      </c>
      <c r="J255" s="2" t="inlineStr">
        <is>
          <t>E111</t>
        </is>
      </c>
      <c r="K255" s="2" t="inlineStr">
        <is>
          <t>Completed</t>
        </is>
      </c>
    </row>
    <row r="256">
      <c r="A256" s="2" t="inlineStr">
        <is>
          <t>T00255</t>
        </is>
      </c>
      <c r="B256" s="3" t="n">
        <v>45746.54861111111</v>
      </c>
      <c r="C256" s="2" t="inlineStr">
        <is>
          <t>B02</t>
        </is>
      </c>
      <c r="D256" s="2" t="inlineStr">
        <is>
          <t>P06</t>
        </is>
      </c>
      <c r="E256" s="4" t="n">
        <v>5138950247</v>
      </c>
      <c r="F256" s="2" t="inlineStr">
        <is>
          <t>Mobile App</t>
        </is>
      </c>
      <c r="G256" s="2" t="n"/>
      <c r="H256" s="2" t="inlineStr">
        <is>
          <t>USD</t>
        </is>
      </c>
      <c r="I256" s="7" t="n">
        <v>665000</v>
      </c>
      <c r="J256" s="2" t="n"/>
      <c r="K256" s="2" t="inlineStr">
        <is>
          <t>Completed</t>
        </is>
      </c>
    </row>
    <row r="257">
      <c r="A257" s="2" t="inlineStr">
        <is>
          <t>T00256</t>
        </is>
      </c>
      <c r="B257" s="3" t="n">
        <v>45747.52430555555</v>
      </c>
      <c r="C257" s="2" t="inlineStr">
        <is>
          <t>B01</t>
        </is>
      </c>
      <c r="D257" s="2" t="inlineStr">
        <is>
          <t>P06</t>
        </is>
      </c>
      <c r="E257" s="4" t="n">
        <v>5185642036</v>
      </c>
      <c r="F257" s="2" t="inlineStr">
        <is>
          <t>Phone Banking</t>
        </is>
      </c>
      <c r="G257" s="2" t="n"/>
      <c r="H257" s="2" t="inlineStr">
        <is>
          <t>USD</t>
        </is>
      </c>
      <c r="I257" s="7" t="n">
        <v>423000</v>
      </c>
      <c r="J257" s="2" t="inlineStr">
        <is>
          <t>E102</t>
        </is>
      </c>
      <c r="K257" s="2" t="inlineStr">
        <is>
          <t>Completed</t>
        </is>
      </c>
    </row>
    <row r="258">
      <c r="A258" s="2" t="inlineStr">
        <is>
          <t>T00257</t>
        </is>
      </c>
      <c r="B258" s="3" t="n">
        <v>45747.57986111111</v>
      </c>
      <c r="C258" s="2" t="inlineStr">
        <is>
          <t>B02</t>
        </is>
      </c>
      <c r="D258" s="2" t="inlineStr">
        <is>
          <t>P06</t>
        </is>
      </c>
      <c r="E258" s="4" t="n">
        <v>4206911990</v>
      </c>
      <c r="F258" s="2" t="inlineStr">
        <is>
          <t>Branch</t>
        </is>
      </c>
      <c r="G258" s="2" t="n"/>
      <c r="H258" s="2" t="inlineStr">
        <is>
          <t>HKD</t>
        </is>
      </c>
      <c r="I258" s="7" t="n">
        <v>702000</v>
      </c>
      <c r="J258" s="2" t="inlineStr">
        <is>
          <t>E110</t>
        </is>
      </c>
      <c r="K258" s="2" t="inlineStr">
        <is>
          <t>Completed</t>
        </is>
      </c>
    </row>
    <row r="259">
      <c r="A259" s="2" t="inlineStr">
        <is>
          <t>T00258</t>
        </is>
      </c>
      <c r="B259" s="3" t="n">
        <v>45747.63194444445</v>
      </c>
      <c r="C259" s="2" t="inlineStr">
        <is>
          <t>B03</t>
        </is>
      </c>
      <c r="D259" s="2" t="inlineStr">
        <is>
          <t>P03</t>
        </is>
      </c>
      <c r="E259" s="4" t="n">
        <v>8871289681</v>
      </c>
      <c r="F259" s="2" t="inlineStr">
        <is>
          <t>Phone Banking</t>
        </is>
      </c>
      <c r="G259" s="2" t="n"/>
      <c r="H259" s="2" t="inlineStr">
        <is>
          <t>USD</t>
        </is>
      </c>
      <c r="I259" s="7" t="n">
        <v>57000</v>
      </c>
      <c r="J259" s="2" t="inlineStr">
        <is>
          <t>E111</t>
        </is>
      </c>
      <c r="K259" s="2" t="inlineStr">
        <is>
          <t>Completed</t>
        </is>
      </c>
    </row>
    <row r="260">
      <c r="A260" s="2" t="inlineStr">
        <is>
          <t>T00259</t>
        </is>
      </c>
      <c r="B260" s="3" t="n">
        <v>45747.64930555555</v>
      </c>
      <c r="C260" s="2" t="inlineStr">
        <is>
          <t>B01</t>
        </is>
      </c>
      <c r="D260" s="2" t="inlineStr">
        <is>
          <t>P02</t>
        </is>
      </c>
      <c r="E260" s="4" t="n">
        <v>4100023781</v>
      </c>
      <c r="F260" s="2" t="inlineStr">
        <is>
          <t>Branch</t>
        </is>
      </c>
      <c r="G260" s="2" t="n"/>
      <c r="H260" s="2" t="inlineStr">
        <is>
          <t>USD</t>
        </is>
      </c>
      <c r="I260" s="7" t="n">
        <v>104000</v>
      </c>
      <c r="J260" s="2" t="inlineStr">
        <is>
          <t>E101</t>
        </is>
      </c>
      <c r="K260" s="2" t="inlineStr">
        <is>
          <t>Completed</t>
        </is>
      </c>
    </row>
    <row r="261">
      <c r="A261" s="2" t="inlineStr">
        <is>
          <t>T00260</t>
        </is>
      </c>
      <c r="B261" s="3" t="n">
        <v>45747.69097222222</v>
      </c>
      <c r="C261" s="2" t="inlineStr">
        <is>
          <t>B03</t>
        </is>
      </c>
      <c r="D261" s="2" t="inlineStr">
        <is>
          <t>P08</t>
        </is>
      </c>
      <c r="E261" s="4" t="n">
        <v>5990686117</v>
      </c>
      <c r="F261" s="2" t="inlineStr">
        <is>
          <t>Phone Banking</t>
        </is>
      </c>
      <c r="G261" s="2" t="n"/>
      <c r="H261" s="2" t="inlineStr">
        <is>
          <t>USD</t>
        </is>
      </c>
      <c r="I261" s="7" t="n">
        <v>157000</v>
      </c>
      <c r="J261" s="2" t="inlineStr">
        <is>
          <t>E109</t>
        </is>
      </c>
      <c r="K261" s="2" t="inlineStr">
        <is>
          <t>Completed</t>
        </is>
      </c>
    </row>
    <row r="262">
      <c r="A262" s="2" t="inlineStr">
        <is>
          <t>T00261</t>
        </is>
      </c>
      <c r="B262" s="3" t="n">
        <v>45747.90277777778</v>
      </c>
      <c r="C262" s="2" t="inlineStr">
        <is>
          <t>B01</t>
        </is>
      </c>
      <c r="D262" s="2" t="inlineStr">
        <is>
          <t>P08</t>
        </is>
      </c>
      <c r="E262" s="4" t="inlineStr">
        <is>
          <t>0017885621</t>
        </is>
      </c>
      <c r="F262" s="2" t="inlineStr">
        <is>
          <t>Phone Banking</t>
        </is>
      </c>
      <c r="G262" s="2" t="n"/>
      <c r="H262" s="2" t="inlineStr">
        <is>
          <t>USD</t>
        </is>
      </c>
      <c r="I262" s="7" t="n">
        <v>51000</v>
      </c>
      <c r="J262" s="2" t="n"/>
      <c r="K262" s="2" t="inlineStr">
        <is>
          <t>Cancelled</t>
        </is>
      </c>
    </row>
    <row r="263">
      <c r="A263" s="2" t="inlineStr">
        <is>
          <t>T00262</t>
        </is>
      </c>
      <c r="B263" s="3" t="n">
        <v>45748.37847222222</v>
      </c>
      <c r="C263" s="2" t="inlineStr">
        <is>
          <t>B01</t>
        </is>
      </c>
      <c r="D263" s="2" t="inlineStr">
        <is>
          <t>P03</t>
        </is>
      </c>
      <c r="E263" s="4" t="n">
        <v>5910720333</v>
      </c>
      <c r="F263" s="2" t="inlineStr">
        <is>
          <t>Branch</t>
        </is>
      </c>
      <c r="G263" s="2" t="inlineStr">
        <is>
          <t>CMP-SPR25</t>
        </is>
      </c>
      <c r="H263" s="2" t="inlineStr">
        <is>
          <t>USD</t>
        </is>
      </c>
      <c r="I263" s="7" t="n">
        <v>69000</v>
      </c>
      <c r="J263" s="2" t="inlineStr">
        <is>
          <t xml:space="preserve"> E101</t>
        </is>
      </c>
      <c r="K263" s="2" t="inlineStr">
        <is>
          <t>Completed</t>
        </is>
      </c>
    </row>
    <row r="264">
      <c r="A264" s="2" t="inlineStr">
        <is>
          <t>T00263</t>
        </is>
      </c>
      <c r="B264" s="3" t="n">
        <v>45748.56944444445</v>
      </c>
      <c r="C264" s="2" t="inlineStr">
        <is>
          <t>B02</t>
        </is>
      </c>
      <c r="D264" s="2" t="inlineStr">
        <is>
          <t>P07</t>
        </is>
      </c>
      <c r="E264" s="4" t="n">
        <v>8523286479</v>
      </c>
      <c r="F264" s="2" t="inlineStr">
        <is>
          <t>Phone Banking</t>
        </is>
      </c>
      <c r="G264" s="2" t="n"/>
      <c r="H264" s="2" t="inlineStr">
        <is>
          <t>HKD</t>
        </is>
      </c>
      <c r="I264" s="7" t="n">
        <v>772000</v>
      </c>
      <c r="J264" s="2" t="inlineStr">
        <is>
          <t>E104</t>
        </is>
      </c>
      <c r="K264" s="2" t="inlineStr">
        <is>
          <t>Completed</t>
        </is>
      </c>
    </row>
    <row r="265">
      <c r="A265" s="2" t="inlineStr">
        <is>
          <t>T00264</t>
        </is>
      </c>
      <c r="B265" s="3" t="n">
        <v>45748.57291666666</v>
      </c>
      <c r="C265" s="2" t="inlineStr">
        <is>
          <t>B02</t>
        </is>
      </c>
      <c r="D265" s="2" t="inlineStr">
        <is>
          <t>P06</t>
        </is>
      </c>
      <c r="E265" s="4" t="n">
        <v>1369982817</v>
      </c>
      <c r="F265" s="2" t="inlineStr">
        <is>
          <t>Phone Banking</t>
        </is>
      </c>
      <c r="G265" s="2" t="n"/>
      <c r="H265" s="2" t="inlineStr">
        <is>
          <t>HKD</t>
        </is>
      </c>
      <c r="I265" s="7" t="n">
        <v>156000</v>
      </c>
      <c r="J265" s="2" t="inlineStr">
        <is>
          <t>E103</t>
        </is>
      </c>
      <c r="K265" s="2" t="inlineStr">
        <is>
          <t>Completed</t>
        </is>
      </c>
    </row>
    <row r="266">
      <c r="A266" s="2" t="inlineStr">
        <is>
          <t>T00265</t>
        </is>
      </c>
      <c r="B266" s="3" t="n">
        <v>45748.73611111111</v>
      </c>
      <c r="C266" s="2" t="inlineStr">
        <is>
          <t>B02</t>
        </is>
      </c>
      <c r="D266" s="2" t="inlineStr">
        <is>
          <t>P04</t>
        </is>
      </c>
      <c r="E266" s="4" t="n">
        <v>17091225</v>
      </c>
      <c r="F266" s="2" t="inlineStr">
        <is>
          <t>Branch</t>
        </is>
      </c>
      <c r="G266" s="2" t="n"/>
      <c r="H266" s="2" t="inlineStr">
        <is>
          <t>USD</t>
        </is>
      </c>
      <c r="I266" s="7" t="n">
        <v>14000</v>
      </c>
      <c r="J266" s="2" t="inlineStr">
        <is>
          <t>E104</t>
        </is>
      </c>
      <c r="K266" s="2" t="inlineStr">
        <is>
          <t>Completed</t>
        </is>
      </c>
    </row>
    <row r="267">
      <c r="A267" s="2" t="inlineStr">
        <is>
          <t>T00266</t>
        </is>
      </c>
      <c r="B267" s="3" t="n">
        <v>45748.73958333334</v>
      </c>
      <c r="C267" s="2" t="inlineStr">
        <is>
          <t>B02</t>
        </is>
      </c>
      <c r="D267" s="2" t="inlineStr">
        <is>
          <t>P02</t>
        </is>
      </c>
      <c r="E267" s="4" t="n">
        <v>8523286479</v>
      </c>
      <c r="F267" s="2" t="inlineStr">
        <is>
          <t>Branch</t>
        </is>
      </c>
      <c r="G267" s="2" t="n"/>
      <c r="H267" s="2" t="inlineStr">
        <is>
          <t>USD</t>
        </is>
      </c>
      <c r="I267" s="7" t="n">
        <v>24000</v>
      </c>
      <c r="J267" s="2" t="inlineStr">
        <is>
          <t>E110</t>
        </is>
      </c>
      <c r="K267" s="2" t="inlineStr">
        <is>
          <t>Completed</t>
        </is>
      </c>
    </row>
    <row r="268">
      <c r="A268" s="2" t="inlineStr">
        <is>
          <t>T00267</t>
        </is>
      </c>
      <c r="B268" s="3" t="n">
        <v>45749.42361111111</v>
      </c>
      <c r="C268" s="2" t="inlineStr">
        <is>
          <t>B02</t>
        </is>
      </c>
      <c r="D268" s="2" t="inlineStr">
        <is>
          <t>P02</t>
        </is>
      </c>
      <c r="E268" s="4" t="n">
        <v>9567133447</v>
      </c>
      <c r="F268" s="2" t="inlineStr">
        <is>
          <t>Branch</t>
        </is>
      </c>
      <c r="G268" s="2" t="inlineStr">
        <is>
          <t>CMP-SPR25</t>
        </is>
      </c>
      <c r="H268" s="2" t="inlineStr">
        <is>
          <t>HKD</t>
        </is>
      </c>
      <c r="I268" s="7" t="n">
        <v>515000</v>
      </c>
      <c r="J268" s="2" t="inlineStr">
        <is>
          <t>E110</t>
        </is>
      </c>
      <c r="K268" s="2" t="inlineStr">
        <is>
          <t>Completed</t>
        </is>
      </c>
    </row>
    <row r="269">
      <c r="A269" s="2" t="inlineStr">
        <is>
          <t>T00268</t>
        </is>
      </c>
      <c r="B269" s="3" t="n">
        <v>45749.48958333334</v>
      </c>
      <c r="C269" s="2" t="inlineStr">
        <is>
          <t>B03</t>
        </is>
      </c>
      <c r="D269" s="2" t="inlineStr">
        <is>
          <t>P07</t>
        </is>
      </c>
      <c r="E269" s="4" t="n">
        <v>1272084999</v>
      </c>
      <c r="F269" s="2" t="inlineStr">
        <is>
          <t>Branch</t>
        </is>
      </c>
      <c r="G269" s="2" t="n"/>
      <c r="H269" s="2" t="inlineStr">
        <is>
          <t>USD</t>
        </is>
      </c>
      <c r="I269" s="7" t="n">
        <v>65000</v>
      </c>
      <c r="J269" s="2" t="inlineStr">
        <is>
          <t>E109</t>
        </is>
      </c>
      <c r="K269" s="2" t="inlineStr">
        <is>
          <t>Completed</t>
        </is>
      </c>
    </row>
    <row r="270">
      <c r="A270" s="2" t="inlineStr">
        <is>
          <t>T00269</t>
        </is>
      </c>
      <c r="B270" s="3" t="n">
        <v>45749.5</v>
      </c>
      <c r="C270" s="2" t="inlineStr">
        <is>
          <t>B03</t>
        </is>
      </c>
      <c r="D270" s="2" t="inlineStr">
        <is>
          <t>P01</t>
        </is>
      </c>
      <c r="E270" s="4" t="n">
        <v>5512098834</v>
      </c>
      <c r="F270" s="2" t="inlineStr">
        <is>
          <t>Branch</t>
        </is>
      </c>
      <c r="G270" s="2" t="inlineStr">
        <is>
          <t>CMP-SPR25</t>
        </is>
      </c>
      <c r="H270" s="2" t="inlineStr">
        <is>
          <t>USD</t>
        </is>
      </c>
      <c r="I270" s="7" t="n">
        <v>20000</v>
      </c>
      <c r="J270" s="2" t="inlineStr">
        <is>
          <t>E105</t>
        </is>
      </c>
      <c r="K270" s="2" t="inlineStr">
        <is>
          <t>Completed</t>
        </is>
      </c>
    </row>
    <row r="271">
      <c r="A271" s="2" t="inlineStr">
        <is>
          <t>T00270</t>
        </is>
      </c>
      <c r="B271" s="3" t="n">
        <v>45749.67708333334</v>
      </c>
      <c r="C271" s="2" t="inlineStr">
        <is>
          <t>B01</t>
        </is>
      </c>
      <c r="D271" s="2" t="inlineStr">
        <is>
          <t>P05</t>
        </is>
      </c>
      <c r="E271" s="4" t="n">
        <v>55691590</v>
      </c>
      <c r="F271" s="2" t="inlineStr">
        <is>
          <t>Branch</t>
        </is>
      </c>
      <c r="G271" s="2" t="n"/>
      <c r="H271" s="2" t="inlineStr">
        <is>
          <t>USD</t>
        </is>
      </c>
      <c r="I271" s="7" t="n">
        <v>564000</v>
      </c>
      <c r="J271" s="2" t="inlineStr">
        <is>
          <t>E102</t>
        </is>
      </c>
      <c r="K271" s="2" t="inlineStr">
        <is>
          <t>Completed</t>
        </is>
      </c>
    </row>
    <row r="272">
      <c r="A272" s="2" t="inlineStr">
        <is>
          <t>T00271</t>
        </is>
      </c>
      <c r="B272" s="3" t="n">
        <v>45749.8125</v>
      </c>
      <c r="C272" s="2" t="inlineStr">
        <is>
          <t>B01</t>
        </is>
      </c>
      <c r="D272" s="2" t="inlineStr">
        <is>
          <t>P05</t>
        </is>
      </c>
      <c r="E272" s="4" t="n">
        <v>2639172015</v>
      </c>
      <c r="F272" s="2" t="inlineStr">
        <is>
          <t>Phone Banking</t>
        </is>
      </c>
      <c r="G272" s="2" t="n"/>
      <c r="H272" s="2" t="inlineStr">
        <is>
          <t>USD</t>
        </is>
      </c>
      <c r="I272" s="7" t="n">
        <v>471000</v>
      </c>
      <c r="J272" s="2" t="n"/>
      <c r="K272" s="2" t="inlineStr">
        <is>
          <t>Completed</t>
        </is>
      </c>
    </row>
    <row r="273">
      <c r="A273" s="2" t="inlineStr">
        <is>
          <t>T00272</t>
        </is>
      </c>
      <c r="B273" s="3" t="n">
        <v>45750.64236111111</v>
      </c>
      <c r="C273" s="2" t="inlineStr">
        <is>
          <t>B02</t>
        </is>
      </c>
      <c r="D273" s="2" t="inlineStr">
        <is>
          <t>P06</t>
        </is>
      </c>
      <c r="E273" s="4" t="inlineStr">
        <is>
          <t>0044509861</t>
        </is>
      </c>
      <c r="F273" s="2" t="inlineStr">
        <is>
          <t>Phone Banking</t>
        </is>
      </c>
      <c r="G273" s="2" t="n"/>
      <c r="H273" s="2" t="inlineStr">
        <is>
          <t>USD</t>
        </is>
      </c>
      <c r="I273" s="7" t="n">
        <v>204000</v>
      </c>
      <c r="J273" s="2" t="inlineStr">
        <is>
          <t>E103</t>
        </is>
      </c>
      <c r="K273" s="2" t="inlineStr">
        <is>
          <t>Completed</t>
        </is>
      </c>
    </row>
    <row r="274">
      <c r="A274" s="2" t="inlineStr">
        <is>
          <t>T00273</t>
        </is>
      </c>
      <c r="B274" s="3" t="n">
        <v>45750.65625</v>
      </c>
      <c r="C274" s="2" t="inlineStr">
        <is>
          <t>B02</t>
        </is>
      </c>
      <c r="D274" s="2" t="inlineStr">
        <is>
          <t>P08</t>
        </is>
      </c>
      <c r="E274" s="4" t="n">
        <v>4085391267</v>
      </c>
      <c r="F274" s="2" t="inlineStr">
        <is>
          <t>Mobile App</t>
        </is>
      </c>
      <c r="G274" s="2" t="n"/>
      <c r="H274" s="2" t="inlineStr">
        <is>
          <t>USD</t>
        </is>
      </c>
      <c r="I274" s="7" t="n">
        <v>261000</v>
      </c>
      <c r="J274" s="2" t="inlineStr">
        <is>
          <t>E104</t>
        </is>
      </c>
      <c r="K274" s="2" t="inlineStr">
        <is>
          <t>Completed</t>
        </is>
      </c>
    </row>
    <row r="275">
      <c r="A275" s="2" t="inlineStr">
        <is>
          <t>T00274</t>
        </is>
      </c>
      <c r="B275" s="3" t="n">
        <v>45751.46527777778</v>
      </c>
      <c r="C275" s="2" t="inlineStr">
        <is>
          <t>B02</t>
        </is>
      </c>
      <c r="D275" s="2" t="inlineStr">
        <is>
          <t>P01</t>
        </is>
      </c>
      <c r="E275" s="4" t="n">
        <v>5379913896</v>
      </c>
      <c r="F275" s="2" t="inlineStr">
        <is>
          <t>Branch</t>
        </is>
      </c>
      <c r="G275" s="2" t="n"/>
      <c r="H275" s="2" t="inlineStr">
        <is>
          <t>USD</t>
        </is>
      </c>
      <c r="I275" s="7" t="n">
        <v>21000</v>
      </c>
      <c r="J275" s="2" t="inlineStr">
        <is>
          <t>E103</t>
        </is>
      </c>
      <c r="K275" s="2" t="inlineStr">
        <is>
          <t>Completed</t>
        </is>
      </c>
    </row>
    <row r="276">
      <c r="A276" s="2" t="inlineStr">
        <is>
          <t>T00275</t>
        </is>
      </c>
      <c r="B276" s="3" t="n">
        <v>45754.375</v>
      </c>
      <c r="C276" s="2" t="inlineStr">
        <is>
          <t>B03</t>
        </is>
      </c>
      <c r="D276" s="2" t="inlineStr">
        <is>
          <t>P04</t>
        </is>
      </c>
      <c r="E276" s="4" t="n">
        <v>3328832319</v>
      </c>
      <c r="F276" s="2" t="inlineStr">
        <is>
          <t>Phone Banking</t>
        </is>
      </c>
      <c r="G276" s="2" t="n"/>
      <c r="H276" s="2" t="inlineStr">
        <is>
          <t>USD</t>
        </is>
      </c>
      <c r="I276" s="7" t="n">
        <v>20000</v>
      </c>
      <c r="J276" s="2" t="inlineStr">
        <is>
          <t>E150</t>
        </is>
      </c>
      <c r="K276" s="2" t="inlineStr">
        <is>
          <t>Completed</t>
        </is>
      </c>
    </row>
    <row r="277">
      <c r="A277" s="2" t="inlineStr">
        <is>
          <t>T00276</t>
        </is>
      </c>
      <c r="B277" s="3" t="n">
        <v>45754.39236111111</v>
      </c>
      <c r="C277" s="2" t="inlineStr">
        <is>
          <t>B01</t>
        </is>
      </c>
      <c r="D277" s="2" t="inlineStr">
        <is>
          <t>P03</t>
        </is>
      </c>
      <c r="E277" s="4" t="n">
        <v>1345733448</v>
      </c>
      <c r="F277" s="2" t="inlineStr">
        <is>
          <t>Mobile App</t>
        </is>
      </c>
      <c r="G277" s="2" t="inlineStr">
        <is>
          <t>CMP-SPR25</t>
        </is>
      </c>
      <c r="H277" s="2" t="inlineStr">
        <is>
          <t>USD</t>
        </is>
      </c>
      <c r="I277" s="7" t="n">
        <v>59000</v>
      </c>
      <c r="J277" s="2" t="inlineStr">
        <is>
          <t>E108</t>
        </is>
      </c>
      <c r="K277" s="2" t="inlineStr">
        <is>
          <t>Completed</t>
        </is>
      </c>
    </row>
    <row r="278">
      <c r="A278" s="2" t="inlineStr">
        <is>
          <t>T00277</t>
        </is>
      </c>
      <c r="B278" s="3" t="n">
        <v>45754.40277777778</v>
      </c>
      <c r="C278" s="2" t="inlineStr">
        <is>
          <t>B02</t>
        </is>
      </c>
      <c r="D278" s="2" t="inlineStr">
        <is>
          <t>P04</t>
        </is>
      </c>
      <c r="E278" s="4" t="n">
        <v>3207719945</v>
      </c>
      <c r="F278" s="2" t="inlineStr">
        <is>
          <t>Branch</t>
        </is>
      </c>
      <c r="G278" s="2" t="n"/>
      <c r="H278" s="2" t="inlineStr">
        <is>
          <t>HKD</t>
        </is>
      </c>
      <c r="I278" s="7" t="n">
        <v>1591000</v>
      </c>
      <c r="J278" s="2" t="inlineStr">
        <is>
          <t>E103</t>
        </is>
      </c>
      <c r="K278" s="2" t="inlineStr">
        <is>
          <t>Completed</t>
        </is>
      </c>
    </row>
    <row r="279">
      <c r="A279" s="2" t="inlineStr">
        <is>
          <t>T00278</t>
        </is>
      </c>
      <c r="B279" s="3" t="n">
        <v>45754.55208333334</v>
      </c>
      <c r="C279" s="2" t="inlineStr">
        <is>
          <t>B02</t>
        </is>
      </c>
      <c r="D279" s="2" t="inlineStr">
        <is>
          <t>P05</t>
        </is>
      </c>
      <c r="E279" s="4" t="n">
        <v>2783886952</v>
      </c>
      <c r="F279" s="2" t="inlineStr">
        <is>
          <t>Branch</t>
        </is>
      </c>
      <c r="G279" s="2" t="n"/>
      <c r="H279" s="2" t="inlineStr">
        <is>
          <t>HKD</t>
        </is>
      </c>
      <c r="I279" s="7" t="n">
        <v>1412000</v>
      </c>
      <c r="J279" s="2" t="inlineStr">
        <is>
          <t>E11O</t>
        </is>
      </c>
      <c r="K279" s="2" t="inlineStr">
        <is>
          <t>Completed</t>
        </is>
      </c>
    </row>
    <row r="280">
      <c r="A280" s="2" t="inlineStr">
        <is>
          <t>T00279</t>
        </is>
      </c>
      <c r="B280" s="3" t="n">
        <v>45754.67708333334</v>
      </c>
      <c r="C280" s="2" t="inlineStr">
        <is>
          <t>B01</t>
        </is>
      </c>
      <c r="D280" s="2" t="inlineStr">
        <is>
          <t>P03</t>
        </is>
      </c>
      <c r="E280" s="4" t="n">
        <v>71204459</v>
      </c>
      <c r="F280" s="2" t="inlineStr">
        <is>
          <t>Branch</t>
        </is>
      </c>
      <c r="G280" s="2" t="inlineStr">
        <is>
          <t>CMP-SPR25</t>
        </is>
      </c>
      <c r="H280" s="2" t="inlineStr">
        <is>
          <t>USD</t>
        </is>
      </c>
      <c r="I280" s="7" t="n">
        <v>289000</v>
      </c>
      <c r="J280" s="2" t="inlineStr">
        <is>
          <t>E108</t>
        </is>
      </c>
      <c r="K280" s="2" t="inlineStr">
        <is>
          <t>Completed</t>
        </is>
      </c>
    </row>
    <row r="281">
      <c r="A281" s="2" t="inlineStr">
        <is>
          <t>T00280</t>
        </is>
      </c>
      <c r="B281" s="3" t="n">
        <v>45754.69791666666</v>
      </c>
      <c r="C281" s="2" t="inlineStr">
        <is>
          <t>B03</t>
        </is>
      </c>
      <c r="D281" s="2" t="inlineStr">
        <is>
          <t>P02</t>
        </is>
      </c>
      <c r="E281" s="4" t="n">
        <v>6429278715</v>
      </c>
      <c r="F281" s="2" t="inlineStr">
        <is>
          <t>Branch</t>
        </is>
      </c>
      <c r="G281" s="2" t="inlineStr">
        <is>
          <t>CMP-SPR25</t>
        </is>
      </c>
      <c r="H281" s="2" t="inlineStr">
        <is>
          <t>USD</t>
        </is>
      </c>
      <c r="I281" s="7" t="n">
        <v>200000</v>
      </c>
      <c r="J281" s="2" t="inlineStr">
        <is>
          <t>E105</t>
        </is>
      </c>
      <c r="K281" s="2" t="inlineStr">
        <is>
          <t>Completed</t>
        </is>
      </c>
    </row>
    <row r="282">
      <c r="A282" s="2" t="inlineStr">
        <is>
          <t>T00281</t>
        </is>
      </c>
      <c r="B282" s="3" t="n">
        <v>45755.375</v>
      </c>
      <c r="C282" s="2" t="inlineStr">
        <is>
          <t>B03</t>
        </is>
      </c>
      <c r="D282" s="2" t="inlineStr">
        <is>
          <t>P03</t>
        </is>
      </c>
      <c r="E282" s="4" t="n">
        <v>6712542998</v>
      </c>
      <c r="F282" s="2" t="inlineStr">
        <is>
          <t>Branch</t>
        </is>
      </c>
      <c r="G282" s="2" t="inlineStr">
        <is>
          <t>CMP-SPR25</t>
        </is>
      </c>
      <c r="H282" s="2" t="inlineStr">
        <is>
          <t>HKD</t>
        </is>
      </c>
      <c r="I282" s="7" t="n">
        <v>133000</v>
      </c>
      <c r="J282" s="2" t="inlineStr">
        <is>
          <t>E105</t>
        </is>
      </c>
      <c r="K282" s="2" t="inlineStr">
        <is>
          <t>Cancelled</t>
        </is>
      </c>
    </row>
    <row r="283">
      <c r="A283" s="2" t="inlineStr">
        <is>
          <t>T00282</t>
        </is>
      </c>
      <c r="B283" s="3" t="n">
        <v>45755.375</v>
      </c>
      <c r="C283" s="2" t="inlineStr">
        <is>
          <t>B02</t>
        </is>
      </c>
      <c r="D283" s="2" t="inlineStr">
        <is>
          <t>P07</t>
        </is>
      </c>
      <c r="E283" s="4" t="inlineStr">
        <is>
          <t>0057825472</t>
        </is>
      </c>
      <c r="F283" s="2" t="inlineStr">
        <is>
          <t>Branch</t>
        </is>
      </c>
      <c r="G283" s="2" t="n"/>
      <c r="H283" s="2" t="inlineStr">
        <is>
          <t>USD</t>
        </is>
      </c>
      <c r="I283" s="7" t="n">
        <v>134000</v>
      </c>
      <c r="J283" s="2" t="inlineStr">
        <is>
          <t>E104</t>
        </is>
      </c>
      <c r="K283" s="2" t="inlineStr">
        <is>
          <t>Completed</t>
        </is>
      </c>
    </row>
    <row r="284">
      <c r="A284" s="2" t="inlineStr">
        <is>
          <t>T00283</t>
        </is>
      </c>
      <c r="B284" s="3" t="n">
        <v>45755.38194444445</v>
      </c>
      <c r="C284" s="2" t="inlineStr">
        <is>
          <t>B01</t>
        </is>
      </c>
      <c r="D284" s="2" t="inlineStr">
        <is>
          <t>P02</t>
        </is>
      </c>
      <c r="E284" s="4" t="n">
        <v>1345733448</v>
      </c>
      <c r="F284" s="2" t="inlineStr">
        <is>
          <t>Phone Banking</t>
        </is>
      </c>
      <c r="G284" s="2" t="inlineStr">
        <is>
          <t>CMP-SPR25</t>
        </is>
      </c>
      <c r="H284" s="2" t="inlineStr">
        <is>
          <t>HKD</t>
        </is>
      </c>
      <c r="I284" s="7" t="n">
        <v>967000</v>
      </c>
      <c r="J284" s="2" t="inlineStr">
        <is>
          <t>E11</t>
        </is>
      </c>
      <c r="K284" s="2" t="inlineStr">
        <is>
          <t>Completed</t>
        </is>
      </c>
    </row>
    <row r="285">
      <c r="A285" s="2" t="inlineStr">
        <is>
          <t>T00284</t>
        </is>
      </c>
      <c r="B285" s="3" t="n">
        <v>45755.39236111111</v>
      </c>
      <c r="C285" s="2" t="inlineStr">
        <is>
          <t>B02</t>
        </is>
      </c>
      <c r="D285" s="2" t="inlineStr">
        <is>
          <t>P07</t>
        </is>
      </c>
      <c r="E285" s="4" t="n">
        <v>5138950247</v>
      </c>
      <c r="F285" s="2" t="inlineStr">
        <is>
          <t>Branch</t>
        </is>
      </c>
      <c r="G285" s="2" t="n"/>
      <c r="H285" s="2" t="inlineStr">
        <is>
          <t>CNY</t>
        </is>
      </c>
      <c r="I285" s="7" t="n">
        <v>3468000</v>
      </c>
      <c r="J285" s="2" t="inlineStr">
        <is>
          <t>E103</t>
        </is>
      </c>
      <c r="K285" s="2" t="inlineStr">
        <is>
          <t>Completed</t>
        </is>
      </c>
    </row>
    <row r="286">
      <c r="A286" s="2" t="inlineStr">
        <is>
          <t>T00285</t>
        </is>
      </c>
      <c r="B286" s="3" t="n">
        <v>45755.66319444445</v>
      </c>
      <c r="C286" s="2" t="inlineStr">
        <is>
          <t>B01</t>
        </is>
      </c>
      <c r="D286" s="2" t="inlineStr">
        <is>
          <t>P05</t>
        </is>
      </c>
      <c r="E286" s="4" t="n">
        <v>71204459</v>
      </c>
      <c r="F286" s="2" t="inlineStr">
        <is>
          <t>Branch</t>
        </is>
      </c>
      <c r="G286" s="2" t="inlineStr">
        <is>
          <t>CMP-SPR25</t>
        </is>
      </c>
      <c r="H286" s="2" t="inlineStr">
        <is>
          <t>USD</t>
        </is>
      </c>
      <c r="I286" s="7" t="n">
        <v>300000</v>
      </c>
      <c r="J286" s="2" t="inlineStr">
        <is>
          <t>E101</t>
        </is>
      </c>
      <c r="K286" s="2" t="inlineStr">
        <is>
          <t>Completed</t>
        </is>
      </c>
    </row>
    <row r="287">
      <c r="A287" s="2" t="inlineStr">
        <is>
          <t>T00286</t>
        </is>
      </c>
      <c r="B287" s="3" t="n">
        <v>45756.63194444445</v>
      </c>
      <c r="C287" s="2" t="inlineStr">
        <is>
          <t>B01</t>
        </is>
      </c>
      <c r="D287" s="2" t="inlineStr">
        <is>
          <t>P02</t>
        </is>
      </c>
      <c r="E287" s="4" t="inlineStr">
        <is>
          <t>0098231104</t>
        </is>
      </c>
      <c r="F287" s="2" t="inlineStr">
        <is>
          <t>Phone Banking</t>
        </is>
      </c>
      <c r="G287" s="2" t="n"/>
      <c r="H287" s="2" t="inlineStr">
        <is>
          <t>HKD</t>
        </is>
      </c>
      <c r="I287" s="7" t="n">
        <v>718000</v>
      </c>
      <c r="J287" s="2" t="inlineStr">
        <is>
          <t>E111</t>
        </is>
      </c>
      <c r="K287" s="2" t="inlineStr">
        <is>
          <t>Completed</t>
        </is>
      </c>
    </row>
    <row r="288">
      <c r="A288" s="2" t="inlineStr">
        <is>
          <t>T00287</t>
        </is>
      </c>
      <c r="B288" s="3" t="n">
        <v>45756.64236111111</v>
      </c>
      <c r="C288" s="2" t="inlineStr">
        <is>
          <t>B03</t>
        </is>
      </c>
      <c r="D288" s="2" t="inlineStr">
        <is>
          <t>P04</t>
        </is>
      </c>
      <c r="E288" s="4" t="n">
        <v>1003425081</v>
      </c>
      <c r="F288" s="2" t="inlineStr">
        <is>
          <t>Branch</t>
        </is>
      </c>
      <c r="G288" s="2" t="n"/>
      <c r="H288" s="2" t="inlineStr">
        <is>
          <t>HKD</t>
        </is>
      </c>
      <c r="I288" s="7" t="n">
        <v>920000</v>
      </c>
      <c r="J288" s="2" t="inlineStr">
        <is>
          <t>E105</t>
        </is>
      </c>
      <c r="K288" s="2" t="inlineStr">
        <is>
          <t>Completed</t>
        </is>
      </c>
    </row>
    <row r="289">
      <c r="A289" s="2" t="inlineStr">
        <is>
          <t>T00288</t>
        </is>
      </c>
      <c r="B289" s="3" t="n">
        <v>45756.70833333334</v>
      </c>
      <c r="C289" s="2" t="inlineStr">
        <is>
          <t>B02</t>
        </is>
      </c>
      <c r="D289" s="2" t="inlineStr">
        <is>
          <t>P07</t>
        </is>
      </c>
      <c r="E289" s="4" t="n">
        <v>44509861</v>
      </c>
      <c r="F289" s="2" t="inlineStr">
        <is>
          <t>Branch</t>
        </is>
      </c>
      <c r="G289" s="2" t="n"/>
      <c r="H289" s="2" t="inlineStr">
        <is>
          <t>HKD</t>
        </is>
      </c>
      <c r="I289" s="7" t="n">
        <v>3955000</v>
      </c>
      <c r="J289" s="2" t="inlineStr">
        <is>
          <t>E104</t>
        </is>
      </c>
      <c r="K289" s="2" t="inlineStr">
        <is>
          <t>Completed</t>
        </is>
      </c>
    </row>
    <row r="290">
      <c r="A290" s="2" t="inlineStr">
        <is>
          <t>T00289</t>
        </is>
      </c>
      <c r="B290" s="3" t="n">
        <v>45757.53472222222</v>
      </c>
      <c r="C290" s="2" t="inlineStr">
        <is>
          <t>B02</t>
        </is>
      </c>
      <c r="D290" s="2" t="inlineStr">
        <is>
          <t>P04</t>
        </is>
      </c>
      <c r="E290" s="4" t="inlineStr">
        <is>
          <t>0017091225</t>
        </is>
      </c>
      <c r="F290" s="2" t="inlineStr">
        <is>
          <t>Branch</t>
        </is>
      </c>
      <c r="G290" s="2" t="n"/>
      <c r="H290" s="2" t="inlineStr">
        <is>
          <t>USD</t>
        </is>
      </c>
      <c r="I290" s="7" t="n">
        <v>11000</v>
      </c>
      <c r="J290" s="2" t="inlineStr">
        <is>
          <t>E110</t>
        </is>
      </c>
      <c r="K290" s="2" t="inlineStr">
        <is>
          <t>Completed</t>
        </is>
      </c>
    </row>
    <row r="291">
      <c r="A291" s="2" t="inlineStr">
        <is>
          <t>T00290</t>
        </is>
      </c>
      <c r="B291" s="3" t="n">
        <v>45757.63888888889</v>
      </c>
      <c r="C291" s="2" t="inlineStr">
        <is>
          <t>B02</t>
        </is>
      </c>
      <c r="D291" s="2" t="inlineStr">
        <is>
          <t>P06</t>
        </is>
      </c>
      <c r="E291" s="4" t="inlineStr">
        <is>
          <t>0016329105</t>
        </is>
      </c>
      <c r="F291" s="2" t="inlineStr">
        <is>
          <t>Phone Banking</t>
        </is>
      </c>
      <c r="G291" s="2" t="n"/>
      <c r="H291" s="2" t="inlineStr">
        <is>
          <t>HKD</t>
        </is>
      </c>
      <c r="I291" s="7" t="n">
        <v>616000</v>
      </c>
      <c r="J291" s="2" t="inlineStr">
        <is>
          <t>E104</t>
        </is>
      </c>
      <c r="K291" s="2" t="inlineStr">
        <is>
          <t>Completed</t>
        </is>
      </c>
    </row>
    <row r="292">
      <c r="A292" s="2" t="inlineStr">
        <is>
          <t>T00291</t>
        </is>
      </c>
      <c r="B292" s="3" t="n">
        <v>45758.64236111111</v>
      </c>
      <c r="C292" s="2" t="inlineStr">
        <is>
          <t>B02</t>
        </is>
      </c>
      <c r="D292" s="2" t="inlineStr">
        <is>
          <t>P08</t>
        </is>
      </c>
      <c r="E292" s="4" t="n">
        <v>2531925273</v>
      </c>
      <c r="F292" s="2" t="inlineStr">
        <is>
          <t>Phone Banking</t>
        </is>
      </c>
      <c r="G292" s="2" t="n"/>
      <c r="H292" s="2" t="inlineStr">
        <is>
          <t>USD</t>
        </is>
      </c>
      <c r="I292" s="7" t="n">
        <v>127000</v>
      </c>
      <c r="J292" s="2" t="inlineStr">
        <is>
          <t>E110</t>
        </is>
      </c>
      <c r="K292" s="2" t="inlineStr">
        <is>
          <t>Completed</t>
        </is>
      </c>
    </row>
    <row r="293">
      <c r="A293" s="2" t="inlineStr">
        <is>
          <t>T00292</t>
        </is>
      </c>
      <c r="B293" s="3" t="n">
        <v>45760.42013888889</v>
      </c>
      <c r="C293" s="2" t="inlineStr">
        <is>
          <t>B02</t>
        </is>
      </c>
      <c r="D293" s="2" t="inlineStr">
        <is>
          <t>P02</t>
        </is>
      </c>
      <c r="E293" s="4" t="n">
        <v>7745016628</v>
      </c>
      <c r="F293" s="2" t="inlineStr">
        <is>
          <t>Phone Banking</t>
        </is>
      </c>
      <c r="G293" s="2" t="inlineStr">
        <is>
          <t>CMP-SPR25</t>
        </is>
      </c>
      <c r="H293" s="2" t="inlineStr">
        <is>
          <t>HKD</t>
        </is>
      </c>
      <c r="I293" s="7" t="n">
        <v>1170000</v>
      </c>
      <c r="J293" s="2" t="n"/>
      <c r="K293" s="2" t="inlineStr">
        <is>
          <t>Completed</t>
        </is>
      </c>
    </row>
    <row r="294">
      <c r="A294" s="2" t="inlineStr">
        <is>
          <t>T00293</t>
        </is>
      </c>
      <c r="B294" s="3" t="n">
        <v>45761.40972222222</v>
      </c>
      <c r="C294" s="2" t="inlineStr">
        <is>
          <t>B02</t>
        </is>
      </c>
      <c r="D294" s="2" t="inlineStr">
        <is>
          <t>P08</t>
        </is>
      </c>
      <c r="E294" s="4" t="n">
        <v>1842303686</v>
      </c>
      <c r="F294" s="2" t="inlineStr">
        <is>
          <t>Branch</t>
        </is>
      </c>
      <c r="G294" s="2" t="n"/>
      <c r="H294" s="2" t="inlineStr">
        <is>
          <t>HKD</t>
        </is>
      </c>
      <c r="I294" s="7" t="n">
        <v>468000</v>
      </c>
      <c r="J294" s="2" t="inlineStr">
        <is>
          <t>E102</t>
        </is>
      </c>
      <c r="K294" s="2" t="inlineStr">
        <is>
          <t>Completed</t>
        </is>
      </c>
    </row>
    <row r="295">
      <c r="A295" s="2" t="inlineStr">
        <is>
          <t>T00294</t>
        </is>
      </c>
      <c r="B295" s="3" t="n">
        <v>45761.61458333334</v>
      </c>
      <c r="C295" s="2" t="inlineStr">
        <is>
          <t>B01</t>
        </is>
      </c>
      <c r="D295" s="2" t="inlineStr">
        <is>
          <t>P07</t>
        </is>
      </c>
      <c r="E295" s="4" t="n">
        <v>2639172015</v>
      </c>
      <c r="F295" s="2" t="inlineStr">
        <is>
          <t>Branch</t>
        </is>
      </c>
      <c r="G295" s="2" t="n"/>
      <c r="H295" s="2" t="inlineStr">
        <is>
          <t>USD</t>
        </is>
      </c>
      <c r="I295" s="7" t="n">
        <v>247000</v>
      </c>
      <c r="J295" s="2" t="inlineStr">
        <is>
          <t>E108</t>
        </is>
      </c>
      <c r="K295" s="2" t="inlineStr">
        <is>
          <t>Completed</t>
        </is>
      </c>
    </row>
    <row r="296">
      <c r="A296" s="2" t="inlineStr">
        <is>
          <t>T00295</t>
        </is>
      </c>
      <c r="B296" s="3" t="n">
        <v>45761.86111111111</v>
      </c>
      <c r="C296" s="2" t="inlineStr">
        <is>
          <t>B02</t>
        </is>
      </c>
      <c r="D296" s="2" t="inlineStr">
        <is>
          <t>P04</t>
        </is>
      </c>
      <c r="E296" s="4" t="n">
        <v>2897597490</v>
      </c>
      <c r="F296" s="2" t="inlineStr">
        <is>
          <t>Mobile App</t>
        </is>
      </c>
      <c r="G296" s="2" t="n"/>
      <c r="H296" s="2" t="inlineStr">
        <is>
          <t>USD</t>
        </is>
      </c>
      <c r="I296" s="7" t="n">
        <v>33000</v>
      </c>
      <c r="J296" s="2" t="n"/>
      <c r="K296" s="2" t="inlineStr">
        <is>
          <t>Completed</t>
        </is>
      </c>
    </row>
    <row r="297">
      <c r="A297" s="2" t="inlineStr">
        <is>
          <t>T00296</t>
        </is>
      </c>
      <c r="B297" s="3" t="n">
        <v>45762.39236111111</v>
      </c>
      <c r="C297" s="2" t="inlineStr">
        <is>
          <t>B01</t>
        </is>
      </c>
      <c r="D297" s="2" t="inlineStr">
        <is>
          <t>P03</t>
        </is>
      </c>
      <c r="E297" s="4" t="inlineStr">
        <is>
          <t>0017885621</t>
        </is>
      </c>
      <c r="F297" s="2" t="inlineStr">
        <is>
          <t>Mobile App</t>
        </is>
      </c>
      <c r="G297" s="2" t="n"/>
      <c r="H297" s="2" t="inlineStr">
        <is>
          <t>USD</t>
        </is>
      </c>
      <c r="I297" s="7" t="n">
        <v>13000</v>
      </c>
      <c r="J297" s="2" t="inlineStr">
        <is>
          <t>E101</t>
        </is>
      </c>
      <c r="K297" s="2" t="inlineStr">
        <is>
          <t>Completed</t>
        </is>
      </c>
    </row>
    <row r="298">
      <c r="A298" s="2" t="inlineStr">
        <is>
          <t>T00297</t>
        </is>
      </c>
      <c r="B298" s="3" t="n">
        <v>45762.44444444445</v>
      </c>
      <c r="C298" s="2" t="inlineStr">
        <is>
          <t>B01</t>
        </is>
      </c>
      <c r="D298" s="2" t="inlineStr">
        <is>
          <t>P03</t>
        </is>
      </c>
      <c r="E298" s="4" t="n">
        <v>98231104</v>
      </c>
      <c r="F298" s="2" t="inlineStr">
        <is>
          <t>Mobile App</t>
        </is>
      </c>
      <c r="G298" s="2" t="inlineStr">
        <is>
          <t>CMP-SPR25</t>
        </is>
      </c>
      <c r="H298" s="2" t="inlineStr">
        <is>
          <t>USD</t>
        </is>
      </c>
      <c r="I298" s="7" t="n">
        <v>12000</v>
      </c>
      <c r="J298" s="2" t="inlineStr">
        <is>
          <t>E102</t>
        </is>
      </c>
      <c r="K298" s="2" t="inlineStr">
        <is>
          <t>Completed</t>
        </is>
      </c>
    </row>
    <row r="299">
      <c r="A299" s="2" t="inlineStr">
        <is>
          <t>T00298</t>
        </is>
      </c>
      <c r="B299" s="3" t="n">
        <v>45763.64583333334</v>
      </c>
      <c r="C299" s="2" t="inlineStr">
        <is>
          <t>B02</t>
        </is>
      </c>
      <c r="D299" s="2" t="inlineStr">
        <is>
          <t>P02</t>
        </is>
      </c>
      <c r="E299" s="4" t="inlineStr">
        <is>
          <t>0057825472</t>
        </is>
      </c>
      <c r="F299" s="2" t="inlineStr">
        <is>
          <t>Branch</t>
        </is>
      </c>
      <c r="G299" s="2" t="n"/>
      <c r="H299" s="2" t="inlineStr">
        <is>
          <t>HKD</t>
        </is>
      </c>
      <c r="I299" s="7" t="n">
        <v>702000</v>
      </c>
      <c r="J299" s="2" t="inlineStr">
        <is>
          <t>E110</t>
        </is>
      </c>
      <c r="K299" s="2" t="inlineStr">
        <is>
          <t>Completed</t>
        </is>
      </c>
    </row>
    <row r="300">
      <c r="A300" s="2" t="inlineStr">
        <is>
          <t>T00299</t>
        </is>
      </c>
      <c r="B300" s="3" t="n">
        <v>45763.6875</v>
      </c>
      <c r="C300" s="2" t="inlineStr">
        <is>
          <t>B03</t>
        </is>
      </c>
      <c r="D300" s="2" t="inlineStr">
        <is>
          <t>P08</t>
        </is>
      </c>
      <c r="E300" s="4" t="n">
        <v>8487706006</v>
      </c>
      <c r="F300" s="2" t="inlineStr">
        <is>
          <t>Phone Banking</t>
        </is>
      </c>
      <c r="G300" s="2" t="n"/>
      <c r="H300" s="2" t="inlineStr">
        <is>
          <t>HKD</t>
        </is>
      </c>
      <c r="I300" s="7" t="n">
        <v>3183000</v>
      </c>
      <c r="J300" s="2" t="inlineStr">
        <is>
          <t>E110</t>
        </is>
      </c>
      <c r="K300" s="2" t="inlineStr">
        <is>
          <t>Completed</t>
        </is>
      </c>
    </row>
    <row r="301">
      <c r="A301" s="2" t="inlineStr">
        <is>
          <t>T00300</t>
        </is>
      </c>
      <c r="B301" s="3" t="n">
        <v>45764.47916666666</v>
      </c>
      <c r="C301" s="2" t="inlineStr">
        <is>
          <t>B01</t>
        </is>
      </c>
      <c r="D301" s="2" t="inlineStr">
        <is>
          <t>P06</t>
        </is>
      </c>
      <c r="E301" s="4" t="n">
        <v>5185642036</v>
      </c>
      <c r="F301" s="2" t="inlineStr">
        <is>
          <t>Phone Banking</t>
        </is>
      </c>
      <c r="G301" s="2" t="n"/>
      <c r="H301" s="2" t="inlineStr">
        <is>
          <t>USD</t>
        </is>
      </c>
      <c r="I301" s="7" t="n">
        <v>668000</v>
      </c>
      <c r="J301" s="2" t="inlineStr">
        <is>
          <t>E111</t>
        </is>
      </c>
      <c r="K301" s="2" t="inlineStr">
        <is>
          <t>Completed</t>
        </is>
      </c>
    </row>
    <row r="302">
      <c r="A302" s="2" t="inlineStr">
        <is>
          <t>T00301</t>
        </is>
      </c>
      <c r="B302" s="3" t="n">
        <v>45764.90972222222</v>
      </c>
      <c r="C302" s="2" t="inlineStr">
        <is>
          <t>B02</t>
        </is>
      </c>
      <c r="D302" s="2" t="inlineStr">
        <is>
          <t>P06</t>
        </is>
      </c>
      <c r="E302" s="4" t="n">
        <v>3814816203</v>
      </c>
      <c r="F302" s="2" t="inlineStr">
        <is>
          <t>Mobile App</t>
        </is>
      </c>
      <c r="G302" s="2" t="n"/>
      <c r="H302" s="2" t="inlineStr">
        <is>
          <t>USD</t>
        </is>
      </c>
      <c r="I302" s="7" t="n">
        <v>283000</v>
      </c>
      <c r="J302" s="2" t="n"/>
      <c r="K302" s="2" t="inlineStr">
        <is>
          <t>Completed</t>
        </is>
      </c>
    </row>
    <row r="303">
      <c r="A303" s="2" t="inlineStr">
        <is>
          <t>T00302</t>
        </is>
      </c>
      <c r="B303" s="3" t="n">
        <v>45765.40625</v>
      </c>
      <c r="C303" s="2" t="inlineStr">
        <is>
          <t>B01</t>
        </is>
      </c>
      <c r="D303" s="2" t="inlineStr">
        <is>
          <t>P06</t>
        </is>
      </c>
      <c r="E303" s="4" t="n">
        <v>7504397999</v>
      </c>
      <c r="F303" s="2" t="inlineStr">
        <is>
          <t>Branch</t>
        </is>
      </c>
      <c r="G303" s="2" t="n"/>
      <c r="H303" s="2" t="inlineStr">
        <is>
          <t>HKD</t>
        </is>
      </c>
      <c r="I303" s="7" t="n">
        <v>7512000</v>
      </c>
      <c r="J303" s="2" t="inlineStr">
        <is>
          <t>E101</t>
        </is>
      </c>
      <c r="K303" s="2" t="inlineStr">
        <is>
          <t>Completed</t>
        </is>
      </c>
    </row>
    <row r="304">
      <c r="A304" s="2" t="inlineStr">
        <is>
          <t>T00303</t>
        </is>
      </c>
      <c r="B304" s="3" t="n">
        <v>45765.60763888889</v>
      </c>
      <c r="C304" s="2" t="inlineStr">
        <is>
          <t>B01</t>
        </is>
      </c>
      <c r="D304" s="2" t="inlineStr">
        <is>
          <t>P02</t>
        </is>
      </c>
      <c r="E304" s="4" t="n">
        <v>1345733448</v>
      </c>
      <c r="F304" s="2" t="inlineStr">
        <is>
          <t>Mobile App</t>
        </is>
      </c>
      <c r="G304" s="2" t="inlineStr">
        <is>
          <t>CMP-SPR25</t>
        </is>
      </c>
      <c r="H304" s="2" t="inlineStr">
        <is>
          <t>USD</t>
        </is>
      </c>
      <c r="I304" s="7" t="n">
        <v>253000</v>
      </c>
      <c r="J304" s="2" t="n"/>
      <c r="K304" s="2" t="inlineStr">
        <is>
          <t>Completed</t>
        </is>
      </c>
    </row>
    <row r="305">
      <c r="A305" s="2" t="inlineStr">
        <is>
          <t>T00304</t>
        </is>
      </c>
      <c r="B305" s="3" t="n">
        <v>45765.70833333334</v>
      </c>
      <c r="C305" s="2" t="inlineStr">
        <is>
          <t>B02</t>
        </is>
      </c>
      <c r="D305" s="2" t="inlineStr">
        <is>
          <t>P07</t>
        </is>
      </c>
      <c r="E305" s="4" t="n">
        <v>3207719945</v>
      </c>
      <c r="F305" s="2" t="inlineStr">
        <is>
          <t>Branch</t>
        </is>
      </c>
      <c r="G305" s="2" t="n"/>
      <c r="H305" s="2" t="inlineStr">
        <is>
          <t>USD</t>
        </is>
      </c>
      <c r="I305" s="7" t="n">
        <v>123000</v>
      </c>
      <c r="J305" s="2" t="inlineStr">
        <is>
          <t>E110</t>
        </is>
      </c>
      <c r="K305" s="2" t="inlineStr">
        <is>
          <t>Completed</t>
        </is>
      </c>
    </row>
    <row r="306">
      <c r="A306" s="2" t="inlineStr">
        <is>
          <t>T00305</t>
        </is>
      </c>
      <c r="B306" s="3" t="n">
        <v>45766.47569444445</v>
      </c>
      <c r="C306" s="2" t="inlineStr">
        <is>
          <t>B02</t>
        </is>
      </c>
      <c r="D306" s="2" t="inlineStr">
        <is>
          <t>P03</t>
        </is>
      </c>
      <c r="E306" s="4" t="n">
        <v>7745016628</v>
      </c>
      <c r="F306" s="2" t="inlineStr">
        <is>
          <t>Phone Banking</t>
        </is>
      </c>
      <c r="G306" s="2" t="inlineStr">
        <is>
          <t>CMP-SPR25</t>
        </is>
      </c>
      <c r="H306" s="2" t="inlineStr">
        <is>
          <t>HKD</t>
        </is>
      </c>
      <c r="I306" s="7" t="n">
        <v>226000</v>
      </c>
      <c r="J306" s="2" t="n"/>
      <c r="K306" s="2" t="inlineStr">
        <is>
          <t>Completed</t>
        </is>
      </c>
    </row>
    <row r="307">
      <c r="A307" s="2" t="inlineStr">
        <is>
          <t>T00306</t>
        </is>
      </c>
      <c r="B307" s="3" t="n">
        <v>45767.72222222222</v>
      </c>
      <c r="C307" s="2" t="inlineStr">
        <is>
          <t>B02</t>
        </is>
      </c>
      <c r="D307" s="2" t="inlineStr">
        <is>
          <t>P06</t>
        </is>
      </c>
      <c r="E307" s="4" t="n">
        <v>7745016628</v>
      </c>
      <c r="F307" s="2" t="inlineStr">
        <is>
          <t>Mobile App</t>
        </is>
      </c>
      <c r="G307" s="2" t="n"/>
      <c r="H307" s="2" t="inlineStr">
        <is>
          <t>USD</t>
        </is>
      </c>
      <c r="I307" s="7" t="n">
        <v>168000</v>
      </c>
      <c r="J307" s="2" t="n"/>
      <c r="K307" s="2" t="inlineStr">
        <is>
          <t>Completed</t>
        </is>
      </c>
    </row>
    <row r="308">
      <c r="A308" s="2" t="inlineStr">
        <is>
          <t>T00307</t>
        </is>
      </c>
      <c r="B308" s="3" t="n">
        <v>45768.46180555555</v>
      </c>
      <c r="C308" s="2" t="inlineStr">
        <is>
          <t>B02</t>
        </is>
      </c>
      <c r="D308" s="2" t="inlineStr">
        <is>
          <t>P03</t>
        </is>
      </c>
      <c r="E308" s="4" t="n">
        <v>3207719945</v>
      </c>
      <c r="F308" s="2" t="inlineStr">
        <is>
          <t>Branch</t>
        </is>
      </c>
      <c r="G308" s="2" t="inlineStr">
        <is>
          <t>CMP-SPR25</t>
        </is>
      </c>
      <c r="H308" s="2" t="inlineStr">
        <is>
          <t>HKD</t>
        </is>
      </c>
      <c r="I308" s="7" t="n">
        <v>1459000</v>
      </c>
      <c r="J308" s="2" t="inlineStr">
        <is>
          <t>E103</t>
        </is>
      </c>
      <c r="K308" s="2" t="inlineStr">
        <is>
          <t>Completed</t>
        </is>
      </c>
    </row>
    <row r="309">
      <c r="A309" s="2" t="inlineStr">
        <is>
          <t>T00308</t>
        </is>
      </c>
      <c r="B309" s="3" t="n">
        <v>45769.47222222222</v>
      </c>
      <c r="C309" s="2" t="inlineStr">
        <is>
          <t>B02</t>
        </is>
      </c>
      <c r="D309" s="2" t="inlineStr">
        <is>
          <t>P06</t>
        </is>
      </c>
      <c r="E309" s="4" t="n">
        <v>2203391157</v>
      </c>
      <c r="F309" s="2" t="inlineStr">
        <is>
          <t>Phone Banking</t>
        </is>
      </c>
      <c r="G309" s="2" t="n"/>
      <c r="H309" s="2" t="inlineStr">
        <is>
          <t>HKD</t>
        </is>
      </c>
      <c r="I309" s="7" t="n">
        <v>200000</v>
      </c>
      <c r="J309" s="2" t="inlineStr">
        <is>
          <t>E103</t>
        </is>
      </c>
      <c r="K309" s="2" t="inlineStr">
        <is>
          <t>Completed</t>
        </is>
      </c>
    </row>
    <row r="310">
      <c r="A310" s="2" t="inlineStr">
        <is>
          <t>T00309</t>
        </is>
      </c>
      <c r="B310" s="3" t="n">
        <v>45769.73263888889</v>
      </c>
      <c r="C310" s="2" t="inlineStr">
        <is>
          <t>B02</t>
        </is>
      </c>
      <c r="D310" s="2" t="inlineStr">
        <is>
          <t>P01</t>
        </is>
      </c>
      <c r="E310" s="4" t="n">
        <v>5138950247</v>
      </c>
      <c r="F310" s="2" t="inlineStr">
        <is>
          <t>Phone Banking</t>
        </is>
      </c>
      <c r="G310" s="2" t="n"/>
      <c r="H310" s="2" t="inlineStr">
        <is>
          <t>USD</t>
        </is>
      </c>
      <c r="I310" s="7" t="n">
        <v>100000</v>
      </c>
      <c r="J310" s="2" t="inlineStr">
        <is>
          <t>E110</t>
        </is>
      </c>
      <c r="K310" s="2" t="inlineStr">
        <is>
          <t>Completed</t>
        </is>
      </c>
    </row>
    <row r="311">
      <c r="A311" s="2" t="inlineStr">
        <is>
          <t>T00310</t>
        </is>
      </c>
      <c r="B311" s="3" t="n">
        <v>45770.48263888889</v>
      </c>
      <c r="C311" s="2" t="inlineStr">
        <is>
          <t>B02</t>
        </is>
      </c>
      <c r="D311" s="2" t="inlineStr">
        <is>
          <t>P06</t>
        </is>
      </c>
      <c r="E311" s="4" t="n">
        <v>8523286479</v>
      </c>
      <c r="F311" s="2" t="inlineStr">
        <is>
          <t>Branch</t>
        </is>
      </c>
      <c r="G311" s="2" t="n"/>
      <c r="H311" s="2" t="inlineStr">
        <is>
          <t>USD</t>
        </is>
      </c>
      <c r="I311" s="7" t="n">
        <v>102000</v>
      </c>
      <c r="J311" s="2" t="inlineStr">
        <is>
          <t>E104</t>
        </is>
      </c>
      <c r="K311" s="2" t="inlineStr">
        <is>
          <t>Completed</t>
        </is>
      </c>
    </row>
    <row r="312">
      <c r="A312" s="2" t="inlineStr">
        <is>
          <t>T00311</t>
        </is>
      </c>
      <c r="B312" s="3" t="n">
        <v>45770.63194444445</v>
      </c>
      <c r="C312" s="2" t="inlineStr">
        <is>
          <t>B02</t>
        </is>
      </c>
      <c r="D312" s="2" t="inlineStr">
        <is>
          <t>P04</t>
        </is>
      </c>
      <c r="E312" s="4" t="n">
        <v>5138950247</v>
      </c>
      <c r="F312" s="2" t="inlineStr">
        <is>
          <t>Branch</t>
        </is>
      </c>
      <c r="G312" s="2" t="n"/>
      <c r="H312" s="2" t="inlineStr">
        <is>
          <t>HKD</t>
        </is>
      </c>
      <c r="I312" s="7" t="n">
        <v>2387000</v>
      </c>
      <c r="J312" s="2" t="inlineStr">
        <is>
          <t>E104</t>
        </is>
      </c>
      <c r="K312" s="2" t="inlineStr">
        <is>
          <t>Cancelled</t>
        </is>
      </c>
    </row>
    <row r="313">
      <c r="A313" s="2" t="inlineStr">
        <is>
          <t>T00312</t>
        </is>
      </c>
      <c r="B313" s="3" t="n">
        <v>45770.70833333334</v>
      </c>
      <c r="C313" s="2" t="inlineStr">
        <is>
          <t>B01</t>
        </is>
      </c>
      <c r="D313" s="2" t="inlineStr">
        <is>
          <t>P04</t>
        </is>
      </c>
      <c r="E313" s="4" t="inlineStr">
        <is>
          <t>0071204459</t>
        </is>
      </c>
      <c r="F313" s="2" t="inlineStr">
        <is>
          <t>Phone Banking</t>
        </is>
      </c>
      <c r="G313" s="2" t="n"/>
      <c r="H313" s="2" t="inlineStr">
        <is>
          <t>USD</t>
        </is>
      </c>
      <c r="I313" s="7" t="n">
        <v>211000</v>
      </c>
      <c r="J313" s="2" t="inlineStr">
        <is>
          <t>E104</t>
        </is>
      </c>
      <c r="K313" s="2" t="inlineStr">
        <is>
          <t>Completed</t>
        </is>
      </c>
    </row>
    <row r="314">
      <c r="A314" s="2" t="inlineStr">
        <is>
          <t>T00313</t>
        </is>
      </c>
      <c r="B314" s="3" t="n">
        <v>45771.30208333334</v>
      </c>
      <c r="C314" s="2" t="inlineStr">
        <is>
          <t>B03</t>
        </is>
      </c>
      <c r="D314" s="2" t="inlineStr">
        <is>
          <t>P07</t>
        </is>
      </c>
      <c r="E314" s="4" t="n">
        <v>2751672943</v>
      </c>
      <c r="F314" s="2" t="inlineStr">
        <is>
          <t>Phone Banking</t>
        </is>
      </c>
      <c r="G314" s="2" t="n"/>
      <c r="H314" s="2" t="inlineStr">
        <is>
          <t>HKD</t>
        </is>
      </c>
      <c r="I314" s="7" t="n">
        <v>2441000</v>
      </c>
      <c r="J314" s="2" t="n"/>
      <c r="K314" s="2" t="inlineStr">
        <is>
          <t>Completed</t>
        </is>
      </c>
    </row>
    <row r="315">
      <c r="A315" s="2" t="inlineStr">
        <is>
          <t>T00314</t>
        </is>
      </c>
      <c r="B315" s="3" t="n">
        <v>45771.43055555555</v>
      </c>
      <c r="C315" s="2" t="inlineStr">
        <is>
          <t>B02</t>
        </is>
      </c>
      <c r="D315" s="2" t="inlineStr">
        <is>
          <t>P06</t>
        </is>
      </c>
      <c r="E315" s="4" t="n">
        <v>1369982817</v>
      </c>
      <c r="F315" s="2" t="inlineStr">
        <is>
          <t>Branch</t>
        </is>
      </c>
      <c r="G315" s="2" t="n"/>
      <c r="H315" s="2" t="inlineStr">
        <is>
          <t>HKD</t>
        </is>
      </c>
      <c r="I315" s="7" t="n">
        <v>601000</v>
      </c>
      <c r="J315" s="2" t="inlineStr">
        <is>
          <t>E110</t>
        </is>
      </c>
      <c r="K315" s="2" t="inlineStr">
        <is>
          <t>Completed</t>
        </is>
      </c>
    </row>
    <row r="316">
      <c r="A316" s="2" t="inlineStr">
        <is>
          <t>T00315</t>
        </is>
      </c>
      <c r="B316" s="3" t="n">
        <v>45771.49652777778</v>
      </c>
      <c r="C316" s="2" t="inlineStr">
        <is>
          <t>B03</t>
        </is>
      </c>
      <c r="D316" s="2" t="inlineStr">
        <is>
          <t>P07</t>
        </is>
      </c>
      <c r="E316" s="4" t="n">
        <v>8585205808</v>
      </c>
      <c r="F316" s="2" t="inlineStr">
        <is>
          <t>Phone Banking</t>
        </is>
      </c>
      <c r="G316" s="2" t="n"/>
      <c r="H316" s="2" t="inlineStr">
        <is>
          <t>HKD</t>
        </is>
      </c>
      <c r="I316" s="7" t="n">
        <v>577000</v>
      </c>
      <c r="J316" s="2" t="inlineStr">
        <is>
          <t>E105</t>
        </is>
      </c>
      <c r="K316" s="2" t="inlineStr">
        <is>
          <t>Completed</t>
        </is>
      </c>
    </row>
    <row r="317">
      <c r="A317" s="2" t="inlineStr">
        <is>
          <t>T00316</t>
        </is>
      </c>
      <c r="B317" s="3" t="n">
        <v>45771.53819444445</v>
      </c>
      <c r="C317" s="2" t="inlineStr">
        <is>
          <t>B02</t>
        </is>
      </c>
      <c r="D317" s="2" t="inlineStr">
        <is>
          <t>P02</t>
        </is>
      </c>
      <c r="E317" s="4" t="inlineStr">
        <is>
          <t>0044509861</t>
        </is>
      </c>
      <c r="F317" s="2" t="inlineStr">
        <is>
          <t>Mobile App</t>
        </is>
      </c>
      <c r="G317" s="2" t="inlineStr">
        <is>
          <t>CMP-SPR25</t>
        </is>
      </c>
      <c r="H317" s="2" t="inlineStr">
        <is>
          <t>USD</t>
        </is>
      </c>
      <c r="I317" s="7" t="n">
        <v>245000</v>
      </c>
      <c r="J317" s="2" t="inlineStr">
        <is>
          <t>E103</t>
        </is>
      </c>
      <c r="K317" s="2" t="inlineStr">
        <is>
          <t>Completed</t>
        </is>
      </c>
    </row>
    <row r="318">
      <c r="A318" s="2" t="inlineStr">
        <is>
          <t>T00317</t>
        </is>
      </c>
      <c r="B318" s="3" t="n">
        <v>45771.65972222222</v>
      </c>
      <c r="C318" s="2" t="inlineStr">
        <is>
          <t>B01</t>
        </is>
      </c>
      <c r="D318" s="2" t="inlineStr">
        <is>
          <t>P06</t>
        </is>
      </c>
      <c r="E318" s="4" t="n">
        <v>17404366</v>
      </c>
      <c r="F318" s="2" t="inlineStr">
        <is>
          <t>Branch</t>
        </is>
      </c>
      <c r="G318" s="2" t="n"/>
      <c r="H318" s="2" t="inlineStr">
        <is>
          <t>USD</t>
        </is>
      </c>
      <c r="I318" s="7" t="n">
        <v>125000</v>
      </c>
      <c r="J318" s="2" t="inlineStr">
        <is>
          <t>E104</t>
        </is>
      </c>
      <c r="K318" s="2" t="inlineStr">
        <is>
          <t>Completed</t>
        </is>
      </c>
    </row>
    <row r="319">
      <c r="A319" s="2" t="inlineStr">
        <is>
          <t>T00318</t>
        </is>
      </c>
      <c r="B319" s="3" t="n">
        <v>45772.375</v>
      </c>
      <c r="C319" s="2" t="inlineStr">
        <is>
          <t>B02</t>
        </is>
      </c>
      <c r="D319" s="2" t="inlineStr">
        <is>
          <t>P06</t>
        </is>
      </c>
      <c r="E319" s="4" t="n">
        <v>2277513075</v>
      </c>
      <c r="F319" s="2" t="inlineStr">
        <is>
          <t>Phone Banking</t>
        </is>
      </c>
      <c r="G319" s="2" t="n"/>
      <c r="H319" s="2" t="inlineStr">
        <is>
          <t>USD</t>
        </is>
      </c>
      <c r="I319" s="7" t="n">
        <v>73000</v>
      </c>
      <c r="J319" s="2" t="inlineStr">
        <is>
          <t>E110</t>
        </is>
      </c>
      <c r="K319" s="2" t="inlineStr">
        <is>
          <t>Completed</t>
        </is>
      </c>
    </row>
    <row r="320">
      <c r="A320" s="2" t="inlineStr">
        <is>
          <t>T00319</t>
        </is>
      </c>
      <c r="B320" s="3" t="n">
        <v>45772.47222222222</v>
      </c>
      <c r="C320" s="2" t="inlineStr">
        <is>
          <t>B01</t>
        </is>
      </c>
      <c r="D320" s="2" t="inlineStr">
        <is>
          <t>P03</t>
        </is>
      </c>
      <c r="E320" s="4" t="n">
        <v>4387664751</v>
      </c>
      <c r="F320" s="2" t="inlineStr">
        <is>
          <t>Branch</t>
        </is>
      </c>
      <c r="G320" s="2" t="inlineStr">
        <is>
          <t>CMP-SPR25</t>
        </is>
      </c>
      <c r="H320" s="2" t="inlineStr">
        <is>
          <t>USD</t>
        </is>
      </c>
      <c r="I320" s="7" t="n">
        <v>12000</v>
      </c>
      <c r="J320" s="2" t="inlineStr">
        <is>
          <t>E111</t>
        </is>
      </c>
      <c r="K320" s="2" t="inlineStr">
        <is>
          <t>Completed</t>
        </is>
      </c>
    </row>
    <row r="321">
      <c r="A321" s="2" t="inlineStr">
        <is>
          <t>T00320</t>
        </is>
      </c>
      <c r="B321" s="3" t="n">
        <v>45772.60069444445</v>
      </c>
      <c r="C321" s="2" t="inlineStr">
        <is>
          <t>B01</t>
        </is>
      </c>
      <c r="D321" s="2" t="inlineStr">
        <is>
          <t>P07</t>
        </is>
      </c>
      <c r="E321" s="4" t="n">
        <v>2639172015</v>
      </c>
      <c r="F321" s="2" t="inlineStr">
        <is>
          <t>Phone Banking</t>
        </is>
      </c>
      <c r="G321" s="2" t="n"/>
      <c r="H321" s="2" t="inlineStr">
        <is>
          <t>USD</t>
        </is>
      </c>
      <c r="I321" s="7" t="n">
        <v>164000</v>
      </c>
      <c r="J321" s="2" t="inlineStr">
        <is>
          <t>E101</t>
        </is>
      </c>
      <c r="K321" s="2" t="inlineStr">
        <is>
          <t>Completed</t>
        </is>
      </c>
    </row>
    <row r="322">
      <c r="A322" s="2" t="inlineStr">
        <is>
          <t>T00321</t>
        </is>
      </c>
      <c r="B322" s="3" t="n">
        <v>45773.52083333334</v>
      </c>
      <c r="C322" s="2" t="inlineStr">
        <is>
          <t>B02</t>
        </is>
      </c>
      <c r="D322" s="2" t="inlineStr">
        <is>
          <t>P07</t>
        </is>
      </c>
      <c r="E322" s="4" t="n">
        <v>1272232039</v>
      </c>
      <c r="F322" s="2" t="inlineStr">
        <is>
          <t>Mobile App</t>
        </is>
      </c>
      <c r="G322" s="2" t="n"/>
      <c r="H322" s="2" t="inlineStr">
        <is>
          <t>USD</t>
        </is>
      </c>
      <c r="I322" s="7" t="n">
        <v>470000</v>
      </c>
      <c r="J322" s="2" t="n"/>
      <c r="K322" s="2" t="inlineStr">
        <is>
          <t>Completed</t>
        </is>
      </c>
    </row>
    <row r="323">
      <c r="A323" s="2" t="inlineStr">
        <is>
          <t>T00322</t>
        </is>
      </c>
      <c r="B323" s="3" t="n">
        <v>45773.69097222222</v>
      </c>
      <c r="C323" s="2" t="inlineStr">
        <is>
          <t>B03</t>
        </is>
      </c>
      <c r="D323" s="2" t="inlineStr">
        <is>
          <t>P08</t>
        </is>
      </c>
      <c r="E323" s="4" t="n">
        <v>5990686117</v>
      </c>
      <c r="F323" s="2" t="inlineStr">
        <is>
          <t>Mobile App</t>
        </is>
      </c>
      <c r="G323" s="2" t="n"/>
      <c r="H323" s="2" t="inlineStr">
        <is>
          <t>USD</t>
        </is>
      </c>
      <c r="I323" s="7" t="n">
        <v>176000</v>
      </c>
      <c r="J323" s="2" t="n"/>
      <c r="K323" s="2" t="inlineStr">
        <is>
          <t>Completed</t>
        </is>
      </c>
    </row>
    <row r="324">
      <c r="A324" s="2" t="inlineStr">
        <is>
          <t>T00323</t>
        </is>
      </c>
      <c r="B324" s="3" t="n">
        <v>45774.94791666666</v>
      </c>
      <c r="C324" s="2" t="inlineStr">
        <is>
          <t>B02</t>
        </is>
      </c>
      <c r="D324" s="2" t="inlineStr">
        <is>
          <t>P02</t>
        </is>
      </c>
      <c r="E324" s="4" t="inlineStr">
        <is>
          <t>0017091225</t>
        </is>
      </c>
      <c r="F324" s="2" t="inlineStr">
        <is>
          <t>Mobile App</t>
        </is>
      </c>
      <c r="G324" s="2" t="inlineStr">
        <is>
          <t>CMP-SPR25</t>
        </is>
      </c>
      <c r="H324" s="2" t="inlineStr">
        <is>
          <t>USD</t>
        </is>
      </c>
      <c r="I324" s="7" t="n">
        <v>24000</v>
      </c>
      <c r="J324" s="2" t="n"/>
      <c r="K324" s="2" t="inlineStr">
        <is>
          <t>Completed</t>
        </is>
      </c>
    </row>
    <row r="325">
      <c r="A325" s="2" t="inlineStr">
        <is>
          <t>T00324</t>
        </is>
      </c>
      <c r="B325" s="3" t="n">
        <v>45775.57986111111</v>
      </c>
      <c r="C325" s="2" t="inlineStr">
        <is>
          <t>B03</t>
        </is>
      </c>
      <c r="D325" s="2" t="inlineStr">
        <is>
          <t>P01</t>
        </is>
      </c>
      <c r="E325" s="4" t="n">
        <v>3328832319</v>
      </c>
      <c r="F325" s="2" t="inlineStr">
        <is>
          <t>Branch</t>
        </is>
      </c>
      <c r="G325" s="2" t="n"/>
      <c r="H325" s="2" t="inlineStr">
        <is>
          <t>USD</t>
        </is>
      </c>
      <c r="I325" s="7" t="n">
        <v>24000</v>
      </c>
      <c r="J325" s="2" t="inlineStr">
        <is>
          <t>E109</t>
        </is>
      </c>
      <c r="K325" s="2" t="inlineStr">
        <is>
          <t>Completed</t>
        </is>
      </c>
    </row>
    <row r="326">
      <c r="A326" s="2" t="inlineStr">
        <is>
          <t>T00325</t>
        </is>
      </c>
      <c r="B326" s="3" t="n">
        <v>45775.65972222222</v>
      </c>
      <c r="C326" s="2" t="inlineStr">
        <is>
          <t>B01</t>
        </is>
      </c>
      <c r="D326" s="2" t="inlineStr">
        <is>
          <t>P06</t>
        </is>
      </c>
      <c r="E326" s="4" t="inlineStr">
        <is>
          <t>0055245666</t>
        </is>
      </c>
      <c r="F326" s="2" t="inlineStr">
        <is>
          <t>Branch</t>
        </is>
      </c>
      <c r="G326" s="2" t="n"/>
      <c r="H326" s="2" t="inlineStr">
        <is>
          <t>HKD</t>
        </is>
      </c>
      <c r="I326" s="7" t="n">
        <v>2676000</v>
      </c>
      <c r="J326" s="2" t="inlineStr">
        <is>
          <t>E110</t>
        </is>
      </c>
      <c r="K326" s="2" t="inlineStr">
        <is>
          <t>Completed</t>
        </is>
      </c>
    </row>
    <row r="327">
      <c r="A327" s="2" t="inlineStr">
        <is>
          <t>T00326</t>
        </is>
      </c>
      <c r="B327" s="3" t="n">
        <v>45776.37847222222</v>
      </c>
      <c r="C327" s="2" t="inlineStr">
        <is>
          <t>B01</t>
        </is>
      </c>
      <c r="D327" s="2" t="inlineStr">
        <is>
          <t>P02</t>
        </is>
      </c>
      <c r="E327" s="4" t="n">
        <v>55245666</v>
      </c>
      <c r="F327" s="2" t="inlineStr">
        <is>
          <t>Branch</t>
        </is>
      </c>
      <c r="G327" s="2" t="inlineStr">
        <is>
          <t>CMP-SPR25</t>
        </is>
      </c>
      <c r="H327" s="2" t="inlineStr">
        <is>
          <t>USD</t>
        </is>
      </c>
      <c r="I327" s="7" t="n">
        <v>76000</v>
      </c>
      <c r="J327" s="2" t="inlineStr">
        <is>
          <t>E101</t>
        </is>
      </c>
      <c r="K327" s="2" t="inlineStr">
        <is>
          <t>Completed</t>
        </is>
      </c>
    </row>
    <row r="328">
      <c r="A328" s="2" t="inlineStr">
        <is>
          <t>T00327</t>
        </is>
      </c>
      <c r="B328" s="3" t="n">
        <v>45776.38194444445</v>
      </c>
      <c r="C328" s="2" t="inlineStr">
        <is>
          <t>B02</t>
        </is>
      </c>
      <c r="D328" s="2" t="inlineStr">
        <is>
          <t>P03</t>
        </is>
      </c>
      <c r="E328" s="4" t="n">
        <v>7745016628</v>
      </c>
      <c r="F328" s="2" t="inlineStr">
        <is>
          <t>Branch</t>
        </is>
      </c>
      <c r="G328" s="2" t="n"/>
      <c r="H328" s="2" t="inlineStr">
        <is>
          <t>USD</t>
        </is>
      </c>
      <c r="I328" s="7" t="n">
        <v>205000</v>
      </c>
      <c r="J328" s="2" t="inlineStr">
        <is>
          <t>E101</t>
        </is>
      </c>
      <c r="K328" s="2" t="inlineStr">
        <is>
          <t>Completed</t>
        </is>
      </c>
    </row>
    <row r="329">
      <c r="A329" s="2" t="inlineStr">
        <is>
          <t>T00328</t>
        </is>
      </c>
      <c r="B329" s="3" t="n">
        <v>45776.44444444445</v>
      </c>
      <c r="C329" s="2" t="inlineStr">
        <is>
          <t>B03</t>
        </is>
      </c>
      <c r="D329" s="2" t="inlineStr">
        <is>
          <t>P03</t>
        </is>
      </c>
      <c r="E329" s="4" t="n">
        <v>6130984472</v>
      </c>
      <c r="F329" s="2" t="inlineStr">
        <is>
          <t>Phone Banking</t>
        </is>
      </c>
      <c r="G329" s="2" t="inlineStr">
        <is>
          <t>CMP-SPR25</t>
        </is>
      </c>
      <c r="H329" s="2" t="inlineStr">
        <is>
          <t>USD</t>
        </is>
      </c>
      <c r="I329" s="7" t="n">
        <v>11000</v>
      </c>
      <c r="J329" s="2" t="inlineStr">
        <is>
          <t>E103</t>
        </is>
      </c>
      <c r="K329" s="2" t="inlineStr">
        <is>
          <t>Completed</t>
        </is>
      </c>
    </row>
    <row r="330">
      <c r="A330" s="2" t="inlineStr">
        <is>
          <t>T00329</t>
        </is>
      </c>
      <c r="B330" s="3" t="n">
        <v>45776.48611111111</v>
      </c>
      <c r="C330" s="2" t="inlineStr">
        <is>
          <t>B01</t>
        </is>
      </c>
      <c r="D330" s="2" t="inlineStr">
        <is>
          <t>P02</t>
        </is>
      </c>
      <c r="E330" s="4" t="inlineStr">
        <is>
          <t>0055691590</t>
        </is>
      </c>
      <c r="F330" s="2" t="inlineStr">
        <is>
          <t>Phone Banking</t>
        </is>
      </c>
      <c r="G330" s="2" t="n"/>
      <c r="H330" s="2" t="inlineStr">
        <is>
          <t>USD</t>
        </is>
      </c>
      <c r="I330" s="7" t="n">
        <v>149000</v>
      </c>
      <c r="J330" s="2" t="inlineStr">
        <is>
          <t>E108</t>
        </is>
      </c>
      <c r="K330" s="2" t="inlineStr">
        <is>
          <t>Completed</t>
        </is>
      </c>
    </row>
    <row r="331">
      <c r="A331" s="2" t="inlineStr">
        <is>
          <t>T00330</t>
        </is>
      </c>
      <c r="B331" s="3" t="n">
        <v>45776.56597222222</v>
      </c>
      <c r="C331" s="2" t="inlineStr">
        <is>
          <t>B03</t>
        </is>
      </c>
      <c r="D331" s="2" t="inlineStr">
        <is>
          <t>P03</t>
        </is>
      </c>
      <c r="E331" s="4" t="n">
        <v>2751672943</v>
      </c>
      <c r="F331" s="2" t="inlineStr">
        <is>
          <t>Phone Banking</t>
        </is>
      </c>
      <c r="G331" s="2" t="inlineStr">
        <is>
          <t>CMP-SPR25</t>
        </is>
      </c>
      <c r="H331" s="2" t="inlineStr">
        <is>
          <t>USD</t>
        </is>
      </c>
      <c r="I331" s="7" t="n">
        <v>176000</v>
      </c>
      <c r="J331" s="2" t="inlineStr">
        <is>
          <t>E190</t>
        </is>
      </c>
      <c r="K331" s="2" t="inlineStr">
        <is>
          <t>Completed</t>
        </is>
      </c>
    </row>
    <row r="332">
      <c r="A332" s="2" t="inlineStr">
        <is>
          <t>T00331</t>
        </is>
      </c>
      <c r="B332" s="3" t="n">
        <v>45776.58680555555</v>
      </c>
      <c r="C332" s="2" t="inlineStr">
        <is>
          <t>B02</t>
        </is>
      </c>
      <c r="D332" s="2" t="inlineStr">
        <is>
          <t>P07</t>
        </is>
      </c>
      <c r="E332" s="4" t="n">
        <v>7745016628</v>
      </c>
      <c r="F332" s="2" t="inlineStr">
        <is>
          <t>Branch</t>
        </is>
      </c>
      <c r="G332" s="2" t="inlineStr">
        <is>
          <t>CMP-SPR25</t>
        </is>
      </c>
      <c r="H332" s="2" t="inlineStr">
        <is>
          <t>USD</t>
        </is>
      </c>
      <c r="I332" s="7" t="n">
        <v>250000</v>
      </c>
      <c r="J332" s="2" t="inlineStr">
        <is>
          <t>E104</t>
        </is>
      </c>
      <c r="K332" s="2" t="inlineStr">
        <is>
          <t>Completed</t>
        </is>
      </c>
    </row>
    <row r="333">
      <c r="A333" s="2" t="inlineStr">
        <is>
          <t>T00332</t>
        </is>
      </c>
      <c r="B333" s="3" t="n">
        <v>45776.58680555555</v>
      </c>
      <c r="C333" s="2" t="inlineStr">
        <is>
          <t>B01</t>
        </is>
      </c>
      <c r="D333" s="2" t="inlineStr">
        <is>
          <t>P01</t>
        </is>
      </c>
      <c r="E333" s="4" t="n">
        <v>8964346572</v>
      </c>
      <c r="F333" s="2" t="inlineStr">
        <is>
          <t>Phone Banking</t>
        </is>
      </c>
      <c r="G333" s="2" t="inlineStr">
        <is>
          <t>CMP-SPR25</t>
        </is>
      </c>
      <c r="H333" s="2" t="inlineStr">
        <is>
          <t>HKD</t>
        </is>
      </c>
      <c r="I333" s="7" t="n">
        <v>694000</v>
      </c>
      <c r="J333" s="2" t="inlineStr">
        <is>
          <t>E108</t>
        </is>
      </c>
      <c r="K333" s="2" t="inlineStr">
        <is>
          <t>Completed</t>
        </is>
      </c>
    </row>
    <row r="334">
      <c r="A334" s="2" t="inlineStr">
        <is>
          <t>T00333</t>
        </is>
      </c>
      <c r="B334" s="3" t="n">
        <v>45776.69097222222</v>
      </c>
      <c r="C334" s="2" t="inlineStr">
        <is>
          <t>B02</t>
        </is>
      </c>
      <c r="D334" s="2" t="inlineStr">
        <is>
          <t>P02</t>
        </is>
      </c>
      <c r="E334" s="4" t="n">
        <v>2783886952</v>
      </c>
      <c r="F334" s="2" t="inlineStr">
        <is>
          <t>Branch</t>
        </is>
      </c>
      <c r="G334" s="2" t="inlineStr">
        <is>
          <t>CMP-SPR25</t>
        </is>
      </c>
      <c r="H334" s="2" t="inlineStr">
        <is>
          <t>HKD</t>
        </is>
      </c>
      <c r="I334" s="7" t="n">
        <v>554000</v>
      </c>
      <c r="J334" s="2" t="inlineStr">
        <is>
          <t>E110</t>
        </is>
      </c>
      <c r="K334" s="2" t="inlineStr">
        <is>
          <t>Completed</t>
        </is>
      </c>
    </row>
    <row r="335">
      <c r="A335" s="2" t="inlineStr">
        <is>
          <t>T00334</t>
        </is>
      </c>
      <c r="B335" s="3" t="n">
        <v>45776.69791666666</v>
      </c>
      <c r="C335" s="2" t="inlineStr">
        <is>
          <t>B02</t>
        </is>
      </c>
      <c r="D335" s="2" t="inlineStr">
        <is>
          <t>P06</t>
        </is>
      </c>
      <c r="E335" s="4" t="inlineStr">
        <is>
          <t>0017091225</t>
        </is>
      </c>
      <c r="F335" s="2" t="inlineStr">
        <is>
          <t>Branch</t>
        </is>
      </c>
      <c r="G335" s="2" t="n"/>
      <c r="H335" s="2" t="inlineStr">
        <is>
          <t>HKD</t>
        </is>
      </c>
      <c r="I335" s="7" t="n">
        <v>1022000</v>
      </c>
      <c r="J335" s="2" t="inlineStr">
        <is>
          <t>E104</t>
        </is>
      </c>
      <c r="K335" s="2" t="inlineStr">
        <is>
          <t>Completed</t>
        </is>
      </c>
    </row>
    <row r="336">
      <c r="A336" s="2" t="inlineStr">
        <is>
          <t>T00335</t>
        </is>
      </c>
      <c r="B336" s="3" t="n">
        <v>45776.71527777778</v>
      </c>
      <c r="C336" s="2" t="inlineStr">
        <is>
          <t>B02</t>
        </is>
      </c>
      <c r="D336" s="2" t="inlineStr">
        <is>
          <t>P05</t>
        </is>
      </c>
      <c r="E336" s="4" t="n">
        <v>2783886952</v>
      </c>
      <c r="F336" s="2" t="inlineStr">
        <is>
          <t>Branch</t>
        </is>
      </c>
      <c r="G336" s="2" t="n"/>
      <c r="H336" s="2" t="inlineStr">
        <is>
          <t>HKD</t>
        </is>
      </c>
      <c r="I336" s="7" t="n">
        <v>1459000</v>
      </c>
      <c r="J336" s="2" t="inlineStr">
        <is>
          <t>E110</t>
        </is>
      </c>
      <c r="K336" s="2" t="inlineStr">
        <is>
          <t>Completed</t>
        </is>
      </c>
    </row>
    <row r="337">
      <c r="A337" s="2" t="inlineStr">
        <is>
          <t>T00336</t>
        </is>
      </c>
      <c r="B337" s="3" t="n">
        <v>45778.45486111111</v>
      </c>
      <c r="C337" s="2" t="inlineStr">
        <is>
          <t>B02</t>
        </is>
      </c>
      <c r="D337" s="2" t="inlineStr">
        <is>
          <t>P03</t>
        </is>
      </c>
      <c r="E337" s="4" t="n">
        <v>5134554812</v>
      </c>
      <c r="F337" s="2" t="inlineStr">
        <is>
          <t>Phone Banking</t>
        </is>
      </c>
      <c r="G337" s="2" t="inlineStr">
        <is>
          <t>CMP-SPR25</t>
        </is>
      </c>
      <c r="H337" s="2" t="inlineStr">
        <is>
          <t>HKD</t>
        </is>
      </c>
      <c r="I337" s="7" t="n">
        <v>31000</v>
      </c>
      <c r="J337" s="2" t="inlineStr">
        <is>
          <t>E110</t>
        </is>
      </c>
      <c r="K337" s="2" t="inlineStr">
        <is>
          <t>Completed</t>
        </is>
      </c>
    </row>
    <row r="338">
      <c r="A338" s="2" t="inlineStr">
        <is>
          <t>T00337</t>
        </is>
      </c>
      <c r="B338" s="3" t="n">
        <v>45778.72569444445</v>
      </c>
      <c r="C338" s="2" t="inlineStr">
        <is>
          <t>B02</t>
        </is>
      </c>
      <c r="D338" s="2" t="inlineStr">
        <is>
          <t>P08</t>
        </is>
      </c>
      <c r="E338" s="4" t="n">
        <v>2783886952</v>
      </c>
      <c r="F338" s="2" t="inlineStr">
        <is>
          <t>Branch</t>
        </is>
      </c>
      <c r="G338" s="2" t="n"/>
      <c r="H338" s="2" t="inlineStr">
        <is>
          <t>USD</t>
        </is>
      </c>
      <c r="I338" s="7" t="n">
        <v>218000</v>
      </c>
      <c r="J338" s="2" t="inlineStr">
        <is>
          <t>E104</t>
        </is>
      </c>
      <c r="K338" s="2" t="inlineStr">
        <is>
          <t>Completed</t>
        </is>
      </c>
    </row>
    <row r="339">
      <c r="A339" s="2" t="inlineStr">
        <is>
          <t>T00338</t>
        </is>
      </c>
      <c r="B339" s="3" t="n">
        <v>45779.41666666666</v>
      </c>
      <c r="C339" s="2" t="inlineStr">
        <is>
          <t>B01</t>
        </is>
      </c>
      <c r="D339" s="2" t="inlineStr">
        <is>
          <t>P03</t>
        </is>
      </c>
      <c r="E339" s="4" t="n">
        <v>7504397999</v>
      </c>
      <c r="F339" s="2" t="inlineStr">
        <is>
          <t>Phone Banking</t>
        </is>
      </c>
      <c r="G339" s="2" t="n"/>
      <c r="H339" s="2" t="inlineStr">
        <is>
          <t>USD</t>
        </is>
      </c>
      <c r="I339" s="7" t="n">
        <v>267000</v>
      </c>
      <c r="J339" s="2" t="inlineStr">
        <is>
          <t>E111</t>
        </is>
      </c>
      <c r="K339" s="2" t="inlineStr">
        <is>
          <t>Completed</t>
        </is>
      </c>
    </row>
    <row r="340">
      <c r="A340" s="2" t="inlineStr">
        <is>
          <t>T00339</t>
        </is>
      </c>
      <c r="B340" s="3" t="n">
        <v>45782.67361111111</v>
      </c>
      <c r="C340" s="2" t="inlineStr">
        <is>
          <t>B03</t>
        </is>
      </c>
      <c r="D340" s="2" t="inlineStr">
        <is>
          <t>P01</t>
        </is>
      </c>
      <c r="E340" s="4" t="n">
        <v>5505973626</v>
      </c>
      <c r="F340" s="2" t="inlineStr">
        <is>
          <t>Mobile App</t>
        </is>
      </c>
      <c r="G340" s="2" t="n"/>
      <c r="H340" s="2" t="inlineStr">
        <is>
          <t>USD</t>
        </is>
      </c>
      <c r="I340" s="7" t="n">
        <v>60000</v>
      </c>
      <c r="J340" s="2" t="inlineStr">
        <is>
          <t>E105</t>
        </is>
      </c>
      <c r="K340" s="2" t="inlineStr">
        <is>
          <t>Completed</t>
        </is>
      </c>
    </row>
    <row r="341">
      <c r="A341" s="2" t="inlineStr">
        <is>
          <t>T00340</t>
        </is>
      </c>
      <c r="B341" s="3" t="n">
        <v>45783.39930555555</v>
      </c>
      <c r="C341" s="2" t="inlineStr">
        <is>
          <t>B01</t>
        </is>
      </c>
      <c r="D341" s="2" t="inlineStr">
        <is>
          <t>P01</t>
        </is>
      </c>
      <c r="E341" s="4" t="n">
        <v>1809923365</v>
      </c>
      <c r="F341" s="2" t="inlineStr">
        <is>
          <t>Mobile App</t>
        </is>
      </c>
      <c r="G341" s="2" t="inlineStr">
        <is>
          <t>CMP-SPR25</t>
        </is>
      </c>
      <c r="H341" s="2" t="inlineStr">
        <is>
          <t>USD</t>
        </is>
      </c>
      <c r="I341" s="7" t="n">
        <v>35000</v>
      </c>
      <c r="J341" s="2" t="n"/>
      <c r="K341" s="2" t="inlineStr">
        <is>
          <t>Completed</t>
        </is>
      </c>
    </row>
    <row r="342">
      <c r="A342" s="2" t="inlineStr">
        <is>
          <t>T00341</t>
        </is>
      </c>
      <c r="B342" s="3" t="n">
        <v>45783.57638888889</v>
      </c>
      <c r="C342" s="2" t="inlineStr">
        <is>
          <t>B04</t>
        </is>
      </c>
      <c r="D342" s="2" t="inlineStr">
        <is>
          <t>P03</t>
        </is>
      </c>
      <c r="E342" s="4" t="n">
        <v>8585205808</v>
      </c>
      <c r="F342" s="2" t="inlineStr">
        <is>
          <t>Branch</t>
        </is>
      </c>
      <c r="G342" s="2" t="inlineStr">
        <is>
          <t>CMP-SPR25</t>
        </is>
      </c>
      <c r="H342" s="2" t="inlineStr">
        <is>
          <t>USD</t>
        </is>
      </c>
      <c r="I342" s="7" t="n">
        <v>25000</v>
      </c>
      <c r="J342" s="2" t="inlineStr">
        <is>
          <t>E105</t>
        </is>
      </c>
      <c r="K342" s="2" t="inlineStr">
        <is>
          <t>Cancelled</t>
        </is>
      </c>
    </row>
    <row r="343">
      <c r="A343" s="2" t="inlineStr">
        <is>
          <t>T00342</t>
        </is>
      </c>
      <c r="B343" s="3" t="n">
        <v>45783.62152777778</v>
      </c>
      <c r="C343" s="2" t="inlineStr">
        <is>
          <t>B02</t>
        </is>
      </c>
      <c r="D343" s="2" t="inlineStr">
        <is>
          <t>P04</t>
        </is>
      </c>
      <c r="E343" s="4" t="n">
        <v>4206911990</v>
      </c>
      <c r="F343" s="2" t="inlineStr">
        <is>
          <t>Branch</t>
        </is>
      </c>
      <c r="G343" s="2" t="n"/>
      <c r="H343" s="2" t="inlineStr">
        <is>
          <t>HKD</t>
        </is>
      </c>
      <c r="I343" s="7" t="n">
        <v>452000</v>
      </c>
      <c r="J343" s="2" t="inlineStr">
        <is>
          <t>E109</t>
        </is>
      </c>
      <c r="K343" s="2" t="inlineStr">
        <is>
          <t>Completed</t>
        </is>
      </c>
    </row>
    <row r="344">
      <c r="A344" s="2" t="inlineStr">
        <is>
          <t>T00343</t>
        </is>
      </c>
      <c r="B344" s="3" t="n">
        <v>45783.67013888889</v>
      </c>
      <c r="C344" s="2" t="inlineStr">
        <is>
          <t>B03</t>
        </is>
      </c>
      <c r="D344" s="2" t="inlineStr">
        <is>
          <t>P02</t>
        </is>
      </c>
      <c r="E344" s="4" t="n">
        <v>2751672943</v>
      </c>
      <c r="F344" s="2" t="inlineStr">
        <is>
          <t>Branch</t>
        </is>
      </c>
      <c r="G344" s="2" t="n"/>
      <c r="H344" s="2" t="inlineStr">
        <is>
          <t>USD</t>
        </is>
      </c>
      <c r="I344" s="7" t="n">
        <v>274000</v>
      </c>
      <c r="J344" s="2" t="inlineStr">
        <is>
          <t>E109</t>
        </is>
      </c>
      <c r="K344" s="2" t="inlineStr">
        <is>
          <t>Completed</t>
        </is>
      </c>
    </row>
    <row r="345">
      <c r="A345" s="2" t="inlineStr">
        <is>
          <t>T00344</t>
        </is>
      </c>
      <c r="B345" s="3" t="n">
        <v>45783.71180555555</v>
      </c>
      <c r="C345" s="2" t="inlineStr">
        <is>
          <t>B03</t>
        </is>
      </c>
      <c r="D345" s="2" t="inlineStr">
        <is>
          <t>P06</t>
        </is>
      </c>
      <c r="E345" s="4" t="n">
        <v>6130984472</v>
      </c>
      <c r="F345" s="2" t="inlineStr">
        <is>
          <t>Phone Banking</t>
        </is>
      </c>
      <c r="G345" s="2" t="n"/>
      <c r="H345" s="2" t="inlineStr">
        <is>
          <t>HKD</t>
        </is>
      </c>
      <c r="I345" s="7" t="n">
        <v>944000</v>
      </c>
      <c r="J345" s="2" t="inlineStr">
        <is>
          <t>E103</t>
        </is>
      </c>
      <c r="K345" s="2" t="inlineStr">
        <is>
          <t>Completed</t>
        </is>
      </c>
    </row>
    <row r="346">
      <c r="A346" s="2" t="inlineStr">
        <is>
          <t>T00345</t>
        </is>
      </c>
      <c r="B346" s="3" t="n">
        <v>45784.41666666666</v>
      </c>
      <c r="C346" s="2" t="inlineStr">
        <is>
          <t>B03</t>
        </is>
      </c>
      <c r="D346" s="2" t="inlineStr">
        <is>
          <t>P06</t>
        </is>
      </c>
      <c r="E346" s="4" t="n">
        <v>6130984472</v>
      </c>
      <c r="F346" s="2" t="inlineStr">
        <is>
          <t>Branch</t>
        </is>
      </c>
      <c r="G346" s="2" t="n"/>
      <c r="H346" s="2" t="inlineStr">
        <is>
          <t>HKD</t>
        </is>
      </c>
      <c r="I346" s="7" t="n">
        <v>967000</v>
      </c>
      <c r="J346" s="2" t="inlineStr">
        <is>
          <t>E105</t>
        </is>
      </c>
      <c r="K346" s="2" t="inlineStr">
        <is>
          <t>Completed</t>
        </is>
      </c>
    </row>
    <row r="347">
      <c r="A347" s="2" t="inlineStr">
        <is>
          <t>T00346</t>
        </is>
      </c>
      <c r="B347" s="3" t="n">
        <v>45784.55902777778</v>
      </c>
      <c r="C347" s="2" t="inlineStr">
        <is>
          <t>B02</t>
        </is>
      </c>
      <c r="D347" s="2" t="inlineStr">
        <is>
          <t>P04</t>
        </is>
      </c>
      <c r="E347" s="4" t="n">
        <v>5637223790</v>
      </c>
      <c r="F347" s="2" t="inlineStr">
        <is>
          <t>Branch</t>
        </is>
      </c>
      <c r="G347" s="2" t="n"/>
      <c r="H347" s="2" t="inlineStr">
        <is>
          <t>HKD</t>
        </is>
      </c>
      <c r="I347" s="7" t="n">
        <v>398000</v>
      </c>
      <c r="J347" s="2" t="inlineStr">
        <is>
          <t xml:space="preserve"> E110</t>
        </is>
      </c>
      <c r="K347" s="2" t="inlineStr">
        <is>
          <t>Completed</t>
        </is>
      </c>
    </row>
    <row r="348">
      <c r="A348" s="2" t="inlineStr">
        <is>
          <t>T00347</t>
        </is>
      </c>
      <c r="B348" s="3" t="n">
        <v>45784.56597222222</v>
      </c>
      <c r="C348" s="2" t="inlineStr">
        <is>
          <t>B03</t>
        </is>
      </c>
      <c r="D348" s="2" t="inlineStr">
        <is>
          <t>P04</t>
        </is>
      </c>
      <c r="E348" s="4" t="n">
        <v>1777759401</v>
      </c>
      <c r="F348" s="2" t="inlineStr">
        <is>
          <t>Mobile App</t>
        </is>
      </c>
      <c r="G348" s="2" t="n"/>
      <c r="H348" s="2" t="inlineStr">
        <is>
          <t>USD</t>
        </is>
      </c>
      <c r="I348" s="7" t="n">
        <v>44000</v>
      </c>
      <c r="J348" s="2" t="n"/>
      <c r="K348" s="2" t="inlineStr">
        <is>
          <t>Completed</t>
        </is>
      </c>
    </row>
    <row r="349">
      <c r="A349" s="2" t="inlineStr">
        <is>
          <t>T00348</t>
        </is>
      </c>
      <c r="B349" s="3" t="n">
        <v>45785.59027777778</v>
      </c>
      <c r="C349" s="2" t="inlineStr">
        <is>
          <t>B01</t>
        </is>
      </c>
      <c r="D349" s="2" t="inlineStr">
        <is>
          <t>P02</t>
        </is>
      </c>
      <c r="E349" s="4" t="inlineStr">
        <is>
          <t>0055245666</t>
        </is>
      </c>
      <c r="F349" s="2" t="inlineStr">
        <is>
          <t>Phone Banking</t>
        </is>
      </c>
      <c r="G349" s="2" t="n"/>
      <c r="H349" s="2" t="inlineStr">
        <is>
          <t>HKD</t>
        </is>
      </c>
      <c r="I349" s="7" t="n">
        <v>78000</v>
      </c>
      <c r="J349" s="2" t="inlineStr">
        <is>
          <t>E102</t>
        </is>
      </c>
      <c r="K349" s="2" t="inlineStr">
        <is>
          <t>Completed</t>
        </is>
      </c>
    </row>
    <row r="350">
      <c r="A350" s="2" t="inlineStr">
        <is>
          <t>T00349</t>
        </is>
      </c>
      <c r="B350" s="3" t="n">
        <v>45785.66666666666</v>
      </c>
      <c r="C350" s="2" t="inlineStr">
        <is>
          <t>B01</t>
        </is>
      </c>
      <c r="D350" s="2" t="inlineStr">
        <is>
          <t>P03</t>
        </is>
      </c>
      <c r="E350" s="4" t="n">
        <v>1345733448</v>
      </c>
      <c r="F350" s="2" t="inlineStr">
        <is>
          <t>Branch</t>
        </is>
      </c>
      <c r="G350" s="2" t="inlineStr">
        <is>
          <t>CMP-SPR25</t>
        </is>
      </c>
      <c r="H350" s="2" t="inlineStr">
        <is>
          <t>HKD</t>
        </is>
      </c>
      <c r="I350" s="7" t="n">
        <v>1833000</v>
      </c>
      <c r="J350" s="2" t="inlineStr">
        <is>
          <t>E101</t>
        </is>
      </c>
      <c r="K350" s="2" t="inlineStr">
        <is>
          <t>Completed</t>
        </is>
      </c>
    </row>
    <row r="351">
      <c r="A351" s="2" t="inlineStr">
        <is>
          <t>T00350</t>
        </is>
      </c>
      <c r="B351" s="3" t="n">
        <v>45785.70486111111</v>
      </c>
      <c r="C351" s="2" t="inlineStr">
        <is>
          <t>B01</t>
        </is>
      </c>
      <c r="D351" s="2" t="inlineStr">
        <is>
          <t>P07</t>
        </is>
      </c>
      <c r="E351" s="4" t="inlineStr">
        <is>
          <t>0055691590</t>
        </is>
      </c>
      <c r="F351" s="2" t="inlineStr">
        <is>
          <t>Phone Banking</t>
        </is>
      </c>
      <c r="G351" s="2" t="n"/>
      <c r="H351" s="2" t="inlineStr">
        <is>
          <t>USD</t>
        </is>
      </c>
      <c r="I351" s="7" t="n">
        <v>229000</v>
      </c>
      <c r="J351" s="2" t="inlineStr">
        <is>
          <t>E102</t>
        </is>
      </c>
      <c r="K351" s="2" t="inlineStr">
        <is>
          <t>Completed</t>
        </is>
      </c>
    </row>
    <row r="352">
      <c r="A352" s="2" t="inlineStr">
        <is>
          <t>T00351</t>
        </is>
      </c>
      <c r="B352" s="3" t="n">
        <v>45786.51041666666</v>
      </c>
      <c r="C352" s="2" t="inlineStr">
        <is>
          <t>B01</t>
        </is>
      </c>
      <c r="D352" s="2" t="inlineStr">
        <is>
          <t>P03</t>
        </is>
      </c>
      <c r="E352" s="4" t="n">
        <v>55691590</v>
      </c>
      <c r="F352" s="2" t="inlineStr">
        <is>
          <t>Phone Banking</t>
        </is>
      </c>
      <c r="G352" s="2" t="inlineStr">
        <is>
          <t>CMP-SPR25</t>
        </is>
      </c>
      <c r="H352" s="2" t="inlineStr">
        <is>
          <t>USD</t>
        </is>
      </c>
      <c r="I352" s="7" t="n">
        <v>83000</v>
      </c>
      <c r="J352" s="2" t="n"/>
      <c r="K352" s="2" t="inlineStr">
        <is>
          <t>Completed</t>
        </is>
      </c>
    </row>
    <row r="353">
      <c r="A353" s="2" t="inlineStr">
        <is>
          <t>T00352</t>
        </is>
      </c>
      <c r="B353" s="3" t="n">
        <v>45786.65625</v>
      </c>
      <c r="C353" s="2" t="inlineStr">
        <is>
          <t>B01</t>
        </is>
      </c>
      <c r="D353" s="2" t="inlineStr">
        <is>
          <t>P02</t>
        </is>
      </c>
      <c r="E353" s="4" t="n">
        <v>3179016710</v>
      </c>
      <c r="F353" s="2" t="inlineStr">
        <is>
          <t>Branch</t>
        </is>
      </c>
      <c r="G353" s="2" t="n"/>
      <c r="H353" s="2" t="inlineStr">
        <is>
          <t>HKD</t>
        </is>
      </c>
      <c r="I353" s="7" t="n">
        <v>31000</v>
      </c>
      <c r="J353" s="2" t="inlineStr">
        <is>
          <t>E102</t>
        </is>
      </c>
      <c r="K353" s="2" t="inlineStr">
        <is>
          <t>Completed</t>
        </is>
      </c>
    </row>
    <row r="354">
      <c r="A354" s="2" t="inlineStr">
        <is>
          <t>T00353</t>
        </is>
      </c>
      <c r="B354" s="3" t="n">
        <v>45786.67708333334</v>
      </c>
      <c r="C354" s="2" t="inlineStr">
        <is>
          <t>B02</t>
        </is>
      </c>
      <c r="D354" s="2" t="inlineStr">
        <is>
          <t>P02</t>
        </is>
      </c>
      <c r="E354" s="4" t="n">
        <v>8355315526</v>
      </c>
      <c r="F354" s="2" t="inlineStr">
        <is>
          <t>Mobile App</t>
        </is>
      </c>
      <c r="G354" s="2" t="n"/>
      <c r="H354" s="2" t="inlineStr">
        <is>
          <t>CNY</t>
        </is>
      </c>
      <c r="I354" s="7" t="n">
        <v>797000</v>
      </c>
      <c r="J354" s="2" t="n"/>
      <c r="K354" s="2" t="inlineStr">
        <is>
          <t>Completed</t>
        </is>
      </c>
    </row>
    <row r="355">
      <c r="A355" s="2" t="inlineStr">
        <is>
          <t>T00354</t>
        </is>
      </c>
      <c r="B355" s="3" t="n">
        <v>45787.62152777778</v>
      </c>
      <c r="C355" s="2" t="inlineStr">
        <is>
          <t>B03</t>
        </is>
      </c>
      <c r="D355" s="2" t="inlineStr">
        <is>
          <t>P07</t>
        </is>
      </c>
      <c r="E355" s="4" t="n">
        <v>8487706006</v>
      </c>
      <c r="F355" s="2" t="inlineStr">
        <is>
          <t>Mobile App</t>
        </is>
      </c>
      <c r="G355" s="2" t="n"/>
      <c r="H355" s="2" t="inlineStr">
        <is>
          <t>USD</t>
        </is>
      </c>
      <c r="I355" s="7" t="n">
        <v>392000</v>
      </c>
      <c r="J355" s="2" t="n"/>
      <c r="K355" s="2" t="inlineStr">
        <is>
          <t>Completed</t>
        </is>
      </c>
    </row>
    <row r="356">
      <c r="A356" s="2" t="inlineStr">
        <is>
          <t>T00355</t>
        </is>
      </c>
      <c r="B356" s="3" t="n">
        <v>45789.67013888889</v>
      </c>
      <c r="C356" s="2" t="inlineStr">
        <is>
          <t>B01</t>
        </is>
      </c>
      <c r="D356" s="2" t="inlineStr">
        <is>
          <t>P05</t>
        </is>
      </c>
      <c r="E356" s="4" t="n">
        <v>17885621</v>
      </c>
      <c r="F356" s="2" t="inlineStr">
        <is>
          <t>Branch</t>
        </is>
      </c>
      <c r="G356" s="2" t="n"/>
      <c r="H356" s="2" t="inlineStr">
        <is>
          <t>USD</t>
        </is>
      </c>
      <c r="I356" s="7" t="n">
        <v>26000</v>
      </c>
      <c r="J356" s="2" t="inlineStr">
        <is>
          <t>E101</t>
        </is>
      </c>
      <c r="K356" s="2" t="inlineStr">
        <is>
          <t>Completed</t>
        </is>
      </c>
    </row>
    <row r="357">
      <c r="A357" s="2" t="inlineStr">
        <is>
          <t>T00356</t>
        </is>
      </c>
      <c r="B357" s="3" t="n">
        <v>45789.69097222222</v>
      </c>
      <c r="C357" s="2" t="inlineStr">
        <is>
          <t>B02</t>
        </is>
      </c>
      <c r="D357" s="2" t="inlineStr">
        <is>
          <t>P07</t>
        </is>
      </c>
      <c r="E357" s="4" t="n">
        <v>2203391157</v>
      </c>
      <c r="F357" s="2" t="inlineStr">
        <is>
          <t>Branch</t>
        </is>
      </c>
      <c r="G357" s="2" t="n"/>
      <c r="H357" s="2" t="inlineStr">
        <is>
          <t>HKD</t>
        </is>
      </c>
      <c r="I357" s="7" t="n">
        <v>445000</v>
      </c>
      <c r="J357" s="2" t="inlineStr">
        <is>
          <t>E104</t>
        </is>
      </c>
      <c r="K357" s="2" t="inlineStr">
        <is>
          <t>Completed</t>
        </is>
      </c>
    </row>
    <row r="358">
      <c r="A358" s="2" t="inlineStr">
        <is>
          <t>T00357</t>
        </is>
      </c>
      <c r="B358" s="3" t="n">
        <v>45790.42361111111</v>
      </c>
      <c r="C358" s="2" t="inlineStr">
        <is>
          <t>B02</t>
        </is>
      </c>
      <c r="D358" s="2" t="inlineStr">
        <is>
          <t>P02</t>
        </is>
      </c>
      <c r="E358" s="4" t="n">
        <v>7745016628</v>
      </c>
      <c r="F358" s="2" t="inlineStr">
        <is>
          <t>Phone Banking</t>
        </is>
      </c>
      <c r="G358" s="2" t="n"/>
      <c r="H358" s="2" t="inlineStr">
        <is>
          <t>HKD</t>
        </is>
      </c>
      <c r="I358" s="7" t="n">
        <v>1037000</v>
      </c>
      <c r="J358" s="2" t="inlineStr">
        <is>
          <t>E103</t>
        </is>
      </c>
      <c r="K358" s="2" t="inlineStr">
        <is>
          <t>Completed</t>
        </is>
      </c>
    </row>
    <row r="359">
      <c r="A359" s="2" t="inlineStr">
        <is>
          <t>T00358</t>
        </is>
      </c>
      <c r="B359" s="3" t="n">
        <v>45790.65625</v>
      </c>
      <c r="C359" s="2" t="inlineStr">
        <is>
          <t>B01</t>
        </is>
      </c>
      <c r="D359" s="2" t="inlineStr">
        <is>
          <t>P06</t>
        </is>
      </c>
      <c r="E359" s="4" t="n">
        <v>7186063045</v>
      </c>
      <c r="F359" s="2" t="inlineStr">
        <is>
          <t>Mobile App</t>
        </is>
      </c>
      <c r="G359" s="2" t="n"/>
      <c r="H359" s="2" t="inlineStr">
        <is>
          <t>HKD</t>
        </is>
      </c>
      <c r="I359" s="7" t="n">
        <v>2379000</v>
      </c>
      <c r="J359" s="2" t="n"/>
      <c r="K359" s="2" t="inlineStr">
        <is>
          <t>Completed</t>
        </is>
      </c>
    </row>
    <row r="360">
      <c r="A360" s="2" t="inlineStr">
        <is>
          <t>T00359</t>
        </is>
      </c>
      <c r="B360" s="3" t="n">
        <v>45790.69791666666</v>
      </c>
      <c r="C360" s="2" t="inlineStr">
        <is>
          <t>B03</t>
        </is>
      </c>
      <c r="D360" s="2" t="inlineStr">
        <is>
          <t>P03</t>
        </is>
      </c>
      <c r="E360" s="4" t="n">
        <v>6130984472</v>
      </c>
      <c r="F360" s="2" t="inlineStr">
        <is>
          <t>Mobile App</t>
        </is>
      </c>
      <c r="G360" s="2" t="inlineStr">
        <is>
          <t>CMP-SPR25</t>
        </is>
      </c>
      <c r="H360" s="2" t="inlineStr">
        <is>
          <t>HKD</t>
        </is>
      </c>
      <c r="I360" s="7" t="n">
        <v>20000</v>
      </c>
      <c r="J360" s="2" t="n"/>
      <c r="K360" s="2" t="inlineStr">
        <is>
          <t>Completed</t>
        </is>
      </c>
    </row>
    <row r="361">
      <c r="A361" s="2" t="inlineStr">
        <is>
          <t>T00360</t>
        </is>
      </c>
      <c r="B361" s="3" t="n">
        <v>45791.43055555555</v>
      </c>
      <c r="C361" s="2" t="inlineStr">
        <is>
          <t>B02</t>
        </is>
      </c>
      <c r="D361" s="2" t="inlineStr">
        <is>
          <t>P03</t>
        </is>
      </c>
      <c r="E361" s="4" t="n">
        <v>16329105</v>
      </c>
      <c r="F361" s="2" t="inlineStr">
        <is>
          <t>Phone Banking</t>
        </is>
      </c>
      <c r="G361" s="2" t="inlineStr">
        <is>
          <t>CMP-SPR25</t>
        </is>
      </c>
      <c r="H361" s="2" t="inlineStr">
        <is>
          <t>USD</t>
        </is>
      </c>
      <c r="I361" s="7" t="n">
        <v>40000</v>
      </c>
      <c r="J361" s="2" t="inlineStr">
        <is>
          <t>E1100</t>
        </is>
      </c>
      <c r="K361" s="2" t="inlineStr">
        <is>
          <t>Cancelled</t>
        </is>
      </c>
    </row>
    <row r="362">
      <c r="A362" s="2" t="inlineStr">
        <is>
          <t>T00361</t>
        </is>
      </c>
      <c r="B362" s="3" t="n">
        <v>45791.56597222222</v>
      </c>
      <c r="C362" s="2" t="inlineStr">
        <is>
          <t>B02</t>
        </is>
      </c>
      <c r="D362" s="2" t="inlineStr">
        <is>
          <t>P04</t>
        </is>
      </c>
      <c r="E362" s="4" t="n">
        <v>3814816203</v>
      </c>
      <c r="F362" s="2" t="inlineStr">
        <is>
          <t>Branch</t>
        </is>
      </c>
      <c r="G362" s="2" t="n"/>
      <c r="H362" s="2" t="inlineStr">
        <is>
          <t>USD</t>
        </is>
      </c>
      <c r="I362" s="7" t="n">
        <v>48000</v>
      </c>
      <c r="J362" s="2" t="inlineStr">
        <is>
          <t>E110</t>
        </is>
      </c>
      <c r="K362" s="2" t="inlineStr">
        <is>
          <t>Cancelled</t>
        </is>
      </c>
    </row>
    <row r="363">
      <c r="A363" s="2" t="inlineStr">
        <is>
          <t>T00362</t>
        </is>
      </c>
      <c r="B363" s="3" t="n">
        <v>45791.65972222222</v>
      </c>
      <c r="C363" s="2" t="inlineStr">
        <is>
          <t>B02</t>
        </is>
      </c>
      <c r="D363" s="2" t="inlineStr">
        <is>
          <t>P04</t>
        </is>
      </c>
      <c r="E363" s="4" t="n">
        <v>9567133447</v>
      </c>
      <c r="F363" s="2" t="inlineStr">
        <is>
          <t>Phone Banking</t>
        </is>
      </c>
      <c r="G363" s="2" t="n"/>
      <c r="H363" s="2" t="inlineStr">
        <is>
          <t>USD</t>
        </is>
      </c>
      <c r="I363" s="7" t="n">
        <v>94000</v>
      </c>
      <c r="J363" s="2" t="inlineStr">
        <is>
          <t>E103</t>
        </is>
      </c>
      <c r="K363" s="2" t="inlineStr">
        <is>
          <t>Completed</t>
        </is>
      </c>
    </row>
    <row r="364">
      <c r="A364" s="2" t="inlineStr">
        <is>
          <t>T00363</t>
        </is>
      </c>
      <c r="B364" s="3" t="n">
        <v>45791.69791666666</v>
      </c>
      <c r="C364" s="2" t="inlineStr">
        <is>
          <t>B02</t>
        </is>
      </c>
      <c r="D364" s="2" t="inlineStr">
        <is>
          <t>P06</t>
        </is>
      </c>
      <c r="E364" s="4" t="n">
        <v>3207719945</v>
      </c>
      <c r="F364" s="2" t="inlineStr">
        <is>
          <t>Mobile App</t>
        </is>
      </c>
      <c r="G364" s="2" t="n"/>
      <c r="H364" s="2" t="inlineStr">
        <is>
          <t>HKD</t>
        </is>
      </c>
      <c r="I364" s="7" t="n">
        <v>6966000</v>
      </c>
      <c r="J364" s="2" t="inlineStr">
        <is>
          <t>E103</t>
        </is>
      </c>
      <c r="K364" s="2" t="inlineStr">
        <is>
          <t>Completed</t>
        </is>
      </c>
    </row>
    <row r="365">
      <c r="A365" s="2" t="inlineStr">
        <is>
          <t>T00364</t>
        </is>
      </c>
      <c r="B365" s="3" t="n">
        <v>45791.70833333334</v>
      </c>
      <c r="C365" s="2" t="inlineStr">
        <is>
          <t>B03</t>
        </is>
      </c>
      <c r="D365" s="2" t="inlineStr">
        <is>
          <t>P04</t>
        </is>
      </c>
      <c r="E365" s="4" t="n">
        <v>8487706006</v>
      </c>
      <c r="F365" s="2" t="inlineStr">
        <is>
          <t>Branch</t>
        </is>
      </c>
      <c r="G365" s="2" t="n"/>
      <c r="H365" s="2" t="inlineStr">
        <is>
          <t>USD</t>
        </is>
      </c>
      <c r="I365" s="7" t="n">
        <v>167000</v>
      </c>
      <c r="J365" s="2" t="inlineStr">
        <is>
          <t>E105</t>
        </is>
      </c>
      <c r="K365" s="2" t="inlineStr">
        <is>
          <t>Completed</t>
        </is>
      </c>
    </row>
    <row r="366">
      <c r="A366" s="2" t="inlineStr">
        <is>
          <t>T00365</t>
        </is>
      </c>
      <c r="B366" s="3" t="n">
        <v>45791.71875</v>
      </c>
      <c r="C366" s="2" t="inlineStr">
        <is>
          <t>B02</t>
        </is>
      </c>
      <c r="D366" s="2" t="inlineStr">
        <is>
          <t>P06</t>
        </is>
      </c>
      <c r="E366" s="4" t="n">
        <v>1369982817</v>
      </c>
      <c r="F366" s="2" t="inlineStr">
        <is>
          <t>Branch</t>
        </is>
      </c>
      <c r="G366" s="2" t="n"/>
      <c r="H366" s="2" t="inlineStr">
        <is>
          <t>USD</t>
        </is>
      </c>
      <c r="I366" s="7" t="n">
        <v>104000</v>
      </c>
      <c r="J366" s="2" t="inlineStr">
        <is>
          <t>E110</t>
        </is>
      </c>
      <c r="K366" s="2" t="inlineStr">
        <is>
          <t>Completed</t>
        </is>
      </c>
    </row>
    <row r="367">
      <c r="A367" s="2" t="inlineStr">
        <is>
          <t>T00366</t>
        </is>
      </c>
      <c r="B367" s="3" t="n">
        <v>45792.46875</v>
      </c>
      <c r="C367" s="2" t="inlineStr">
        <is>
          <t>B02</t>
        </is>
      </c>
      <c r="D367" s="2" t="inlineStr">
        <is>
          <t>P06</t>
        </is>
      </c>
      <c r="E367" s="4" t="n">
        <v>6106674386</v>
      </c>
      <c r="F367" s="2" t="inlineStr">
        <is>
          <t>Branch</t>
        </is>
      </c>
      <c r="G367" s="2" t="n"/>
      <c r="H367" s="2" t="inlineStr">
        <is>
          <t>USD</t>
        </is>
      </c>
      <c r="I367" s="7" t="n">
        <v>45000</v>
      </c>
      <c r="J367" s="2" t="inlineStr">
        <is>
          <t>E104</t>
        </is>
      </c>
      <c r="K367" s="2" t="inlineStr">
        <is>
          <t>Completed</t>
        </is>
      </c>
    </row>
    <row r="368">
      <c r="A368" s="2" t="inlineStr">
        <is>
          <t>T00367</t>
        </is>
      </c>
      <c r="B368" s="3" t="n">
        <v>45792.55208333334</v>
      </c>
      <c r="C368" s="2" t="inlineStr">
        <is>
          <t>B03</t>
        </is>
      </c>
      <c r="D368" s="2" t="inlineStr">
        <is>
          <t>P06</t>
        </is>
      </c>
      <c r="E368" s="4" t="n">
        <v>1003425081</v>
      </c>
      <c r="F368" s="2" t="inlineStr">
        <is>
          <t>Phone Banking</t>
        </is>
      </c>
      <c r="G368" s="2" t="n"/>
      <c r="H368" s="2" t="inlineStr">
        <is>
          <t>HKD</t>
        </is>
      </c>
      <c r="I368" s="7" t="n">
        <v>1256000</v>
      </c>
      <c r="J368" s="2" t="inlineStr">
        <is>
          <t>E105</t>
        </is>
      </c>
      <c r="K368" s="2" t="inlineStr">
        <is>
          <t>Completed</t>
        </is>
      </c>
    </row>
    <row r="369">
      <c r="A369" s="2" t="inlineStr">
        <is>
          <t>T00368</t>
        </is>
      </c>
      <c r="B369" s="3" t="n">
        <v>45792.67013888889</v>
      </c>
      <c r="C369" s="2" t="inlineStr">
        <is>
          <t>B02</t>
        </is>
      </c>
      <c r="D369" s="2" t="inlineStr">
        <is>
          <t>P03</t>
        </is>
      </c>
      <c r="E369" s="4" t="n">
        <v>1842303686</v>
      </c>
      <c r="F369" s="2" t="inlineStr">
        <is>
          <t>Branch</t>
        </is>
      </c>
      <c r="G369" s="2" t="n"/>
      <c r="H369" s="2" t="inlineStr">
        <is>
          <t>HKD</t>
        </is>
      </c>
      <c r="I369" s="7" t="n">
        <v>179000</v>
      </c>
      <c r="J369" s="2" t="inlineStr">
        <is>
          <t>E104</t>
        </is>
      </c>
      <c r="K369" s="2" t="inlineStr">
        <is>
          <t>Completed</t>
        </is>
      </c>
    </row>
    <row r="370">
      <c r="A370" s="2" t="inlineStr">
        <is>
          <t>T00369</t>
        </is>
      </c>
      <c r="B370" s="3" t="n">
        <v>45793.42361111111</v>
      </c>
      <c r="C370" s="2" t="inlineStr">
        <is>
          <t>B02</t>
        </is>
      </c>
      <c r="D370" s="2" t="inlineStr">
        <is>
          <t>P01</t>
        </is>
      </c>
      <c r="E370" s="4" t="inlineStr">
        <is>
          <t>0044509861</t>
        </is>
      </c>
      <c r="F370" s="2" t="inlineStr">
        <is>
          <t>Phone Banking</t>
        </is>
      </c>
      <c r="G370" s="2" t="inlineStr">
        <is>
          <t>CMP-SPR25</t>
        </is>
      </c>
      <c r="H370" s="2" t="inlineStr">
        <is>
          <t>USD</t>
        </is>
      </c>
      <c r="I370" s="7" t="n">
        <v>23000</v>
      </c>
      <c r="J370" s="2" t="inlineStr">
        <is>
          <t>E103</t>
        </is>
      </c>
      <c r="K370" s="2" t="inlineStr">
        <is>
          <t>Completed</t>
        </is>
      </c>
    </row>
    <row r="371">
      <c r="A371" s="2" t="inlineStr">
        <is>
          <t>T00370</t>
        </is>
      </c>
      <c r="B371" s="3" t="n">
        <v>45796.42361111111</v>
      </c>
      <c r="C371" s="2" t="inlineStr">
        <is>
          <t>B02</t>
        </is>
      </c>
      <c r="D371" s="2" t="inlineStr">
        <is>
          <t>P07</t>
        </is>
      </c>
      <c r="E371" s="4" t="n">
        <v>8355315526</v>
      </c>
      <c r="F371" s="2" t="inlineStr">
        <is>
          <t>Branch</t>
        </is>
      </c>
      <c r="G371" s="2" t="n"/>
      <c r="H371" s="2" t="inlineStr">
        <is>
          <t>HKD</t>
        </is>
      </c>
      <c r="I371" s="7" t="n">
        <v>1529000</v>
      </c>
      <c r="J371" s="2" t="inlineStr">
        <is>
          <t>E110</t>
        </is>
      </c>
      <c r="K371" s="2" t="inlineStr">
        <is>
          <t>Completed</t>
        </is>
      </c>
    </row>
    <row r="372">
      <c r="A372" s="2" t="inlineStr">
        <is>
          <t>T00371</t>
        </is>
      </c>
      <c r="B372" s="3" t="n">
        <v>45796.48611111111</v>
      </c>
      <c r="C372" s="2" t="inlineStr">
        <is>
          <t>B03</t>
        </is>
      </c>
      <c r="D372" s="2" t="inlineStr">
        <is>
          <t>P03</t>
        </is>
      </c>
      <c r="E372" s="4" t="n">
        <v>83289666</v>
      </c>
      <c r="F372" s="2" t="inlineStr">
        <is>
          <t>Branch</t>
        </is>
      </c>
      <c r="G372" s="2" t="inlineStr">
        <is>
          <t>CMP-SPR25</t>
        </is>
      </c>
      <c r="H372" s="2" t="inlineStr">
        <is>
          <t>USD</t>
        </is>
      </c>
      <c r="I372" s="7" t="n">
        <v>28000</v>
      </c>
      <c r="J372" s="2" t="inlineStr">
        <is>
          <t>E105</t>
        </is>
      </c>
      <c r="K372" s="2" t="inlineStr">
        <is>
          <t>Cancelled</t>
        </is>
      </c>
    </row>
    <row r="373">
      <c r="A373" s="2" t="inlineStr">
        <is>
          <t>T00372</t>
        </is>
      </c>
      <c r="B373" s="3" t="n">
        <v>45796.56944444445</v>
      </c>
      <c r="C373" s="2" t="inlineStr">
        <is>
          <t>B01</t>
        </is>
      </c>
      <c r="D373" s="2" t="inlineStr">
        <is>
          <t>P04</t>
        </is>
      </c>
      <c r="E373" s="4" t="n">
        <v>2639172015</v>
      </c>
      <c r="F373" s="2" t="inlineStr">
        <is>
          <t>Branch</t>
        </is>
      </c>
      <c r="G373" s="2" t="n"/>
      <c r="H373" s="2" t="inlineStr">
        <is>
          <t>USD</t>
        </is>
      </c>
      <c r="I373" s="7" t="n">
        <v>363000</v>
      </c>
      <c r="J373" s="2" t="inlineStr">
        <is>
          <t>E102</t>
        </is>
      </c>
      <c r="K373" s="2" t="inlineStr">
        <is>
          <t>Completed</t>
        </is>
      </c>
    </row>
    <row r="374">
      <c r="A374" s="2" t="inlineStr">
        <is>
          <t>T00373</t>
        </is>
      </c>
      <c r="B374" s="3" t="n">
        <v>45796.74652777778</v>
      </c>
      <c r="C374" s="2" t="inlineStr">
        <is>
          <t>B01</t>
        </is>
      </c>
      <c r="D374" s="2" t="inlineStr">
        <is>
          <t>P04</t>
        </is>
      </c>
      <c r="E374" s="4" t="n">
        <v>9627692505</v>
      </c>
      <c r="F374" s="2" t="inlineStr">
        <is>
          <t>Branch</t>
        </is>
      </c>
      <c r="G374" s="2" t="n"/>
      <c r="H374" s="2" t="inlineStr">
        <is>
          <t>USD</t>
        </is>
      </c>
      <c r="I374" s="7" t="n">
        <v>64000</v>
      </c>
      <c r="J374" s="2" t="inlineStr">
        <is>
          <t>E101</t>
        </is>
      </c>
      <c r="K374" s="2" t="inlineStr">
        <is>
          <t>Completed</t>
        </is>
      </c>
    </row>
    <row r="375">
      <c r="A375" s="2" t="inlineStr">
        <is>
          <t>T00374</t>
        </is>
      </c>
      <c r="B375" s="3" t="n">
        <v>45796.86458333334</v>
      </c>
      <c r="C375" s="2" t="inlineStr">
        <is>
          <t>B02</t>
        </is>
      </c>
      <c r="D375" s="2" t="inlineStr">
        <is>
          <t>P04</t>
        </is>
      </c>
      <c r="E375" s="4" t="n">
        <v>45128803</v>
      </c>
      <c r="F375" s="2" t="inlineStr">
        <is>
          <t>Mobile App</t>
        </is>
      </c>
      <c r="G375" s="2" t="n"/>
      <c r="H375" s="2" t="inlineStr">
        <is>
          <t>USD</t>
        </is>
      </c>
      <c r="I375" s="7" t="n">
        <v>30000</v>
      </c>
      <c r="J375" s="2" t="n"/>
      <c r="K375" s="2" t="inlineStr">
        <is>
          <t>Completed</t>
        </is>
      </c>
    </row>
    <row r="376">
      <c r="A376" s="2" t="inlineStr">
        <is>
          <t>T00375</t>
        </is>
      </c>
      <c r="B376" s="3" t="n">
        <v>45797.40277777778</v>
      </c>
      <c r="C376" s="2" t="inlineStr">
        <is>
          <t>B02</t>
        </is>
      </c>
      <c r="D376" s="2" t="inlineStr">
        <is>
          <t>P07</t>
        </is>
      </c>
      <c r="E376" s="4" t="n">
        <v>8355315526</v>
      </c>
      <c r="F376" s="2" t="inlineStr">
        <is>
          <t>Branch</t>
        </is>
      </c>
      <c r="G376" s="2" t="n"/>
      <c r="H376" s="2" t="inlineStr">
        <is>
          <t>HKD</t>
        </is>
      </c>
      <c r="I376" s="7" t="n">
        <v>445000</v>
      </c>
      <c r="J376" s="2" t="inlineStr">
        <is>
          <t>E104</t>
        </is>
      </c>
      <c r="K376" s="2" t="inlineStr">
        <is>
          <t>Cancelled</t>
        </is>
      </c>
    </row>
    <row r="377">
      <c r="A377" s="2" t="inlineStr">
        <is>
          <t>T00376</t>
        </is>
      </c>
      <c r="B377" s="3" t="n">
        <v>45797.48263888889</v>
      </c>
      <c r="C377" s="2" t="inlineStr">
        <is>
          <t>B01</t>
        </is>
      </c>
      <c r="D377" s="2" t="inlineStr">
        <is>
          <t>P08</t>
        </is>
      </c>
      <c r="E377" s="4" t="n">
        <v>19295191</v>
      </c>
      <c r="F377" s="2" t="inlineStr">
        <is>
          <t>Mobile App</t>
        </is>
      </c>
      <c r="G377" s="2" t="n"/>
      <c r="H377" s="2" t="inlineStr">
        <is>
          <t>USD</t>
        </is>
      </c>
      <c r="I377" s="7" t="n">
        <v>173000</v>
      </c>
      <c r="J377" s="2" t="inlineStr">
        <is>
          <t>E108</t>
        </is>
      </c>
      <c r="K377" s="2" t="inlineStr">
        <is>
          <t>Completed</t>
        </is>
      </c>
    </row>
    <row r="378">
      <c r="A378" s="2" t="inlineStr">
        <is>
          <t>T00377</t>
        </is>
      </c>
      <c r="B378" s="3" t="n">
        <v>45797.50347222222</v>
      </c>
      <c r="C378" s="2" t="inlineStr">
        <is>
          <t>B01</t>
        </is>
      </c>
      <c r="D378" s="2" t="inlineStr">
        <is>
          <t>P03</t>
        </is>
      </c>
      <c r="E378" s="4" t="n">
        <v>4387664751</v>
      </c>
      <c r="F378" s="2" t="inlineStr">
        <is>
          <t>Branch</t>
        </is>
      </c>
      <c r="G378" s="2" t="inlineStr">
        <is>
          <t>CMP-SPR25</t>
        </is>
      </c>
      <c r="H378" s="2" t="inlineStr">
        <is>
          <t>HKD</t>
        </is>
      </c>
      <c r="I378" s="7" t="n">
        <v>101000</v>
      </c>
      <c r="J378" s="2" t="inlineStr">
        <is>
          <t>E11</t>
        </is>
      </c>
      <c r="K378" s="2" t="inlineStr">
        <is>
          <t>Completed</t>
        </is>
      </c>
    </row>
    <row r="379">
      <c r="A379" s="2" t="inlineStr">
        <is>
          <t>T00378</t>
        </is>
      </c>
      <c r="B379" s="3" t="n">
        <v>45797.54861111111</v>
      </c>
      <c r="C379" s="2" t="inlineStr">
        <is>
          <t>B01</t>
        </is>
      </c>
      <c r="D379" s="2" t="inlineStr">
        <is>
          <t>P02</t>
        </is>
      </c>
      <c r="E379" s="4" t="n">
        <v>4100023781</v>
      </c>
      <c r="F379" s="2" t="inlineStr">
        <is>
          <t>Phone Banking</t>
        </is>
      </c>
      <c r="G379" s="2" t="inlineStr">
        <is>
          <t>CMP-SPR25</t>
        </is>
      </c>
      <c r="H379" s="2" t="inlineStr">
        <is>
          <t>CNY</t>
        </is>
      </c>
      <c r="I379" s="7" t="n">
        <v>366000</v>
      </c>
      <c r="J379" s="2" t="inlineStr">
        <is>
          <t>E101</t>
        </is>
      </c>
      <c r="K379" s="2" t="inlineStr">
        <is>
          <t>Cancelled</t>
        </is>
      </c>
    </row>
    <row r="380">
      <c r="A380" s="2" t="inlineStr">
        <is>
          <t>T00379</t>
        </is>
      </c>
      <c r="B380" s="3" t="n">
        <v>45798.45833333334</v>
      </c>
      <c r="C380" s="2" t="inlineStr">
        <is>
          <t>B02</t>
        </is>
      </c>
      <c r="D380" s="2" t="inlineStr">
        <is>
          <t>P01</t>
        </is>
      </c>
      <c r="E380" s="4" t="n">
        <v>4206911990</v>
      </c>
      <c r="F380" s="2" t="inlineStr">
        <is>
          <t>Branch</t>
        </is>
      </c>
      <c r="G380" s="2" t="inlineStr">
        <is>
          <t>CMP-SPR25</t>
        </is>
      </c>
      <c r="H380" s="2" t="inlineStr">
        <is>
          <t>USD</t>
        </is>
      </c>
      <c r="I380" s="7" t="n">
        <v>82000</v>
      </c>
      <c r="J380" s="2" t="inlineStr">
        <is>
          <t>E104</t>
        </is>
      </c>
      <c r="K380" s="2" t="inlineStr">
        <is>
          <t>Completed</t>
        </is>
      </c>
    </row>
    <row r="381">
      <c r="A381" s="2" t="inlineStr">
        <is>
          <t>T00380</t>
        </is>
      </c>
      <c r="B381" s="3" t="n">
        <v>45798.55902777778</v>
      </c>
      <c r="C381" s="2" t="inlineStr">
        <is>
          <t>B02</t>
        </is>
      </c>
      <c r="D381" s="2" t="inlineStr">
        <is>
          <t>P07</t>
        </is>
      </c>
      <c r="E381" s="4" t="n">
        <v>2277513075</v>
      </c>
      <c r="F381" s="2" t="inlineStr">
        <is>
          <t>Phone Banking</t>
        </is>
      </c>
      <c r="G381" s="2" t="n"/>
      <c r="H381" s="2" t="inlineStr">
        <is>
          <t>HKD</t>
        </is>
      </c>
      <c r="I381" s="7" t="n">
        <v>4368000</v>
      </c>
      <c r="J381" s="2" t="inlineStr">
        <is>
          <t>E104</t>
        </is>
      </c>
      <c r="K381" s="2" t="inlineStr">
        <is>
          <t>Completed</t>
        </is>
      </c>
    </row>
    <row r="382">
      <c r="A382" s="2" t="inlineStr">
        <is>
          <t>T00381</t>
        </is>
      </c>
      <c r="B382" s="3" t="n">
        <v>45798.66319444445</v>
      </c>
      <c r="C382" s="2" t="inlineStr">
        <is>
          <t>B01</t>
        </is>
      </c>
      <c r="D382" s="2" t="inlineStr">
        <is>
          <t>P08</t>
        </is>
      </c>
      <c r="E382" s="4" t="n">
        <v>4402838304</v>
      </c>
      <c r="F382" s="2" t="inlineStr">
        <is>
          <t>Branch</t>
        </is>
      </c>
      <c r="G382" s="2" t="n"/>
      <c r="H382" s="2" t="inlineStr">
        <is>
          <t>USD</t>
        </is>
      </c>
      <c r="I382" s="7" t="n">
        <v>74000</v>
      </c>
      <c r="J382" s="2" t="inlineStr">
        <is>
          <t>E102</t>
        </is>
      </c>
      <c r="K382" s="2" t="inlineStr">
        <is>
          <t>Completed</t>
        </is>
      </c>
    </row>
    <row r="383">
      <c r="A383" s="2" t="inlineStr">
        <is>
          <t>T00382</t>
        </is>
      </c>
      <c r="B383" s="3" t="n">
        <v>45798.74305555555</v>
      </c>
      <c r="C383" s="2" t="inlineStr">
        <is>
          <t>B02</t>
        </is>
      </c>
      <c r="D383" s="2" t="inlineStr">
        <is>
          <t>P07</t>
        </is>
      </c>
      <c r="E383" s="4" t="inlineStr">
        <is>
          <t>0057619105</t>
        </is>
      </c>
      <c r="F383" s="2" t="inlineStr">
        <is>
          <t>Branch</t>
        </is>
      </c>
      <c r="G383" s="2" t="n"/>
      <c r="H383" s="2" t="inlineStr">
        <is>
          <t>HKD</t>
        </is>
      </c>
      <c r="I383" s="7" t="n">
        <v>140000</v>
      </c>
      <c r="J383" s="2" t="inlineStr">
        <is>
          <t>E110</t>
        </is>
      </c>
      <c r="K383" s="2" t="inlineStr">
        <is>
          <t>Completed</t>
        </is>
      </c>
    </row>
    <row r="384">
      <c r="A384" s="2" t="inlineStr">
        <is>
          <t>T00383</t>
        </is>
      </c>
      <c r="B384" s="3" t="n">
        <v>45799.52777777778</v>
      </c>
      <c r="C384" s="2" t="inlineStr">
        <is>
          <t>B01</t>
        </is>
      </c>
      <c r="D384" s="2" t="inlineStr">
        <is>
          <t>P01</t>
        </is>
      </c>
      <c r="E384" s="4" t="n">
        <v>3179016710</v>
      </c>
      <c r="F384" s="2" t="inlineStr">
        <is>
          <t>Branch</t>
        </is>
      </c>
      <c r="G384" s="2" t="n"/>
      <c r="H384" s="2" t="inlineStr">
        <is>
          <t>CNY</t>
        </is>
      </c>
      <c r="I384" s="7" t="n">
        <v>146000</v>
      </c>
      <c r="J384" s="2" t="inlineStr">
        <is>
          <t>E110</t>
        </is>
      </c>
      <c r="K384" s="2" t="inlineStr">
        <is>
          <t>Cancelled</t>
        </is>
      </c>
    </row>
    <row r="385">
      <c r="A385" s="2" t="inlineStr">
        <is>
          <t>T00384</t>
        </is>
      </c>
      <c r="B385" s="3" t="n">
        <v>45799.55208333334</v>
      </c>
      <c r="C385" s="2" t="inlineStr">
        <is>
          <t>B04</t>
        </is>
      </c>
      <c r="D385" s="2" t="inlineStr">
        <is>
          <t>P08</t>
        </is>
      </c>
      <c r="E385" s="4" t="n">
        <v>9794231618</v>
      </c>
      <c r="F385" s="2" t="inlineStr">
        <is>
          <t>Mobile App</t>
        </is>
      </c>
      <c r="G385" s="2" t="n"/>
      <c r="H385" s="2" t="inlineStr">
        <is>
          <t>HKD</t>
        </is>
      </c>
      <c r="I385" s="7" t="n">
        <v>445000</v>
      </c>
      <c r="J385" s="2" t="inlineStr">
        <is>
          <t>E106</t>
        </is>
      </c>
      <c r="K385" s="2" t="inlineStr">
        <is>
          <t>Completed</t>
        </is>
      </c>
    </row>
    <row r="386">
      <c r="A386" s="2" t="inlineStr">
        <is>
          <t>T00385</t>
        </is>
      </c>
      <c r="B386" s="3" t="n">
        <v>45799.72916666666</v>
      </c>
      <c r="C386" s="2" t="inlineStr">
        <is>
          <t>B02</t>
        </is>
      </c>
      <c r="D386" s="2" t="inlineStr">
        <is>
          <t>P04</t>
        </is>
      </c>
      <c r="E386" s="4" t="n">
        <v>6106674386</v>
      </c>
      <c r="F386" s="2" t="inlineStr">
        <is>
          <t>Mobile App</t>
        </is>
      </c>
      <c r="G386" s="2" t="n"/>
      <c r="H386" s="2" t="inlineStr">
        <is>
          <t>HKD</t>
        </is>
      </c>
      <c r="I386" s="7" t="n">
        <v>117000</v>
      </c>
      <c r="J386" s="2" t="n"/>
      <c r="K386" s="2" t="inlineStr">
        <is>
          <t>Completed</t>
        </is>
      </c>
    </row>
    <row r="387">
      <c r="A387" s="2" t="inlineStr">
        <is>
          <t>T00386</t>
        </is>
      </c>
      <c r="B387" s="3" t="n">
        <v>45799.84722222222</v>
      </c>
      <c r="C387" s="2" t="inlineStr">
        <is>
          <t>B01</t>
        </is>
      </c>
      <c r="D387" s="2" t="inlineStr">
        <is>
          <t>P06</t>
        </is>
      </c>
      <c r="E387" s="4" t="inlineStr">
        <is>
          <t>0071204459</t>
        </is>
      </c>
      <c r="F387" s="2" t="inlineStr">
        <is>
          <t>Mobile App</t>
        </is>
      </c>
      <c r="G387" s="2" t="n"/>
      <c r="H387" s="2" t="inlineStr">
        <is>
          <t>USD</t>
        </is>
      </c>
      <c r="I387" s="7" t="n">
        <v>212000</v>
      </c>
      <c r="J387" s="2" t="n"/>
      <c r="K387" s="2" t="inlineStr">
        <is>
          <t>Completed</t>
        </is>
      </c>
    </row>
    <row r="388">
      <c r="A388" s="2" t="inlineStr">
        <is>
          <t>T00387</t>
        </is>
      </c>
      <c r="B388" s="3" t="n">
        <v>45800.45833333334</v>
      </c>
      <c r="C388" s="2" t="inlineStr">
        <is>
          <t>B04</t>
        </is>
      </c>
      <c r="D388" s="2" t="inlineStr">
        <is>
          <t>P03</t>
        </is>
      </c>
      <c r="E388" s="4" t="n">
        <v>6712542998</v>
      </c>
      <c r="F388" s="2" t="inlineStr">
        <is>
          <t>Branch</t>
        </is>
      </c>
      <c r="G388" s="2" t="inlineStr">
        <is>
          <t>CMP-SPR25</t>
        </is>
      </c>
      <c r="H388" s="2" t="inlineStr">
        <is>
          <t>HKD</t>
        </is>
      </c>
      <c r="I388" s="7" t="n">
        <v>632000</v>
      </c>
      <c r="J388" s="2" t="inlineStr">
        <is>
          <t>E106</t>
        </is>
      </c>
      <c r="K388" s="2" t="inlineStr">
        <is>
          <t>Completed</t>
        </is>
      </c>
    </row>
    <row r="389">
      <c r="A389" s="2" t="inlineStr">
        <is>
          <t>T00388</t>
        </is>
      </c>
      <c r="B389" s="3" t="n">
        <v>45800.54513888889</v>
      </c>
      <c r="C389" s="2" t="inlineStr">
        <is>
          <t>B01</t>
        </is>
      </c>
      <c r="D389" s="2" t="inlineStr">
        <is>
          <t>P06</t>
        </is>
      </c>
      <c r="E389" s="4" t="n">
        <v>8964346572</v>
      </c>
      <c r="F389" s="2" t="inlineStr">
        <is>
          <t>Phone Banking</t>
        </is>
      </c>
      <c r="G389" s="2" t="n"/>
      <c r="H389" s="2" t="inlineStr">
        <is>
          <t>USD</t>
        </is>
      </c>
      <c r="I389" s="7" t="n">
        <v>205000</v>
      </c>
      <c r="J389" s="2" t="inlineStr">
        <is>
          <t>E101</t>
        </is>
      </c>
      <c r="K389" s="2" t="inlineStr">
        <is>
          <t>Completed</t>
        </is>
      </c>
    </row>
    <row r="390">
      <c r="A390" s="2" t="inlineStr">
        <is>
          <t>T00389</t>
        </is>
      </c>
      <c r="B390" s="3" t="n">
        <v>45800.68402777778</v>
      </c>
      <c r="C390" s="2" t="inlineStr">
        <is>
          <t>B04</t>
        </is>
      </c>
      <c r="D390" s="2" t="inlineStr">
        <is>
          <t>P07</t>
        </is>
      </c>
      <c r="E390" s="4" t="n">
        <v>6429278715</v>
      </c>
      <c r="F390" s="2" t="inlineStr">
        <is>
          <t>Branch</t>
        </is>
      </c>
      <c r="G390" s="2" t="n"/>
      <c r="H390" s="2" t="inlineStr">
        <is>
          <t>HKD</t>
        </is>
      </c>
      <c r="I390" s="7" t="n">
        <v>2270000</v>
      </c>
      <c r="J390" s="2" t="inlineStr">
        <is>
          <t>E106</t>
        </is>
      </c>
      <c r="K390" s="2" t="inlineStr">
        <is>
          <t>Completed</t>
        </is>
      </c>
    </row>
    <row r="391">
      <c r="A391" s="2" t="inlineStr">
        <is>
          <t>T00390</t>
        </is>
      </c>
      <c r="B391" s="3" t="n">
        <v>45802.80555555555</v>
      </c>
      <c r="C391" s="2" t="inlineStr">
        <is>
          <t>B02</t>
        </is>
      </c>
      <c r="D391" s="2" t="inlineStr">
        <is>
          <t>P02</t>
        </is>
      </c>
      <c r="E391" s="4" t="n">
        <v>4206911990</v>
      </c>
      <c r="F391" s="2" t="inlineStr">
        <is>
          <t>Mobile App</t>
        </is>
      </c>
      <c r="G391" s="2" t="inlineStr">
        <is>
          <t>CMP-SPR25</t>
        </is>
      </c>
      <c r="H391" s="2" t="inlineStr">
        <is>
          <t>CNY</t>
        </is>
      </c>
      <c r="I391" s="7" t="n">
        <v>724000</v>
      </c>
      <c r="J391" s="2" t="n"/>
      <c r="K391" s="2" t="inlineStr">
        <is>
          <t>Completed</t>
        </is>
      </c>
    </row>
    <row r="392">
      <c r="A392" s="2" t="inlineStr">
        <is>
          <t>T00391</t>
        </is>
      </c>
      <c r="B392" s="3" t="n">
        <v>45803.38541666666</v>
      </c>
      <c r="C392" s="2" t="inlineStr">
        <is>
          <t>B02</t>
        </is>
      </c>
      <c r="D392" s="2" t="inlineStr">
        <is>
          <t>P04</t>
        </is>
      </c>
      <c r="E392" s="4" t="n">
        <v>3207719945</v>
      </c>
      <c r="F392" s="2" t="inlineStr">
        <is>
          <t>Branch</t>
        </is>
      </c>
      <c r="G392" s="2" t="n"/>
      <c r="H392" s="2" t="inlineStr">
        <is>
          <t>USD</t>
        </is>
      </c>
      <c r="I392" s="7" t="n">
        <v>269000</v>
      </c>
      <c r="J392" s="2" t="inlineStr">
        <is>
          <t>E104</t>
        </is>
      </c>
      <c r="K392" s="2" t="inlineStr">
        <is>
          <t>Completed</t>
        </is>
      </c>
    </row>
    <row r="393">
      <c r="A393" s="2" t="inlineStr">
        <is>
          <t>T00392</t>
        </is>
      </c>
      <c r="B393" s="3" t="n">
        <v>45803.45486111111</v>
      </c>
      <c r="C393" s="2" t="inlineStr">
        <is>
          <t>B02</t>
        </is>
      </c>
      <c r="D393" s="2" t="inlineStr">
        <is>
          <t>P02</t>
        </is>
      </c>
      <c r="E393" s="4" t="n">
        <v>2531925273</v>
      </c>
      <c r="F393" s="2" t="inlineStr">
        <is>
          <t>Branch</t>
        </is>
      </c>
      <c r="G393" s="2" t="inlineStr">
        <is>
          <t>CMP-SPR25</t>
        </is>
      </c>
      <c r="H393" s="2" t="inlineStr">
        <is>
          <t>USD</t>
        </is>
      </c>
      <c r="I393" s="7" t="n">
        <v>65000</v>
      </c>
      <c r="J393" s="2" t="inlineStr">
        <is>
          <t>E104</t>
        </is>
      </c>
      <c r="K393" s="2" t="inlineStr">
        <is>
          <t>Completed</t>
        </is>
      </c>
    </row>
    <row r="394">
      <c r="A394" s="2" t="inlineStr">
        <is>
          <t>T00393</t>
        </is>
      </c>
      <c r="B394" s="3" t="n">
        <v>45803.48958333334</v>
      </c>
      <c r="C394" s="2" t="inlineStr">
        <is>
          <t>B02</t>
        </is>
      </c>
      <c r="D394" s="2" t="inlineStr">
        <is>
          <t>P06</t>
        </is>
      </c>
      <c r="E394" s="4" t="n">
        <v>6106674386</v>
      </c>
      <c r="F394" s="2" t="inlineStr">
        <is>
          <t>Branch</t>
        </is>
      </c>
      <c r="G394" s="2" t="n"/>
      <c r="H394" s="2" t="inlineStr">
        <is>
          <t>USD</t>
        </is>
      </c>
      <c r="I394" s="7" t="n">
        <v>105000</v>
      </c>
      <c r="J394" s="2" t="inlineStr">
        <is>
          <t>E110</t>
        </is>
      </c>
      <c r="K394" s="2" t="inlineStr">
        <is>
          <t>Completed</t>
        </is>
      </c>
    </row>
    <row r="395">
      <c r="A395" s="2" t="inlineStr">
        <is>
          <t>T00394</t>
        </is>
      </c>
      <c r="B395" s="3" t="n">
        <v>45803.56944444445</v>
      </c>
      <c r="C395" s="2" t="inlineStr">
        <is>
          <t>B01</t>
        </is>
      </c>
      <c r="D395" s="2" t="inlineStr">
        <is>
          <t>P06</t>
        </is>
      </c>
      <c r="E395" s="4" t="inlineStr">
        <is>
          <t>0071204459</t>
        </is>
      </c>
      <c r="F395" s="2" t="inlineStr">
        <is>
          <t>Phone Banking</t>
        </is>
      </c>
      <c r="G395" s="2" t="n"/>
      <c r="H395" s="2" t="inlineStr">
        <is>
          <t>USD</t>
        </is>
      </c>
      <c r="I395" s="7" t="n">
        <v>901000</v>
      </c>
      <c r="J395" s="2" t="inlineStr">
        <is>
          <t>E108</t>
        </is>
      </c>
      <c r="K395" s="2" t="inlineStr">
        <is>
          <t>Completed</t>
        </is>
      </c>
    </row>
    <row r="396">
      <c r="A396" s="2" t="inlineStr">
        <is>
          <t>T00395</t>
        </is>
      </c>
      <c r="B396" s="3" t="n">
        <v>45803.65972222222</v>
      </c>
      <c r="C396" s="2" t="inlineStr">
        <is>
          <t>B03</t>
        </is>
      </c>
      <c r="D396" s="2" t="inlineStr">
        <is>
          <t>P03</t>
        </is>
      </c>
      <c r="E396" s="4" t="n">
        <v>5512098834</v>
      </c>
      <c r="F396" s="2" t="inlineStr">
        <is>
          <t>Mobile App</t>
        </is>
      </c>
      <c r="G396" s="2" t="inlineStr">
        <is>
          <t>CMP-SPR25</t>
        </is>
      </c>
      <c r="H396" s="2" t="inlineStr">
        <is>
          <t>USD</t>
        </is>
      </c>
      <c r="I396" s="7" t="n">
        <v>7000</v>
      </c>
      <c r="J396" s="2" t="n"/>
      <c r="K396" s="2" t="inlineStr">
        <is>
          <t>Completed</t>
        </is>
      </c>
    </row>
    <row r="397">
      <c r="A397" s="2" t="inlineStr">
        <is>
          <t>T00396</t>
        </is>
      </c>
      <c r="B397" s="3" t="n">
        <v>45803.81944444445</v>
      </c>
      <c r="C397" s="2" t="inlineStr">
        <is>
          <t>B03</t>
        </is>
      </c>
      <c r="D397" s="2" t="inlineStr">
        <is>
          <t>P04</t>
        </is>
      </c>
      <c r="E397" s="4" t="n">
        <v>5512098834</v>
      </c>
      <c r="F397" s="2" t="inlineStr">
        <is>
          <t>Mobile App</t>
        </is>
      </c>
      <c r="G397" s="2" t="n"/>
      <c r="H397" s="2" t="inlineStr">
        <is>
          <t>USD</t>
        </is>
      </c>
      <c r="I397" s="7" t="n">
        <v>144000</v>
      </c>
      <c r="J397" s="2" t="n"/>
      <c r="K397" s="2" t="inlineStr">
        <is>
          <t>Completed</t>
        </is>
      </c>
    </row>
    <row r="398">
      <c r="A398" s="2" t="inlineStr">
        <is>
          <t>T00397</t>
        </is>
      </c>
      <c r="B398" s="3" t="n">
        <v>45804.39583333334</v>
      </c>
      <c r="C398" s="2" t="inlineStr">
        <is>
          <t>B02</t>
        </is>
      </c>
      <c r="D398" s="2" t="inlineStr">
        <is>
          <t>P04</t>
        </is>
      </c>
      <c r="E398" s="4" t="n">
        <v>45128803</v>
      </c>
      <c r="F398" s="2" t="inlineStr">
        <is>
          <t>Branch</t>
        </is>
      </c>
      <c r="G398" s="2" t="n"/>
      <c r="H398" s="2" t="inlineStr">
        <is>
          <t>USD</t>
        </is>
      </c>
      <c r="I398" s="7" t="n">
        <v>37000</v>
      </c>
      <c r="J398" s="2" t="inlineStr">
        <is>
          <t>E103</t>
        </is>
      </c>
      <c r="K398" s="2" t="inlineStr">
        <is>
          <t>Cancelled</t>
        </is>
      </c>
    </row>
    <row r="399">
      <c r="A399" s="2" t="inlineStr">
        <is>
          <t>T00398</t>
        </is>
      </c>
      <c r="B399" s="3" t="n">
        <v>45804.45486111111</v>
      </c>
      <c r="C399" s="2" t="inlineStr">
        <is>
          <t>B04</t>
        </is>
      </c>
      <c r="D399" s="2" t="inlineStr">
        <is>
          <t>P08</t>
        </is>
      </c>
      <c r="E399" s="4" t="n">
        <v>5512098834</v>
      </c>
      <c r="F399" s="2" t="inlineStr">
        <is>
          <t>Mobile App</t>
        </is>
      </c>
      <c r="G399" s="2" t="inlineStr">
        <is>
          <t>CMP-SPR25</t>
        </is>
      </c>
      <c r="H399" s="2" t="inlineStr">
        <is>
          <t>USD</t>
        </is>
      </c>
      <c r="I399" s="7" t="n">
        <v>8000</v>
      </c>
      <c r="J399" s="2" t="inlineStr">
        <is>
          <t>E106</t>
        </is>
      </c>
      <c r="K399" s="2" t="inlineStr">
        <is>
          <t>Completed</t>
        </is>
      </c>
    </row>
    <row r="400">
      <c r="A400" s="2" t="inlineStr">
        <is>
          <t>T00399</t>
        </is>
      </c>
      <c r="B400" s="3" t="n">
        <v>45804.59027777778</v>
      </c>
      <c r="C400" s="2" t="inlineStr">
        <is>
          <t>B01</t>
        </is>
      </c>
      <c r="D400" s="2" t="inlineStr">
        <is>
          <t>P04</t>
        </is>
      </c>
      <c r="E400" s="4" t="n">
        <v>8964346572</v>
      </c>
      <c r="F400" s="2" t="inlineStr">
        <is>
          <t>Branch</t>
        </is>
      </c>
      <c r="G400" s="2" t="n"/>
      <c r="H400" s="2" t="inlineStr">
        <is>
          <t>HKD</t>
        </is>
      </c>
      <c r="I400" s="7" t="n">
        <v>382000</v>
      </c>
      <c r="J400" s="2" t="inlineStr">
        <is>
          <t>E102</t>
        </is>
      </c>
      <c r="K400" s="2" t="inlineStr">
        <is>
          <t>Completed</t>
        </is>
      </c>
    </row>
    <row r="401">
      <c r="A401" s="2" t="inlineStr">
        <is>
          <t>T00400</t>
        </is>
      </c>
      <c r="B401" s="3" t="n">
        <v>45805.49652777778</v>
      </c>
      <c r="C401" s="2" t="inlineStr">
        <is>
          <t>B02</t>
        </is>
      </c>
      <c r="D401" s="2" t="inlineStr">
        <is>
          <t>P01</t>
        </is>
      </c>
      <c r="E401" s="4" t="n">
        <v>3207719945</v>
      </c>
      <c r="F401" s="2" t="inlineStr">
        <is>
          <t>Mobile App</t>
        </is>
      </c>
      <c r="G401" s="2" t="n"/>
      <c r="H401" s="2" t="inlineStr">
        <is>
          <t>HKD</t>
        </is>
      </c>
      <c r="I401" s="7" t="n">
        <v>764000</v>
      </c>
      <c r="J401" s="2" t="inlineStr">
        <is>
          <t>E102</t>
        </is>
      </c>
      <c r="K401" s="2" t="inlineStr">
        <is>
          <t>Completed</t>
        </is>
      </c>
    </row>
    <row r="402">
      <c r="A402" s="2" t="inlineStr">
        <is>
          <t>T00401</t>
        </is>
      </c>
      <c r="B402" s="3" t="n">
        <v>45805.55902777778</v>
      </c>
      <c r="C402" s="2" t="inlineStr">
        <is>
          <t>B01</t>
        </is>
      </c>
      <c r="D402" s="2" t="inlineStr">
        <is>
          <t>P04</t>
        </is>
      </c>
      <c r="E402" s="4" t="n">
        <v>19295191</v>
      </c>
      <c r="F402" s="2" t="inlineStr">
        <is>
          <t>Branch</t>
        </is>
      </c>
      <c r="G402" s="2" t="n"/>
      <c r="H402" s="2" t="inlineStr">
        <is>
          <t>HKD</t>
        </is>
      </c>
      <c r="I402" s="7" t="n">
        <v>2582000</v>
      </c>
      <c r="J402" s="2" t="inlineStr">
        <is>
          <t>E101</t>
        </is>
      </c>
      <c r="K402" s="2" t="inlineStr">
        <is>
          <t>Completed</t>
        </is>
      </c>
    </row>
    <row r="403">
      <c r="A403" s="2" t="inlineStr">
        <is>
          <t>T00402</t>
        </is>
      </c>
      <c r="B403" s="3" t="n">
        <v>45805.65625</v>
      </c>
      <c r="C403" s="2" t="inlineStr">
        <is>
          <t>B01</t>
        </is>
      </c>
      <c r="D403" s="2" t="inlineStr">
        <is>
          <t>P04</t>
        </is>
      </c>
      <c r="E403" s="4" t="n">
        <v>55245666</v>
      </c>
      <c r="F403" s="2" t="inlineStr">
        <is>
          <t>Branch</t>
        </is>
      </c>
      <c r="G403" s="2" t="n"/>
      <c r="H403" s="2" t="inlineStr">
        <is>
          <t>USD</t>
        </is>
      </c>
      <c r="I403" s="7" t="n">
        <v>41000</v>
      </c>
      <c r="J403" s="2" t="inlineStr">
        <is>
          <t>E111</t>
        </is>
      </c>
      <c r="K403" s="2" t="inlineStr">
        <is>
          <t>Cancelled</t>
        </is>
      </c>
    </row>
    <row r="404">
      <c r="A404" s="2" t="inlineStr">
        <is>
          <t>T00403</t>
        </is>
      </c>
      <c r="B404" s="3" t="n">
        <v>45805.65972222222</v>
      </c>
      <c r="C404" s="2" t="inlineStr">
        <is>
          <t>B01</t>
        </is>
      </c>
      <c r="D404" s="2" t="inlineStr">
        <is>
          <t>P02</t>
        </is>
      </c>
      <c r="E404" s="4" t="inlineStr">
        <is>
          <t>0071204459</t>
        </is>
      </c>
      <c r="F404" s="2" t="inlineStr">
        <is>
          <t>Branch</t>
        </is>
      </c>
      <c r="G404" s="2" t="n"/>
      <c r="H404" s="2" t="inlineStr">
        <is>
          <t>USD</t>
        </is>
      </c>
      <c r="I404" s="7" t="n">
        <v>17000</v>
      </c>
      <c r="J404" s="2" t="inlineStr">
        <is>
          <t>E111</t>
        </is>
      </c>
      <c r="K404" s="2" t="inlineStr">
        <is>
          <t>Completed</t>
        </is>
      </c>
    </row>
    <row r="405">
      <c r="A405" s="2" t="inlineStr">
        <is>
          <t>T00404</t>
        </is>
      </c>
      <c r="B405" s="3" t="n">
        <v>45805.70486111111</v>
      </c>
      <c r="C405" s="2" t="inlineStr">
        <is>
          <t>B02</t>
        </is>
      </c>
      <c r="D405" s="2" t="inlineStr">
        <is>
          <t>P02</t>
        </is>
      </c>
      <c r="E405" s="4" t="n">
        <v>4206911990</v>
      </c>
      <c r="F405" s="2" t="inlineStr">
        <is>
          <t>Branch</t>
        </is>
      </c>
      <c r="G405" s="2" t="inlineStr">
        <is>
          <t>CMP-SPR25</t>
        </is>
      </c>
      <c r="H405" s="2" t="inlineStr">
        <is>
          <t>CNY</t>
        </is>
      </c>
      <c r="I405" s="7" t="n">
        <v>610000</v>
      </c>
      <c r="J405" s="2" t="inlineStr">
        <is>
          <t>E103</t>
        </is>
      </c>
      <c r="K405" s="2" t="inlineStr">
        <is>
          <t>Completed</t>
        </is>
      </c>
    </row>
    <row r="406">
      <c r="A406" s="2" t="inlineStr">
        <is>
          <t>T00405</t>
        </is>
      </c>
      <c r="B406" s="3" t="n">
        <v>45805.71180555555</v>
      </c>
      <c r="C406" s="2" t="inlineStr">
        <is>
          <t>B01</t>
        </is>
      </c>
      <c r="D406" s="2" t="inlineStr">
        <is>
          <t>P07</t>
        </is>
      </c>
      <c r="E406" s="4" t="n">
        <v>9627692505</v>
      </c>
      <c r="F406" s="2" t="inlineStr">
        <is>
          <t>Mobile App</t>
        </is>
      </c>
      <c r="G406" s="2" t="n"/>
      <c r="H406" s="2" t="inlineStr">
        <is>
          <t>USD</t>
        </is>
      </c>
      <c r="I406" s="7" t="n">
        <v>120000</v>
      </c>
      <c r="J406" s="2" t="inlineStr">
        <is>
          <t>E102</t>
        </is>
      </c>
      <c r="K406" s="2" t="inlineStr">
        <is>
          <t>Completed</t>
        </is>
      </c>
    </row>
    <row r="407">
      <c r="A407" s="2" t="inlineStr">
        <is>
          <t>T00406</t>
        </is>
      </c>
      <c r="B407" s="3" t="n">
        <v>45806.36458333334</v>
      </c>
      <c r="C407" s="2" t="inlineStr">
        <is>
          <t>B02</t>
        </is>
      </c>
      <c r="D407" s="2" t="inlineStr">
        <is>
          <t>P06</t>
        </is>
      </c>
      <c r="E407" s="4" t="n">
        <v>9567133447</v>
      </c>
      <c r="F407" s="2" t="inlineStr">
        <is>
          <t>Mobile App</t>
        </is>
      </c>
      <c r="G407" s="2" t="n"/>
      <c r="H407" s="2" t="inlineStr">
        <is>
          <t>HKD</t>
        </is>
      </c>
      <c r="I407" s="7" t="n">
        <v>757000</v>
      </c>
      <c r="J407" s="2" t="n"/>
      <c r="K407" s="2" t="inlineStr">
        <is>
          <t>Completed</t>
        </is>
      </c>
    </row>
    <row r="408">
      <c r="A408" s="2" t="inlineStr">
        <is>
          <t>T00407</t>
        </is>
      </c>
      <c r="B408" s="3" t="n">
        <v>45806.58333333334</v>
      </c>
      <c r="C408" s="2" t="inlineStr">
        <is>
          <t>B02</t>
        </is>
      </c>
      <c r="D408" s="2" t="inlineStr">
        <is>
          <t>P03</t>
        </is>
      </c>
      <c r="E408" s="4" t="n">
        <v>57825472</v>
      </c>
      <c r="F408" s="2" t="inlineStr">
        <is>
          <t>Phone Banking</t>
        </is>
      </c>
      <c r="G408" s="2" t="inlineStr">
        <is>
          <t>CMP-SPR25</t>
        </is>
      </c>
      <c r="H408" s="2" t="inlineStr">
        <is>
          <t>USD</t>
        </is>
      </c>
      <c r="I408" s="7" t="n">
        <v>72000</v>
      </c>
      <c r="J408" s="2" t="n"/>
      <c r="K408" s="2" t="inlineStr">
        <is>
          <t>Completed</t>
        </is>
      </c>
    </row>
    <row r="409">
      <c r="A409" s="2" t="inlineStr">
        <is>
          <t>T00408</t>
        </is>
      </c>
      <c r="B409" s="3" t="n">
        <v>45806.64930555555</v>
      </c>
      <c r="C409" s="2" t="inlineStr">
        <is>
          <t>B02</t>
        </is>
      </c>
      <c r="D409" s="2" t="inlineStr">
        <is>
          <t>P07</t>
        </is>
      </c>
      <c r="E409" s="4" t="n">
        <v>53083943</v>
      </c>
      <c r="F409" s="2" t="inlineStr">
        <is>
          <t>Phone Banking</t>
        </is>
      </c>
      <c r="G409" s="2" t="n"/>
      <c r="H409" s="2" t="inlineStr">
        <is>
          <t>CNY</t>
        </is>
      </c>
      <c r="I409" s="7" t="n">
        <v>1562000</v>
      </c>
      <c r="J409" s="2" t="inlineStr">
        <is>
          <t>E110</t>
        </is>
      </c>
      <c r="K409" s="2" t="inlineStr">
        <is>
          <t>Completed</t>
        </is>
      </c>
    </row>
    <row r="410">
      <c r="A410" s="2" t="inlineStr">
        <is>
          <t>T00409</t>
        </is>
      </c>
      <c r="B410" s="3" t="n">
        <v>45806.71875</v>
      </c>
      <c r="C410" s="2" t="inlineStr">
        <is>
          <t>B01</t>
        </is>
      </c>
      <c r="D410" s="2" t="inlineStr">
        <is>
          <t>P08</t>
        </is>
      </c>
      <c r="E410" s="4" t="inlineStr">
        <is>
          <t>0097309879</t>
        </is>
      </c>
      <c r="F410" s="2" t="inlineStr">
        <is>
          <t>Branch</t>
        </is>
      </c>
      <c r="G410" s="2" t="n"/>
      <c r="H410" s="2" t="inlineStr">
        <is>
          <t>HKD</t>
        </is>
      </c>
      <c r="I410" s="7" t="n">
        <v>1638000</v>
      </c>
      <c r="J410" s="2" t="inlineStr">
        <is>
          <t>E111</t>
        </is>
      </c>
      <c r="K410" s="2" t="inlineStr">
        <is>
          <t>Completed</t>
        </is>
      </c>
    </row>
    <row r="411">
      <c r="A411" s="2" t="inlineStr">
        <is>
          <t>T00410</t>
        </is>
      </c>
      <c r="B411" s="3" t="n">
        <v>45807.40277777778</v>
      </c>
      <c r="C411" s="2" t="inlineStr">
        <is>
          <t>B01</t>
        </is>
      </c>
      <c r="D411" s="2" t="inlineStr">
        <is>
          <t>P02</t>
        </is>
      </c>
      <c r="E411" s="4" t="inlineStr">
        <is>
          <t>0019295191</t>
        </is>
      </c>
      <c r="F411" s="2" t="inlineStr">
        <is>
          <t>Branch</t>
        </is>
      </c>
      <c r="G411" s="2" t="inlineStr">
        <is>
          <t>CMP-SPR25</t>
        </is>
      </c>
      <c r="H411" s="2" t="inlineStr">
        <is>
          <t>HKD</t>
        </is>
      </c>
      <c r="I411" s="7" t="n">
        <v>718000</v>
      </c>
      <c r="J411" s="2" t="inlineStr">
        <is>
          <t>E101</t>
        </is>
      </c>
      <c r="K411" s="2" t="inlineStr">
        <is>
          <t>Completed</t>
        </is>
      </c>
    </row>
    <row r="412">
      <c r="A412" s="2" t="inlineStr">
        <is>
          <t>T00411</t>
        </is>
      </c>
      <c r="B412" s="3" t="n">
        <v>45808.91666666666</v>
      </c>
      <c r="C412" s="2" t="inlineStr">
        <is>
          <t>B01</t>
        </is>
      </c>
      <c r="D412" s="2" t="inlineStr">
        <is>
          <t>P02</t>
        </is>
      </c>
      <c r="E412" s="4" t="n">
        <v>7186063045</v>
      </c>
      <c r="F412" s="2" t="inlineStr">
        <is>
          <t>Mobile App</t>
        </is>
      </c>
      <c r="G412" s="2" t="inlineStr">
        <is>
          <t>CMP-SPR25</t>
        </is>
      </c>
      <c r="H412" s="2" t="inlineStr">
        <is>
          <t>HKD</t>
        </is>
      </c>
      <c r="I412" s="7" t="n">
        <v>1825000</v>
      </c>
      <c r="J412" s="2" t="n"/>
      <c r="K412" s="2" t="inlineStr">
        <is>
          <t>Completed</t>
        </is>
      </c>
    </row>
    <row r="413">
      <c r="A413" s="2" t="inlineStr">
        <is>
          <t>T00412</t>
        </is>
      </c>
      <c r="B413" s="3" t="n">
        <v>45809.84027777778</v>
      </c>
      <c r="C413" s="2" t="inlineStr">
        <is>
          <t>B02</t>
        </is>
      </c>
      <c r="D413" s="2" t="inlineStr">
        <is>
          <t>P03</t>
        </is>
      </c>
      <c r="E413" s="4" t="n">
        <v>3207719945</v>
      </c>
      <c r="F413" s="2" t="inlineStr">
        <is>
          <t>Mobile App</t>
        </is>
      </c>
      <c r="G413" s="2" t="n"/>
      <c r="H413" s="2" t="inlineStr">
        <is>
          <t>USD</t>
        </is>
      </c>
      <c r="I413" s="7" t="n">
        <v>231000</v>
      </c>
      <c r="J413" s="2" t="n"/>
      <c r="K413" s="2" t="inlineStr">
        <is>
          <t>Completed</t>
        </is>
      </c>
    </row>
    <row r="414">
      <c r="A414" s="2" t="inlineStr">
        <is>
          <t>T00413</t>
        </is>
      </c>
      <c r="B414" s="3" t="n">
        <v>45810.38888888889</v>
      </c>
      <c r="C414" s="2" t="inlineStr">
        <is>
          <t>B04</t>
        </is>
      </c>
      <c r="D414" s="2" t="inlineStr">
        <is>
          <t>P06</t>
        </is>
      </c>
      <c r="E414" s="4" t="n">
        <v>6712542998</v>
      </c>
      <c r="F414" s="2" t="inlineStr">
        <is>
          <t>Branch</t>
        </is>
      </c>
      <c r="G414" s="2" t="n"/>
      <c r="H414" s="2" t="inlineStr">
        <is>
          <t>USD</t>
        </is>
      </c>
      <c r="I414" s="7" t="n">
        <v>78000</v>
      </c>
      <c r="J414" s="2" t="inlineStr">
        <is>
          <t>E101</t>
        </is>
      </c>
      <c r="K414" s="2" t="inlineStr">
        <is>
          <t>Completed</t>
        </is>
      </c>
    </row>
    <row r="415">
      <c r="A415" s="2" t="inlineStr">
        <is>
          <t>T00414</t>
        </is>
      </c>
      <c r="B415" s="3" t="n">
        <v>45810.45486111111</v>
      </c>
      <c r="C415" s="2" t="inlineStr">
        <is>
          <t>B01</t>
        </is>
      </c>
      <c r="D415" s="2" t="inlineStr">
        <is>
          <t>P05</t>
        </is>
      </c>
      <c r="E415" s="4" t="n">
        <v>55691590</v>
      </c>
      <c r="F415" s="2" t="inlineStr">
        <is>
          <t>Mobile App</t>
        </is>
      </c>
      <c r="G415" s="2" t="n"/>
      <c r="H415" s="2" t="inlineStr">
        <is>
          <t>HKD</t>
        </is>
      </c>
      <c r="I415" s="7" t="n">
        <v>1474000</v>
      </c>
      <c r="J415" s="2" t="inlineStr">
        <is>
          <t>E108</t>
        </is>
      </c>
      <c r="K415" s="2" t="inlineStr">
        <is>
          <t>Completed</t>
        </is>
      </c>
    </row>
    <row r="416">
      <c r="A416" s="2" t="inlineStr">
        <is>
          <t>T00415</t>
        </is>
      </c>
      <c r="B416" s="3" t="n">
        <v>45810.54513888889</v>
      </c>
      <c r="C416" s="2" t="inlineStr">
        <is>
          <t>B01</t>
        </is>
      </c>
      <c r="D416" s="2" t="inlineStr">
        <is>
          <t>P03</t>
        </is>
      </c>
      <c r="E416" s="4" t="n">
        <v>5185642036</v>
      </c>
      <c r="F416" s="2" t="inlineStr">
        <is>
          <t>Branch</t>
        </is>
      </c>
      <c r="G416" s="2" t="n"/>
      <c r="H416" s="2" t="inlineStr">
        <is>
          <t>USD</t>
        </is>
      </c>
      <c r="I416" s="7" t="n">
        <v>40000</v>
      </c>
      <c r="J416" s="2" t="inlineStr">
        <is>
          <t>E111</t>
        </is>
      </c>
      <c r="K416" s="2" t="inlineStr">
        <is>
          <t>Completed</t>
        </is>
      </c>
    </row>
    <row r="417">
      <c r="A417" s="2" t="inlineStr">
        <is>
          <t>T00416</t>
        </is>
      </c>
      <c r="B417" s="3" t="n">
        <v>45810.73611111111</v>
      </c>
      <c r="C417" s="2" t="inlineStr">
        <is>
          <t>B04</t>
        </is>
      </c>
      <c r="D417" s="2" t="inlineStr">
        <is>
          <t>P03</t>
        </is>
      </c>
      <c r="E417" s="4" t="n">
        <v>9794231618</v>
      </c>
      <c r="F417" s="2" t="inlineStr">
        <is>
          <t>Mobile App</t>
        </is>
      </c>
      <c r="G417" s="2" t="n"/>
      <c r="H417" s="2" t="inlineStr">
        <is>
          <t>HKD</t>
        </is>
      </c>
      <c r="I417" s="7" t="n">
        <v>211000</v>
      </c>
      <c r="J417" s="2" t="n"/>
      <c r="K417" s="2" t="inlineStr">
        <is>
          <t>Completed</t>
        </is>
      </c>
    </row>
    <row r="418">
      <c r="A418" s="2" t="inlineStr">
        <is>
          <t>T00417</t>
        </is>
      </c>
      <c r="B418" s="3" t="n">
        <v>45811.42013888889</v>
      </c>
      <c r="C418" s="2" t="inlineStr">
        <is>
          <t>B04</t>
        </is>
      </c>
      <c r="D418" s="2" t="inlineStr">
        <is>
          <t>P08</t>
        </is>
      </c>
      <c r="E418" s="4" t="n">
        <v>7569827088</v>
      </c>
      <c r="F418" s="2" t="inlineStr">
        <is>
          <t>Branch</t>
        </is>
      </c>
      <c r="G418" s="2" t="n"/>
      <c r="H418" s="2" t="inlineStr">
        <is>
          <t>USD</t>
        </is>
      </c>
      <c r="I418" s="7" t="n">
        <v>188000</v>
      </c>
      <c r="J418" s="2" t="inlineStr">
        <is>
          <t>E106</t>
        </is>
      </c>
      <c r="K418" s="2" t="inlineStr">
        <is>
          <t>Completed</t>
        </is>
      </c>
    </row>
    <row r="419">
      <c r="A419" s="2" t="inlineStr">
        <is>
          <t>T00418</t>
        </is>
      </c>
      <c r="B419" s="3" t="n">
        <v>45811.49305555555</v>
      </c>
      <c r="C419" s="2" t="inlineStr">
        <is>
          <t>B02</t>
        </is>
      </c>
      <c r="D419" s="2" t="inlineStr">
        <is>
          <t>P01</t>
        </is>
      </c>
      <c r="E419" s="4" t="n">
        <v>3207719945</v>
      </c>
      <c r="F419" s="2" t="inlineStr">
        <is>
          <t>Branch</t>
        </is>
      </c>
      <c r="G419" s="2" t="n"/>
      <c r="H419" s="2" t="inlineStr">
        <is>
          <t>USD</t>
        </is>
      </c>
      <c r="I419" s="7" t="n">
        <v>180000</v>
      </c>
      <c r="J419" s="2" t="inlineStr">
        <is>
          <t>E104</t>
        </is>
      </c>
      <c r="K419" s="2" t="inlineStr">
        <is>
          <t>Completed</t>
        </is>
      </c>
    </row>
    <row r="420">
      <c r="A420" s="2" t="inlineStr">
        <is>
          <t>T00419</t>
        </is>
      </c>
      <c r="B420" s="3" t="n">
        <v>45811.54861111111</v>
      </c>
      <c r="C420" s="2" t="inlineStr">
        <is>
          <t>B02</t>
        </is>
      </c>
      <c r="D420" s="2" t="inlineStr">
        <is>
          <t>P01</t>
        </is>
      </c>
      <c r="E420" s="4" t="n">
        <v>5379913896</v>
      </c>
      <c r="F420" s="2" t="inlineStr">
        <is>
          <t>Branch</t>
        </is>
      </c>
      <c r="G420" s="2" t="n"/>
      <c r="H420" s="2" t="inlineStr">
        <is>
          <t>HKD</t>
        </is>
      </c>
      <c r="I420" s="7" t="n">
        <v>86000</v>
      </c>
      <c r="J420" s="2" t="inlineStr">
        <is>
          <t>E109</t>
        </is>
      </c>
      <c r="K420" s="2" t="inlineStr">
        <is>
          <t>Completed</t>
        </is>
      </c>
    </row>
    <row r="421">
      <c r="A421" s="2" t="inlineStr">
        <is>
          <t>T00420</t>
        </is>
      </c>
      <c r="B421" s="3" t="n">
        <v>45811.62847222222</v>
      </c>
      <c r="C421" s="2" t="inlineStr">
        <is>
          <t>B01</t>
        </is>
      </c>
      <c r="D421" s="2" t="inlineStr">
        <is>
          <t>P03</t>
        </is>
      </c>
      <c r="E421" s="4" t="n">
        <v>2639172015</v>
      </c>
      <c r="F421" s="2" t="inlineStr">
        <is>
          <t>Branch</t>
        </is>
      </c>
      <c r="G421" s="2" t="n"/>
      <c r="H421" s="2" t="inlineStr">
        <is>
          <t>USD</t>
        </is>
      </c>
      <c r="I421" s="7" t="n">
        <v>181000</v>
      </c>
      <c r="J421" s="2" t="inlineStr">
        <is>
          <t>E108</t>
        </is>
      </c>
      <c r="K421" s="2" t="inlineStr">
        <is>
          <t>Completed</t>
        </is>
      </c>
    </row>
    <row r="422">
      <c r="A422" s="2" t="inlineStr">
        <is>
          <t>T00421</t>
        </is>
      </c>
      <c r="B422" s="3" t="n">
        <v>45811.66319444445</v>
      </c>
      <c r="C422" s="2" t="inlineStr">
        <is>
          <t>B02</t>
        </is>
      </c>
      <c r="D422" s="2" t="inlineStr">
        <is>
          <t>P08</t>
        </is>
      </c>
      <c r="E422" s="4" t="n">
        <v>44509861</v>
      </c>
      <c r="F422" s="2" t="inlineStr">
        <is>
          <t>Branch</t>
        </is>
      </c>
      <c r="G422" s="2" t="n"/>
      <c r="H422" s="2" t="inlineStr">
        <is>
          <t>HKD</t>
        </is>
      </c>
      <c r="I422" s="7" t="n">
        <v>351000</v>
      </c>
      <c r="J422" s="2" t="inlineStr">
        <is>
          <t>E104</t>
        </is>
      </c>
      <c r="K422" s="2" t="inlineStr">
        <is>
          <t>Completed</t>
        </is>
      </c>
    </row>
    <row r="423">
      <c r="A423" s="2" t="inlineStr">
        <is>
          <t>T00422</t>
        </is>
      </c>
      <c r="B423" s="3" t="n">
        <v>45811.67013888889</v>
      </c>
      <c r="C423" s="2" t="inlineStr">
        <is>
          <t>B02</t>
        </is>
      </c>
      <c r="D423" s="2" t="inlineStr">
        <is>
          <t>P02</t>
        </is>
      </c>
      <c r="E423" s="4" t="n">
        <v>6989217536</v>
      </c>
      <c r="F423" s="2" t="inlineStr">
        <is>
          <t>Mobile App</t>
        </is>
      </c>
      <c r="G423" s="2" t="n"/>
      <c r="H423" s="2" t="inlineStr">
        <is>
          <t>HKD</t>
        </is>
      </c>
      <c r="I423" s="7" t="n">
        <v>460000</v>
      </c>
      <c r="J423" s="2" t="inlineStr">
        <is>
          <t>e106</t>
        </is>
      </c>
      <c r="K423" s="2" t="inlineStr">
        <is>
          <t>Completed</t>
        </is>
      </c>
    </row>
    <row r="424">
      <c r="A424" s="2" t="inlineStr">
        <is>
          <t>T00423</t>
        </is>
      </c>
      <c r="B424" s="3" t="n">
        <v>45812.45138888889</v>
      </c>
      <c r="C424" s="2" t="inlineStr">
        <is>
          <t>B04</t>
        </is>
      </c>
      <c r="D424" s="2" t="inlineStr">
        <is>
          <t>P07</t>
        </is>
      </c>
      <c r="E424" s="4" t="n">
        <v>2751672943</v>
      </c>
      <c r="F424" s="2" t="inlineStr">
        <is>
          <t>Phone Banking</t>
        </is>
      </c>
      <c r="G424" s="2" t="n"/>
      <c r="H424" s="2" t="inlineStr">
        <is>
          <t>USD</t>
        </is>
      </c>
      <c r="I424" s="7" t="n">
        <v>124000</v>
      </c>
      <c r="J424" s="2" t="n"/>
      <c r="K424" s="2" t="inlineStr">
        <is>
          <t>Completed</t>
        </is>
      </c>
    </row>
    <row r="425">
      <c r="A425" s="2" t="inlineStr">
        <is>
          <t>T00424</t>
        </is>
      </c>
      <c r="B425" s="3" t="n">
        <v>45812.47916666666</v>
      </c>
      <c r="C425" s="2" t="inlineStr">
        <is>
          <t>B02</t>
        </is>
      </c>
      <c r="D425" s="2" t="inlineStr">
        <is>
          <t>P05</t>
        </is>
      </c>
      <c r="E425" s="4" t="n">
        <v>3207719945</v>
      </c>
      <c r="F425" s="2" t="inlineStr">
        <is>
          <t>Phone Banking</t>
        </is>
      </c>
      <c r="G425" s="2" t="n"/>
      <c r="H425" s="2" t="inlineStr">
        <is>
          <t>HKD</t>
        </is>
      </c>
      <c r="I425" s="7" t="n">
        <v>2449000</v>
      </c>
      <c r="J425" s="2" t="inlineStr">
        <is>
          <t>E104</t>
        </is>
      </c>
      <c r="K425" s="2" t="inlineStr">
        <is>
          <t>Completed</t>
        </is>
      </c>
    </row>
    <row r="426">
      <c r="A426" s="2" t="inlineStr">
        <is>
          <t>T00425</t>
        </is>
      </c>
      <c r="B426" s="3" t="n">
        <v>45812.49652777778</v>
      </c>
      <c r="C426" s="2" t="inlineStr">
        <is>
          <t>B02</t>
        </is>
      </c>
      <c r="D426" s="2" t="inlineStr">
        <is>
          <t>P06</t>
        </is>
      </c>
      <c r="E426" s="4" t="inlineStr">
        <is>
          <t>0044509861</t>
        </is>
      </c>
      <c r="F426" s="2" t="inlineStr">
        <is>
          <t>Branch</t>
        </is>
      </c>
      <c r="G426" s="2" t="n"/>
      <c r="H426" s="2" t="inlineStr">
        <is>
          <t>USD</t>
        </is>
      </c>
      <c r="I426" s="7" t="n">
        <v>750000</v>
      </c>
      <c r="J426" s="2" t="inlineStr">
        <is>
          <t>E110</t>
        </is>
      </c>
      <c r="K426" s="2" t="inlineStr">
        <is>
          <t>Completed</t>
        </is>
      </c>
    </row>
    <row r="427">
      <c r="A427" s="2" t="inlineStr">
        <is>
          <t>T00426</t>
        </is>
      </c>
      <c r="B427" s="3" t="n">
        <v>45812.51736111111</v>
      </c>
      <c r="C427" s="2" t="inlineStr">
        <is>
          <t>B01</t>
        </is>
      </c>
      <c r="D427" s="2" t="inlineStr">
        <is>
          <t>P03</t>
        </is>
      </c>
      <c r="E427" s="4" t="inlineStr">
        <is>
          <t>0098231104</t>
        </is>
      </c>
      <c r="F427" s="2" t="inlineStr">
        <is>
          <t>Mobile App</t>
        </is>
      </c>
      <c r="G427" s="2" t="n"/>
      <c r="H427" s="2" t="inlineStr">
        <is>
          <t>USD</t>
        </is>
      </c>
      <c r="I427" s="7" t="n">
        <v>21000</v>
      </c>
      <c r="J427" s="2" t="inlineStr">
        <is>
          <t>E111</t>
        </is>
      </c>
      <c r="K427" s="2" t="inlineStr">
        <is>
          <t>Completed</t>
        </is>
      </c>
    </row>
    <row r="428">
      <c r="A428" s="2" t="inlineStr">
        <is>
          <t>T00427</t>
        </is>
      </c>
      <c r="B428" s="3" t="n">
        <v>45812.54166666666</v>
      </c>
      <c r="C428" s="2" t="inlineStr">
        <is>
          <t>B01</t>
        </is>
      </c>
      <c r="D428" s="2" t="inlineStr">
        <is>
          <t>P02</t>
        </is>
      </c>
      <c r="E428" s="4" t="n">
        <v>2639172015</v>
      </c>
      <c r="F428" s="2" t="inlineStr">
        <is>
          <t>Phone Banking</t>
        </is>
      </c>
      <c r="G428" s="2" t="n"/>
      <c r="H428" s="2" t="inlineStr">
        <is>
          <t>USD</t>
        </is>
      </c>
      <c r="I428" s="7" t="n">
        <v>292000</v>
      </c>
      <c r="J428" s="2" t="inlineStr">
        <is>
          <t>E102</t>
        </is>
      </c>
      <c r="K428" s="2" t="inlineStr">
        <is>
          <t>Cancelled</t>
        </is>
      </c>
    </row>
    <row r="429">
      <c r="A429" s="2" t="inlineStr">
        <is>
          <t>T00428</t>
        </is>
      </c>
      <c r="B429" s="3" t="n">
        <v>45812.55902777778</v>
      </c>
      <c r="C429" s="2" t="inlineStr">
        <is>
          <t>B01</t>
        </is>
      </c>
      <c r="D429" s="2" t="inlineStr">
        <is>
          <t>P02</t>
        </is>
      </c>
      <c r="E429" s="4" t="inlineStr">
        <is>
          <t>0055691590</t>
        </is>
      </c>
      <c r="F429" s="2" t="inlineStr">
        <is>
          <t>Mobile App</t>
        </is>
      </c>
      <c r="G429" s="2" t="n"/>
      <c r="H429" s="2" t="inlineStr">
        <is>
          <t>USD</t>
        </is>
      </c>
      <c r="I429" s="7" t="n">
        <v>252000</v>
      </c>
      <c r="J429" s="2" t="inlineStr">
        <is>
          <t>E106</t>
        </is>
      </c>
      <c r="K429" s="2" t="inlineStr">
        <is>
          <t>Completed</t>
        </is>
      </c>
    </row>
    <row r="430">
      <c r="A430" s="2" t="inlineStr">
        <is>
          <t>T00429</t>
        </is>
      </c>
      <c r="B430" s="3" t="n">
        <v>45812.6875</v>
      </c>
      <c r="C430" s="2" t="inlineStr">
        <is>
          <t>B02</t>
        </is>
      </c>
      <c r="D430" s="2" t="inlineStr">
        <is>
          <t>P07</t>
        </is>
      </c>
      <c r="E430" s="4" t="n">
        <v>86890319</v>
      </c>
      <c r="F430" s="2" t="inlineStr">
        <is>
          <t>Mobile App</t>
        </is>
      </c>
      <c r="G430" s="2" t="n"/>
      <c r="H430" s="2" t="inlineStr">
        <is>
          <t>HKD</t>
        </is>
      </c>
      <c r="I430" s="7" t="n">
        <v>187000</v>
      </c>
      <c r="J430" s="2" t="inlineStr">
        <is>
          <t>E110</t>
        </is>
      </c>
      <c r="K430" s="2" t="inlineStr">
        <is>
          <t>Completed</t>
        </is>
      </c>
    </row>
    <row r="431">
      <c r="A431" s="2" t="inlineStr">
        <is>
          <t>T00430</t>
        </is>
      </c>
      <c r="B431" s="3" t="n">
        <v>45813.41319444445</v>
      </c>
      <c r="C431" s="2" t="inlineStr">
        <is>
          <t>B02</t>
        </is>
      </c>
      <c r="D431" s="2" t="inlineStr">
        <is>
          <t>P06</t>
        </is>
      </c>
      <c r="E431" s="4" t="n">
        <v>5134554812</v>
      </c>
      <c r="F431" s="2" t="inlineStr">
        <is>
          <t>Phone Banking</t>
        </is>
      </c>
      <c r="G431" s="2" t="n"/>
      <c r="H431" s="2" t="inlineStr">
        <is>
          <t>HKD</t>
        </is>
      </c>
      <c r="I431" s="7" t="n">
        <v>694000</v>
      </c>
      <c r="J431" s="2" t="inlineStr">
        <is>
          <t>E104</t>
        </is>
      </c>
      <c r="K431" s="2" t="inlineStr">
        <is>
          <t>Completed</t>
        </is>
      </c>
    </row>
    <row r="432">
      <c r="A432" s="2" t="inlineStr">
        <is>
          <t>T00431</t>
        </is>
      </c>
      <c r="B432" s="3" t="n">
        <v>45813.65625</v>
      </c>
      <c r="C432" s="2" t="inlineStr">
        <is>
          <t>B01</t>
        </is>
      </c>
      <c r="D432" s="2" t="inlineStr">
        <is>
          <t>P02</t>
        </is>
      </c>
      <c r="E432" s="4" t="n">
        <v>55691590</v>
      </c>
      <c r="F432" s="2" t="inlineStr">
        <is>
          <t>Mobile App</t>
        </is>
      </c>
      <c r="G432" s="2" t="n"/>
      <c r="H432" s="2" t="inlineStr">
        <is>
          <t>HKD</t>
        </is>
      </c>
      <c r="I432" s="7" t="n">
        <v>1763000</v>
      </c>
      <c r="J432" s="2" t="inlineStr">
        <is>
          <t>E106</t>
        </is>
      </c>
      <c r="K432" s="2" t="inlineStr">
        <is>
          <t>Completed</t>
        </is>
      </c>
    </row>
    <row r="433">
      <c r="A433" s="2" t="inlineStr">
        <is>
          <t>T00432</t>
        </is>
      </c>
      <c r="B433" s="3" t="n">
        <v>45813.67361111111</v>
      </c>
      <c r="C433" s="2" t="inlineStr">
        <is>
          <t>B01</t>
        </is>
      </c>
      <c r="D433" s="2" t="inlineStr">
        <is>
          <t>P07</t>
        </is>
      </c>
      <c r="E433" s="4" t="n">
        <v>1809923365</v>
      </c>
      <c r="F433" s="2" t="inlineStr">
        <is>
          <t>Branch</t>
        </is>
      </c>
      <c r="G433" s="2" t="n"/>
      <c r="H433" s="2" t="inlineStr">
        <is>
          <t>HKD</t>
        </is>
      </c>
      <c r="I433" s="7" t="n">
        <v>3034000</v>
      </c>
      <c r="J433" s="2" t="inlineStr">
        <is>
          <t>E108</t>
        </is>
      </c>
      <c r="K433" s="2" t="inlineStr">
        <is>
          <t>Completed</t>
        </is>
      </c>
    </row>
    <row r="434">
      <c r="A434" s="2" t="inlineStr">
        <is>
          <t>T00433</t>
        </is>
      </c>
      <c r="B434" s="3" t="n">
        <v>45813.73611111111</v>
      </c>
      <c r="C434" s="2" t="inlineStr">
        <is>
          <t>B01</t>
        </is>
      </c>
      <c r="D434" s="2" t="inlineStr">
        <is>
          <t>P02</t>
        </is>
      </c>
      <c r="E434" s="4" t="n">
        <v>71204459</v>
      </c>
      <c r="F434" s="2" t="inlineStr">
        <is>
          <t>Branch</t>
        </is>
      </c>
      <c r="G434" s="2" t="n"/>
      <c r="H434" s="2" t="inlineStr">
        <is>
          <t>HKD</t>
        </is>
      </c>
      <c r="I434" s="7" t="n">
        <v>203000</v>
      </c>
      <c r="J434" s="2" t="inlineStr">
        <is>
          <t>E101</t>
        </is>
      </c>
      <c r="K434" s="2" t="inlineStr">
        <is>
          <t>Completed</t>
        </is>
      </c>
    </row>
    <row r="435">
      <c r="A435" s="2" t="inlineStr">
        <is>
          <t>T00434</t>
        </is>
      </c>
      <c r="B435" s="3" t="n">
        <v>45813.73958333334</v>
      </c>
      <c r="C435" s="2" t="inlineStr">
        <is>
          <t>B04</t>
        </is>
      </c>
      <c r="D435" s="2" t="inlineStr">
        <is>
          <t>P06</t>
        </is>
      </c>
      <c r="E435" s="4" t="n">
        <v>1777759401</v>
      </c>
      <c r="F435" s="2" t="inlineStr">
        <is>
          <t>Phone Banking</t>
        </is>
      </c>
      <c r="G435" s="2" t="n"/>
      <c r="H435" s="2" t="inlineStr">
        <is>
          <t>HKD</t>
        </is>
      </c>
      <c r="I435" s="7" t="n">
        <v>1045000</v>
      </c>
      <c r="J435" s="2" t="inlineStr">
        <is>
          <t>E106</t>
        </is>
      </c>
      <c r="K435" s="2" t="inlineStr">
        <is>
          <t>Completed</t>
        </is>
      </c>
    </row>
    <row r="436">
      <c r="A436" s="2" t="inlineStr">
        <is>
          <t>T00435</t>
        </is>
      </c>
      <c r="B436" s="3" t="n">
        <v>45814.71527777778</v>
      </c>
      <c r="C436" s="2" t="inlineStr">
        <is>
          <t>B04</t>
        </is>
      </c>
      <c r="D436" s="2" t="inlineStr">
        <is>
          <t>P06</t>
        </is>
      </c>
      <c r="E436" s="4" t="n">
        <v>56294337</v>
      </c>
      <c r="F436" s="2" t="inlineStr">
        <is>
          <t>Mobile App</t>
        </is>
      </c>
      <c r="G436" s="2" t="n"/>
      <c r="H436" s="2" t="inlineStr">
        <is>
          <t>HKD</t>
        </is>
      </c>
      <c r="I436" s="7" t="n">
        <v>491000</v>
      </c>
      <c r="J436" s="2" t="n"/>
      <c r="K436" s="2" t="inlineStr">
        <is>
          <t>Completed</t>
        </is>
      </c>
    </row>
    <row r="437">
      <c r="A437" s="2" t="inlineStr">
        <is>
          <t>T00436</t>
        </is>
      </c>
      <c r="B437" s="3" t="n">
        <v>45815.44444444445</v>
      </c>
      <c r="C437" s="2" t="inlineStr">
        <is>
          <t>B02</t>
        </is>
      </c>
      <c r="D437" s="2" t="inlineStr">
        <is>
          <t>P06</t>
        </is>
      </c>
      <c r="E437" s="4" t="n">
        <v>9567133447</v>
      </c>
      <c r="F437" s="2" t="inlineStr">
        <is>
          <t>Mobile App</t>
        </is>
      </c>
      <c r="G437" s="2" t="n"/>
      <c r="H437" s="2" t="inlineStr">
        <is>
          <t>USD</t>
        </is>
      </c>
      <c r="I437" s="7" t="n">
        <v>182000</v>
      </c>
      <c r="J437" s="2" t="n"/>
      <c r="K437" s="2" t="inlineStr">
        <is>
          <t>Completed</t>
        </is>
      </c>
    </row>
    <row r="438">
      <c r="A438" s="2" t="inlineStr">
        <is>
          <t>T00437</t>
        </is>
      </c>
      <c r="B438" s="3" t="n">
        <v>45816.91319444445</v>
      </c>
      <c r="C438" s="2" t="inlineStr">
        <is>
          <t>B02</t>
        </is>
      </c>
      <c r="D438" s="2" t="inlineStr">
        <is>
          <t>P07</t>
        </is>
      </c>
      <c r="E438" s="4" t="n">
        <v>6989217536</v>
      </c>
      <c r="F438" s="2" t="inlineStr">
        <is>
          <t>Mobile App</t>
        </is>
      </c>
      <c r="G438" s="2" t="n"/>
      <c r="H438" s="2" t="inlineStr">
        <is>
          <t>HKD</t>
        </is>
      </c>
      <c r="I438" s="7" t="n">
        <v>281000</v>
      </c>
      <c r="J438" s="2" t="n"/>
      <c r="K438" s="2" t="inlineStr">
        <is>
          <t>Completed</t>
        </is>
      </c>
    </row>
    <row r="439">
      <c r="A439" s="2" t="inlineStr">
        <is>
          <t>T00438</t>
        </is>
      </c>
      <c r="B439" s="3" t="n">
        <v>45817.29861111111</v>
      </c>
      <c r="C439" s="2" t="inlineStr">
        <is>
          <t>B04</t>
        </is>
      </c>
      <c r="D439" s="2" t="inlineStr">
        <is>
          <t>P03</t>
        </is>
      </c>
      <c r="E439" s="4" t="n">
        <v>7667641457</v>
      </c>
      <c r="F439" s="2" t="inlineStr">
        <is>
          <t>Mobile App</t>
        </is>
      </c>
      <c r="G439" s="2" t="n"/>
      <c r="H439" s="2" t="inlineStr">
        <is>
          <t>CNY</t>
        </is>
      </c>
      <c r="I439" s="7" t="n">
        <v>819000</v>
      </c>
      <c r="J439" s="2" t="n"/>
      <c r="K439" s="2" t="inlineStr">
        <is>
          <t>Completed</t>
        </is>
      </c>
    </row>
    <row r="440">
      <c r="A440" s="2" t="inlineStr">
        <is>
          <t>T00439</t>
        </is>
      </c>
      <c r="B440" s="3" t="n">
        <v>45817.72569444445</v>
      </c>
      <c r="C440" s="2" t="inlineStr">
        <is>
          <t>B04</t>
        </is>
      </c>
      <c r="D440" s="2" t="inlineStr">
        <is>
          <t>P07</t>
        </is>
      </c>
      <c r="E440" s="4" t="n">
        <v>7569827088</v>
      </c>
      <c r="F440" s="2" t="inlineStr">
        <is>
          <t>Mobile App</t>
        </is>
      </c>
      <c r="G440" s="2" t="n"/>
      <c r="H440" s="2" t="inlineStr">
        <is>
          <t>USD</t>
        </is>
      </c>
      <c r="I440" s="7" t="n">
        <v>89000</v>
      </c>
      <c r="J440" s="2" t="n"/>
      <c r="K440" s="2" t="inlineStr">
        <is>
          <t>Completed</t>
        </is>
      </c>
    </row>
    <row r="441">
      <c r="A441" s="2" t="inlineStr">
        <is>
          <t>T00440</t>
        </is>
      </c>
      <c r="B441" s="3" t="n">
        <v>45818.57291666666</v>
      </c>
      <c r="C441" s="2" t="inlineStr">
        <is>
          <t>B01</t>
        </is>
      </c>
      <c r="D441" s="2" t="inlineStr">
        <is>
          <t>P02</t>
        </is>
      </c>
      <c r="E441" s="4" t="n">
        <v>1345733448</v>
      </c>
      <c r="F441" s="2" t="inlineStr">
        <is>
          <t>Branch</t>
        </is>
      </c>
      <c r="G441" s="2" t="n"/>
      <c r="H441" s="2" t="inlineStr">
        <is>
          <t>HKD</t>
        </is>
      </c>
      <c r="I441" s="7" t="n">
        <v>1997000</v>
      </c>
      <c r="J441" s="2" t="inlineStr">
        <is>
          <t>E101</t>
        </is>
      </c>
      <c r="K441" s="2" t="inlineStr">
        <is>
          <t>Completed</t>
        </is>
      </c>
    </row>
    <row r="442">
      <c r="A442" s="2" t="inlineStr">
        <is>
          <t>T00441</t>
        </is>
      </c>
      <c r="B442" s="3" t="n">
        <v>45818.58680555555</v>
      </c>
      <c r="C442" s="2" t="inlineStr">
        <is>
          <t>B01</t>
        </is>
      </c>
      <c r="D442" s="2" t="inlineStr">
        <is>
          <t>P03</t>
        </is>
      </c>
      <c r="E442" s="4" t="n">
        <v>3694833017</v>
      </c>
      <c r="F442" s="2" t="inlineStr">
        <is>
          <t>Branch</t>
        </is>
      </c>
      <c r="G442" s="2" t="n"/>
      <c r="H442" s="2" t="inlineStr">
        <is>
          <t>HKD</t>
        </is>
      </c>
      <c r="I442" s="7" t="n">
        <v>250000</v>
      </c>
      <c r="J442" s="2" t="inlineStr">
        <is>
          <t>E108</t>
        </is>
      </c>
      <c r="K442" s="2" t="inlineStr">
        <is>
          <t>Completed</t>
        </is>
      </c>
    </row>
    <row r="443">
      <c r="A443" s="2" t="inlineStr">
        <is>
          <t>T00442</t>
        </is>
      </c>
      <c r="B443" s="3" t="n">
        <v>45818.63541666666</v>
      </c>
      <c r="C443" s="2" t="inlineStr">
        <is>
          <t>B04</t>
        </is>
      </c>
      <c r="D443" s="2" t="inlineStr">
        <is>
          <t>P02</t>
        </is>
      </c>
      <c r="E443" s="4" t="n">
        <v>45128803</v>
      </c>
      <c r="F443" s="2" t="inlineStr">
        <is>
          <t>Mobile App</t>
        </is>
      </c>
      <c r="G443" s="2" t="n"/>
      <c r="H443" s="2" t="inlineStr">
        <is>
          <t>HKD</t>
        </is>
      </c>
      <c r="I443" s="7" t="n">
        <v>50000</v>
      </c>
      <c r="J443" s="2" t="inlineStr">
        <is>
          <t>E103</t>
        </is>
      </c>
      <c r="K443" s="2" t="inlineStr">
        <is>
          <t>Completed</t>
        </is>
      </c>
    </row>
    <row r="444">
      <c r="A444" s="2" t="inlineStr">
        <is>
          <t>T00443</t>
        </is>
      </c>
      <c r="B444" s="3" t="n">
        <v>45818.6875</v>
      </c>
      <c r="C444" s="2" t="inlineStr">
        <is>
          <t>B01</t>
        </is>
      </c>
      <c r="D444" s="2" t="inlineStr">
        <is>
          <t>P04</t>
        </is>
      </c>
      <c r="E444" s="4" t="n">
        <v>9627692505</v>
      </c>
      <c r="F444" s="2" t="inlineStr">
        <is>
          <t>Branch</t>
        </is>
      </c>
      <c r="G444" s="2" t="n"/>
      <c r="H444" s="2" t="inlineStr">
        <is>
          <t>CNY</t>
        </is>
      </c>
      <c r="I444" s="7" t="n">
        <v>1662000</v>
      </c>
      <c r="J444" s="2" t="inlineStr">
        <is>
          <t>E101</t>
        </is>
      </c>
      <c r="K444" s="2" t="inlineStr">
        <is>
          <t>Completed</t>
        </is>
      </c>
    </row>
    <row r="445">
      <c r="A445" s="2" t="inlineStr">
        <is>
          <t>T00444</t>
        </is>
      </c>
      <c r="B445" s="3" t="n">
        <v>45819.69444444445</v>
      </c>
      <c r="C445" s="2" t="inlineStr">
        <is>
          <t>B02</t>
        </is>
      </c>
      <c r="D445" s="2" t="inlineStr">
        <is>
          <t>P07</t>
        </is>
      </c>
      <c r="E445" s="4" t="n">
        <v>4206911990</v>
      </c>
      <c r="F445" s="2" t="inlineStr">
        <is>
          <t>Branch</t>
        </is>
      </c>
      <c r="G445" s="2" t="n"/>
      <c r="H445" s="2" t="inlineStr">
        <is>
          <t>USD</t>
        </is>
      </c>
      <c r="I445" s="7" t="n">
        <v>115000</v>
      </c>
      <c r="J445" s="2" t="inlineStr">
        <is>
          <t>E106</t>
        </is>
      </c>
      <c r="K445" s="2" t="inlineStr">
        <is>
          <t>Completed</t>
        </is>
      </c>
    </row>
    <row r="446">
      <c r="A446" s="2" t="inlineStr">
        <is>
          <t>T00445</t>
        </is>
      </c>
      <c r="B446" s="3" t="n">
        <v>45819.92361111111</v>
      </c>
      <c r="C446" s="2" t="inlineStr">
        <is>
          <t>B04</t>
        </is>
      </c>
      <c r="D446" s="2" t="inlineStr">
        <is>
          <t>P07</t>
        </is>
      </c>
      <c r="E446" s="4" t="n">
        <v>2751672943</v>
      </c>
      <c r="F446" s="2" t="inlineStr">
        <is>
          <t>Phone Banking</t>
        </is>
      </c>
      <c r="G446" s="2" t="n"/>
      <c r="H446" s="2" t="inlineStr">
        <is>
          <t>USD</t>
        </is>
      </c>
      <c r="I446" s="7" t="n">
        <v>330000</v>
      </c>
      <c r="J446" s="2" t="n"/>
      <c r="K446" s="2" t="inlineStr">
        <is>
          <t>Completed</t>
        </is>
      </c>
    </row>
    <row r="447">
      <c r="A447" s="2" t="inlineStr">
        <is>
          <t>T00446</t>
        </is>
      </c>
      <c r="B447" s="3" t="n">
        <v>45820.49652777778</v>
      </c>
      <c r="C447" s="2" t="inlineStr">
        <is>
          <t>B02</t>
        </is>
      </c>
      <c r="D447" s="2" t="inlineStr">
        <is>
          <t>P01</t>
        </is>
      </c>
      <c r="E447" s="4" t="n">
        <v>8805210249</v>
      </c>
      <c r="F447" s="2" t="inlineStr">
        <is>
          <t>Phone Banking</t>
        </is>
      </c>
      <c r="G447" s="2" t="n"/>
      <c r="H447" s="2" t="inlineStr">
        <is>
          <t>USD</t>
        </is>
      </c>
      <c r="I447" s="7" t="n">
        <v>42000</v>
      </c>
      <c r="J447" s="2" t="inlineStr">
        <is>
          <t>E104</t>
        </is>
      </c>
      <c r="K447" s="2" t="inlineStr">
        <is>
          <t>Completed</t>
        </is>
      </c>
    </row>
    <row r="448">
      <c r="A448" s="2" t="inlineStr">
        <is>
          <t>T00447</t>
        </is>
      </c>
      <c r="B448" s="3" t="n">
        <v>45820.57638888889</v>
      </c>
      <c r="C448" s="2" t="inlineStr">
        <is>
          <t>B02</t>
        </is>
      </c>
      <c r="D448" s="2" t="inlineStr">
        <is>
          <t>P03</t>
        </is>
      </c>
      <c r="E448" s="4" t="n">
        <v>4206911990</v>
      </c>
      <c r="F448" s="2" t="inlineStr">
        <is>
          <t>Phone Banking</t>
        </is>
      </c>
      <c r="G448" s="2" t="n"/>
      <c r="H448" s="2" t="inlineStr">
        <is>
          <t>HKD</t>
        </is>
      </c>
      <c r="I448" s="7" t="n">
        <v>78000</v>
      </c>
      <c r="J448" s="2" t="inlineStr">
        <is>
          <t>E104</t>
        </is>
      </c>
      <c r="K448" s="2" t="inlineStr">
        <is>
          <t>Completed</t>
        </is>
      </c>
    </row>
    <row r="449">
      <c r="A449" s="2" t="inlineStr">
        <is>
          <t>T00448</t>
        </is>
      </c>
      <c r="B449" s="3" t="n">
        <v>45820.63888888889</v>
      </c>
      <c r="C449" s="2" t="inlineStr">
        <is>
          <t>B02</t>
        </is>
      </c>
      <c r="D449" s="2" t="inlineStr">
        <is>
          <t>P06</t>
        </is>
      </c>
      <c r="E449" s="4" t="n">
        <v>8805210249</v>
      </c>
      <c r="F449" s="2" t="inlineStr">
        <is>
          <t>Branch</t>
        </is>
      </c>
      <c r="G449" s="2" t="n"/>
      <c r="H449" s="2" t="inlineStr">
        <is>
          <t>USD</t>
        </is>
      </c>
      <c r="I449" s="7" t="n">
        <v>27000</v>
      </c>
      <c r="J449" s="2" t="inlineStr">
        <is>
          <t>E108</t>
        </is>
      </c>
      <c r="K449" s="2" t="inlineStr">
        <is>
          <t>Completed</t>
        </is>
      </c>
    </row>
    <row r="450">
      <c r="A450" s="2" t="inlineStr">
        <is>
          <t>T00449</t>
        </is>
      </c>
      <c r="B450" s="3" t="n">
        <v>45821.45486111111</v>
      </c>
      <c r="C450" s="2" t="inlineStr">
        <is>
          <t>B04</t>
        </is>
      </c>
      <c r="D450" s="2" t="inlineStr">
        <is>
          <t>P03</t>
        </is>
      </c>
      <c r="E450" s="4" t="n">
        <v>1777759401</v>
      </c>
      <c r="F450" s="2" t="inlineStr">
        <is>
          <t>Phone Banking</t>
        </is>
      </c>
      <c r="G450" s="2" t="n"/>
      <c r="H450" s="2" t="inlineStr">
        <is>
          <t>HKD</t>
        </is>
      </c>
      <c r="I450" s="7" t="n">
        <v>710000</v>
      </c>
      <c r="J450" s="2" t="inlineStr">
        <is>
          <t>E109</t>
        </is>
      </c>
      <c r="K450" s="2" t="inlineStr">
        <is>
          <t>Cancelled</t>
        </is>
      </c>
    </row>
    <row r="451">
      <c r="A451" s="2" t="inlineStr">
        <is>
          <t>T00450</t>
        </is>
      </c>
      <c r="B451" s="3" t="n">
        <v>45821.48263888889</v>
      </c>
      <c r="C451" s="2" t="inlineStr">
        <is>
          <t>B04</t>
        </is>
      </c>
      <c r="D451" s="2" t="inlineStr">
        <is>
          <t>P06</t>
        </is>
      </c>
      <c r="E451" s="4" t="n">
        <v>83289666</v>
      </c>
      <c r="F451" s="2" t="inlineStr">
        <is>
          <t>Branch</t>
        </is>
      </c>
      <c r="G451" s="2" t="n"/>
      <c r="H451" s="2" t="inlineStr">
        <is>
          <t>HKD</t>
        </is>
      </c>
      <c r="I451" s="7" t="n">
        <v>608000</v>
      </c>
      <c r="J451" s="2" t="inlineStr">
        <is>
          <t>E109</t>
        </is>
      </c>
      <c r="K451" s="2" t="inlineStr">
        <is>
          <t>Completed</t>
        </is>
      </c>
    </row>
    <row r="452">
      <c r="A452" s="2" t="inlineStr">
        <is>
          <t>T00451</t>
        </is>
      </c>
      <c r="B452" s="3" t="n">
        <v>45821.73958333334</v>
      </c>
      <c r="C452" s="2" t="inlineStr">
        <is>
          <t>B01</t>
        </is>
      </c>
      <c r="D452" s="2" t="inlineStr">
        <is>
          <t>P06</t>
        </is>
      </c>
      <c r="E452" s="4" t="n">
        <v>2639172015</v>
      </c>
      <c r="F452" s="2" t="inlineStr">
        <is>
          <t>Phone Banking</t>
        </is>
      </c>
      <c r="G452" s="2" t="n"/>
      <c r="H452" s="2" t="inlineStr">
        <is>
          <t>USD</t>
        </is>
      </c>
      <c r="I452" s="7" t="n">
        <v>655000</v>
      </c>
      <c r="J452" s="2" t="inlineStr">
        <is>
          <t>E111</t>
        </is>
      </c>
      <c r="K452" s="2" t="inlineStr">
        <is>
          <t>Completed</t>
        </is>
      </c>
    </row>
    <row r="453">
      <c r="A453" s="2" t="inlineStr">
        <is>
          <t>T00452</t>
        </is>
      </c>
      <c r="B453" s="3" t="n">
        <v>45823.55902777778</v>
      </c>
      <c r="C453" s="2" t="inlineStr">
        <is>
          <t>B02</t>
        </is>
      </c>
      <c r="D453" s="2" t="inlineStr">
        <is>
          <t>P06</t>
        </is>
      </c>
      <c r="E453" s="4" t="n">
        <v>4256229846</v>
      </c>
      <c r="F453" s="2" t="inlineStr">
        <is>
          <t>Phone Banking</t>
        </is>
      </c>
      <c r="G453" s="2" t="n"/>
      <c r="H453" s="2" t="inlineStr">
        <is>
          <t>USD</t>
        </is>
      </c>
      <c r="I453" s="7" t="n">
        <v>67000</v>
      </c>
      <c r="J453" s="2" t="n"/>
      <c r="K453" s="2" t="inlineStr">
        <is>
          <t>Completed</t>
        </is>
      </c>
    </row>
    <row r="454">
      <c r="A454" s="2" t="inlineStr">
        <is>
          <t>T00453</t>
        </is>
      </c>
      <c r="B454" s="3" t="n">
        <v>45823.88541666666</v>
      </c>
      <c r="C454" s="2" t="inlineStr">
        <is>
          <t>B02</t>
        </is>
      </c>
      <c r="D454" s="2" t="inlineStr">
        <is>
          <t>P03</t>
        </is>
      </c>
      <c r="E454" s="4" t="n">
        <v>9448071998</v>
      </c>
      <c r="F454" s="2" t="inlineStr">
        <is>
          <t>Phone Banking</t>
        </is>
      </c>
      <c r="G454" s="2" t="n"/>
      <c r="H454" s="2" t="inlineStr">
        <is>
          <t>HKD</t>
        </is>
      </c>
      <c r="I454" s="7" t="n">
        <v>101000</v>
      </c>
      <c r="J454" s="2" t="n"/>
      <c r="K454" s="2" t="inlineStr">
        <is>
          <t>Completed</t>
        </is>
      </c>
    </row>
    <row r="455">
      <c r="A455" s="2" t="inlineStr">
        <is>
          <t>T00454</t>
        </is>
      </c>
      <c r="B455" s="3" t="n">
        <v>45824.44791666666</v>
      </c>
      <c r="C455" s="2" t="inlineStr">
        <is>
          <t>B02</t>
        </is>
      </c>
      <c r="D455" s="2" t="inlineStr">
        <is>
          <t>P06</t>
        </is>
      </c>
      <c r="E455" s="4" t="n">
        <v>16329105</v>
      </c>
      <c r="F455" s="2" t="inlineStr">
        <is>
          <t>Branch</t>
        </is>
      </c>
      <c r="G455" s="2" t="n"/>
      <c r="H455" s="2" t="inlineStr">
        <is>
          <t>HKD</t>
        </is>
      </c>
      <c r="I455" s="7" t="n">
        <v>702000</v>
      </c>
      <c r="J455" s="2" t="inlineStr">
        <is>
          <t>E110</t>
        </is>
      </c>
      <c r="K455" s="2" t="inlineStr">
        <is>
          <t>Completed</t>
        </is>
      </c>
    </row>
    <row r="456">
      <c r="A456" s="2" t="inlineStr">
        <is>
          <t>T00455</t>
        </is>
      </c>
      <c r="B456" s="3" t="n">
        <v>45824.50347222222</v>
      </c>
      <c r="C456" s="2" t="inlineStr">
        <is>
          <t>B02</t>
        </is>
      </c>
      <c r="D456" s="2" t="inlineStr">
        <is>
          <t>P02</t>
        </is>
      </c>
      <c r="E456" s="4" t="n">
        <v>5134554812</v>
      </c>
      <c r="F456" s="2" t="inlineStr">
        <is>
          <t>Branch</t>
        </is>
      </c>
      <c r="G456" s="2" t="n"/>
      <c r="H456" s="2" t="inlineStr">
        <is>
          <t>USD</t>
        </is>
      </c>
      <c r="I456" s="7" t="n">
        <v>15000</v>
      </c>
      <c r="J456" s="2" t="inlineStr">
        <is>
          <t>E110</t>
        </is>
      </c>
      <c r="K456" s="2" t="inlineStr">
        <is>
          <t>Completed</t>
        </is>
      </c>
    </row>
    <row r="457">
      <c r="A457" s="2" t="inlineStr">
        <is>
          <t>T00456</t>
        </is>
      </c>
      <c r="B457" s="3" t="n">
        <v>45824.64930555555</v>
      </c>
      <c r="C457" s="2" t="inlineStr">
        <is>
          <t>B02</t>
        </is>
      </c>
      <c r="D457" s="2" t="inlineStr">
        <is>
          <t>P07</t>
        </is>
      </c>
      <c r="E457" s="4" t="n">
        <v>4085391267</v>
      </c>
      <c r="F457" s="2" t="inlineStr">
        <is>
          <t>Branch</t>
        </is>
      </c>
      <c r="G457" s="2" t="n"/>
      <c r="H457" s="2" t="inlineStr">
        <is>
          <t>USD</t>
        </is>
      </c>
      <c r="I457" s="7" t="n">
        <v>226000</v>
      </c>
      <c r="J457" s="2" t="inlineStr">
        <is>
          <t>E104</t>
        </is>
      </c>
      <c r="K457" s="2" t="inlineStr">
        <is>
          <t>Completed</t>
        </is>
      </c>
    </row>
    <row r="458">
      <c r="A458" s="2" t="inlineStr">
        <is>
          <t>T00457</t>
        </is>
      </c>
      <c r="B458" s="3" t="n">
        <v>45825.37847222222</v>
      </c>
      <c r="C458" s="2" t="inlineStr">
        <is>
          <t>B01</t>
        </is>
      </c>
      <c r="D458" s="2" t="inlineStr">
        <is>
          <t>P04</t>
        </is>
      </c>
      <c r="E458" s="4" t="n">
        <v>71204459</v>
      </c>
      <c r="F458" s="2" t="inlineStr">
        <is>
          <t>Branch</t>
        </is>
      </c>
      <c r="G458" s="2" t="n"/>
      <c r="H458" s="2" t="inlineStr">
        <is>
          <t>USD</t>
        </is>
      </c>
      <c r="I458" s="7" t="n">
        <v>100000</v>
      </c>
      <c r="J458" s="2" t="inlineStr">
        <is>
          <t>E101</t>
        </is>
      </c>
      <c r="K458" s="2" t="inlineStr">
        <is>
          <t>Completed</t>
        </is>
      </c>
    </row>
    <row r="459">
      <c r="A459" s="2" t="inlineStr">
        <is>
          <t>T00458</t>
        </is>
      </c>
      <c r="B459" s="3" t="n">
        <v>45825.47222222222</v>
      </c>
      <c r="C459" s="2" t="inlineStr">
        <is>
          <t>B01</t>
        </is>
      </c>
      <c r="D459" s="2" t="inlineStr">
        <is>
          <t>P03</t>
        </is>
      </c>
      <c r="E459" s="4" t="inlineStr">
        <is>
          <t>0032025226</t>
        </is>
      </c>
      <c r="F459" s="2" t="inlineStr">
        <is>
          <t>Branch</t>
        </is>
      </c>
      <c r="G459" s="2" t="n"/>
      <c r="H459" s="2" t="inlineStr">
        <is>
          <t>HKD</t>
        </is>
      </c>
      <c r="I459" s="7" t="n">
        <v>179000</v>
      </c>
      <c r="J459" s="2" t="inlineStr">
        <is>
          <t>E111</t>
        </is>
      </c>
      <c r="K459" s="2" t="inlineStr">
        <is>
          <t>Completed</t>
        </is>
      </c>
    </row>
    <row r="460">
      <c r="A460" s="2" t="inlineStr">
        <is>
          <t>T00459</t>
        </is>
      </c>
      <c r="B460" s="3" t="n">
        <v>45825.53819444445</v>
      </c>
      <c r="C460" s="2" t="inlineStr">
        <is>
          <t>B04</t>
        </is>
      </c>
      <c r="D460" s="2" t="inlineStr">
        <is>
          <t>P07</t>
        </is>
      </c>
      <c r="E460" s="4" t="n">
        <v>8585205808</v>
      </c>
      <c r="F460" s="2" t="inlineStr">
        <is>
          <t>Mobile App</t>
        </is>
      </c>
      <c r="G460" s="2" t="n"/>
      <c r="H460" s="2" t="inlineStr">
        <is>
          <t>HKD</t>
        </is>
      </c>
      <c r="I460" s="7" t="n">
        <v>156000</v>
      </c>
      <c r="J460" s="2" t="n"/>
      <c r="K460" s="2" t="inlineStr">
        <is>
          <t>Completed</t>
        </is>
      </c>
    </row>
    <row r="461">
      <c r="A461" s="2" t="inlineStr">
        <is>
          <t>T00460</t>
        </is>
      </c>
      <c r="B461" s="3" t="n">
        <v>45825.72222222222</v>
      </c>
      <c r="C461" s="2" t="inlineStr">
        <is>
          <t>B04</t>
        </is>
      </c>
      <c r="D461" s="2" t="inlineStr">
        <is>
          <t>P06</t>
        </is>
      </c>
      <c r="E461" s="4" t="n">
        <v>2751672943</v>
      </c>
      <c r="F461" s="2" t="inlineStr">
        <is>
          <t>Phone Banking</t>
        </is>
      </c>
      <c r="G461" s="2" t="n"/>
      <c r="H461" s="2" t="inlineStr">
        <is>
          <t>USD</t>
        </is>
      </c>
      <c r="I461" s="7" t="n">
        <v>685000</v>
      </c>
      <c r="J461" s="2" t="inlineStr">
        <is>
          <t>E106</t>
        </is>
      </c>
      <c r="K461" s="2" t="inlineStr">
        <is>
          <t>Completed</t>
        </is>
      </c>
    </row>
    <row r="462">
      <c r="A462" s="2" t="inlineStr">
        <is>
          <t>T00461</t>
        </is>
      </c>
      <c r="B462" s="3" t="n">
        <v>45826.35763888889</v>
      </c>
      <c r="C462" s="2" t="inlineStr">
        <is>
          <t>B01</t>
        </is>
      </c>
      <c r="D462" s="2" t="inlineStr">
        <is>
          <t>P06</t>
        </is>
      </c>
      <c r="E462" s="4" t="n">
        <v>7186063045</v>
      </c>
      <c r="F462" s="2" t="inlineStr">
        <is>
          <t>Phone Banking</t>
        </is>
      </c>
      <c r="G462" s="2" t="n"/>
      <c r="H462" s="2" t="inlineStr">
        <is>
          <t>USD</t>
        </is>
      </c>
      <c r="I462" s="7" t="n">
        <v>192000</v>
      </c>
      <c r="J462" s="2" t="n"/>
      <c r="K462" s="2" t="inlineStr">
        <is>
          <t>Completed</t>
        </is>
      </c>
    </row>
    <row r="463">
      <c r="A463" s="2" t="inlineStr">
        <is>
          <t>T00462</t>
        </is>
      </c>
      <c r="B463" s="3" t="n">
        <v>45826.43402777778</v>
      </c>
      <c r="C463" s="2" t="inlineStr">
        <is>
          <t>B01</t>
        </is>
      </c>
      <c r="D463" s="2" t="inlineStr">
        <is>
          <t>P06</t>
        </is>
      </c>
      <c r="E463" s="4" t="inlineStr">
        <is>
          <t>0017404366</t>
        </is>
      </c>
      <c r="F463" s="2" t="inlineStr">
        <is>
          <t>Phone Banking</t>
        </is>
      </c>
      <c r="G463" s="2" t="n"/>
      <c r="H463" s="2" t="inlineStr">
        <is>
          <t>HKD</t>
        </is>
      </c>
      <c r="I463" s="7" t="n">
        <v>718000</v>
      </c>
      <c r="J463" s="2" t="inlineStr">
        <is>
          <t>E106</t>
        </is>
      </c>
      <c r="K463" s="2" t="inlineStr">
        <is>
          <t>Completed</t>
        </is>
      </c>
    </row>
    <row r="464">
      <c r="A464" s="2" t="inlineStr">
        <is>
          <t>T00463</t>
        </is>
      </c>
      <c r="B464" s="3" t="n">
        <v>45826.51041666666</v>
      </c>
      <c r="C464" s="2" t="inlineStr">
        <is>
          <t>B01</t>
        </is>
      </c>
      <c r="D464" s="2" t="inlineStr">
        <is>
          <t>P01</t>
        </is>
      </c>
      <c r="E464" s="4" t="n">
        <v>98231104</v>
      </c>
      <c r="F464" s="2" t="inlineStr">
        <is>
          <t>Mobile App</t>
        </is>
      </c>
      <c r="G464" s="2" t="n"/>
      <c r="H464" s="2" t="inlineStr">
        <is>
          <t>CNY</t>
        </is>
      </c>
      <c r="I464" s="7" t="n">
        <v>549000</v>
      </c>
      <c r="J464" s="2" t="inlineStr">
        <is>
          <t>E111</t>
        </is>
      </c>
      <c r="K464" s="2" t="inlineStr">
        <is>
          <t>Completed</t>
        </is>
      </c>
    </row>
    <row r="465">
      <c r="A465" s="2" t="inlineStr">
        <is>
          <t>T00464</t>
        </is>
      </c>
      <c r="B465" s="3" t="n">
        <v>45826.53125</v>
      </c>
      <c r="C465" s="2" t="inlineStr">
        <is>
          <t>B04</t>
        </is>
      </c>
      <c r="D465" s="2" t="inlineStr">
        <is>
          <t>P06</t>
        </is>
      </c>
      <c r="E465" s="4" t="n">
        <v>5512098834</v>
      </c>
      <c r="F465" s="2" t="inlineStr">
        <is>
          <t>Mobile App</t>
        </is>
      </c>
      <c r="G465" s="2" t="n"/>
      <c r="H465" s="2" t="inlineStr">
        <is>
          <t>HKD</t>
        </is>
      </c>
      <c r="I465" s="7" t="n">
        <v>1139000</v>
      </c>
      <c r="J465" s="2" t="n"/>
      <c r="K465" s="2" t="inlineStr">
        <is>
          <t>Cancelled</t>
        </is>
      </c>
    </row>
    <row r="466">
      <c r="A466" s="2" t="inlineStr">
        <is>
          <t>T00465</t>
        </is>
      </c>
      <c r="B466" s="3" t="n">
        <v>45826.57291666666</v>
      </c>
      <c r="C466" s="2" t="inlineStr">
        <is>
          <t>B01</t>
        </is>
      </c>
      <c r="D466" s="2" t="inlineStr">
        <is>
          <t>P06</t>
        </is>
      </c>
      <c r="E466" s="4" t="n">
        <v>4309083358</v>
      </c>
      <c r="F466" s="2" t="inlineStr">
        <is>
          <t>Phone Banking</t>
        </is>
      </c>
      <c r="G466" s="2" t="n"/>
      <c r="H466" s="2" t="inlineStr">
        <is>
          <t>USD</t>
        </is>
      </c>
      <c r="I466" s="7" t="n">
        <v>394000</v>
      </c>
      <c r="J466" s="2" t="inlineStr">
        <is>
          <t>E108</t>
        </is>
      </c>
      <c r="K466" s="2" t="inlineStr">
        <is>
          <t>Completed</t>
        </is>
      </c>
    </row>
    <row r="467">
      <c r="A467" s="2" t="inlineStr">
        <is>
          <t>T00466</t>
        </is>
      </c>
      <c r="B467" s="3" t="n">
        <v>45826.61805555555</v>
      </c>
      <c r="C467" s="2" t="inlineStr">
        <is>
          <t>B02</t>
        </is>
      </c>
      <c r="D467" s="2" t="inlineStr">
        <is>
          <t>P07</t>
        </is>
      </c>
      <c r="E467" s="4" t="n">
        <v>2277513075</v>
      </c>
      <c r="F467" s="2" t="inlineStr">
        <is>
          <t>Branch</t>
        </is>
      </c>
      <c r="G467" s="2" t="n"/>
      <c r="H467" s="2" t="inlineStr">
        <is>
          <t>USD</t>
        </is>
      </c>
      <c r="I467" s="7" t="n">
        <v>520000</v>
      </c>
      <c r="J467" s="2" t="inlineStr">
        <is>
          <t>E110</t>
        </is>
      </c>
      <c r="K467" s="2" t="inlineStr">
        <is>
          <t>Completed</t>
        </is>
      </c>
    </row>
    <row r="468">
      <c r="A468" s="2" t="inlineStr">
        <is>
          <t>T00467</t>
        </is>
      </c>
      <c r="B468" s="3" t="n">
        <v>45826.71875</v>
      </c>
      <c r="C468" s="2" t="inlineStr">
        <is>
          <t>B01</t>
        </is>
      </c>
      <c r="D468" s="2" t="inlineStr">
        <is>
          <t>P03</t>
        </is>
      </c>
      <c r="E468" s="4" t="n">
        <v>20737016</v>
      </c>
      <c r="F468" s="2" t="inlineStr">
        <is>
          <t>Branch</t>
        </is>
      </c>
      <c r="G468" s="2" t="n"/>
      <c r="H468" s="2" t="inlineStr">
        <is>
          <t>HKD</t>
        </is>
      </c>
      <c r="I468" s="7" t="n">
        <v>616000</v>
      </c>
      <c r="J468" s="2" t="inlineStr">
        <is>
          <t>E101</t>
        </is>
      </c>
      <c r="K468" s="2" t="inlineStr">
        <is>
          <t>Pending</t>
        </is>
      </c>
    </row>
    <row r="469">
      <c r="A469" s="2" t="inlineStr">
        <is>
          <t>T00468</t>
        </is>
      </c>
      <c r="B469" s="3" t="n">
        <v>45827.46875</v>
      </c>
      <c r="C469" s="2" t="inlineStr">
        <is>
          <t>B01</t>
        </is>
      </c>
      <c r="D469" s="2" t="inlineStr">
        <is>
          <t>P04</t>
        </is>
      </c>
      <c r="E469" s="4" t="n">
        <v>55245666</v>
      </c>
      <c r="F469" s="2" t="inlineStr">
        <is>
          <t>Branch</t>
        </is>
      </c>
      <c r="G469" s="2" t="n"/>
      <c r="H469" s="2" t="inlineStr">
        <is>
          <t>HKD</t>
        </is>
      </c>
      <c r="I469" s="7" t="n">
        <v>757000</v>
      </c>
      <c r="J469" s="2" t="inlineStr">
        <is>
          <t>E111</t>
        </is>
      </c>
      <c r="K469" s="2" t="inlineStr">
        <is>
          <t>Completed</t>
        </is>
      </c>
    </row>
    <row r="470">
      <c r="A470" s="2" t="inlineStr">
        <is>
          <t>T00469</t>
        </is>
      </c>
      <c r="B470" s="3" t="n">
        <v>45827.65625</v>
      </c>
      <c r="C470" s="2" t="inlineStr">
        <is>
          <t>B01</t>
        </is>
      </c>
      <c r="D470" s="2" t="inlineStr">
        <is>
          <t>P04</t>
        </is>
      </c>
      <c r="E470" s="4" t="inlineStr">
        <is>
          <t>0020737016</t>
        </is>
      </c>
      <c r="F470" s="2" t="inlineStr">
        <is>
          <t>Phone Banking</t>
        </is>
      </c>
      <c r="G470" s="2" t="n"/>
      <c r="H470" s="2" t="inlineStr">
        <is>
          <t>HKD</t>
        </is>
      </c>
      <c r="I470" s="7" t="n">
        <v>608000</v>
      </c>
      <c r="J470" s="2" t="inlineStr">
        <is>
          <t>E101</t>
        </is>
      </c>
      <c r="K470" s="2" t="inlineStr">
        <is>
          <t>Completed</t>
        </is>
      </c>
    </row>
    <row r="471">
      <c r="A471" s="2" t="inlineStr">
        <is>
          <t>T00470</t>
        </is>
      </c>
      <c r="B471" s="3" t="n">
        <v>45827.69097222222</v>
      </c>
      <c r="C471" s="2" t="inlineStr">
        <is>
          <t>B04</t>
        </is>
      </c>
      <c r="D471" s="2" t="inlineStr">
        <is>
          <t>P06</t>
        </is>
      </c>
      <c r="E471" s="4" t="n">
        <v>7569827088</v>
      </c>
      <c r="F471" s="2" t="inlineStr">
        <is>
          <t>Branch</t>
        </is>
      </c>
      <c r="G471" s="2" t="n"/>
      <c r="H471" s="2" t="inlineStr">
        <is>
          <t>HKD</t>
        </is>
      </c>
      <c r="I471" s="7" t="n">
        <v>2566000</v>
      </c>
      <c r="J471" s="2" t="inlineStr">
        <is>
          <t>E106</t>
        </is>
      </c>
      <c r="K471" s="2" t="inlineStr">
        <is>
          <t>Completed</t>
        </is>
      </c>
    </row>
    <row r="472">
      <c r="A472" s="2" t="inlineStr">
        <is>
          <t>T00471</t>
        </is>
      </c>
      <c r="B472" s="3" t="n">
        <v>45827.70486111111</v>
      </c>
      <c r="C472" s="2" t="inlineStr">
        <is>
          <t>B01</t>
        </is>
      </c>
      <c r="D472" s="2" t="inlineStr">
        <is>
          <t>P04</t>
        </is>
      </c>
      <c r="E472" s="4" t="n">
        <v>2639172015</v>
      </c>
      <c r="F472" s="2" t="inlineStr">
        <is>
          <t>Mobile App</t>
        </is>
      </c>
      <c r="G472" s="2" t="n"/>
      <c r="H472" s="2" t="inlineStr">
        <is>
          <t>HKD</t>
        </is>
      </c>
      <c r="I472" s="7" t="n">
        <v>842000</v>
      </c>
      <c r="J472" s="2" t="inlineStr">
        <is>
          <t>E108</t>
        </is>
      </c>
      <c r="K472" s="2" t="inlineStr">
        <is>
          <t>Completed</t>
        </is>
      </c>
    </row>
    <row r="473">
      <c r="A473" s="2" t="inlineStr">
        <is>
          <t>T00472</t>
        </is>
      </c>
      <c r="B473" s="3" t="n">
        <v>45827.74305555555</v>
      </c>
      <c r="C473" s="2" t="inlineStr">
        <is>
          <t>B02</t>
        </is>
      </c>
      <c r="D473" s="2" t="inlineStr">
        <is>
          <t>P02</t>
        </is>
      </c>
      <c r="E473" s="4" t="inlineStr">
        <is>
          <t>0057619105</t>
        </is>
      </c>
      <c r="F473" s="2" t="inlineStr">
        <is>
          <t>Phone Banking</t>
        </is>
      </c>
      <c r="G473" s="2" t="n"/>
      <c r="H473" s="2" t="inlineStr">
        <is>
          <t>USD</t>
        </is>
      </c>
      <c r="I473" s="7" t="n">
        <v>7000</v>
      </c>
      <c r="J473" s="2" t="n"/>
      <c r="K473" s="2" t="inlineStr">
        <is>
          <t>Completed</t>
        </is>
      </c>
    </row>
    <row r="474">
      <c r="A474" s="2" t="inlineStr">
        <is>
          <t>T00473</t>
        </is>
      </c>
      <c r="B474" s="3" t="n">
        <v>45828.31597222222</v>
      </c>
      <c r="C474" s="2" t="inlineStr">
        <is>
          <t>B02</t>
        </is>
      </c>
      <c r="D474" s="2" t="inlineStr">
        <is>
          <t>P02</t>
        </is>
      </c>
      <c r="E474" s="4" t="n">
        <v>4085391267</v>
      </c>
      <c r="F474" s="2" t="inlineStr">
        <is>
          <t>Mobile App</t>
        </is>
      </c>
      <c r="G474" s="2" t="n"/>
      <c r="H474" s="2" t="inlineStr">
        <is>
          <t>USD</t>
        </is>
      </c>
      <c r="I474" s="7" t="n">
        <v>197000</v>
      </c>
      <c r="J474" s="2" t="n"/>
      <c r="K474" s="2" t="inlineStr">
        <is>
          <t>Completed</t>
        </is>
      </c>
    </row>
    <row r="475">
      <c r="A475" s="2" t="inlineStr">
        <is>
          <t>T00474</t>
        </is>
      </c>
      <c r="B475" s="3" t="n">
        <v>45828.67013888889</v>
      </c>
      <c r="C475" s="2" t="inlineStr">
        <is>
          <t>B04</t>
        </is>
      </c>
      <c r="D475" s="2" t="inlineStr">
        <is>
          <t>P06</t>
        </is>
      </c>
      <c r="E475" s="4" t="n">
        <v>1777759401</v>
      </c>
      <c r="F475" s="2" t="inlineStr">
        <is>
          <t>Phone Banking</t>
        </is>
      </c>
      <c r="G475" s="2" t="n"/>
      <c r="H475" s="2" t="inlineStr">
        <is>
          <t>USD</t>
        </is>
      </c>
      <c r="I475" s="7" t="n">
        <v>225000</v>
      </c>
      <c r="J475" s="2" t="inlineStr">
        <is>
          <t>E106</t>
        </is>
      </c>
      <c r="K475" s="2" t="inlineStr">
        <is>
          <t>Completed</t>
        </is>
      </c>
    </row>
    <row r="476">
      <c r="A476" s="2" t="inlineStr">
        <is>
          <t>T00475</t>
        </is>
      </c>
      <c r="B476" s="3" t="n">
        <v>45829.30555555555</v>
      </c>
      <c r="C476" s="2" t="inlineStr">
        <is>
          <t>B01</t>
        </is>
      </c>
      <c r="D476" s="2" t="inlineStr">
        <is>
          <t>P02</t>
        </is>
      </c>
      <c r="E476" s="4" t="inlineStr">
        <is>
          <t>0017885621</t>
        </is>
      </c>
      <c r="F476" s="2" t="inlineStr">
        <is>
          <t>Mobile App</t>
        </is>
      </c>
      <c r="G476" s="2" t="n"/>
      <c r="H476" s="2" t="inlineStr">
        <is>
          <t>USD</t>
        </is>
      </c>
      <c r="I476" s="7" t="n">
        <v>28000</v>
      </c>
      <c r="J476" s="2" t="n"/>
      <c r="K476" s="2" t="inlineStr">
        <is>
          <t>Completed</t>
        </is>
      </c>
    </row>
    <row r="477">
      <c r="A477" s="2" t="inlineStr">
        <is>
          <t>T00476</t>
        </is>
      </c>
      <c r="B477" s="3" t="n">
        <v>45829.43402777778</v>
      </c>
      <c r="C477" s="2" t="inlineStr">
        <is>
          <t>B01</t>
        </is>
      </c>
      <c r="D477" s="2" t="inlineStr">
        <is>
          <t>P06</t>
        </is>
      </c>
      <c r="E477" s="4" t="n">
        <v>3694833017</v>
      </c>
      <c r="F477" s="2" t="inlineStr">
        <is>
          <t>Mobile App</t>
        </is>
      </c>
      <c r="G477" s="2" t="n"/>
      <c r="H477" s="2" t="inlineStr">
        <is>
          <t>USD</t>
        </is>
      </c>
      <c r="I477" s="7" t="n">
        <v>74000</v>
      </c>
      <c r="J477" s="2" t="n"/>
      <c r="K477" s="2" t="inlineStr">
        <is>
          <t>Pending</t>
        </is>
      </c>
    </row>
    <row r="478">
      <c r="A478" s="2" t="inlineStr">
        <is>
          <t>T00477</t>
        </is>
      </c>
      <c r="B478" s="3" t="n">
        <v>45831.44791666666</v>
      </c>
      <c r="C478" s="2" t="inlineStr">
        <is>
          <t>B01</t>
        </is>
      </c>
      <c r="D478" s="2" t="inlineStr">
        <is>
          <t>P07</t>
        </is>
      </c>
      <c r="E478" s="4" t="n">
        <v>1345733448</v>
      </c>
      <c r="F478" s="2" t="inlineStr">
        <is>
          <t>Mobile App</t>
        </is>
      </c>
      <c r="G478" s="2" t="n"/>
      <c r="H478" s="2" t="inlineStr">
        <is>
          <t>USD</t>
        </is>
      </c>
      <c r="I478" s="7" t="n">
        <v>533000</v>
      </c>
      <c r="J478" s="2" t="n"/>
      <c r="K478" s="2" t="inlineStr">
        <is>
          <t>Completed</t>
        </is>
      </c>
    </row>
    <row r="479">
      <c r="A479" s="2" t="inlineStr">
        <is>
          <t>T00478</t>
        </is>
      </c>
      <c r="B479" s="3" t="n">
        <v>45832.38888888889</v>
      </c>
      <c r="C479" s="2" t="inlineStr">
        <is>
          <t>B04</t>
        </is>
      </c>
      <c r="D479" s="2" t="inlineStr">
        <is>
          <t>P03</t>
        </is>
      </c>
      <c r="E479" s="4" t="n">
        <v>8487706006</v>
      </c>
      <c r="F479" s="2" t="inlineStr">
        <is>
          <t>Mobile App</t>
        </is>
      </c>
      <c r="G479" s="2" t="n"/>
      <c r="H479" s="2" t="inlineStr">
        <is>
          <t>USD</t>
        </is>
      </c>
      <c r="I479" s="7" t="n">
        <v>153000</v>
      </c>
      <c r="J479" s="2" t="inlineStr">
        <is>
          <t>E106</t>
        </is>
      </c>
      <c r="K479" s="2" t="inlineStr">
        <is>
          <t>Completed</t>
        </is>
      </c>
    </row>
    <row r="480">
      <c r="A480" s="2" t="inlineStr">
        <is>
          <t>T00479</t>
        </is>
      </c>
      <c r="B480" s="3" t="n">
        <v>45832.45138888889</v>
      </c>
      <c r="C480" s="2" t="inlineStr">
        <is>
          <t>B01</t>
        </is>
      </c>
      <c r="D480" s="2" t="inlineStr">
        <is>
          <t>P08</t>
        </is>
      </c>
      <c r="E480" s="4" t="inlineStr">
        <is>
          <t>0071204459</t>
        </is>
      </c>
      <c r="F480" s="2" t="inlineStr">
        <is>
          <t>Phone Banking</t>
        </is>
      </c>
      <c r="G480" s="2" t="n"/>
      <c r="H480" s="2" t="inlineStr">
        <is>
          <t>HKD</t>
        </is>
      </c>
      <c r="I480" s="7" t="n">
        <v>3978000</v>
      </c>
      <c r="J480" s="2" t="inlineStr">
        <is>
          <t>E101</t>
        </is>
      </c>
      <c r="K480" s="2" t="inlineStr">
        <is>
          <t>Completed</t>
        </is>
      </c>
    </row>
    <row r="481">
      <c r="A481" s="2" t="inlineStr">
        <is>
          <t>T00480</t>
        </is>
      </c>
      <c r="B481" s="3" t="n">
        <v>45832.49305555555</v>
      </c>
      <c r="C481" s="2" t="inlineStr">
        <is>
          <t>B02</t>
        </is>
      </c>
      <c r="D481" s="2" t="inlineStr">
        <is>
          <t>P01</t>
        </is>
      </c>
      <c r="E481" s="4" t="n">
        <v>4085391267</v>
      </c>
      <c r="F481" s="2" t="inlineStr">
        <is>
          <t>Phone Banking</t>
        </is>
      </c>
      <c r="G481" s="2" t="n"/>
      <c r="H481" s="2" t="inlineStr">
        <is>
          <t>USD</t>
        </is>
      </c>
      <c r="I481" s="7" t="n">
        <v>16000</v>
      </c>
      <c r="J481" s="2" t="inlineStr">
        <is>
          <t>E110</t>
        </is>
      </c>
      <c r="K481" s="2" t="inlineStr">
        <is>
          <t>Completed</t>
        </is>
      </c>
    </row>
    <row r="482">
      <c r="A482" s="2" t="inlineStr">
        <is>
          <t>T00481</t>
        </is>
      </c>
      <c r="B482" s="3" t="n">
        <v>45832.60416666666</v>
      </c>
      <c r="C482" s="2" t="inlineStr">
        <is>
          <t>B01</t>
        </is>
      </c>
      <c r="D482" s="2" t="inlineStr">
        <is>
          <t>P05</t>
        </is>
      </c>
      <c r="E482" s="4" t="n">
        <v>98231104</v>
      </c>
      <c r="F482" s="2" t="inlineStr">
        <is>
          <t>Branch</t>
        </is>
      </c>
      <c r="G482" s="2" t="n"/>
      <c r="H482" s="2" t="inlineStr">
        <is>
          <t>USD</t>
        </is>
      </c>
      <c r="I482" s="7" t="n">
        <v>40000</v>
      </c>
      <c r="J482" s="2" t="inlineStr">
        <is>
          <t>E102</t>
        </is>
      </c>
      <c r="K482" s="2" t="inlineStr">
        <is>
          <t>Completed</t>
        </is>
      </c>
    </row>
    <row r="483">
      <c r="A483" s="2" t="inlineStr">
        <is>
          <t>T00482</t>
        </is>
      </c>
      <c r="B483" s="3" t="n">
        <v>45832.71180555555</v>
      </c>
      <c r="C483" s="2" t="inlineStr">
        <is>
          <t>B04</t>
        </is>
      </c>
      <c r="D483" s="2" t="inlineStr">
        <is>
          <t>P04</t>
        </is>
      </c>
      <c r="E483" s="4" t="n">
        <v>6712542998</v>
      </c>
      <c r="F483" s="2" t="inlineStr">
        <is>
          <t>Phone Banking</t>
        </is>
      </c>
      <c r="G483" s="2" t="n"/>
      <c r="H483" s="2" t="inlineStr">
        <is>
          <t>USD</t>
        </is>
      </c>
      <c r="I483" s="7" t="n">
        <v>130000</v>
      </c>
      <c r="J483" s="2" t="inlineStr">
        <is>
          <t>E103</t>
        </is>
      </c>
      <c r="K483" s="2" t="inlineStr">
        <is>
          <t>Completed</t>
        </is>
      </c>
    </row>
    <row r="484">
      <c r="A484" s="2" t="inlineStr">
        <is>
          <t>T00483</t>
        </is>
      </c>
      <c r="B484" s="3" t="n">
        <v>45833.60069444445</v>
      </c>
      <c r="C484" s="2" t="inlineStr">
        <is>
          <t>B04</t>
        </is>
      </c>
      <c r="D484" s="2" t="inlineStr">
        <is>
          <t>P07</t>
        </is>
      </c>
      <c r="E484" s="4" t="n">
        <v>8487706006</v>
      </c>
      <c r="F484" s="2" t="inlineStr">
        <is>
          <t>Branch</t>
        </is>
      </c>
      <c r="G484" s="2" t="n"/>
      <c r="H484" s="2" t="inlineStr">
        <is>
          <t>HKD</t>
        </is>
      </c>
      <c r="I484" s="7" t="n">
        <v>1045000</v>
      </c>
      <c r="J484" s="2" t="inlineStr">
        <is>
          <t>E103</t>
        </is>
      </c>
      <c r="K484" s="2" t="inlineStr">
        <is>
          <t>Completed</t>
        </is>
      </c>
    </row>
    <row r="485">
      <c r="A485" s="2" t="inlineStr">
        <is>
          <t>T00484</t>
        </is>
      </c>
      <c r="B485" s="3" t="n">
        <v>45833.60416666666</v>
      </c>
      <c r="C485" s="2" t="inlineStr">
        <is>
          <t>B01</t>
        </is>
      </c>
      <c r="D485" s="2" t="inlineStr">
        <is>
          <t>P03</t>
        </is>
      </c>
      <c r="E485" s="4" t="inlineStr">
        <is>
          <t>0055691590</t>
        </is>
      </c>
      <c r="F485" s="2" t="inlineStr">
        <is>
          <t>Mobile App</t>
        </is>
      </c>
      <c r="G485" s="2" t="n"/>
      <c r="H485" s="2" t="inlineStr">
        <is>
          <t>CNY</t>
        </is>
      </c>
      <c r="I485" s="7" t="n">
        <v>1474000</v>
      </c>
      <c r="J485" s="2" t="n"/>
      <c r="K485" s="2" t="inlineStr">
        <is>
          <t>Pending</t>
        </is>
      </c>
    </row>
    <row r="486">
      <c r="A486" s="2" t="inlineStr">
        <is>
          <t>T00485</t>
        </is>
      </c>
      <c r="B486" s="3" t="n">
        <v>45833.69791666666</v>
      </c>
      <c r="C486" s="2" t="inlineStr">
        <is>
          <t>B02</t>
        </is>
      </c>
      <c r="D486" s="2" t="inlineStr">
        <is>
          <t>P01</t>
        </is>
      </c>
      <c r="E486" s="4" t="n">
        <v>4085391267</v>
      </c>
      <c r="F486" s="2" t="inlineStr">
        <is>
          <t>Phone Banking</t>
        </is>
      </c>
      <c r="G486" s="2" t="n"/>
      <c r="H486" s="2" t="inlineStr">
        <is>
          <t>USD</t>
        </is>
      </c>
      <c r="I486" s="7" t="n">
        <v>290000</v>
      </c>
      <c r="J486" s="2" t="inlineStr">
        <is>
          <t>E110</t>
        </is>
      </c>
      <c r="K486" s="2" t="inlineStr">
        <is>
          <t>Pending</t>
        </is>
      </c>
    </row>
    <row r="487">
      <c r="A487" s="2" t="inlineStr">
        <is>
          <t>T00486</t>
        </is>
      </c>
      <c r="B487" s="3" t="n">
        <v>45834.29861111111</v>
      </c>
      <c r="C487" s="2" t="inlineStr">
        <is>
          <t>B01</t>
        </is>
      </c>
      <c r="D487" s="2" t="inlineStr">
        <is>
          <t>P02</t>
        </is>
      </c>
      <c r="E487" s="4" t="inlineStr">
        <is>
          <t>0098231104</t>
        </is>
      </c>
      <c r="F487" s="2" t="inlineStr">
        <is>
          <t>Mobile App</t>
        </is>
      </c>
      <c r="G487" s="2" t="n"/>
      <c r="H487" s="2" t="inlineStr">
        <is>
          <t>USD</t>
        </is>
      </c>
      <c r="I487" s="7" t="n">
        <v>71000</v>
      </c>
      <c r="J487" s="2" t="n"/>
      <c r="K487" s="2" t="inlineStr">
        <is>
          <t>Pending</t>
        </is>
      </c>
    </row>
    <row r="488">
      <c r="A488" s="2" t="inlineStr">
        <is>
          <t>T00487</t>
        </is>
      </c>
      <c r="B488" s="3" t="n">
        <v>45834.66319444445</v>
      </c>
      <c r="C488" s="2" t="inlineStr">
        <is>
          <t>B01</t>
        </is>
      </c>
      <c r="D488" s="2" t="inlineStr">
        <is>
          <t>P06</t>
        </is>
      </c>
      <c r="E488" s="4" t="n">
        <v>4309083358</v>
      </c>
      <c r="F488" s="2" t="inlineStr">
        <is>
          <t>Branch</t>
        </is>
      </c>
      <c r="G488" s="2" t="n"/>
      <c r="H488" s="2" t="inlineStr">
        <is>
          <t>USD</t>
        </is>
      </c>
      <c r="I488" s="7" t="n">
        <v>115000</v>
      </c>
      <c r="J488" s="2" t="inlineStr">
        <is>
          <t>E111</t>
        </is>
      </c>
      <c r="K488" s="2" t="inlineStr">
        <is>
          <t>Completed</t>
        </is>
      </c>
    </row>
    <row r="489">
      <c r="A489" s="2" t="inlineStr">
        <is>
          <t>T00488</t>
        </is>
      </c>
      <c r="B489" s="3" t="n">
        <v>45834.69791666666</v>
      </c>
      <c r="C489" s="2" t="inlineStr">
        <is>
          <t>B02</t>
        </is>
      </c>
      <c r="D489" s="2" t="inlineStr">
        <is>
          <t>P06</t>
        </is>
      </c>
      <c r="E489" s="4" t="n">
        <v>5138950247</v>
      </c>
      <c r="F489" s="2" t="inlineStr">
        <is>
          <t>Branch</t>
        </is>
      </c>
      <c r="G489" s="2" t="n"/>
      <c r="H489" s="2" t="inlineStr">
        <is>
          <t>USD</t>
        </is>
      </c>
      <c r="I489" s="7" t="n">
        <v>379000</v>
      </c>
      <c r="J489" s="2" t="inlineStr">
        <is>
          <t>E104</t>
        </is>
      </c>
      <c r="K489" s="2" t="inlineStr">
        <is>
          <t>Completed</t>
        </is>
      </c>
    </row>
    <row r="490">
      <c r="A490" s="2" t="inlineStr">
        <is>
          <t>T00489</t>
        </is>
      </c>
      <c r="B490" s="3" t="n">
        <v>45835.39236111111</v>
      </c>
      <c r="C490" s="2" t="inlineStr">
        <is>
          <t>B01</t>
        </is>
      </c>
      <c r="D490" s="2" t="inlineStr">
        <is>
          <t>P06</t>
        </is>
      </c>
      <c r="E490" s="4" t="n">
        <v>4387664751</v>
      </c>
      <c r="F490" s="2" t="inlineStr">
        <is>
          <t>Mobile App</t>
        </is>
      </c>
      <c r="G490" s="2" t="n"/>
      <c r="H490" s="2" t="inlineStr">
        <is>
          <t>HKD</t>
        </is>
      </c>
      <c r="I490" s="7" t="n">
        <v>1030000</v>
      </c>
      <c r="J490" s="2" t="n"/>
      <c r="K490" s="2" t="inlineStr">
        <is>
          <t>Completed</t>
        </is>
      </c>
    </row>
    <row r="491">
      <c r="A491" s="2" t="inlineStr">
        <is>
          <t>T00490</t>
        </is>
      </c>
      <c r="B491" s="3" t="n">
        <v>45835.42013888889</v>
      </c>
      <c r="C491" s="2" t="inlineStr">
        <is>
          <t>B02</t>
        </is>
      </c>
      <c r="D491" s="2" t="inlineStr">
        <is>
          <t>P04</t>
        </is>
      </c>
      <c r="E491" s="4" t="n">
        <v>53083943</v>
      </c>
      <c r="F491" s="2" t="inlineStr">
        <is>
          <t>Branch</t>
        </is>
      </c>
      <c r="G491" s="2" t="n"/>
      <c r="H491" s="2" t="inlineStr">
        <is>
          <t>HKD</t>
        </is>
      </c>
      <c r="I491" s="7" t="n">
        <v>593000</v>
      </c>
      <c r="J491" s="2" t="inlineStr">
        <is>
          <t>E104</t>
        </is>
      </c>
      <c r="K491" s="2" t="inlineStr">
        <is>
          <t>Completed</t>
        </is>
      </c>
    </row>
    <row r="492">
      <c r="A492" s="2" t="inlineStr">
        <is>
          <t>T00491</t>
        </is>
      </c>
      <c r="B492" s="3" t="n">
        <v>45835.48958333334</v>
      </c>
      <c r="C492" s="2" t="inlineStr">
        <is>
          <t>B04</t>
        </is>
      </c>
      <c r="D492" s="2" t="inlineStr">
        <is>
          <t>P07</t>
        </is>
      </c>
      <c r="E492" s="4" t="n">
        <v>8487706006</v>
      </c>
      <c r="F492" s="2" t="inlineStr">
        <is>
          <t>Branch</t>
        </is>
      </c>
      <c r="G492" s="2" t="n"/>
      <c r="H492" s="2" t="inlineStr">
        <is>
          <t>USD</t>
        </is>
      </c>
      <c r="I492" s="7" t="n">
        <v>384000</v>
      </c>
      <c r="J492" s="2" t="inlineStr">
        <is>
          <t>E103</t>
        </is>
      </c>
      <c r="K492" s="2" t="inlineStr">
        <is>
          <t>Completed</t>
        </is>
      </c>
    </row>
    <row r="493">
      <c r="A493" s="2" t="inlineStr">
        <is>
          <t>T00492</t>
        </is>
      </c>
      <c r="B493" s="3" t="n">
        <v>45835.49652777778</v>
      </c>
      <c r="C493" s="2" t="inlineStr">
        <is>
          <t>B01</t>
        </is>
      </c>
      <c r="D493" s="2" t="inlineStr">
        <is>
          <t>P02</t>
        </is>
      </c>
      <c r="E493" s="4" t="n">
        <v>3895453336</v>
      </c>
      <c r="F493" s="2" t="inlineStr">
        <is>
          <t>Phone Banking</t>
        </is>
      </c>
      <c r="G493" s="2" t="n"/>
      <c r="H493" s="2" t="inlineStr">
        <is>
          <t>USD</t>
        </is>
      </c>
      <c r="I493" s="7" t="n">
        <v>11000</v>
      </c>
      <c r="J493" s="2" t="inlineStr">
        <is>
          <t>E108</t>
        </is>
      </c>
      <c r="K493" s="2" t="inlineStr">
        <is>
          <t>Completed</t>
        </is>
      </c>
    </row>
    <row r="494">
      <c r="A494" s="2" t="inlineStr">
        <is>
          <t>T00493</t>
        </is>
      </c>
      <c r="B494" s="3" t="n">
        <v>45835.65972222222</v>
      </c>
      <c r="C494" s="2" t="inlineStr">
        <is>
          <t>B02</t>
        </is>
      </c>
      <c r="D494" s="2" t="inlineStr">
        <is>
          <t>P04</t>
        </is>
      </c>
      <c r="E494" s="4" t="n">
        <v>5637223790</v>
      </c>
      <c r="F494" s="2" t="inlineStr">
        <is>
          <t>Phone Banking</t>
        </is>
      </c>
      <c r="G494" s="2" t="n"/>
      <c r="H494" s="2" t="inlineStr">
        <is>
          <t>USD</t>
        </is>
      </c>
      <c r="I494" s="7" t="n">
        <v>30000</v>
      </c>
      <c r="J494" s="2" t="inlineStr">
        <is>
          <t>E104</t>
        </is>
      </c>
      <c r="K494" s="2" t="inlineStr">
        <is>
          <t>Completed</t>
        </is>
      </c>
    </row>
    <row r="495">
      <c r="A495" s="2" t="inlineStr">
        <is>
          <t>T00494</t>
        </is>
      </c>
      <c r="B495" s="3" t="n">
        <v>45837.77777777778</v>
      </c>
      <c r="C495" s="2" t="inlineStr">
        <is>
          <t>B02</t>
        </is>
      </c>
      <c r="D495" s="2" t="inlineStr">
        <is>
          <t>P03</t>
        </is>
      </c>
      <c r="E495" s="4" t="n">
        <v>5134554812</v>
      </c>
      <c r="F495" s="2" t="inlineStr">
        <is>
          <t>Mobile App</t>
        </is>
      </c>
      <c r="G495" s="2" t="n"/>
      <c r="H495" s="2" t="inlineStr">
        <is>
          <t>HKD</t>
        </is>
      </c>
      <c r="I495" s="7" t="n">
        <v>31000</v>
      </c>
      <c r="J495" s="2" t="n"/>
      <c r="K495" s="2" t="inlineStr">
        <is>
          <t>Completed</t>
        </is>
      </c>
    </row>
    <row r="496">
      <c r="A496" s="2" t="inlineStr">
        <is>
          <t>T00495</t>
        </is>
      </c>
      <c r="B496" s="3" t="n">
        <v>45838.39930555555</v>
      </c>
      <c r="C496" s="2" t="inlineStr">
        <is>
          <t>B01</t>
        </is>
      </c>
      <c r="D496" s="2" t="inlineStr">
        <is>
          <t>P06</t>
        </is>
      </c>
      <c r="E496" s="4" t="n">
        <v>7504397999</v>
      </c>
      <c r="F496" s="2" t="inlineStr">
        <is>
          <t>Branch</t>
        </is>
      </c>
      <c r="G496" s="2" t="n"/>
      <c r="H496" s="2" t="inlineStr">
        <is>
          <t>HKD</t>
        </is>
      </c>
      <c r="I496" s="7" t="n">
        <v>5086000</v>
      </c>
      <c r="J496" s="2" t="inlineStr">
        <is>
          <t>E108</t>
        </is>
      </c>
      <c r="K496" s="2" t="inlineStr">
        <is>
          <t>Completed</t>
        </is>
      </c>
    </row>
    <row r="497">
      <c r="A497" s="2" t="inlineStr">
        <is>
          <t>T00496</t>
        </is>
      </c>
      <c r="B497" s="3" t="n">
        <v>45838.45138888889</v>
      </c>
      <c r="C497" s="2" t="inlineStr">
        <is>
          <t>B01</t>
        </is>
      </c>
      <c r="D497" s="2" t="inlineStr">
        <is>
          <t>P08</t>
        </is>
      </c>
      <c r="E497" s="4" t="inlineStr">
        <is>
          <t>0098231104</t>
        </is>
      </c>
      <c r="F497" s="2" t="inlineStr">
        <is>
          <t>Phone Banking</t>
        </is>
      </c>
      <c r="G497" s="2" t="n"/>
      <c r="H497" s="2" t="inlineStr">
        <is>
          <t>HKD</t>
        </is>
      </c>
      <c r="I497" s="7" t="n">
        <v>390000</v>
      </c>
      <c r="J497" s="2" t="inlineStr">
        <is>
          <t>E102</t>
        </is>
      </c>
      <c r="K497" s="2" t="inlineStr">
        <is>
          <t>Completed</t>
        </is>
      </c>
    </row>
    <row r="498">
      <c r="A498" s="2" t="inlineStr">
        <is>
          <t>T00497</t>
        </is>
      </c>
      <c r="B498" s="3" t="n">
        <v>45838.46180555555</v>
      </c>
      <c r="C498" s="2" t="inlineStr">
        <is>
          <t>B01</t>
        </is>
      </c>
      <c r="D498" s="2" t="inlineStr">
        <is>
          <t>P01</t>
        </is>
      </c>
      <c r="E498" s="4" t="inlineStr">
        <is>
          <t>0055691590</t>
        </is>
      </c>
      <c r="F498" s="2" t="inlineStr">
        <is>
          <t>Branch</t>
        </is>
      </c>
      <c r="G498" s="2" t="n"/>
      <c r="H498" s="2" t="inlineStr">
        <is>
          <t>USD</t>
        </is>
      </c>
      <c r="I498" s="7" t="n">
        <v>35000</v>
      </c>
      <c r="J498" s="2" t="inlineStr">
        <is>
          <t>E101</t>
        </is>
      </c>
      <c r="K498" s="2" t="inlineStr">
        <is>
          <t>Completed</t>
        </is>
      </c>
    </row>
    <row r="499">
      <c r="A499" s="2" t="inlineStr">
        <is>
          <t>T00498</t>
        </is>
      </c>
      <c r="B499" s="3" t="n">
        <v>45838.52777777778</v>
      </c>
      <c r="C499" s="2" t="inlineStr">
        <is>
          <t>B02</t>
        </is>
      </c>
      <c r="D499" s="2" t="inlineStr">
        <is>
          <t>P07</t>
        </is>
      </c>
      <c r="E499" s="4" t="n">
        <v>7745016628</v>
      </c>
      <c r="F499" s="2" t="inlineStr">
        <is>
          <t>Branch</t>
        </is>
      </c>
      <c r="G499" s="2" t="n"/>
      <c r="H499" s="2" t="inlineStr">
        <is>
          <t>HKD</t>
        </is>
      </c>
      <c r="I499" s="7" t="n">
        <v>4743000</v>
      </c>
      <c r="J499" s="2" t="inlineStr">
        <is>
          <t>E104</t>
        </is>
      </c>
      <c r="K499" s="2" t="inlineStr">
        <is>
          <t>Pending</t>
        </is>
      </c>
    </row>
    <row r="500">
      <c r="A500" s="2" t="inlineStr">
        <is>
          <t>T00499</t>
        </is>
      </c>
      <c r="B500" s="3" t="n">
        <v>45838.66666666666</v>
      </c>
      <c r="C500" s="2" t="inlineStr">
        <is>
          <t>B02</t>
        </is>
      </c>
      <c r="D500" s="2" t="inlineStr">
        <is>
          <t>P06</t>
        </is>
      </c>
      <c r="E500" s="4" t="n">
        <v>7745016628</v>
      </c>
      <c r="F500" s="2" t="inlineStr">
        <is>
          <t>Phone Banking</t>
        </is>
      </c>
      <c r="G500" s="2" t="n"/>
      <c r="H500" s="2" t="inlineStr">
        <is>
          <t>USD</t>
        </is>
      </c>
      <c r="I500" s="7" t="n">
        <v>500000</v>
      </c>
      <c r="J500" s="2" t="inlineStr">
        <is>
          <t>E104</t>
        </is>
      </c>
      <c r="K500" s="2" t="inlineStr">
        <is>
          <t>Completed</t>
        </is>
      </c>
    </row>
    <row r="501">
      <c r="A501" s="2" t="inlineStr">
        <is>
          <t>T00500</t>
        </is>
      </c>
      <c r="B501" s="3" t="n">
        <v>45838.66666666666</v>
      </c>
      <c r="C501" s="2" t="inlineStr">
        <is>
          <t>B01</t>
        </is>
      </c>
      <c r="D501" s="2" t="inlineStr">
        <is>
          <t>P05</t>
        </is>
      </c>
      <c r="E501" s="4" t="inlineStr">
        <is>
          <t>0071204459</t>
        </is>
      </c>
      <c r="F501" s="2" t="inlineStr">
        <is>
          <t>Branch</t>
        </is>
      </c>
      <c r="G501" s="2" t="n"/>
      <c r="H501" s="2" t="inlineStr">
        <is>
          <t>CNY</t>
        </is>
      </c>
      <c r="I501" s="7" t="n">
        <v>1474000</v>
      </c>
      <c r="J501" s="2" t="inlineStr">
        <is>
          <t>E102</t>
        </is>
      </c>
      <c r="K501" s="2" t="inlineStr">
        <is>
          <t>Completed</t>
        </is>
      </c>
    </row>
  </sheetData>
  <autoFilter ref="A1:K501"/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BF9000"/>
    <outlinePr summaryBelow="1" summaryRight="1"/>
    <pageSetUpPr/>
  </sheetPr>
  <dimension ref="A1:AS501"/>
  <sheetViews>
    <sheetView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U9" sqref="U9"/>
    </sheetView>
  </sheetViews>
  <sheetFormatPr baseColWidth="8" defaultRowHeight="14.5"/>
  <cols>
    <col width="10" customWidth="1" min="1" max="1"/>
    <col width="17" customWidth="1" min="2" max="2"/>
    <col width="13" customWidth="1" min="3" max="3"/>
    <col width="13" customWidth="1" min="4" max="5"/>
    <col width="13" customWidth="1" min="5" max="5"/>
    <col width="13" customWidth="1" min="6" max="6"/>
    <col width="13" customWidth="1" min="7" max="7"/>
    <col width="13" customWidth="1" min="8" max="12"/>
    <col width="13" customWidth="1" min="9" max="9"/>
    <col width="15" customWidth="1" min="10" max="10"/>
    <col width="13" customWidth="1" min="11" max="11"/>
    <col width="12" customWidth="1" min="12" max="12"/>
    <col width="10" customWidth="1" min="13" max="13"/>
    <col width="8" customWidth="1" min="14" max="14"/>
    <col width="9" customWidth="1" min="15" max="22"/>
    <col width="8" customWidth="1" min="16" max="16"/>
    <col width="10" customWidth="1" min="17" max="17"/>
    <col width="10" customWidth="1" min="18" max="18"/>
    <col width="11" customWidth="1" min="19" max="19"/>
    <col width="15" customWidth="1" min="20" max="20"/>
    <col width="15" customWidth="1" min="21" max="21"/>
    <col width="20" customWidth="1" min="22" max="22"/>
    <col width="18" customWidth="1" min="23" max="23"/>
    <col width="13" customWidth="1" min="24" max="24"/>
    <col width="16" customWidth="1" min="25" max="25"/>
    <col width="28" customWidth="1" min="26" max="26"/>
    <col width="18" customWidth="1" min="27" max="27"/>
    <col width="16" customWidth="1" min="28" max="29"/>
    <col width="10" customWidth="1" min="29" max="29"/>
    <col width="13" customWidth="1" min="30" max="30"/>
    <col width="16" customWidth="1" min="31" max="32"/>
    <col width="12" customWidth="1" min="32" max="32"/>
    <col width="12" customWidth="1" min="33" max="33"/>
    <col width="11" customWidth="1" min="34" max="34"/>
    <col width="14" customWidth="1" min="35" max="35"/>
    <col width="13" customWidth="1" min="36" max="36"/>
    <col width="14" customWidth="1" min="37" max="37"/>
    <col width="12" customWidth="1" min="38" max="38"/>
    <col width="13" customWidth="1" min="39" max="39"/>
    <col width="14" customWidth="1" min="40" max="40"/>
    <col width="15" customWidth="1" min="41" max="41"/>
    <col width="18" customWidth="1" min="42" max="42"/>
    <col width="24" customWidth="1" min="43" max="43"/>
    <col width="16" customWidth="1" min="44" max="44"/>
    <col width="18" customWidth="1" min="45" max="45"/>
  </cols>
  <sheetData>
    <row r="1" ht="30" customHeight="1">
      <c r="A1" s="22" t="inlineStr">
        <is>
          <t>txn_id</t>
        </is>
      </c>
      <c r="B1" s="22" t="inlineStr">
        <is>
          <t>txn_date_time</t>
        </is>
      </c>
      <c r="C1" s="22" t="inlineStr">
        <is>
          <t>branch_code</t>
        </is>
      </c>
      <c r="D1" s="22" t="inlineStr">
        <is>
          <t>product_code</t>
        </is>
      </c>
      <c r="E1" s="22" t="inlineStr">
        <is>
          <t>cust_id</t>
        </is>
      </c>
      <c r="F1" s="22" t="inlineStr">
        <is>
          <t>channel</t>
        </is>
      </c>
      <c r="G1" s="22" t="inlineStr">
        <is>
          <t>campaign_code</t>
        </is>
      </c>
      <c r="H1" s="22" t="inlineStr">
        <is>
          <t>currency</t>
        </is>
      </c>
      <c r="I1" s="22" t="inlineStr">
        <is>
          <t>amount_local</t>
        </is>
      </c>
      <c r="J1" s="22" t="inlineStr">
        <is>
          <t>sales_person_id</t>
        </is>
      </c>
      <c r="K1" s="22" t="inlineStr">
        <is>
          <t>status</t>
        </is>
      </c>
      <c r="L1" s="23" t="inlineStr">
        <is>
          <t>txn_date</t>
        </is>
      </c>
      <c r="M1" s="23" t="inlineStr">
        <is>
          <t>txn_time</t>
        </is>
      </c>
      <c r="N1" s="23" t="inlineStr">
        <is>
          <t>year</t>
        </is>
      </c>
      <c r="O1" s="23" t="inlineStr">
        <is>
          <t>quarter</t>
        </is>
      </c>
      <c r="P1" s="23" t="inlineStr">
        <is>
          <t>month</t>
        </is>
      </c>
      <c r="Q1" s="23" t="inlineStr">
        <is>
          <t>iso_week</t>
        </is>
      </c>
      <c r="R1" s="23" t="inlineStr">
        <is>
          <t>weekday</t>
        </is>
      </c>
      <c r="S1" s="23" t="inlineStr">
        <is>
          <t>day_part</t>
        </is>
      </c>
      <c r="T1" s="24" t="inlineStr">
        <is>
          <t>branch_code_std</t>
        </is>
      </c>
      <c r="U1" s="24" t="inlineStr">
        <is>
          <t>branch_info_since</t>
        </is>
      </c>
      <c r="V1" s="24" t="inlineStr">
        <is>
          <t>branch_name</t>
        </is>
      </c>
      <c r="W1" s="24" t="inlineStr">
        <is>
          <t>region</t>
        </is>
      </c>
      <c r="X1" s="24" t="inlineStr">
        <is>
          <t>branch_status</t>
        </is>
      </c>
      <c r="Y1" s="31" t="inlineStr">
        <is>
          <t>product_code_std</t>
        </is>
      </c>
      <c r="Z1" s="31" t="inlineStr">
        <is>
          <t>product_name</t>
        </is>
      </c>
      <c r="AA1" s="31" t="inlineStr">
        <is>
          <t>product_category</t>
        </is>
      </c>
      <c r="AB1" s="31" t="inlineStr">
        <is>
          <t>product_risk_level</t>
        </is>
      </c>
      <c r="AC1" s="31" t="inlineStr">
        <is>
          <t>fee_rate</t>
        </is>
      </c>
      <c r="AD1" s="32" t="inlineStr">
        <is>
          <t>cust_id_std</t>
        </is>
      </c>
      <c r="AE1" s="32" t="inlineStr">
        <is>
          <t>cust_name</t>
        </is>
      </c>
      <c r="AF1" s="32" t="inlineStr">
        <is>
          <t>cust_dob</t>
        </is>
      </c>
      <c r="AG1" s="32" t="inlineStr">
        <is>
          <t>cust_age_at_sale</t>
        </is>
      </c>
      <c r="AH1" s="32" t="inlineStr">
        <is>
          <t>cust_gender</t>
        </is>
      </c>
      <c r="AI1" s="32" t="inlineStr">
        <is>
          <t>cust_info_since</t>
        </is>
      </c>
      <c r="AJ1" s="32" t="inlineStr">
        <is>
          <t>cust_segment</t>
        </is>
      </c>
      <c r="AK1" s="32" t="inlineStr">
        <is>
          <t>cust_risk_profile</t>
        </is>
      </c>
      <c r="AL1" s="36" t="inlineStr">
        <is>
          <t>currency_std</t>
        </is>
      </c>
      <c r="AM1" s="36" t="inlineStr">
        <is>
          <t>fx_rate_date</t>
        </is>
      </c>
      <c r="AN1" s="36" t="inlineStr">
        <is>
          <t>fx_rate_to_hkd</t>
        </is>
      </c>
      <c r="AO1" s="36" t="inlineStr">
        <is>
          <t>amount_hkd</t>
        </is>
      </c>
      <c r="AP1" s="25" t="inlineStr">
        <is>
          <t>sales_person_id_std</t>
        </is>
      </c>
      <c r="AQ1" s="25" t="inlineStr">
        <is>
          <t>sales_person_check</t>
        </is>
      </c>
      <c r="AR1" s="25" t="inlineStr">
        <is>
          <t>sales_person_id_corrected</t>
        </is>
      </c>
      <c r="AS1" s="25" t="inlineStr">
        <is>
          <t>sales_person_name</t>
        </is>
      </c>
    </row>
    <row r="2">
      <c r="A2" s="2">
        <f>IF(ISBLANK('1_raw_log'!A2),"",'1_raw_log'!A2)</f>
        <v/>
      </c>
      <c r="B2" s="3">
        <f>IF(ISBLANK('1_raw_log'!B2),"",'1_raw_log'!B2)</f>
        <v/>
      </c>
      <c r="C2" s="2">
        <f>IF(ISBLANK('1_raw_log'!C2),"",'1_raw_log'!C2)</f>
        <v/>
      </c>
      <c r="D2" s="2">
        <f>IF(ISBLANK('1_raw_log'!D2),"",'1_raw_log'!D2)</f>
        <v/>
      </c>
      <c r="E2" s="4">
        <f>IF(ISBLANK('1_raw_log'!E2),"",'1_raw_log'!E2)</f>
        <v/>
      </c>
      <c r="F2" s="2">
        <f>IF(ISBLANK('1_raw_log'!F2),"",'1_raw_log'!F2)</f>
        <v/>
      </c>
      <c r="G2" s="2">
        <f>IF(ISBLANK('1_raw_log'!G2),"",'1_raw_log'!G2)</f>
        <v/>
      </c>
      <c r="H2" s="2">
        <f>IF(ISBLANK('1_raw_log'!H2),"",'1_raw_log'!H2)</f>
        <v/>
      </c>
      <c r="I2" s="7">
        <f>IF(ISBLANK('1_raw_log'!I2),"",'1_raw_log'!I2)</f>
        <v/>
      </c>
      <c r="J2" s="2">
        <f>IF(ISBLANK('1_raw_log'!J2),"",'1_raw_log'!J2)</f>
        <v/>
      </c>
      <c r="K2" s="2">
        <f>IF(ISBLANK('1_raw_log'!K2),"",'1_raw_log'!K2)</f>
        <v/>
      </c>
      <c r="L2" s="30">
        <f>INT(B2)</f>
        <v/>
      </c>
      <c r="M2" s="20">
        <f>ROUND(MOD(B2,1)*1440,0)/1440</f>
        <v/>
      </c>
      <c r="N2" s="4">
        <f>IFERROR(INDEX('3_ref_date'!$B:$B,MATCH(L2,'3_ref_date'!$A:$A,0)),"NOT FOUND")</f>
        <v/>
      </c>
      <c r="O2" s="2">
        <f>IFERROR(INDEX('3_ref_date'!$C:$C,MATCH(L2,'3_ref_date'!$A:$A,0)),"NOT FOUND")</f>
        <v/>
      </c>
      <c r="P2" s="4">
        <f>IFERROR(INDEX('3_ref_date'!$D:$D,MATCH(L2,'3_ref_date'!$A:$A,0)),"NOT FOUND")</f>
        <v/>
      </c>
      <c r="Q2" s="4">
        <f>IFERROR(INDEX('3_ref_date'!$E:$E,MATCH(L2,'3_ref_date'!$A:$A,0)),"NOT FOUND")</f>
        <v/>
      </c>
      <c r="R2" s="2">
        <f>IFERROR(INDEX('3_ref_date'!$F:$F,MATCH(L2,'3_ref_date'!$A:$A,0)),"NOT FOUND")</f>
        <v/>
      </c>
      <c r="S2" s="2">
        <f>IFERROR(INDEX('4_ref_time'!$D:$D,MATCH(ROUND(M2*1440,0),'4_ref_time'!$A:$A,0)),"NOT FOUND")</f>
        <v/>
      </c>
      <c r="T2" s="2">
        <f>UPPER(TRIM(C2))</f>
        <v/>
      </c>
      <c r="U2" s="30">
        <f>IF(_xlfn.MAXIFS('6_3nf_branch_history'!$B$2:$B$50,'6_3nf_branch_history'!$A$2:$A$50,T2,'6_3nf_branch_history'!$B$2:$B$50,"&lt;="&amp;L2)=0,"NOT FOUND",_xlfn.MAXIFS('6_3nf_branch_history'!$B$2:$B$50,'6_3nf_branch_history'!$A$2:$A$50,T2,'6_3nf_branch_history'!$B$2:$B$50,"&lt;="&amp;L2))</f>
        <v/>
      </c>
      <c r="V2" s="2">
        <f>IF(U2="NOT FOUND","NOT FOUND",INDEX('6_3nf_branch_history'!$C:$C,SUMPRODUCT(('6_3nf_branch_history'!$A$2:$A$50=T2)*('6_3nf_branch_history'!$B$2:$B$50=U2)*ROW('6_3nf_branch_history'!$A$2:$A$50))))</f>
        <v/>
      </c>
      <c r="W2" s="2">
        <f>IF(U2="NOT FOUND","NOT FOUND",INDEX('6_3nf_branch_history'!$D:$D,SUMPRODUCT(('6_3nf_branch_history'!$A$2:$A$50=T2)*('6_3nf_branch_history'!$B$2:$B$50=U2)*ROW('6_3nf_branch_history'!$A$2:$A$50))))</f>
        <v/>
      </c>
      <c r="X2" s="2">
        <f>IF(U2="NOT FOUND","NOT FOUND",INDEX('6_3nf_branch_history'!$E:$E,SUMPRODUCT(('6_3nf_branch_history'!$A$2:$A$50=T2)*('6_3nf_branch_history'!$B$2:$B$50=U2)*ROW('6_3nf_branch_history'!$A$2:$A$50))))</f>
        <v/>
      </c>
      <c r="Y2" s="2">
        <f>UPPER(TRIM(D2))</f>
        <v/>
      </c>
      <c r="Z2" s="2">
        <f>IFERROR(INDEX('7_3nf_product'!$B:$B,MATCH(Y2,'7_3nf_product'!$A:$A,0)),"NOT FOUND")</f>
        <v/>
      </c>
      <c r="AA2" s="2">
        <f>IFERROR(INDEX('7_3nf_product'!$C:$C,MATCH(Y2,'7_3nf_product'!$A:$A,0)),"NOT FOUND")</f>
        <v/>
      </c>
      <c r="AB2" s="2">
        <f>IFERROR(INDEX('7_3nf_product'!$D:$D,MATCH(Y2,'7_3nf_product'!$A:$A,0)),"NOT FOUND")</f>
        <v/>
      </c>
      <c r="AC2" s="6">
        <f>IFERROR(INDEX('7_3nf_product'!$E:$E,MATCH(Y2,'7_3nf_product'!$A:$A,0)),"NOT FOUND")</f>
        <v/>
      </c>
      <c r="AD2" s="33">
        <f>IF(LEN(TRIM(E2))=10,TRIM(E2),IF(LEN(TRIM(E2))=8,"00"&amp;TRIM(E2),"CHECK"))</f>
        <v/>
      </c>
      <c r="AE2" s="2">
        <f>IFERROR(INDEX('8_3nf_customer'!$C:$C,MATCH(AD2,'8_3nf_customer'!$B:$B,0)),"NOT FOUND")</f>
        <v/>
      </c>
      <c r="AF2" s="30">
        <f>IFERROR(INDEX('8_3nf_customer'!$D:$D,MATCH(AD2,'8_3nf_customer'!$B:$B,0)),"NOT FOUND")</f>
        <v/>
      </c>
      <c r="AG2" s="4">
        <f>IF(ISNUMBER(AF2),DATEDIF(AF2,L2,"y"),"NOT FOUND")</f>
        <v/>
      </c>
      <c r="AH2" s="2">
        <f>IFERROR(INDEX('8_3nf_customer'!$E:$E,MATCH(AD2,'8_3nf_customer'!$B:$B,0)),"NOT FOUND")</f>
        <v/>
      </c>
      <c r="AI2" s="30">
        <f>IF(_xlfn.MAXIFS('9_3nf_customer_history'!$B$2:$B$500,'9_3nf_customer_history'!$A$2:$A$500,AD2,'9_3nf_customer_history'!$B$2:$B$500,"&lt;="&amp;L2)=0,"NOT FOUND",_xlfn.MAXIFS('9_3nf_customer_history'!$B$2:$B$500,'9_3nf_customer_history'!$A$2:$A$500,AD2,'9_3nf_customer_history'!$B$2:$B$500,"&lt;="&amp;L2))</f>
        <v/>
      </c>
      <c r="AJ2" s="2">
        <f>IF(AI2="NOT FOUND","NOT FOUND",INDEX('9_3nf_customer_history'!$C:$C,SUMPRODUCT(('9_3nf_customer_history'!$A$2:$A$500=AD2)*('9_3nf_customer_history'!$B$2:$B$500=AI2)*ROW('9_3nf_customer_history'!$A$2:$A$500))))</f>
        <v/>
      </c>
      <c r="AK2" s="2">
        <f>IF(AI2="NOT FOUND","NOT FOUND",INDEX('9_3nf_customer_history'!$D:$D,SUMPRODUCT(('9_3nf_customer_history'!$A$2:$A$500=AD2)*('9_3nf_customer_history'!$B$2:$B$500=AI2)*ROW('9_3nf_customer_history'!$A$2:$A$500))))</f>
        <v/>
      </c>
      <c r="AL2" s="2">
        <f>UPPER(TRIM(H2))</f>
        <v/>
      </c>
      <c r="AM2" s="30">
        <f>IF(_xlfn.MAXIFS('10_ref_fx_rate'!$B$2:$B$2000,'10_ref_fx_rate'!$A$2:$A$2000,AL2,'10_ref_fx_rate'!$B$2:$B$2000,"&lt;="&amp;L2)=0,"NOT FOUND",_xlfn.MAXIFS('10_ref_fx_rate'!$B$2:$B$2000,'10_ref_fx_rate'!$A$2:$A$2000,AL2,'10_ref_fx_rate'!$B$2:$B$2000,"&lt;="&amp;L2))</f>
        <v/>
      </c>
      <c r="AN2" s="8">
        <f>IF(AM2="NOT FOUND","NOT FOUND",SUMIFS('10_ref_fx_rate'!$D$2:$D$2000,'10_ref_fx_rate'!$A$2:$A$2000,AL2,'10_ref_fx_rate'!$B$2:$B$2000,AM2))</f>
        <v/>
      </c>
      <c r="AO2" s="37">
        <f>IF(ISNUMBER(AN2),I2*AN2,"NOT FOUND")</f>
        <v/>
      </c>
      <c r="AP2" s="2">
        <f>UPPER(TRIM(J2))</f>
        <v/>
      </c>
      <c r="AQ2" s="2">
        <f>IF(AP2="","SELF-DIRECTED",IF(ISNUMBER(MATCH(AP2,'11_3nf_sales_person'!$A:$A,0)),IF(EXACT(AP2,J2),"OK","OK (auto-fixed)"),IF(ISNA(MATCH($A2,'12_sales_person_confirmation'!$A:$A,0)),"CONFIRM (not logged)",IF(INDEX('12_sales_person_confirmation'!$I:$I,MATCH($A2,'12_sales_person_confirmation'!$A:$A,0))="CONFIRMED","CONFIRMED ("&amp;LOWER(INDEX('12_sales_person_confirmation'!$E:$E,MATCH($A2,'12_sales_person_confirmation'!$A:$A,0)))&amp;")","PENDING CONFIRM"))))</f>
        <v/>
      </c>
      <c r="AR2" s="2">
        <f>IF(OR(AQ2="OK",AQ2="OK (auto-fixed)"),AP2,IF(LEFT(AQ2,9)="CONFIRMED",INDEX('12_sales_person_confirmation'!$F:$F,MATCH($A2,'12_sales_person_confirmation'!$A:$A,0)),""))</f>
        <v/>
      </c>
      <c r="AS2" s="2">
        <f>IF(AR2="","",INDEX('11_3nf_sales_person'!$B:$B,MATCH(AR2,'11_3nf_sales_person'!$A:$A,0)))</f>
        <v/>
      </c>
    </row>
    <row r="3">
      <c r="A3" s="2">
        <f>IF(ISBLANK('1_raw_log'!A3),"",'1_raw_log'!A3)</f>
        <v/>
      </c>
      <c r="B3" s="3">
        <f>IF(ISBLANK('1_raw_log'!B3),"",'1_raw_log'!B3)</f>
        <v/>
      </c>
      <c r="C3" s="2">
        <f>IF(ISBLANK('1_raw_log'!C3),"",'1_raw_log'!C3)</f>
        <v/>
      </c>
      <c r="D3" s="2">
        <f>IF(ISBLANK('1_raw_log'!D3),"",'1_raw_log'!D3)</f>
        <v/>
      </c>
      <c r="E3" s="4">
        <f>IF(ISBLANK('1_raw_log'!E3),"",'1_raw_log'!E3)</f>
        <v/>
      </c>
      <c r="F3" s="2">
        <f>IF(ISBLANK('1_raw_log'!F3),"",'1_raw_log'!F3)</f>
        <v/>
      </c>
      <c r="G3" s="2">
        <f>IF(ISBLANK('1_raw_log'!G3),"",'1_raw_log'!G3)</f>
        <v/>
      </c>
      <c r="H3" s="2">
        <f>IF(ISBLANK('1_raw_log'!H3),"",'1_raw_log'!H3)</f>
        <v/>
      </c>
      <c r="I3" s="7">
        <f>IF(ISBLANK('1_raw_log'!I3),"",'1_raw_log'!I3)</f>
        <v/>
      </c>
      <c r="J3" s="2">
        <f>IF(ISBLANK('1_raw_log'!J3),"",'1_raw_log'!J3)</f>
        <v/>
      </c>
      <c r="K3" s="2">
        <f>IF(ISBLANK('1_raw_log'!K3),"",'1_raw_log'!K3)</f>
        <v/>
      </c>
      <c r="L3" s="30">
        <f>INT(B3)</f>
        <v/>
      </c>
      <c r="M3" s="20">
        <f>ROUND(MOD(B3,1)*1440,0)/1440</f>
        <v/>
      </c>
      <c r="N3" s="4">
        <f>IFERROR(INDEX('3_ref_date'!$B:$B,MATCH(L3,'3_ref_date'!$A:$A,0)),"NOT FOUND")</f>
        <v/>
      </c>
      <c r="O3" s="2">
        <f>IFERROR(INDEX('3_ref_date'!$C:$C,MATCH(L3,'3_ref_date'!$A:$A,0)),"NOT FOUND")</f>
        <v/>
      </c>
      <c r="P3" s="4">
        <f>IFERROR(INDEX('3_ref_date'!$D:$D,MATCH(L3,'3_ref_date'!$A:$A,0)),"NOT FOUND")</f>
        <v/>
      </c>
      <c r="Q3" s="4">
        <f>IFERROR(INDEX('3_ref_date'!$E:$E,MATCH(L3,'3_ref_date'!$A:$A,0)),"NOT FOUND")</f>
        <v/>
      </c>
      <c r="R3" s="2">
        <f>IFERROR(INDEX('3_ref_date'!$F:$F,MATCH(L3,'3_ref_date'!$A:$A,0)),"NOT FOUND")</f>
        <v/>
      </c>
      <c r="S3" s="2">
        <f>IFERROR(INDEX('4_ref_time'!$D:$D,MATCH(ROUND(M3*1440,0),'4_ref_time'!$A:$A,0)),"NOT FOUND")</f>
        <v/>
      </c>
      <c r="T3" s="2">
        <f>UPPER(TRIM(C3))</f>
        <v/>
      </c>
      <c r="U3" s="30">
        <f>IF(_xlfn.MAXIFS('6_3nf_branch_history'!$B$2:$B$50,'6_3nf_branch_history'!$A$2:$A$50,T3,'6_3nf_branch_history'!$B$2:$B$50,"&lt;="&amp;L3)=0,"NOT FOUND",_xlfn.MAXIFS('6_3nf_branch_history'!$B$2:$B$50,'6_3nf_branch_history'!$A$2:$A$50,T3,'6_3nf_branch_history'!$B$2:$B$50,"&lt;="&amp;L3))</f>
        <v/>
      </c>
      <c r="V3" s="2">
        <f>IF(U3="NOT FOUND","NOT FOUND",INDEX('6_3nf_branch_history'!$C:$C,SUMPRODUCT(('6_3nf_branch_history'!$A$2:$A$50=T3)*('6_3nf_branch_history'!$B$2:$B$50=U3)*ROW('6_3nf_branch_history'!$A$2:$A$50))))</f>
        <v/>
      </c>
      <c r="W3" s="2">
        <f>IF(U3="NOT FOUND","NOT FOUND",INDEX('6_3nf_branch_history'!$D:$D,SUMPRODUCT(('6_3nf_branch_history'!$A$2:$A$50=T3)*('6_3nf_branch_history'!$B$2:$B$50=U3)*ROW('6_3nf_branch_history'!$A$2:$A$50))))</f>
        <v/>
      </c>
      <c r="X3" s="2">
        <f>IF(U3="NOT FOUND","NOT FOUND",INDEX('6_3nf_branch_history'!$E:$E,SUMPRODUCT(('6_3nf_branch_history'!$A$2:$A$50=T3)*('6_3nf_branch_history'!$B$2:$B$50=U3)*ROW('6_3nf_branch_history'!$A$2:$A$50))))</f>
        <v/>
      </c>
      <c r="Y3" s="2">
        <f>UPPER(TRIM(D3))</f>
        <v/>
      </c>
      <c r="Z3" s="2">
        <f>IFERROR(INDEX('7_3nf_product'!$B:$B,MATCH(Y3,'7_3nf_product'!$A:$A,0)),"NOT FOUND")</f>
        <v/>
      </c>
      <c r="AA3" s="2">
        <f>IFERROR(INDEX('7_3nf_product'!$C:$C,MATCH(Y3,'7_3nf_product'!$A:$A,0)),"NOT FOUND")</f>
        <v/>
      </c>
      <c r="AB3" s="2">
        <f>IFERROR(INDEX('7_3nf_product'!$D:$D,MATCH(Y3,'7_3nf_product'!$A:$A,0)),"NOT FOUND")</f>
        <v/>
      </c>
      <c r="AC3" s="6">
        <f>IFERROR(INDEX('7_3nf_product'!$E:$E,MATCH(Y3,'7_3nf_product'!$A:$A,0)),"NOT FOUND")</f>
        <v/>
      </c>
      <c r="AD3" s="33">
        <f>IF(LEN(TRIM(E3))=10,TRIM(E3),IF(LEN(TRIM(E3))=8,"00"&amp;TRIM(E3),"CHECK"))</f>
        <v/>
      </c>
      <c r="AE3" s="2">
        <f>IFERROR(INDEX('8_3nf_customer'!$C:$C,MATCH(AD3,'8_3nf_customer'!$B:$B,0)),"NOT FOUND")</f>
        <v/>
      </c>
      <c r="AF3" s="30">
        <f>IFERROR(INDEX('8_3nf_customer'!$D:$D,MATCH(AD3,'8_3nf_customer'!$B:$B,0)),"NOT FOUND")</f>
        <v/>
      </c>
      <c r="AG3" s="4">
        <f>IF(ISNUMBER(AF3),DATEDIF(AF3,L3,"y"),"NOT FOUND")</f>
        <v/>
      </c>
      <c r="AH3" s="2">
        <f>IFERROR(INDEX('8_3nf_customer'!$E:$E,MATCH(AD3,'8_3nf_customer'!$B:$B,0)),"NOT FOUND")</f>
        <v/>
      </c>
      <c r="AI3" s="30">
        <f>IF(_xlfn.MAXIFS('9_3nf_customer_history'!$B$2:$B$500,'9_3nf_customer_history'!$A$2:$A$500,AD3,'9_3nf_customer_history'!$B$2:$B$500,"&lt;="&amp;L3)=0,"NOT FOUND",_xlfn.MAXIFS('9_3nf_customer_history'!$B$2:$B$500,'9_3nf_customer_history'!$A$2:$A$500,AD3,'9_3nf_customer_history'!$B$2:$B$500,"&lt;="&amp;L3))</f>
        <v/>
      </c>
      <c r="AJ3" s="2">
        <f>IF(AI3="NOT FOUND","NOT FOUND",INDEX('9_3nf_customer_history'!$C:$C,SUMPRODUCT(('9_3nf_customer_history'!$A$2:$A$500=AD3)*('9_3nf_customer_history'!$B$2:$B$500=AI3)*ROW('9_3nf_customer_history'!$A$2:$A$500))))</f>
        <v/>
      </c>
      <c r="AK3" s="2">
        <f>IF(AI3="NOT FOUND","NOT FOUND",INDEX('9_3nf_customer_history'!$D:$D,SUMPRODUCT(('9_3nf_customer_history'!$A$2:$A$500=AD3)*('9_3nf_customer_history'!$B$2:$B$500=AI3)*ROW('9_3nf_customer_history'!$A$2:$A$500))))</f>
        <v/>
      </c>
      <c r="AL3" s="2">
        <f>UPPER(TRIM(H3))</f>
        <v/>
      </c>
      <c r="AM3" s="30">
        <f>IF(_xlfn.MAXIFS('10_ref_fx_rate'!$B$2:$B$2000,'10_ref_fx_rate'!$A$2:$A$2000,AL3,'10_ref_fx_rate'!$B$2:$B$2000,"&lt;="&amp;L3)=0,"NOT FOUND",_xlfn.MAXIFS('10_ref_fx_rate'!$B$2:$B$2000,'10_ref_fx_rate'!$A$2:$A$2000,AL3,'10_ref_fx_rate'!$B$2:$B$2000,"&lt;="&amp;L3))</f>
        <v/>
      </c>
      <c r="AN3" s="8">
        <f>IF(AM3="NOT FOUND","NOT FOUND",SUMIFS('10_ref_fx_rate'!$D$2:$D$2000,'10_ref_fx_rate'!$A$2:$A$2000,AL3,'10_ref_fx_rate'!$B$2:$B$2000,AM3))</f>
        <v/>
      </c>
      <c r="AO3" s="37">
        <f>IF(ISNUMBER(AN3),I3*AN3,"NOT FOUND")</f>
        <v/>
      </c>
      <c r="AP3" s="2">
        <f>UPPER(TRIM(J3))</f>
        <v/>
      </c>
      <c r="AQ3" s="2">
        <f>IF(AP3="","SELF-DIRECTED",IF(ISNUMBER(MATCH(AP3,'11_3nf_sales_person'!$A:$A,0)),IF(EXACT(AP3,J3),"OK","OK (auto-fixed)"),IF(ISNA(MATCH($A3,'12_sales_person_confirmation'!$A:$A,0)),"CONFIRM (not logged)",IF(INDEX('12_sales_person_confirmation'!$I:$I,MATCH($A3,'12_sales_person_confirmation'!$A:$A,0))="CONFIRMED","CONFIRMED ("&amp;LOWER(INDEX('12_sales_person_confirmation'!$E:$E,MATCH($A3,'12_sales_person_confirmation'!$A:$A,0)))&amp;")","PENDING CONFIRM"))))</f>
        <v/>
      </c>
      <c r="AR3" s="2">
        <f>IF(OR(AQ3="OK",AQ3="OK (auto-fixed)"),AP3,IF(LEFT(AQ3,9)="CONFIRMED",INDEX('12_sales_person_confirmation'!$F:$F,MATCH($A3,'12_sales_person_confirmation'!$A:$A,0)),""))</f>
        <v/>
      </c>
      <c r="AS3" s="2">
        <f>IF(AR3="","",INDEX('11_3nf_sales_person'!$B:$B,MATCH(AR3,'11_3nf_sales_person'!$A:$A,0)))</f>
        <v/>
      </c>
    </row>
    <row r="4">
      <c r="A4" s="2">
        <f>IF(ISBLANK('1_raw_log'!A4),"",'1_raw_log'!A4)</f>
        <v/>
      </c>
      <c r="B4" s="3">
        <f>IF(ISBLANK('1_raw_log'!B4),"",'1_raw_log'!B4)</f>
        <v/>
      </c>
      <c r="C4" s="2">
        <f>IF(ISBLANK('1_raw_log'!C4),"",'1_raw_log'!C4)</f>
        <v/>
      </c>
      <c r="D4" s="2">
        <f>IF(ISBLANK('1_raw_log'!D4),"",'1_raw_log'!D4)</f>
        <v/>
      </c>
      <c r="E4" s="4">
        <f>IF(ISBLANK('1_raw_log'!E4),"",'1_raw_log'!E4)</f>
        <v/>
      </c>
      <c r="F4" s="2">
        <f>IF(ISBLANK('1_raw_log'!F4),"",'1_raw_log'!F4)</f>
        <v/>
      </c>
      <c r="G4" s="2">
        <f>IF(ISBLANK('1_raw_log'!G4),"",'1_raw_log'!G4)</f>
        <v/>
      </c>
      <c r="H4" s="2">
        <f>IF(ISBLANK('1_raw_log'!H4),"",'1_raw_log'!H4)</f>
        <v/>
      </c>
      <c r="I4" s="7">
        <f>IF(ISBLANK('1_raw_log'!I4),"",'1_raw_log'!I4)</f>
        <v/>
      </c>
      <c r="J4" s="2">
        <f>IF(ISBLANK('1_raw_log'!J4),"",'1_raw_log'!J4)</f>
        <v/>
      </c>
      <c r="K4" s="2">
        <f>IF(ISBLANK('1_raw_log'!K4),"",'1_raw_log'!K4)</f>
        <v/>
      </c>
      <c r="L4" s="30">
        <f>INT(B4)</f>
        <v/>
      </c>
      <c r="M4" s="20">
        <f>ROUND(MOD(B4,1)*1440,0)/1440</f>
        <v/>
      </c>
      <c r="N4" s="4">
        <f>IFERROR(INDEX('3_ref_date'!$B:$B,MATCH(L4,'3_ref_date'!$A:$A,0)),"NOT FOUND")</f>
        <v/>
      </c>
      <c r="O4" s="2">
        <f>IFERROR(INDEX('3_ref_date'!$C:$C,MATCH(L4,'3_ref_date'!$A:$A,0)),"NOT FOUND")</f>
        <v/>
      </c>
      <c r="P4" s="4">
        <f>IFERROR(INDEX('3_ref_date'!$D:$D,MATCH(L4,'3_ref_date'!$A:$A,0)),"NOT FOUND")</f>
        <v/>
      </c>
      <c r="Q4" s="4">
        <f>IFERROR(INDEX('3_ref_date'!$E:$E,MATCH(L4,'3_ref_date'!$A:$A,0)),"NOT FOUND")</f>
        <v/>
      </c>
      <c r="R4" s="2">
        <f>IFERROR(INDEX('3_ref_date'!$F:$F,MATCH(L4,'3_ref_date'!$A:$A,0)),"NOT FOUND")</f>
        <v/>
      </c>
      <c r="S4" s="2">
        <f>IFERROR(INDEX('4_ref_time'!$D:$D,MATCH(ROUND(M4*1440,0),'4_ref_time'!$A:$A,0)),"NOT FOUND")</f>
        <v/>
      </c>
      <c r="T4" s="2">
        <f>UPPER(TRIM(C4))</f>
        <v/>
      </c>
      <c r="U4" s="30">
        <f>IF(_xlfn.MAXIFS('6_3nf_branch_history'!$B$2:$B$50,'6_3nf_branch_history'!$A$2:$A$50,T4,'6_3nf_branch_history'!$B$2:$B$50,"&lt;="&amp;L4)=0,"NOT FOUND",_xlfn.MAXIFS('6_3nf_branch_history'!$B$2:$B$50,'6_3nf_branch_history'!$A$2:$A$50,T4,'6_3nf_branch_history'!$B$2:$B$50,"&lt;="&amp;L4))</f>
        <v/>
      </c>
      <c r="V4" s="2">
        <f>IF(U4="NOT FOUND","NOT FOUND",INDEX('6_3nf_branch_history'!$C:$C,SUMPRODUCT(('6_3nf_branch_history'!$A$2:$A$50=T4)*('6_3nf_branch_history'!$B$2:$B$50=U4)*ROW('6_3nf_branch_history'!$A$2:$A$50))))</f>
        <v/>
      </c>
      <c r="W4" s="2">
        <f>IF(U4="NOT FOUND","NOT FOUND",INDEX('6_3nf_branch_history'!$D:$D,SUMPRODUCT(('6_3nf_branch_history'!$A$2:$A$50=T4)*('6_3nf_branch_history'!$B$2:$B$50=U4)*ROW('6_3nf_branch_history'!$A$2:$A$50))))</f>
        <v/>
      </c>
      <c r="X4" s="2">
        <f>IF(U4="NOT FOUND","NOT FOUND",INDEX('6_3nf_branch_history'!$E:$E,SUMPRODUCT(('6_3nf_branch_history'!$A$2:$A$50=T4)*('6_3nf_branch_history'!$B$2:$B$50=U4)*ROW('6_3nf_branch_history'!$A$2:$A$50))))</f>
        <v/>
      </c>
      <c r="Y4" s="2">
        <f>UPPER(TRIM(D4))</f>
        <v/>
      </c>
      <c r="Z4" s="2">
        <f>IFERROR(INDEX('7_3nf_product'!$B:$B,MATCH(Y4,'7_3nf_product'!$A:$A,0)),"NOT FOUND")</f>
        <v/>
      </c>
      <c r="AA4" s="2">
        <f>IFERROR(INDEX('7_3nf_product'!$C:$C,MATCH(Y4,'7_3nf_product'!$A:$A,0)),"NOT FOUND")</f>
        <v/>
      </c>
      <c r="AB4" s="2">
        <f>IFERROR(INDEX('7_3nf_product'!$D:$D,MATCH(Y4,'7_3nf_product'!$A:$A,0)),"NOT FOUND")</f>
        <v/>
      </c>
      <c r="AC4" s="6">
        <f>IFERROR(INDEX('7_3nf_product'!$E:$E,MATCH(Y4,'7_3nf_product'!$A:$A,0)),"NOT FOUND")</f>
        <v/>
      </c>
      <c r="AD4" s="33">
        <f>IF(LEN(TRIM(E4))=10,TRIM(E4),IF(LEN(TRIM(E4))=8,"00"&amp;TRIM(E4),"CHECK"))</f>
        <v/>
      </c>
      <c r="AE4" s="2">
        <f>IFERROR(INDEX('8_3nf_customer'!$C:$C,MATCH(AD4,'8_3nf_customer'!$B:$B,0)),"NOT FOUND")</f>
        <v/>
      </c>
      <c r="AF4" s="30">
        <f>IFERROR(INDEX('8_3nf_customer'!$D:$D,MATCH(AD4,'8_3nf_customer'!$B:$B,0)),"NOT FOUND")</f>
        <v/>
      </c>
      <c r="AG4" s="4">
        <f>IF(ISNUMBER(AF4),DATEDIF(AF4,L4,"y"),"NOT FOUND")</f>
        <v/>
      </c>
      <c r="AH4" s="2">
        <f>IFERROR(INDEX('8_3nf_customer'!$E:$E,MATCH(AD4,'8_3nf_customer'!$B:$B,0)),"NOT FOUND")</f>
        <v/>
      </c>
      <c r="AI4" s="30">
        <f>IF(_xlfn.MAXIFS('9_3nf_customer_history'!$B$2:$B$500,'9_3nf_customer_history'!$A$2:$A$500,AD4,'9_3nf_customer_history'!$B$2:$B$500,"&lt;="&amp;L4)=0,"NOT FOUND",_xlfn.MAXIFS('9_3nf_customer_history'!$B$2:$B$500,'9_3nf_customer_history'!$A$2:$A$500,AD4,'9_3nf_customer_history'!$B$2:$B$500,"&lt;="&amp;L4))</f>
        <v/>
      </c>
      <c r="AJ4" s="2">
        <f>IF(AI4="NOT FOUND","NOT FOUND",INDEX('9_3nf_customer_history'!$C:$C,SUMPRODUCT(('9_3nf_customer_history'!$A$2:$A$500=AD4)*('9_3nf_customer_history'!$B$2:$B$500=AI4)*ROW('9_3nf_customer_history'!$A$2:$A$500))))</f>
        <v/>
      </c>
      <c r="AK4" s="2">
        <f>IF(AI4="NOT FOUND","NOT FOUND",INDEX('9_3nf_customer_history'!$D:$D,SUMPRODUCT(('9_3nf_customer_history'!$A$2:$A$500=AD4)*('9_3nf_customer_history'!$B$2:$B$500=AI4)*ROW('9_3nf_customer_history'!$A$2:$A$500))))</f>
        <v/>
      </c>
      <c r="AL4" s="2">
        <f>UPPER(TRIM(H4))</f>
        <v/>
      </c>
      <c r="AM4" s="30">
        <f>IF(_xlfn.MAXIFS('10_ref_fx_rate'!$B$2:$B$2000,'10_ref_fx_rate'!$A$2:$A$2000,AL4,'10_ref_fx_rate'!$B$2:$B$2000,"&lt;="&amp;L4)=0,"NOT FOUND",_xlfn.MAXIFS('10_ref_fx_rate'!$B$2:$B$2000,'10_ref_fx_rate'!$A$2:$A$2000,AL4,'10_ref_fx_rate'!$B$2:$B$2000,"&lt;="&amp;L4))</f>
        <v/>
      </c>
      <c r="AN4" s="8">
        <f>IF(AM4="NOT FOUND","NOT FOUND",SUMIFS('10_ref_fx_rate'!$D$2:$D$2000,'10_ref_fx_rate'!$A$2:$A$2000,AL4,'10_ref_fx_rate'!$B$2:$B$2000,AM4))</f>
        <v/>
      </c>
      <c r="AO4" s="37">
        <f>IF(ISNUMBER(AN4),I4*AN4,"NOT FOUND")</f>
        <v/>
      </c>
      <c r="AP4" s="2">
        <f>UPPER(TRIM(J4))</f>
        <v/>
      </c>
      <c r="AQ4" s="2">
        <f>IF(AP4="","SELF-DIRECTED",IF(ISNUMBER(MATCH(AP4,'11_3nf_sales_person'!$A:$A,0)),IF(EXACT(AP4,J4),"OK","OK (auto-fixed)"),IF(ISNA(MATCH($A4,'12_sales_person_confirmation'!$A:$A,0)),"CONFIRM (not logged)",IF(INDEX('12_sales_person_confirmation'!$I:$I,MATCH($A4,'12_sales_person_confirmation'!$A:$A,0))="CONFIRMED","CONFIRMED ("&amp;LOWER(INDEX('12_sales_person_confirmation'!$E:$E,MATCH($A4,'12_sales_person_confirmation'!$A:$A,0)))&amp;")","PENDING CONFIRM"))))</f>
        <v/>
      </c>
      <c r="AR4" s="2">
        <f>IF(OR(AQ4="OK",AQ4="OK (auto-fixed)"),AP4,IF(LEFT(AQ4,9)="CONFIRMED",INDEX('12_sales_person_confirmation'!$F:$F,MATCH($A4,'12_sales_person_confirmation'!$A:$A,0)),""))</f>
        <v/>
      </c>
      <c r="AS4" s="2">
        <f>IF(AR4="","",INDEX('11_3nf_sales_person'!$B:$B,MATCH(AR4,'11_3nf_sales_person'!$A:$A,0)))</f>
        <v/>
      </c>
    </row>
    <row r="5">
      <c r="A5" s="2">
        <f>IF(ISBLANK('1_raw_log'!A5),"",'1_raw_log'!A5)</f>
        <v/>
      </c>
      <c r="B5" s="3">
        <f>IF(ISBLANK('1_raw_log'!B5),"",'1_raw_log'!B5)</f>
        <v/>
      </c>
      <c r="C5" s="2">
        <f>IF(ISBLANK('1_raw_log'!C5),"",'1_raw_log'!C5)</f>
        <v/>
      </c>
      <c r="D5" s="2">
        <f>IF(ISBLANK('1_raw_log'!D5),"",'1_raw_log'!D5)</f>
        <v/>
      </c>
      <c r="E5" s="4">
        <f>IF(ISBLANK('1_raw_log'!E5),"",'1_raw_log'!E5)</f>
        <v/>
      </c>
      <c r="F5" s="2">
        <f>IF(ISBLANK('1_raw_log'!F5),"",'1_raw_log'!F5)</f>
        <v/>
      </c>
      <c r="G5" s="2">
        <f>IF(ISBLANK('1_raw_log'!G5),"",'1_raw_log'!G5)</f>
        <v/>
      </c>
      <c r="H5" s="2">
        <f>IF(ISBLANK('1_raw_log'!H5),"",'1_raw_log'!H5)</f>
        <v/>
      </c>
      <c r="I5" s="7">
        <f>IF(ISBLANK('1_raw_log'!I5),"",'1_raw_log'!I5)</f>
        <v/>
      </c>
      <c r="J5" s="2">
        <f>IF(ISBLANK('1_raw_log'!J5),"",'1_raw_log'!J5)</f>
        <v/>
      </c>
      <c r="K5" s="2">
        <f>IF(ISBLANK('1_raw_log'!K5),"",'1_raw_log'!K5)</f>
        <v/>
      </c>
      <c r="L5" s="30">
        <f>INT(B5)</f>
        <v/>
      </c>
      <c r="M5" s="20">
        <f>ROUND(MOD(B5,1)*1440,0)/1440</f>
        <v/>
      </c>
      <c r="N5" s="4">
        <f>IFERROR(INDEX('3_ref_date'!$B:$B,MATCH(L5,'3_ref_date'!$A:$A,0)),"NOT FOUND")</f>
        <v/>
      </c>
      <c r="O5" s="2">
        <f>IFERROR(INDEX('3_ref_date'!$C:$C,MATCH(L5,'3_ref_date'!$A:$A,0)),"NOT FOUND")</f>
        <v/>
      </c>
      <c r="P5" s="4">
        <f>IFERROR(INDEX('3_ref_date'!$D:$D,MATCH(L5,'3_ref_date'!$A:$A,0)),"NOT FOUND")</f>
        <v/>
      </c>
      <c r="Q5" s="4">
        <f>IFERROR(INDEX('3_ref_date'!$E:$E,MATCH(L5,'3_ref_date'!$A:$A,0)),"NOT FOUND")</f>
        <v/>
      </c>
      <c r="R5" s="2">
        <f>IFERROR(INDEX('3_ref_date'!$F:$F,MATCH(L5,'3_ref_date'!$A:$A,0)),"NOT FOUND")</f>
        <v/>
      </c>
      <c r="S5" s="2">
        <f>IFERROR(INDEX('4_ref_time'!$D:$D,MATCH(ROUND(M5*1440,0),'4_ref_time'!$A:$A,0)),"NOT FOUND")</f>
        <v/>
      </c>
      <c r="T5" s="2">
        <f>UPPER(TRIM(C5))</f>
        <v/>
      </c>
      <c r="U5" s="30">
        <f>IF(_xlfn.MAXIFS('6_3nf_branch_history'!$B$2:$B$50,'6_3nf_branch_history'!$A$2:$A$50,T5,'6_3nf_branch_history'!$B$2:$B$50,"&lt;="&amp;L5)=0,"NOT FOUND",_xlfn.MAXIFS('6_3nf_branch_history'!$B$2:$B$50,'6_3nf_branch_history'!$A$2:$A$50,T5,'6_3nf_branch_history'!$B$2:$B$50,"&lt;="&amp;L5))</f>
        <v/>
      </c>
      <c r="V5" s="2">
        <f>IF(U5="NOT FOUND","NOT FOUND",INDEX('6_3nf_branch_history'!$C:$C,SUMPRODUCT(('6_3nf_branch_history'!$A$2:$A$50=T5)*('6_3nf_branch_history'!$B$2:$B$50=U5)*ROW('6_3nf_branch_history'!$A$2:$A$50))))</f>
        <v/>
      </c>
      <c r="W5" s="2">
        <f>IF(U5="NOT FOUND","NOT FOUND",INDEX('6_3nf_branch_history'!$D:$D,SUMPRODUCT(('6_3nf_branch_history'!$A$2:$A$50=T5)*('6_3nf_branch_history'!$B$2:$B$50=U5)*ROW('6_3nf_branch_history'!$A$2:$A$50))))</f>
        <v/>
      </c>
      <c r="X5" s="2">
        <f>IF(U5="NOT FOUND","NOT FOUND",INDEX('6_3nf_branch_history'!$E:$E,SUMPRODUCT(('6_3nf_branch_history'!$A$2:$A$50=T5)*('6_3nf_branch_history'!$B$2:$B$50=U5)*ROW('6_3nf_branch_history'!$A$2:$A$50))))</f>
        <v/>
      </c>
      <c r="Y5" s="2">
        <f>UPPER(TRIM(D5))</f>
        <v/>
      </c>
      <c r="Z5" s="2">
        <f>IFERROR(INDEX('7_3nf_product'!$B:$B,MATCH(Y5,'7_3nf_product'!$A:$A,0)),"NOT FOUND")</f>
        <v/>
      </c>
      <c r="AA5" s="2">
        <f>IFERROR(INDEX('7_3nf_product'!$C:$C,MATCH(Y5,'7_3nf_product'!$A:$A,0)),"NOT FOUND")</f>
        <v/>
      </c>
      <c r="AB5" s="2">
        <f>IFERROR(INDEX('7_3nf_product'!$D:$D,MATCH(Y5,'7_3nf_product'!$A:$A,0)),"NOT FOUND")</f>
        <v/>
      </c>
      <c r="AC5" s="6">
        <f>IFERROR(INDEX('7_3nf_product'!$E:$E,MATCH(Y5,'7_3nf_product'!$A:$A,0)),"NOT FOUND")</f>
        <v/>
      </c>
      <c r="AD5" s="33">
        <f>IF(LEN(TRIM(E5))=10,TRIM(E5),IF(LEN(TRIM(E5))=8,"00"&amp;TRIM(E5),"CHECK"))</f>
        <v/>
      </c>
      <c r="AE5" s="2">
        <f>IFERROR(INDEX('8_3nf_customer'!$C:$C,MATCH(AD5,'8_3nf_customer'!$B:$B,0)),"NOT FOUND")</f>
        <v/>
      </c>
      <c r="AF5" s="30">
        <f>IFERROR(INDEX('8_3nf_customer'!$D:$D,MATCH(AD5,'8_3nf_customer'!$B:$B,0)),"NOT FOUND")</f>
        <v/>
      </c>
      <c r="AG5" s="4">
        <f>IF(ISNUMBER(AF5),DATEDIF(AF5,L5,"y"),"NOT FOUND")</f>
        <v/>
      </c>
      <c r="AH5" s="2">
        <f>IFERROR(INDEX('8_3nf_customer'!$E:$E,MATCH(AD5,'8_3nf_customer'!$B:$B,0)),"NOT FOUND")</f>
        <v/>
      </c>
      <c r="AI5" s="30">
        <f>IF(_xlfn.MAXIFS('9_3nf_customer_history'!$B$2:$B$500,'9_3nf_customer_history'!$A$2:$A$500,AD5,'9_3nf_customer_history'!$B$2:$B$500,"&lt;="&amp;L5)=0,"NOT FOUND",_xlfn.MAXIFS('9_3nf_customer_history'!$B$2:$B$500,'9_3nf_customer_history'!$A$2:$A$500,AD5,'9_3nf_customer_history'!$B$2:$B$500,"&lt;="&amp;L5))</f>
        <v/>
      </c>
      <c r="AJ5" s="2">
        <f>IF(AI5="NOT FOUND","NOT FOUND",INDEX('9_3nf_customer_history'!$C:$C,SUMPRODUCT(('9_3nf_customer_history'!$A$2:$A$500=AD5)*('9_3nf_customer_history'!$B$2:$B$500=AI5)*ROW('9_3nf_customer_history'!$A$2:$A$500))))</f>
        <v/>
      </c>
      <c r="AK5" s="2">
        <f>IF(AI5="NOT FOUND","NOT FOUND",INDEX('9_3nf_customer_history'!$D:$D,SUMPRODUCT(('9_3nf_customer_history'!$A$2:$A$500=AD5)*('9_3nf_customer_history'!$B$2:$B$500=AI5)*ROW('9_3nf_customer_history'!$A$2:$A$500))))</f>
        <v/>
      </c>
      <c r="AL5" s="2">
        <f>UPPER(TRIM(H5))</f>
        <v/>
      </c>
      <c r="AM5" s="30">
        <f>IF(_xlfn.MAXIFS('10_ref_fx_rate'!$B$2:$B$2000,'10_ref_fx_rate'!$A$2:$A$2000,AL5,'10_ref_fx_rate'!$B$2:$B$2000,"&lt;="&amp;L5)=0,"NOT FOUND",_xlfn.MAXIFS('10_ref_fx_rate'!$B$2:$B$2000,'10_ref_fx_rate'!$A$2:$A$2000,AL5,'10_ref_fx_rate'!$B$2:$B$2000,"&lt;="&amp;L5))</f>
        <v/>
      </c>
      <c r="AN5" s="8">
        <f>IF(AM5="NOT FOUND","NOT FOUND",SUMIFS('10_ref_fx_rate'!$D$2:$D$2000,'10_ref_fx_rate'!$A$2:$A$2000,AL5,'10_ref_fx_rate'!$B$2:$B$2000,AM5))</f>
        <v/>
      </c>
      <c r="AO5" s="37">
        <f>IF(ISNUMBER(AN5),I5*AN5,"NOT FOUND")</f>
        <v/>
      </c>
      <c r="AP5" s="2">
        <f>UPPER(TRIM(J5))</f>
        <v/>
      </c>
      <c r="AQ5" s="2">
        <f>IF(AP5="","SELF-DIRECTED",IF(ISNUMBER(MATCH(AP5,'11_3nf_sales_person'!$A:$A,0)),IF(EXACT(AP5,J5),"OK","OK (auto-fixed)"),IF(ISNA(MATCH($A5,'12_sales_person_confirmation'!$A:$A,0)),"CONFIRM (not logged)",IF(INDEX('12_sales_person_confirmation'!$I:$I,MATCH($A5,'12_sales_person_confirmation'!$A:$A,0))="CONFIRMED","CONFIRMED ("&amp;LOWER(INDEX('12_sales_person_confirmation'!$E:$E,MATCH($A5,'12_sales_person_confirmation'!$A:$A,0)))&amp;")","PENDING CONFIRM"))))</f>
        <v/>
      </c>
      <c r="AR5" s="2">
        <f>IF(OR(AQ5="OK",AQ5="OK (auto-fixed)"),AP5,IF(LEFT(AQ5,9)="CONFIRMED",INDEX('12_sales_person_confirmation'!$F:$F,MATCH($A5,'12_sales_person_confirmation'!$A:$A,0)),""))</f>
        <v/>
      </c>
      <c r="AS5" s="2">
        <f>IF(AR5="","",INDEX('11_3nf_sales_person'!$B:$B,MATCH(AR5,'11_3nf_sales_person'!$A:$A,0)))</f>
        <v/>
      </c>
    </row>
    <row r="6">
      <c r="A6" s="2">
        <f>IF(ISBLANK('1_raw_log'!A6),"",'1_raw_log'!A6)</f>
        <v/>
      </c>
      <c r="B6" s="3">
        <f>IF(ISBLANK('1_raw_log'!B6),"",'1_raw_log'!B6)</f>
        <v/>
      </c>
      <c r="C6" s="2">
        <f>IF(ISBLANK('1_raw_log'!C6),"",'1_raw_log'!C6)</f>
        <v/>
      </c>
      <c r="D6" s="2">
        <f>IF(ISBLANK('1_raw_log'!D6),"",'1_raw_log'!D6)</f>
        <v/>
      </c>
      <c r="E6" s="4">
        <f>IF(ISBLANK('1_raw_log'!E6),"",'1_raw_log'!E6)</f>
        <v/>
      </c>
      <c r="F6" s="2">
        <f>IF(ISBLANK('1_raw_log'!F6),"",'1_raw_log'!F6)</f>
        <v/>
      </c>
      <c r="G6" s="2">
        <f>IF(ISBLANK('1_raw_log'!G6),"",'1_raw_log'!G6)</f>
        <v/>
      </c>
      <c r="H6" s="2">
        <f>IF(ISBLANK('1_raw_log'!H6),"",'1_raw_log'!H6)</f>
        <v/>
      </c>
      <c r="I6" s="7">
        <f>IF(ISBLANK('1_raw_log'!I6),"",'1_raw_log'!I6)</f>
        <v/>
      </c>
      <c r="J6" s="2">
        <f>IF(ISBLANK('1_raw_log'!J6),"",'1_raw_log'!J6)</f>
        <v/>
      </c>
      <c r="K6" s="2">
        <f>IF(ISBLANK('1_raw_log'!K6),"",'1_raw_log'!K6)</f>
        <v/>
      </c>
      <c r="L6" s="30">
        <f>INT(B6)</f>
        <v/>
      </c>
      <c r="M6" s="20">
        <f>ROUND(MOD(B6,1)*1440,0)/1440</f>
        <v/>
      </c>
      <c r="N6" s="4">
        <f>IFERROR(INDEX('3_ref_date'!$B:$B,MATCH(L6,'3_ref_date'!$A:$A,0)),"NOT FOUND")</f>
        <v/>
      </c>
      <c r="O6" s="2">
        <f>IFERROR(INDEX('3_ref_date'!$C:$C,MATCH(L6,'3_ref_date'!$A:$A,0)),"NOT FOUND")</f>
        <v/>
      </c>
      <c r="P6" s="4">
        <f>IFERROR(INDEX('3_ref_date'!$D:$D,MATCH(L6,'3_ref_date'!$A:$A,0)),"NOT FOUND")</f>
        <v/>
      </c>
      <c r="Q6" s="4">
        <f>IFERROR(INDEX('3_ref_date'!$E:$E,MATCH(L6,'3_ref_date'!$A:$A,0)),"NOT FOUND")</f>
        <v/>
      </c>
      <c r="R6" s="2">
        <f>IFERROR(INDEX('3_ref_date'!$F:$F,MATCH(L6,'3_ref_date'!$A:$A,0)),"NOT FOUND")</f>
        <v/>
      </c>
      <c r="S6" s="2">
        <f>IFERROR(INDEX('4_ref_time'!$D:$D,MATCH(ROUND(M6*1440,0),'4_ref_time'!$A:$A,0)),"NOT FOUND")</f>
        <v/>
      </c>
      <c r="T6" s="2">
        <f>UPPER(TRIM(C6))</f>
        <v/>
      </c>
      <c r="U6" s="30">
        <f>IF(_xlfn.MAXIFS('6_3nf_branch_history'!$B$2:$B$50,'6_3nf_branch_history'!$A$2:$A$50,T6,'6_3nf_branch_history'!$B$2:$B$50,"&lt;="&amp;L6)=0,"NOT FOUND",_xlfn.MAXIFS('6_3nf_branch_history'!$B$2:$B$50,'6_3nf_branch_history'!$A$2:$A$50,T6,'6_3nf_branch_history'!$B$2:$B$50,"&lt;="&amp;L6))</f>
        <v/>
      </c>
      <c r="V6" s="2">
        <f>IF(U6="NOT FOUND","NOT FOUND",INDEX('6_3nf_branch_history'!$C:$C,SUMPRODUCT(('6_3nf_branch_history'!$A$2:$A$50=T6)*('6_3nf_branch_history'!$B$2:$B$50=U6)*ROW('6_3nf_branch_history'!$A$2:$A$50))))</f>
        <v/>
      </c>
      <c r="W6" s="2">
        <f>IF(U6="NOT FOUND","NOT FOUND",INDEX('6_3nf_branch_history'!$D:$D,SUMPRODUCT(('6_3nf_branch_history'!$A$2:$A$50=T6)*('6_3nf_branch_history'!$B$2:$B$50=U6)*ROW('6_3nf_branch_history'!$A$2:$A$50))))</f>
        <v/>
      </c>
      <c r="X6" s="2">
        <f>IF(U6="NOT FOUND","NOT FOUND",INDEX('6_3nf_branch_history'!$E:$E,SUMPRODUCT(('6_3nf_branch_history'!$A$2:$A$50=T6)*('6_3nf_branch_history'!$B$2:$B$50=U6)*ROW('6_3nf_branch_history'!$A$2:$A$50))))</f>
        <v/>
      </c>
      <c r="Y6" s="2">
        <f>UPPER(TRIM(D6))</f>
        <v/>
      </c>
      <c r="Z6" s="2">
        <f>IFERROR(INDEX('7_3nf_product'!$B:$B,MATCH(Y6,'7_3nf_product'!$A:$A,0)),"NOT FOUND")</f>
        <v/>
      </c>
      <c r="AA6" s="2">
        <f>IFERROR(INDEX('7_3nf_product'!$C:$C,MATCH(Y6,'7_3nf_product'!$A:$A,0)),"NOT FOUND")</f>
        <v/>
      </c>
      <c r="AB6" s="2">
        <f>IFERROR(INDEX('7_3nf_product'!$D:$D,MATCH(Y6,'7_3nf_product'!$A:$A,0)),"NOT FOUND")</f>
        <v/>
      </c>
      <c r="AC6" s="6">
        <f>IFERROR(INDEX('7_3nf_product'!$E:$E,MATCH(Y6,'7_3nf_product'!$A:$A,0)),"NOT FOUND")</f>
        <v/>
      </c>
      <c r="AD6" s="33">
        <f>IF(LEN(TRIM(E6))=10,TRIM(E6),IF(LEN(TRIM(E6))=8,"00"&amp;TRIM(E6),"CHECK"))</f>
        <v/>
      </c>
      <c r="AE6" s="2">
        <f>IFERROR(INDEX('8_3nf_customer'!$C:$C,MATCH(AD6,'8_3nf_customer'!$B:$B,0)),"NOT FOUND")</f>
        <v/>
      </c>
      <c r="AF6" s="30">
        <f>IFERROR(INDEX('8_3nf_customer'!$D:$D,MATCH(AD6,'8_3nf_customer'!$B:$B,0)),"NOT FOUND")</f>
        <v/>
      </c>
      <c r="AG6" s="4">
        <f>IF(ISNUMBER(AF6),DATEDIF(AF6,L6,"y"),"NOT FOUND")</f>
        <v/>
      </c>
      <c r="AH6" s="2">
        <f>IFERROR(INDEX('8_3nf_customer'!$E:$E,MATCH(AD6,'8_3nf_customer'!$B:$B,0)),"NOT FOUND")</f>
        <v/>
      </c>
      <c r="AI6" s="30">
        <f>IF(_xlfn.MAXIFS('9_3nf_customer_history'!$B$2:$B$500,'9_3nf_customer_history'!$A$2:$A$500,AD6,'9_3nf_customer_history'!$B$2:$B$500,"&lt;="&amp;L6)=0,"NOT FOUND",_xlfn.MAXIFS('9_3nf_customer_history'!$B$2:$B$500,'9_3nf_customer_history'!$A$2:$A$500,AD6,'9_3nf_customer_history'!$B$2:$B$500,"&lt;="&amp;L6))</f>
        <v/>
      </c>
      <c r="AJ6" s="2">
        <f>IF(AI6="NOT FOUND","NOT FOUND",INDEX('9_3nf_customer_history'!$C:$C,SUMPRODUCT(('9_3nf_customer_history'!$A$2:$A$500=AD6)*('9_3nf_customer_history'!$B$2:$B$500=AI6)*ROW('9_3nf_customer_history'!$A$2:$A$500))))</f>
        <v/>
      </c>
      <c r="AK6" s="2">
        <f>IF(AI6="NOT FOUND","NOT FOUND",INDEX('9_3nf_customer_history'!$D:$D,SUMPRODUCT(('9_3nf_customer_history'!$A$2:$A$500=AD6)*('9_3nf_customer_history'!$B$2:$B$500=AI6)*ROW('9_3nf_customer_history'!$A$2:$A$500))))</f>
        <v/>
      </c>
      <c r="AL6" s="2">
        <f>UPPER(TRIM(H6))</f>
        <v/>
      </c>
      <c r="AM6" s="30">
        <f>IF(_xlfn.MAXIFS('10_ref_fx_rate'!$B$2:$B$2000,'10_ref_fx_rate'!$A$2:$A$2000,AL6,'10_ref_fx_rate'!$B$2:$B$2000,"&lt;="&amp;L6)=0,"NOT FOUND",_xlfn.MAXIFS('10_ref_fx_rate'!$B$2:$B$2000,'10_ref_fx_rate'!$A$2:$A$2000,AL6,'10_ref_fx_rate'!$B$2:$B$2000,"&lt;="&amp;L6))</f>
        <v/>
      </c>
      <c r="AN6" s="8">
        <f>IF(AM6="NOT FOUND","NOT FOUND",SUMIFS('10_ref_fx_rate'!$D$2:$D$2000,'10_ref_fx_rate'!$A$2:$A$2000,AL6,'10_ref_fx_rate'!$B$2:$B$2000,AM6))</f>
        <v/>
      </c>
      <c r="AO6" s="37">
        <f>IF(ISNUMBER(AN6),I6*AN6,"NOT FOUND")</f>
        <v/>
      </c>
      <c r="AP6" s="2">
        <f>UPPER(TRIM(J6))</f>
        <v/>
      </c>
      <c r="AQ6" s="2">
        <f>IF(AP6="","SELF-DIRECTED",IF(ISNUMBER(MATCH(AP6,'11_3nf_sales_person'!$A:$A,0)),IF(EXACT(AP6,J6),"OK","OK (auto-fixed)"),IF(ISNA(MATCH($A6,'12_sales_person_confirmation'!$A:$A,0)),"CONFIRM (not logged)",IF(INDEX('12_sales_person_confirmation'!$I:$I,MATCH($A6,'12_sales_person_confirmation'!$A:$A,0))="CONFIRMED","CONFIRMED ("&amp;LOWER(INDEX('12_sales_person_confirmation'!$E:$E,MATCH($A6,'12_sales_person_confirmation'!$A:$A,0)))&amp;")","PENDING CONFIRM"))))</f>
        <v/>
      </c>
      <c r="AR6" s="2">
        <f>IF(OR(AQ6="OK",AQ6="OK (auto-fixed)"),AP6,IF(LEFT(AQ6,9)="CONFIRMED",INDEX('12_sales_person_confirmation'!$F:$F,MATCH($A6,'12_sales_person_confirmation'!$A:$A,0)),""))</f>
        <v/>
      </c>
      <c r="AS6" s="2">
        <f>IF(AR6="","",INDEX('11_3nf_sales_person'!$B:$B,MATCH(AR6,'11_3nf_sales_person'!$A:$A,0)))</f>
        <v/>
      </c>
    </row>
    <row r="7">
      <c r="A7" s="2">
        <f>IF(ISBLANK('1_raw_log'!A7),"",'1_raw_log'!A7)</f>
        <v/>
      </c>
      <c r="B7" s="3">
        <f>IF(ISBLANK('1_raw_log'!B7),"",'1_raw_log'!B7)</f>
        <v/>
      </c>
      <c r="C7" s="2">
        <f>IF(ISBLANK('1_raw_log'!C7),"",'1_raw_log'!C7)</f>
        <v/>
      </c>
      <c r="D7" s="2">
        <f>IF(ISBLANK('1_raw_log'!D7),"",'1_raw_log'!D7)</f>
        <v/>
      </c>
      <c r="E7" s="4">
        <f>IF(ISBLANK('1_raw_log'!E7),"",'1_raw_log'!E7)</f>
        <v/>
      </c>
      <c r="F7" s="2">
        <f>IF(ISBLANK('1_raw_log'!F7),"",'1_raw_log'!F7)</f>
        <v/>
      </c>
      <c r="G7" s="2">
        <f>IF(ISBLANK('1_raw_log'!G7),"",'1_raw_log'!G7)</f>
        <v/>
      </c>
      <c r="H7" s="2">
        <f>IF(ISBLANK('1_raw_log'!H7),"",'1_raw_log'!H7)</f>
        <v/>
      </c>
      <c r="I7" s="7">
        <f>IF(ISBLANK('1_raw_log'!I7),"",'1_raw_log'!I7)</f>
        <v/>
      </c>
      <c r="J7" s="2">
        <f>IF(ISBLANK('1_raw_log'!J7),"",'1_raw_log'!J7)</f>
        <v/>
      </c>
      <c r="K7" s="2">
        <f>IF(ISBLANK('1_raw_log'!K7),"",'1_raw_log'!K7)</f>
        <v/>
      </c>
      <c r="L7" s="30">
        <f>INT(B7)</f>
        <v/>
      </c>
      <c r="M7" s="20">
        <f>ROUND(MOD(B7,1)*1440,0)/1440</f>
        <v/>
      </c>
      <c r="N7" s="4">
        <f>IFERROR(INDEX('3_ref_date'!$B:$B,MATCH(L7,'3_ref_date'!$A:$A,0)),"NOT FOUND")</f>
        <v/>
      </c>
      <c r="O7" s="2">
        <f>IFERROR(INDEX('3_ref_date'!$C:$C,MATCH(L7,'3_ref_date'!$A:$A,0)),"NOT FOUND")</f>
        <v/>
      </c>
      <c r="P7" s="4">
        <f>IFERROR(INDEX('3_ref_date'!$D:$D,MATCH(L7,'3_ref_date'!$A:$A,0)),"NOT FOUND")</f>
        <v/>
      </c>
      <c r="Q7" s="4">
        <f>IFERROR(INDEX('3_ref_date'!$E:$E,MATCH(L7,'3_ref_date'!$A:$A,0)),"NOT FOUND")</f>
        <v/>
      </c>
      <c r="R7" s="2">
        <f>IFERROR(INDEX('3_ref_date'!$F:$F,MATCH(L7,'3_ref_date'!$A:$A,0)),"NOT FOUND")</f>
        <v/>
      </c>
      <c r="S7" s="2">
        <f>IFERROR(INDEX('4_ref_time'!$D:$D,MATCH(ROUND(M7*1440,0),'4_ref_time'!$A:$A,0)),"NOT FOUND")</f>
        <v/>
      </c>
      <c r="T7" s="2">
        <f>UPPER(TRIM(C7))</f>
        <v/>
      </c>
      <c r="U7" s="30">
        <f>IF(_xlfn.MAXIFS('6_3nf_branch_history'!$B$2:$B$50,'6_3nf_branch_history'!$A$2:$A$50,T7,'6_3nf_branch_history'!$B$2:$B$50,"&lt;="&amp;L7)=0,"NOT FOUND",_xlfn.MAXIFS('6_3nf_branch_history'!$B$2:$B$50,'6_3nf_branch_history'!$A$2:$A$50,T7,'6_3nf_branch_history'!$B$2:$B$50,"&lt;="&amp;L7))</f>
        <v/>
      </c>
      <c r="V7" s="2">
        <f>IF(U7="NOT FOUND","NOT FOUND",INDEX('6_3nf_branch_history'!$C:$C,SUMPRODUCT(('6_3nf_branch_history'!$A$2:$A$50=T7)*('6_3nf_branch_history'!$B$2:$B$50=U7)*ROW('6_3nf_branch_history'!$A$2:$A$50))))</f>
        <v/>
      </c>
      <c r="W7" s="2">
        <f>IF(U7="NOT FOUND","NOT FOUND",INDEX('6_3nf_branch_history'!$D:$D,SUMPRODUCT(('6_3nf_branch_history'!$A$2:$A$50=T7)*('6_3nf_branch_history'!$B$2:$B$50=U7)*ROW('6_3nf_branch_history'!$A$2:$A$50))))</f>
        <v/>
      </c>
      <c r="X7" s="2">
        <f>IF(U7="NOT FOUND","NOT FOUND",INDEX('6_3nf_branch_history'!$E:$E,SUMPRODUCT(('6_3nf_branch_history'!$A$2:$A$50=T7)*('6_3nf_branch_history'!$B$2:$B$50=U7)*ROW('6_3nf_branch_history'!$A$2:$A$50))))</f>
        <v/>
      </c>
      <c r="Y7" s="2">
        <f>UPPER(TRIM(D7))</f>
        <v/>
      </c>
      <c r="Z7" s="2">
        <f>IFERROR(INDEX('7_3nf_product'!$B:$B,MATCH(Y7,'7_3nf_product'!$A:$A,0)),"NOT FOUND")</f>
        <v/>
      </c>
      <c r="AA7" s="2">
        <f>IFERROR(INDEX('7_3nf_product'!$C:$C,MATCH(Y7,'7_3nf_product'!$A:$A,0)),"NOT FOUND")</f>
        <v/>
      </c>
      <c r="AB7" s="2">
        <f>IFERROR(INDEX('7_3nf_product'!$D:$D,MATCH(Y7,'7_3nf_product'!$A:$A,0)),"NOT FOUND")</f>
        <v/>
      </c>
      <c r="AC7" s="6">
        <f>IFERROR(INDEX('7_3nf_product'!$E:$E,MATCH(Y7,'7_3nf_product'!$A:$A,0)),"NOT FOUND")</f>
        <v/>
      </c>
      <c r="AD7" s="33">
        <f>IF(LEN(TRIM(E7))=10,TRIM(E7),IF(LEN(TRIM(E7))=8,"00"&amp;TRIM(E7),"CHECK"))</f>
        <v/>
      </c>
      <c r="AE7" s="2">
        <f>IFERROR(INDEX('8_3nf_customer'!$C:$C,MATCH(AD7,'8_3nf_customer'!$B:$B,0)),"NOT FOUND")</f>
        <v/>
      </c>
      <c r="AF7" s="30">
        <f>IFERROR(INDEX('8_3nf_customer'!$D:$D,MATCH(AD7,'8_3nf_customer'!$B:$B,0)),"NOT FOUND")</f>
        <v/>
      </c>
      <c r="AG7" s="4">
        <f>IF(ISNUMBER(AF7),DATEDIF(AF7,L7,"y"),"NOT FOUND")</f>
        <v/>
      </c>
      <c r="AH7" s="2">
        <f>IFERROR(INDEX('8_3nf_customer'!$E:$E,MATCH(AD7,'8_3nf_customer'!$B:$B,0)),"NOT FOUND")</f>
        <v/>
      </c>
      <c r="AI7" s="30">
        <f>IF(_xlfn.MAXIFS('9_3nf_customer_history'!$B$2:$B$500,'9_3nf_customer_history'!$A$2:$A$500,AD7,'9_3nf_customer_history'!$B$2:$B$500,"&lt;="&amp;L7)=0,"NOT FOUND",_xlfn.MAXIFS('9_3nf_customer_history'!$B$2:$B$500,'9_3nf_customer_history'!$A$2:$A$500,AD7,'9_3nf_customer_history'!$B$2:$B$500,"&lt;="&amp;L7))</f>
        <v/>
      </c>
      <c r="AJ7" s="2">
        <f>IF(AI7="NOT FOUND","NOT FOUND",INDEX('9_3nf_customer_history'!$C:$C,SUMPRODUCT(('9_3nf_customer_history'!$A$2:$A$500=AD7)*('9_3nf_customer_history'!$B$2:$B$500=AI7)*ROW('9_3nf_customer_history'!$A$2:$A$500))))</f>
        <v/>
      </c>
      <c r="AK7" s="2">
        <f>IF(AI7="NOT FOUND","NOT FOUND",INDEX('9_3nf_customer_history'!$D:$D,SUMPRODUCT(('9_3nf_customer_history'!$A$2:$A$500=AD7)*('9_3nf_customer_history'!$B$2:$B$500=AI7)*ROW('9_3nf_customer_history'!$A$2:$A$500))))</f>
        <v/>
      </c>
      <c r="AL7" s="2">
        <f>UPPER(TRIM(H7))</f>
        <v/>
      </c>
      <c r="AM7" s="30">
        <f>IF(_xlfn.MAXIFS('10_ref_fx_rate'!$B$2:$B$2000,'10_ref_fx_rate'!$A$2:$A$2000,AL7,'10_ref_fx_rate'!$B$2:$B$2000,"&lt;="&amp;L7)=0,"NOT FOUND",_xlfn.MAXIFS('10_ref_fx_rate'!$B$2:$B$2000,'10_ref_fx_rate'!$A$2:$A$2000,AL7,'10_ref_fx_rate'!$B$2:$B$2000,"&lt;="&amp;L7))</f>
        <v/>
      </c>
      <c r="AN7" s="8">
        <f>IF(AM7="NOT FOUND","NOT FOUND",SUMIFS('10_ref_fx_rate'!$D$2:$D$2000,'10_ref_fx_rate'!$A$2:$A$2000,AL7,'10_ref_fx_rate'!$B$2:$B$2000,AM7))</f>
        <v/>
      </c>
      <c r="AO7" s="37">
        <f>IF(ISNUMBER(AN7),I7*AN7,"NOT FOUND")</f>
        <v/>
      </c>
      <c r="AP7" s="2">
        <f>UPPER(TRIM(J7))</f>
        <v/>
      </c>
      <c r="AQ7" s="2">
        <f>IF(AP7="","SELF-DIRECTED",IF(ISNUMBER(MATCH(AP7,'11_3nf_sales_person'!$A:$A,0)),IF(EXACT(AP7,J7),"OK","OK (auto-fixed)"),IF(ISNA(MATCH($A7,'12_sales_person_confirmation'!$A:$A,0)),"CONFIRM (not logged)",IF(INDEX('12_sales_person_confirmation'!$I:$I,MATCH($A7,'12_sales_person_confirmation'!$A:$A,0))="CONFIRMED","CONFIRMED ("&amp;LOWER(INDEX('12_sales_person_confirmation'!$E:$E,MATCH($A7,'12_sales_person_confirmation'!$A:$A,0)))&amp;")","PENDING CONFIRM"))))</f>
        <v/>
      </c>
      <c r="AR7" s="2">
        <f>IF(OR(AQ7="OK",AQ7="OK (auto-fixed)"),AP7,IF(LEFT(AQ7,9)="CONFIRMED",INDEX('12_sales_person_confirmation'!$F:$F,MATCH($A7,'12_sales_person_confirmation'!$A:$A,0)),""))</f>
        <v/>
      </c>
      <c r="AS7" s="2">
        <f>IF(AR7="","",INDEX('11_3nf_sales_person'!$B:$B,MATCH(AR7,'11_3nf_sales_person'!$A:$A,0)))</f>
        <v/>
      </c>
    </row>
    <row r="8">
      <c r="A8" s="2">
        <f>IF(ISBLANK('1_raw_log'!A8),"",'1_raw_log'!A8)</f>
        <v/>
      </c>
      <c r="B8" s="3">
        <f>IF(ISBLANK('1_raw_log'!B8),"",'1_raw_log'!B8)</f>
        <v/>
      </c>
      <c r="C8" s="2">
        <f>IF(ISBLANK('1_raw_log'!C8),"",'1_raw_log'!C8)</f>
        <v/>
      </c>
      <c r="D8" s="2">
        <f>IF(ISBLANK('1_raw_log'!D8),"",'1_raw_log'!D8)</f>
        <v/>
      </c>
      <c r="E8" s="4">
        <f>IF(ISBLANK('1_raw_log'!E8),"",'1_raw_log'!E8)</f>
        <v/>
      </c>
      <c r="F8" s="2">
        <f>IF(ISBLANK('1_raw_log'!F8),"",'1_raw_log'!F8)</f>
        <v/>
      </c>
      <c r="G8" s="2">
        <f>IF(ISBLANK('1_raw_log'!G8),"",'1_raw_log'!G8)</f>
        <v/>
      </c>
      <c r="H8" s="2">
        <f>IF(ISBLANK('1_raw_log'!H8),"",'1_raw_log'!H8)</f>
        <v/>
      </c>
      <c r="I8" s="7">
        <f>IF(ISBLANK('1_raw_log'!I8),"",'1_raw_log'!I8)</f>
        <v/>
      </c>
      <c r="J8" s="2">
        <f>IF(ISBLANK('1_raw_log'!J8),"",'1_raw_log'!J8)</f>
        <v/>
      </c>
      <c r="K8" s="2">
        <f>IF(ISBLANK('1_raw_log'!K8),"",'1_raw_log'!K8)</f>
        <v/>
      </c>
      <c r="L8" s="30">
        <f>INT(B8)</f>
        <v/>
      </c>
      <c r="M8" s="20">
        <f>ROUND(MOD(B8,1)*1440,0)/1440</f>
        <v/>
      </c>
      <c r="N8" s="4">
        <f>IFERROR(INDEX('3_ref_date'!$B:$B,MATCH(L8,'3_ref_date'!$A:$A,0)),"NOT FOUND")</f>
        <v/>
      </c>
      <c r="O8" s="2">
        <f>IFERROR(INDEX('3_ref_date'!$C:$C,MATCH(L8,'3_ref_date'!$A:$A,0)),"NOT FOUND")</f>
        <v/>
      </c>
      <c r="P8" s="4">
        <f>IFERROR(INDEX('3_ref_date'!$D:$D,MATCH(L8,'3_ref_date'!$A:$A,0)),"NOT FOUND")</f>
        <v/>
      </c>
      <c r="Q8" s="4">
        <f>IFERROR(INDEX('3_ref_date'!$E:$E,MATCH(L8,'3_ref_date'!$A:$A,0)),"NOT FOUND")</f>
        <v/>
      </c>
      <c r="R8" s="2">
        <f>IFERROR(INDEX('3_ref_date'!$F:$F,MATCH(L8,'3_ref_date'!$A:$A,0)),"NOT FOUND")</f>
        <v/>
      </c>
      <c r="S8" s="2">
        <f>IFERROR(INDEX('4_ref_time'!$D:$D,MATCH(ROUND(M8*1440,0),'4_ref_time'!$A:$A,0)),"NOT FOUND")</f>
        <v/>
      </c>
      <c r="T8" s="2">
        <f>UPPER(TRIM(C8))</f>
        <v/>
      </c>
      <c r="U8" s="30">
        <f>IF(_xlfn.MAXIFS('6_3nf_branch_history'!$B$2:$B$50,'6_3nf_branch_history'!$A$2:$A$50,T8,'6_3nf_branch_history'!$B$2:$B$50,"&lt;="&amp;L8)=0,"NOT FOUND",_xlfn.MAXIFS('6_3nf_branch_history'!$B$2:$B$50,'6_3nf_branch_history'!$A$2:$A$50,T8,'6_3nf_branch_history'!$B$2:$B$50,"&lt;="&amp;L8))</f>
        <v/>
      </c>
      <c r="V8" s="2">
        <f>IF(U8="NOT FOUND","NOT FOUND",INDEX('6_3nf_branch_history'!$C:$C,SUMPRODUCT(('6_3nf_branch_history'!$A$2:$A$50=T8)*('6_3nf_branch_history'!$B$2:$B$50=U8)*ROW('6_3nf_branch_history'!$A$2:$A$50))))</f>
        <v/>
      </c>
      <c r="W8" s="2">
        <f>IF(U8="NOT FOUND","NOT FOUND",INDEX('6_3nf_branch_history'!$D:$D,SUMPRODUCT(('6_3nf_branch_history'!$A$2:$A$50=T8)*('6_3nf_branch_history'!$B$2:$B$50=U8)*ROW('6_3nf_branch_history'!$A$2:$A$50))))</f>
        <v/>
      </c>
      <c r="X8" s="2">
        <f>IF(U8="NOT FOUND","NOT FOUND",INDEX('6_3nf_branch_history'!$E:$E,SUMPRODUCT(('6_3nf_branch_history'!$A$2:$A$50=T8)*('6_3nf_branch_history'!$B$2:$B$50=U8)*ROW('6_3nf_branch_history'!$A$2:$A$50))))</f>
        <v/>
      </c>
      <c r="Y8" s="2">
        <f>UPPER(TRIM(D8))</f>
        <v/>
      </c>
      <c r="Z8" s="2">
        <f>IFERROR(INDEX('7_3nf_product'!$B:$B,MATCH(Y8,'7_3nf_product'!$A:$A,0)),"NOT FOUND")</f>
        <v/>
      </c>
      <c r="AA8" s="2">
        <f>IFERROR(INDEX('7_3nf_product'!$C:$C,MATCH(Y8,'7_3nf_product'!$A:$A,0)),"NOT FOUND")</f>
        <v/>
      </c>
      <c r="AB8" s="2">
        <f>IFERROR(INDEX('7_3nf_product'!$D:$D,MATCH(Y8,'7_3nf_product'!$A:$A,0)),"NOT FOUND")</f>
        <v/>
      </c>
      <c r="AC8" s="6">
        <f>IFERROR(INDEX('7_3nf_product'!$E:$E,MATCH(Y8,'7_3nf_product'!$A:$A,0)),"NOT FOUND")</f>
        <v/>
      </c>
      <c r="AD8" s="33">
        <f>IF(LEN(TRIM(E8))=10,TRIM(E8),IF(LEN(TRIM(E8))=8,"00"&amp;TRIM(E8),"CHECK"))</f>
        <v/>
      </c>
      <c r="AE8" s="2">
        <f>IFERROR(INDEX('8_3nf_customer'!$C:$C,MATCH(AD8,'8_3nf_customer'!$B:$B,0)),"NOT FOUND")</f>
        <v/>
      </c>
      <c r="AF8" s="30">
        <f>IFERROR(INDEX('8_3nf_customer'!$D:$D,MATCH(AD8,'8_3nf_customer'!$B:$B,0)),"NOT FOUND")</f>
        <v/>
      </c>
      <c r="AG8" s="4">
        <f>IF(ISNUMBER(AF8),DATEDIF(AF8,L8,"y"),"NOT FOUND")</f>
        <v/>
      </c>
      <c r="AH8" s="2">
        <f>IFERROR(INDEX('8_3nf_customer'!$E:$E,MATCH(AD8,'8_3nf_customer'!$B:$B,0)),"NOT FOUND")</f>
        <v/>
      </c>
      <c r="AI8" s="30">
        <f>IF(_xlfn.MAXIFS('9_3nf_customer_history'!$B$2:$B$500,'9_3nf_customer_history'!$A$2:$A$500,AD8,'9_3nf_customer_history'!$B$2:$B$500,"&lt;="&amp;L8)=0,"NOT FOUND",_xlfn.MAXIFS('9_3nf_customer_history'!$B$2:$B$500,'9_3nf_customer_history'!$A$2:$A$500,AD8,'9_3nf_customer_history'!$B$2:$B$500,"&lt;="&amp;L8))</f>
        <v/>
      </c>
      <c r="AJ8" s="2">
        <f>IF(AI8="NOT FOUND","NOT FOUND",INDEX('9_3nf_customer_history'!$C:$C,SUMPRODUCT(('9_3nf_customer_history'!$A$2:$A$500=AD8)*('9_3nf_customer_history'!$B$2:$B$500=AI8)*ROW('9_3nf_customer_history'!$A$2:$A$500))))</f>
        <v/>
      </c>
      <c r="AK8" s="2">
        <f>IF(AI8="NOT FOUND","NOT FOUND",INDEX('9_3nf_customer_history'!$D:$D,SUMPRODUCT(('9_3nf_customer_history'!$A$2:$A$500=AD8)*('9_3nf_customer_history'!$B$2:$B$500=AI8)*ROW('9_3nf_customer_history'!$A$2:$A$500))))</f>
        <v/>
      </c>
      <c r="AL8" s="2">
        <f>UPPER(TRIM(H8))</f>
        <v/>
      </c>
      <c r="AM8" s="30">
        <f>IF(_xlfn.MAXIFS('10_ref_fx_rate'!$B$2:$B$2000,'10_ref_fx_rate'!$A$2:$A$2000,AL8,'10_ref_fx_rate'!$B$2:$B$2000,"&lt;="&amp;L8)=0,"NOT FOUND",_xlfn.MAXIFS('10_ref_fx_rate'!$B$2:$B$2000,'10_ref_fx_rate'!$A$2:$A$2000,AL8,'10_ref_fx_rate'!$B$2:$B$2000,"&lt;="&amp;L8))</f>
        <v/>
      </c>
      <c r="AN8" s="8">
        <f>IF(AM8="NOT FOUND","NOT FOUND",SUMIFS('10_ref_fx_rate'!$D$2:$D$2000,'10_ref_fx_rate'!$A$2:$A$2000,AL8,'10_ref_fx_rate'!$B$2:$B$2000,AM8))</f>
        <v/>
      </c>
      <c r="AO8" s="37">
        <f>IF(ISNUMBER(AN8),I8*AN8,"NOT FOUND")</f>
        <v/>
      </c>
      <c r="AP8" s="2">
        <f>UPPER(TRIM(J8))</f>
        <v/>
      </c>
      <c r="AQ8" s="2">
        <f>IF(AP8="","SELF-DIRECTED",IF(ISNUMBER(MATCH(AP8,'11_3nf_sales_person'!$A:$A,0)),IF(EXACT(AP8,J8),"OK","OK (auto-fixed)"),IF(ISNA(MATCH($A8,'12_sales_person_confirmation'!$A:$A,0)),"CONFIRM (not logged)",IF(INDEX('12_sales_person_confirmation'!$I:$I,MATCH($A8,'12_sales_person_confirmation'!$A:$A,0))="CONFIRMED","CONFIRMED ("&amp;LOWER(INDEX('12_sales_person_confirmation'!$E:$E,MATCH($A8,'12_sales_person_confirmation'!$A:$A,0)))&amp;")","PENDING CONFIRM"))))</f>
        <v/>
      </c>
      <c r="AR8" s="2">
        <f>IF(OR(AQ8="OK",AQ8="OK (auto-fixed)"),AP8,IF(LEFT(AQ8,9)="CONFIRMED",INDEX('12_sales_person_confirmation'!$F:$F,MATCH($A8,'12_sales_person_confirmation'!$A:$A,0)),""))</f>
        <v/>
      </c>
      <c r="AS8" s="2">
        <f>IF(AR8="","",INDEX('11_3nf_sales_person'!$B:$B,MATCH(AR8,'11_3nf_sales_person'!$A:$A,0)))</f>
        <v/>
      </c>
    </row>
    <row r="9">
      <c r="A9" s="2">
        <f>IF(ISBLANK('1_raw_log'!A9),"",'1_raw_log'!A9)</f>
        <v/>
      </c>
      <c r="B9" s="3">
        <f>IF(ISBLANK('1_raw_log'!B9),"",'1_raw_log'!B9)</f>
        <v/>
      </c>
      <c r="C9" s="2">
        <f>IF(ISBLANK('1_raw_log'!C9),"",'1_raw_log'!C9)</f>
        <v/>
      </c>
      <c r="D9" s="2">
        <f>IF(ISBLANK('1_raw_log'!D9),"",'1_raw_log'!D9)</f>
        <v/>
      </c>
      <c r="E9" s="4">
        <f>IF(ISBLANK('1_raw_log'!E9),"",'1_raw_log'!E9)</f>
        <v/>
      </c>
      <c r="F9" s="2">
        <f>IF(ISBLANK('1_raw_log'!F9),"",'1_raw_log'!F9)</f>
        <v/>
      </c>
      <c r="G9" s="2">
        <f>IF(ISBLANK('1_raw_log'!G9),"",'1_raw_log'!G9)</f>
        <v/>
      </c>
      <c r="H9" s="2">
        <f>IF(ISBLANK('1_raw_log'!H9),"",'1_raw_log'!H9)</f>
        <v/>
      </c>
      <c r="I9" s="7">
        <f>IF(ISBLANK('1_raw_log'!I9),"",'1_raw_log'!I9)</f>
        <v/>
      </c>
      <c r="J9" s="2">
        <f>IF(ISBLANK('1_raw_log'!J9),"",'1_raw_log'!J9)</f>
        <v/>
      </c>
      <c r="K9" s="2">
        <f>IF(ISBLANK('1_raw_log'!K9),"",'1_raw_log'!K9)</f>
        <v/>
      </c>
      <c r="L9" s="30">
        <f>INT(B9)</f>
        <v/>
      </c>
      <c r="M9" s="20">
        <f>ROUND(MOD(B9,1)*1440,0)/1440</f>
        <v/>
      </c>
      <c r="N9" s="4">
        <f>IFERROR(INDEX('3_ref_date'!$B:$B,MATCH(L9,'3_ref_date'!$A:$A,0)),"NOT FOUND")</f>
        <v/>
      </c>
      <c r="O9" s="2">
        <f>IFERROR(INDEX('3_ref_date'!$C:$C,MATCH(L9,'3_ref_date'!$A:$A,0)),"NOT FOUND")</f>
        <v/>
      </c>
      <c r="P9" s="4">
        <f>IFERROR(INDEX('3_ref_date'!$D:$D,MATCH(L9,'3_ref_date'!$A:$A,0)),"NOT FOUND")</f>
        <v/>
      </c>
      <c r="Q9" s="4">
        <f>IFERROR(INDEX('3_ref_date'!$E:$E,MATCH(L9,'3_ref_date'!$A:$A,0)),"NOT FOUND")</f>
        <v/>
      </c>
      <c r="R9" s="2">
        <f>IFERROR(INDEX('3_ref_date'!$F:$F,MATCH(L9,'3_ref_date'!$A:$A,0)),"NOT FOUND")</f>
        <v/>
      </c>
      <c r="S9" s="2">
        <f>IFERROR(INDEX('4_ref_time'!$D:$D,MATCH(ROUND(M9*1440,0),'4_ref_time'!$A:$A,0)),"NOT FOUND")</f>
        <v/>
      </c>
      <c r="T9" s="2">
        <f>UPPER(TRIM(C9))</f>
        <v/>
      </c>
      <c r="U9" s="30">
        <f>IF(_xlfn.MAXIFS('6_3nf_branch_history'!$B$2:$B$50,'6_3nf_branch_history'!$A$2:$A$50,T9,'6_3nf_branch_history'!$B$2:$B$50,"&lt;="&amp;L9)=0,"NOT FOUND",_xlfn.MAXIFS('6_3nf_branch_history'!$B$2:$B$50,'6_3nf_branch_history'!$A$2:$A$50,T9,'6_3nf_branch_history'!$B$2:$B$50,"&lt;="&amp;L9))</f>
        <v/>
      </c>
      <c r="V9" s="2">
        <f>IF(U9="NOT FOUND","NOT FOUND",INDEX('6_3nf_branch_history'!$C:$C,SUMPRODUCT(('6_3nf_branch_history'!$A$2:$A$50=T9)*('6_3nf_branch_history'!$B$2:$B$50=U9)*ROW('6_3nf_branch_history'!$A$2:$A$50))))</f>
        <v/>
      </c>
      <c r="W9" s="2">
        <f>IF(U9="NOT FOUND","NOT FOUND",INDEX('6_3nf_branch_history'!$D:$D,SUMPRODUCT(('6_3nf_branch_history'!$A$2:$A$50=T9)*('6_3nf_branch_history'!$B$2:$B$50=U9)*ROW('6_3nf_branch_history'!$A$2:$A$50))))</f>
        <v/>
      </c>
      <c r="X9" s="2">
        <f>IF(U9="NOT FOUND","NOT FOUND",INDEX('6_3nf_branch_history'!$E:$E,SUMPRODUCT(('6_3nf_branch_history'!$A$2:$A$50=T9)*('6_3nf_branch_history'!$B$2:$B$50=U9)*ROW('6_3nf_branch_history'!$A$2:$A$50))))</f>
        <v/>
      </c>
      <c r="Y9" s="2">
        <f>UPPER(TRIM(D9))</f>
        <v/>
      </c>
      <c r="Z9" s="2">
        <f>IFERROR(INDEX('7_3nf_product'!$B:$B,MATCH(Y9,'7_3nf_product'!$A:$A,0)),"NOT FOUND")</f>
        <v/>
      </c>
      <c r="AA9" s="2">
        <f>IFERROR(INDEX('7_3nf_product'!$C:$C,MATCH(Y9,'7_3nf_product'!$A:$A,0)),"NOT FOUND")</f>
        <v/>
      </c>
      <c r="AB9" s="2">
        <f>IFERROR(INDEX('7_3nf_product'!$D:$D,MATCH(Y9,'7_3nf_product'!$A:$A,0)),"NOT FOUND")</f>
        <v/>
      </c>
      <c r="AC9" s="6">
        <f>IFERROR(INDEX('7_3nf_product'!$E:$E,MATCH(Y9,'7_3nf_product'!$A:$A,0)),"NOT FOUND")</f>
        <v/>
      </c>
      <c r="AD9" s="33">
        <f>IF(LEN(TRIM(E9))=10,TRIM(E9),IF(LEN(TRIM(E9))=8,"00"&amp;TRIM(E9),"CHECK"))</f>
        <v/>
      </c>
      <c r="AE9" s="2">
        <f>IFERROR(INDEX('8_3nf_customer'!$C:$C,MATCH(AD9,'8_3nf_customer'!$B:$B,0)),"NOT FOUND")</f>
        <v/>
      </c>
      <c r="AF9" s="30">
        <f>IFERROR(INDEX('8_3nf_customer'!$D:$D,MATCH(AD9,'8_3nf_customer'!$B:$B,0)),"NOT FOUND")</f>
        <v/>
      </c>
      <c r="AG9" s="4">
        <f>IF(ISNUMBER(AF9),DATEDIF(AF9,L9,"y"),"NOT FOUND")</f>
        <v/>
      </c>
      <c r="AH9" s="2">
        <f>IFERROR(INDEX('8_3nf_customer'!$E:$E,MATCH(AD9,'8_3nf_customer'!$B:$B,0)),"NOT FOUND")</f>
        <v/>
      </c>
      <c r="AI9" s="30">
        <f>IF(_xlfn.MAXIFS('9_3nf_customer_history'!$B$2:$B$500,'9_3nf_customer_history'!$A$2:$A$500,AD9,'9_3nf_customer_history'!$B$2:$B$500,"&lt;="&amp;L9)=0,"NOT FOUND",_xlfn.MAXIFS('9_3nf_customer_history'!$B$2:$B$500,'9_3nf_customer_history'!$A$2:$A$500,AD9,'9_3nf_customer_history'!$B$2:$B$500,"&lt;="&amp;L9))</f>
        <v/>
      </c>
      <c r="AJ9" s="2">
        <f>IF(AI9="NOT FOUND","NOT FOUND",INDEX('9_3nf_customer_history'!$C:$C,SUMPRODUCT(('9_3nf_customer_history'!$A$2:$A$500=AD9)*('9_3nf_customer_history'!$B$2:$B$500=AI9)*ROW('9_3nf_customer_history'!$A$2:$A$500))))</f>
        <v/>
      </c>
      <c r="AK9" s="2">
        <f>IF(AI9="NOT FOUND","NOT FOUND",INDEX('9_3nf_customer_history'!$D:$D,SUMPRODUCT(('9_3nf_customer_history'!$A$2:$A$500=AD9)*('9_3nf_customer_history'!$B$2:$B$500=AI9)*ROW('9_3nf_customer_history'!$A$2:$A$500))))</f>
        <v/>
      </c>
      <c r="AL9" s="2">
        <f>UPPER(TRIM(H9))</f>
        <v/>
      </c>
      <c r="AM9" s="30">
        <f>IF(_xlfn.MAXIFS('10_ref_fx_rate'!$B$2:$B$2000,'10_ref_fx_rate'!$A$2:$A$2000,AL9,'10_ref_fx_rate'!$B$2:$B$2000,"&lt;="&amp;L9)=0,"NOT FOUND",_xlfn.MAXIFS('10_ref_fx_rate'!$B$2:$B$2000,'10_ref_fx_rate'!$A$2:$A$2000,AL9,'10_ref_fx_rate'!$B$2:$B$2000,"&lt;="&amp;L9))</f>
        <v/>
      </c>
      <c r="AN9" s="8">
        <f>IF(AM9="NOT FOUND","NOT FOUND",SUMIFS('10_ref_fx_rate'!$D$2:$D$2000,'10_ref_fx_rate'!$A$2:$A$2000,AL9,'10_ref_fx_rate'!$B$2:$B$2000,AM9))</f>
        <v/>
      </c>
      <c r="AO9" s="37">
        <f>IF(ISNUMBER(AN9),I9*AN9,"NOT FOUND")</f>
        <v/>
      </c>
      <c r="AP9" s="2">
        <f>UPPER(TRIM(J9))</f>
        <v/>
      </c>
      <c r="AQ9" s="2">
        <f>IF(AP9="","SELF-DIRECTED",IF(ISNUMBER(MATCH(AP9,'11_3nf_sales_person'!$A:$A,0)),IF(EXACT(AP9,J9),"OK","OK (auto-fixed)"),IF(ISNA(MATCH($A9,'12_sales_person_confirmation'!$A:$A,0)),"CONFIRM (not logged)",IF(INDEX('12_sales_person_confirmation'!$I:$I,MATCH($A9,'12_sales_person_confirmation'!$A:$A,0))="CONFIRMED","CONFIRMED ("&amp;LOWER(INDEX('12_sales_person_confirmation'!$E:$E,MATCH($A9,'12_sales_person_confirmation'!$A:$A,0)))&amp;")","PENDING CONFIRM"))))</f>
        <v/>
      </c>
      <c r="AR9" s="2">
        <f>IF(OR(AQ9="OK",AQ9="OK (auto-fixed)"),AP9,IF(LEFT(AQ9,9)="CONFIRMED",INDEX('12_sales_person_confirmation'!$F:$F,MATCH($A9,'12_sales_person_confirmation'!$A:$A,0)),""))</f>
        <v/>
      </c>
      <c r="AS9" s="2">
        <f>IF(AR9="","",INDEX('11_3nf_sales_person'!$B:$B,MATCH(AR9,'11_3nf_sales_person'!$A:$A,0)))</f>
        <v/>
      </c>
    </row>
    <row r="10">
      <c r="A10" s="2">
        <f>IF(ISBLANK('1_raw_log'!A10),"",'1_raw_log'!A10)</f>
        <v/>
      </c>
      <c r="B10" s="3">
        <f>IF(ISBLANK('1_raw_log'!B10),"",'1_raw_log'!B10)</f>
        <v/>
      </c>
      <c r="C10" s="2">
        <f>IF(ISBLANK('1_raw_log'!C10),"",'1_raw_log'!C10)</f>
        <v/>
      </c>
      <c r="D10" s="2">
        <f>IF(ISBLANK('1_raw_log'!D10),"",'1_raw_log'!D10)</f>
        <v/>
      </c>
      <c r="E10" s="4">
        <f>IF(ISBLANK('1_raw_log'!E10),"",'1_raw_log'!E10)</f>
        <v/>
      </c>
      <c r="F10" s="2">
        <f>IF(ISBLANK('1_raw_log'!F10),"",'1_raw_log'!F10)</f>
        <v/>
      </c>
      <c r="G10" s="2">
        <f>IF(ISBLANK('1_raw_log'!G10),"",'1_raw_log'!G10)</f>
        <v/>
      </c>
      <c r="H10" s="2">
        <f>IF(ISBLANK('1_raw_log'!H10),"",'1_raw_log'!H10)</f>
        <v/>
      </c>
      <c r="I10" s="7">
        <f>IF(ISBLANK('1_raw_log'!I10),"",'1_raw_log'!I10)</f>
        <v/>
      </c>
      <c r="J10" s="2">
        <f>IF(ISBLANK('1_raw_log'!J10),"",'1_raw_log'!J10)</f>
        <v/>
      </c>
      <c r="K10" s="2">
        <f>IF(ISBLANK('1_raw_log'!K10),"",'1_raw_log'!K10)</f>
        <v/>
      </c>
      <c r="L10" s="30">
        <f>INT(B10)</f>
        <v/>
      </c>
      <c r="M10" s="20">
        <f>ROUND(MOD(B10,1)*1440,0)/1440</f>
        <v/>
      </c>
      <c r="N10" s="4">
        <f>IFERROR(INDEX('3_ref_date'!$B:$B,MATCH(L10,'3_ref_date'!$A:$A,0)),"NOT FOUND")</f>
        <v/>
      </c>
      <c r="O10" s="2">
        <f>IFERROR(INDEX('3_ref_date'!$C:$C,MATCH(L10,'3_ref_date'!$A:$A,0)),"NOT FOUND")</f>
        <v/>
      </c>
      <c r="P10" s="4">
        <f>IFERROR(INDEX('3_ref_date'!$D:$D,MATCH(L10,'3_ref_date'!$A:$A,0)),"NOT FOUND")</f>
        <v/>
      </c>
      <c r="Q10" s="4">
        <f>IFERROR(INDEX('3_ref_date'!$E:$E,MATCH(L10,'3_ref_date'!$A:$A,0)),"NOT FOUND")</f>
        <v/>
      </c>
      <c r="R10" s="2">
        <f>IFERROR(INDEX('3_ref_date'!$F:$F,MATCH(L10,'3_ref_date'!$A:$A,0)),"NOT FOUND")</f>
        <v/>
      </c>
      <c r="S10" s="2">
        <f>IFERROR(INDEX('4_ref_time'!$D:$D,MATCH(ROUND(M10*1440,0),'4_ref_time'!$A:$A,0)),"NOT FOUND")</f>
        <v/>
      </c>
      <c r="T10" s="2">
        <f>UPPER(TRIM(C10))</f>
        <v/>
      </c>
      <c r="U10" s="30">
        <f>IF(_xlfn.MAXIFS('6_3nf_branch_history'!$B$2:$B$50,'6_3nf_branch_history'!$A$2:$A$50,T10,'6_3nf_branch_history'!$B$2:$B$50,"&lt;="&amp;L10)=0,"NOT FOUND",_xlfn.MAXIFS('6_3nf_branch_history'!$B$2:$B$50,'6_3nf_branch_history'!$A$2:$A$50,T10,'6_3nf_branch_history'!$B$2:$B$50,"&lt;="&amp;L10))</f>
        <v/>
      </c>
      <c r="V10" s="2">
        <f>IF(U10="NOT FOUND","NOT FOUND",INDEX('6_3nf_branch_history'!$C:$C,SUMPRODUCT(('6_3nf_branch_history'!$A$2:$A$50=T10)*('6_3nf_branch_history'!$B$2:$B$50=U10)*ROW('6_3nf_branch_history'!$A$2:$A$50))))</f>
        <v/>
      </c>
      <c r="W10" s="2">
        <f>IF(U10="NOT FOUND","NOT FOUND",INDEX('6_3nf_branch_history'!$D:$D,SUMPRODUCT(('6_3nf_branch_history'!$A$2:$A$50=T10)*('6_3nf_branch_history'!$B$2:$B$50=U10)*ROW('6_3nf_branch_history'!$A$2:$A$50))))</f>
        <v/>
      </c>
      <c r="X10" s="2">
        <f>IF(U10="NOT FOUND","NOT FOUND",INDEX('6_3nf_branch_history'!$E:$E,SUMPRODUCT(('6_3nf_branch_history'!$A$2:$A$50=T10)*('6_3nf_branch_history'!$B$2:$B$50=U10)*ROW('6_3nf_branch_history'!$A$2:$A$50))))</f>
        <v/>
      </c>
      <c r="Y10" s="2">
        <f>UPPER(TRIM(D10))</f>
        <v/>
      </c>
      <c r="Z10" s="2">
        <f>IFERROR(INDEX('7_3nf_product'!$B:$B,MATCH(Y10,'7_3nf_product'!$A:$A,0)),"NOT FOUND")</f>
        <v/>
      </c>
      <c r="AA10" s="2">
        <f>IFERROR(INDEX('7_3nf_product'!$C:$C,MATCH(Y10,'7_3nf_product'!$A:$A,0)),"NOT FOUND")</f>
        <v/>
      </c>
      <c r="AB10" s="2">
        <f>IFERROR(INDEX('7_3nf_product'!$D:$D,MATCH(Y10,'7_3nf_product'!$A:$A,0)),"NOT FOUND")</f>
        <v/>
      </c>
      <c r="AC10" s="6">
        <f>IFERROR(INDEX('7_3nf_product'!$E:$E,MATCH(Y10,'7_3nf_product'!$A:$A,0)),"NOT FOUND")</f>
        <v/>
      </c>
      <c r="AD10" s="33">
        <f>IF(LEN(TRIM(E10))=10,TRIM(E10),IF(LEN(TRIM(E10))=8,"00"&amp;TRIM(E10),"CHECK"))</f>
        <v/>
      </c>
      <c r="AE10" s="2">
        <f>IFERROR(INDEX('8_3nf_customer'!$C:$C,MATCH(AD10,'8_3nf_customer'!$B:$B,0)),"NOT FOUND")</f>
        <v/>
      </c>
      <c r="AF10" s="30">
        <f>IFERROR(INDEX('8_3nf_customer'!$D:$D,MATCH(AD10,'8_3nf_customer'!$B:$B,0)),"NOT FOUND")</f>
        <v/>
      </c>
      <c r="AG10" s="4">
        <f>IF(ISNUMBER(AF10),DATEDIF(AF10,L10,"y"),"NOT FOUND")</f>
        <v/>
      </c>
      <c r="AH10" s="2">
        <f>IFERROR(INDEX('8_3nf_customer'!$E:$E,MATCH(AD10,'8_3nf_customer'!$B:$B,0)),"NOT FOUND")</f>
        <v/>
      </c>
      <c r="AI10" s="30">
        <f>IF(_xlfn.MAXIFS('9_3nf_customer_history'!$B$2:$B$500,'9_3nf_customer_history'!$A$2:$A$500,AD10,'9_3nf_customer_history'!$B$2:$B$500,"&lt;="&amp;L10)=0,"NOT FOUND",_xlfn.MAXIFS('9_3nf_customer_history'!$B$2:$B$500,'9_3nf_customer_history'!$A$2:$A$500,AD10,'9_3nf_customer_history'!$B$2:$B$500,"&lt;="&amp;L10))</f>
        <v/>
      </c>
      <c r="AJ10" s="2">
        <f>IF(AI10="NOT FOUND","NOT FOUND",INDEX('9_3nf_customer_history'!$C:$C,SUMPRODUCT(('9_3nf_customer_history'!$A$2:$A$500=AD10)*('9_3nf_customer_history'!$B$2:$B$500=AI10)*ROW('9_3nf_customer_history'!$A$2:$A$500))))</f>
        <v/>
      </c>
      <c r="AK10" s="2">
        <f>IF(AI10="NOT FOUND","NOT FOUND",INDEX('9_3nf_customer_history'!$D:$D,SUMPRODUCT(('9_3nf_customer_history'!$A$2:$A$500=AD10)*('9_3nf_customer_history'!$B$2:$B$500=AI10)*ROW('9_3nf_customer_history'!$A$2:$A$500))))</f>
        <v/>
      </c>
      <c r="AL10" s="2">
        <f>UPPER(TRIM(H10))</f>
        <v/>
      </c>
      <c r="AM10" s="30">
        <f>IF(_xlfn.MAXIFS('10_ref_fx_rate'!$B$2:$B$2000,'10_ref_fx_rate'!$A$2:$A$2000,AL10,'10_ref_fx_rate'!$B$2:$B$2000,"&lt;="&amp;L10)=0,"NOT FOUND",_xlfn.MAXIFS('10_ref_fx_rate'!$B$2:$B$2000,'10_ref_fx_rate'!$A$2:$A$2000,AL10,'10_ref_fx_rate'!$B$2:$B$2000,"&lt;="&amp;L10))</f>
        <v/>
      </c>
      <c r="AN10" s="8">
        <f>IF(AM10="NOT FOUND","NOT FOUND",SUMIFS('10_ref_fx_rate'!$D$2:$D$2000,'10_ref_fx_rate'!$A$2:$A$2000,AL10,'10_ref_fx_rate'!$B$2:$B$2000,AM10))</f>
        <v/>
      </c>
      <c r="AO10" s="37">
        <f>IF(ISNUMBER(AN10),I10*AN10,"NOT FOUND")</f>
        <v/>
      </c>
      <c r="AP10" s="2">
        <f>UPPER(TRIM(J10))</f>
        <v/>
      </c>
      <c r="AQ10" s="2">
        <f>IF(AP10="","SELF-DIRECTED",IF(ISNUMBER(MATCH(AP10,'11_3nf_sales_person'!$A:$A,0)),IF(EXACT(AP10,J10),"OK","OK (auto-fixed)"),IF(ISNA(MATCH($A10,'12_sales_person_confirmation'!$A:$A,0)),"CONFIRM (not logged)",IF(INDEX('12_sales_person_confirmation'!$I:$I,MATCH($A10,'12_sales_person_confirmation'!$A:$A,0))="CONFIRMED","CONFIRMED ("&amp;LOWER(INDEX('12_sales_person_confirmation'!$E:$E,MATCH($A10,'12_sales_person_confirmation'!$A:$A,0)))&amp;")","PENDING CONFIRM"))))</f>
        <v/>
      </c>
      <c r="AR10" s="2">
        <f>IF(OR(AQ10="OK",AQ10="OK (auto-fixed)"),AP10,IF(LEFT(AQ10,9)="CONFIRMED",INDEX('12_sales_person_confirmation'!$F:$F,MATCH($A10,'12_sales_person_confirmation'!$A:$A,0)),""))</f>
        <v/>
      </c>
      <c r="AS10" s="2">
        <f>IF(AR10="","",INDEX('11_3nf_sales_person'!$B:$B,MATCH(AR10,'11_3nf_sales_person'!$A:$A,0)))</f>
        <v/>
      </c>
    </row>
    <row r="11">
      <c r="A11" s="2">
        <f>IF(ISBLANK('1_raw_log'!A11),"",'1_raw_log'!A11)</f>
        <v/>
      </c>
      <c r="B11" s="3">
        <f>IF(ISBLANK('1_raw_log'!B11),"",'1_raw_log'!B11)</f>
        <v/>
      </c>
      <c r="C11" s="2">
        <f>IF(ISBLANK('1_raw_log'!C11),"",'1_raw_log'!C11)</f>
        <v/>
      </c>
      <c r="D11" s="2">
        <f>IF(ISBLANK('1_raw_log'!D11),"",'1_raw_log'!D11)</f>
        <v/>
      </c>
      <c r="E11" s="4">
        <f>IF(ISBLANK('1_raw_log'!E11),"",'1_raw_log'!E11)</f>
        <v/>
      </c>
      <c r="F11" s="2">
        <f>IF(ISBLANK('1_raw_log'!F11),"",'1_raw_log'!F11)</f>
        <v/>
      </c>
      <c r="G11" s="2">
        <f>IF(ISBLANK('1_raw_log'!G11),"",'1_raw_log'!G11)</f>
        <v/>
      </c>
      <c r="H11" s="2">
        <f>IF(ISBLANK('1_raw_log'!H11),"",'1_raw_log'!H11)</f>
        <v/>
      </c>
      <c r="I11" s="7">
        <f>IF(ISBLANK('1_raw_log'!I11),"",'1_raw_log'!I11)</f>
        <v/>
      </c>
      <c r="J11" s="2">
        <f>IF(ISBLANK('1_raw_log'!J11),"",'1_raw_log'!J11)</f>
        <v/>
      </c>
      <c r="K11" s="2">
        <f>IF(ISBLANK('1_raw_log'!K11),"",'1_raw_log'!K11)</f>
        <v/>
      </c>
      <c r="L11" s="30">
        <f>INT(B11)</f>
        <v/>
      </c>
      <c r="M11" s="20">
        <f>ROUND(MOD(B11,1)*1440,0)/1440</f>
        <v/>
      </c>
      <c r="N11" s="4">
        <f>IFERROR(INDEX('3_ref_date'!$B:$B,MATCH(L11,'3_ref_date'!$A:$A,0)),"NOT FOUND")</f>
        <v/>
      </c>
      <c r="O11" s="2">
        <f>IFERROR(INDEX('3_ref_date'!$C:$C,MATCH(L11,'3_ref_date'!$A:$A,0)),"NOT FOUND")</f>
        <v/>
      </c>
      <c r="P11" s="4">
        <f>IFERROR(INDEX('3_ref_date'!$D:$D,MATCH(L11,'3_ref_date'!$A:$A,0)),"NOT FOUND")</f>
        <v/>
      </c>
      <c r="Q11" s="4">
        <f>IFERROR(INDEX('3_ref_date'!$E:$E,MATCH(L11,'3_ref_date'!$A:$A,0)),"NOT FOUND")</f>
        <v/>
      </c>
      <c r="R11" s="2">
        <f>IFERROR(INDEX('3_ref_date'!$F:$F,MATCH(L11,'3_ref_date'!$A:$A,0)),"NOT FOUND")</f>
        <v/>
      </c>
      <c r="S11" s="2">
        <f>IFERROR(INDEX('4_ref_time'!$D:$D,MATCH(ROUND(M11*1440,0),'4_ref_time'!$A:$A,0)),"NOT FOUND")</f>
        <v/>
      </c>
      <c r="T11" s="2">
        <f>UPPER(TRIM(C11))</f>
        <v/>
      </c>
      <c r="U11" s="30">
        <f>IF(_xlfn.MAXIFS('6_3nf_branch_history'!$B$2:$B$50,'6_3nf_branch_history'!$A$2:$A$50,T11,'6_3nf_branch_history'!$B$2:$B$50,"&lt;="&amp;L11)=0,"NOT FOUND",_xlfn.MAXIFS('6_3nf_branch_history'!$B$2:$B$50,'6_3nf_branch_history'!$A$2:$A$50,T11,'6_3nf_branch_history'!$B$2:$B$50,"&lt;="&amp;L11))</f>
        <v/>
      </c>
      <c r="V11" s="2">
        <f>IF(U11="NOT FOUND","NOT FOUND",INDEX('6_3nf_branch_history'!$C:$C,SUMPRODUCT(('6_3nf_branch_history'!$A$2:$A$50=T11)*('6_3nf_branch_history'!$B$2:$B$50=U11)*ROW('6_3nf_branch_history'!$A$2:$A$50))))</f>
        <v/>
      </c>
      <c r="W11" s="2">
        <f>IF(U11="NOT FOUND","NOT FOUND",INDEX('6_3nf_branch_history'!$D:$D,SUMPRODUCT(('6_3nf_branch_history'!$A$2:$A$50=T11)*('6_3nf_branch_history'!$B$2:$B$50=U11)*ROW('6_3nf_branch_history'!$A$2:$A$50))))</f>
        <v/>
      </c>
      <c r="X11" s="2">
        <f>IF(U11="NOT FOUND","NOT FOUND",INDEX('6_3nf_branch_history'!$E:$E,SUMPRODUCT(('6_3nf_branch_history'!$A$2:$A$50=T11)*('6_3nf_branch_history'!$B$2:$B$50=U11)*ROW('6_3nf_branch_history'!$A$2:$A$50))))</f>
        <v/>
      </c>
      <c r="Y11" s="2">
        <f>UPPER(TRIM(D11))</f>
        <v/>
      </c>
      <c r="Z11" s="2">
        <f>IFERROR(INDEX('7_3nf_product'!$B:$B,MATCH(Y11,'7_3nf_product'!$A:$A,0)),"NOT FOUND")</f>
        <v/>
      </c>
      <c r="AA11" s="2">
        <f>IFERROR(INDEX('7_3nf_product'!$C:$C,MATCH(Y11,'7_3nf_product'!$A:$A,0)),"NOT FOUND")</f>
        <v/>
      </c>
      <c r="AB11" s="2">
        <f>IFERROR(INDEX('7_3nf_product'!$D:$D,MATCH(Y11,'7_3nf_product'!$A:$A,0)),"NOT FOUND")</f>
        <v/>
      </c>
      <c r="AC11" s="6">
        <f>IFERROR(INDEX('7_3nf_product'!$E:$E,MATCH(Y11,'7_3nf_product'!$A:$A,0)),"NOT FOUND")</f>
        <v/>
      </c>
      <c r="AD11" s="33">
        <f>IF(LEN(TRIM(E11))=10,TRIM(E11),IF(LEN(TRIM(E11))=8,"00"&amp;TRIM(E11),"CHECK"))</f>
        <v/>
      </c>
      <c r="AE11" s="2">
        <f>IFERROR(INDEX('8_3nf_customer'!$C:$C,MATCH(AD11,'8_3nf_customer'!$B:$B,0)),"NOT FOUND")</f>
        <v/>
      </c>
      <c r="AF11" s="30">
        <f>IFERROR(INDEX('8_3nf_customer'!$D:$D,MATCH(AD11,'8_3nf_customer'!$B:$B,0)),"NOT FOUND")</f>
        <v/>
      </c>
      <c r="AG11" s="4">
        <f>IF(ISNUMBER(AF11),DATEDIF(AF11,L11,"y"),"NOT FOUND")</f>
        <v/>
      </c>
      <c r="AH11" s="2">
        <f>IFERROR(INDEX('8_3nf_customer'!$E:$E,MATCH(AD11,'8_3nf_customer'!$B:$B,0)),"NOT FOUND")</f>
        <v/>
      </c>
      <c r="AI11" s="30">
        <f>IF(_xlfn.MAXIFS('9_3nf_customer_history'!$B$2:$B$500,'9_3nf_customer_history'!$A$2:$A$500,AD11,'9_3nf_customer_history'!$B$2:$B$500,"&lt;="&amp;L11)=0,"NOT FOUND",_xlfn.MAXIFS('9_3nf_customer_history'!$B$2:$B$500,'9_3nf_customer_history'!$A$2:$A$500,AD11,'9_3nf_customer_history'!$B$2:$B$500,"&lt;="&amp;L11))</f>
        <v/>
      </c>
      <c r="AJ11" s="2">
        <f>IF(AI11="NOT FOUND","NOT FOUND",INDEX('9_3nf_customer_history'!$C:$C,SUMPRODUCT(('9_3nf_customer_history'!$A$2:$A$500=AD11)*('9_3nf_customer_history'!$B$2:$B$500=AI11)*ROW('9_3nf_customer_history'!$A$2:$A$500))))</f>
        <v/>
      </c>
      <c r="AK11" s="2">
        <f>IF(AI11="NOT FOUND","NOT FOUND",INDEX('9_3nf_customer_history'!$D:$D,SUMPRODUCT(('9_3nf_customer_history'!$A$2:$A$500=AD11)*('9_3nf_customer_history'!$B$2:$B$500=AI11)*ROW('9_3nf_customer_history'!$A$2:$A$500))))</f>
        <v/>
      </c>
      <c r="AL11" s="2">
        <f>UPPER(TRIM(H11))</f>
        <v/>
      </c>
      <c r="AM11" s="30">
        <f>IF(_xlfn.MAXIFS('10_ref_fx_rate'!$B$2:$B$2000,'10_ref_fx_rate'!$A$2:$A$2000,AL11,'10_ref_fx_rate'!$B$2:$B$2000,"&lt;="&amp;L11)=0,"NOT FOUND",_xlfn.MAXIFS('10_ref_fx_rate'!$B$2:$B$2000,'10_ref_fx_rate'!$A$2:$A$2000,AL11,'10_ref_fx_rate'!$B$2:$B$2000,"&lt;="&amp;L11))</f>
        <v/>
      </c>
      <c r="AN11" s="8">
        <f>IF(AM11="NOT FOUND","NOT FOUND",SUMIFS('10_ref_fx_rate'!$D$2:$D$2000,'10_ref_fx_rate'!$A$2:$A$2000,AL11,'10_ref_fx_rate'!$B$2:$B$2000,AM11))</f>
        <v/>
      </c>
      <c r="AO11" s="37">
        <f>IF(ISNUMBER(AN11),I11*AN11,"NOT FOUND")</f>
        <v/>
      </c>
      <c r="AP11" s="2">
        <f>UPPER(TRIM(J11))</f>
        <v/>
      </c>
      <c r="AQ11" s="2">
        <f>IF(AP11="","SELF-DIRECTED",IF(ISNUMBER(MATCH(AP11,'11_3nf_sales_person'!$A:$A,0)),IF(EXACT(AP11,J11),"OK","OK (auto-fixed)"),IF(ISNA(MATCH($A11,'12_sales_person_confirmation'!$A:$A,0)),"CONFIRM (not logged)",IF(INDEX('12_sales_person_confirmation'!$I:$I,MATCH($A11,'12_sales_person_confirmation'!$A:$A,0))="CONFIRMED","CONFIRMED ("&amp;LOWER(INDEX('12_sales_person_confirmation'!$E:$E,MATCH($A11,'12_sales_person_confirmation'!$A:$A,0)))&amp;")","PENDING CONFIRM"))))</f>
        <v/>
      </c>
      <c r="AR11" s="2">
        <f>IF(OR(AQ11="OK",AQ11="OK (auto-fixed)"),AP11,IF(LEFT(AQ11,9)="CONFIRMED",INDEX('12_sales_person_confirmation'!$F:$F,MATCH($A11,'12_sales_person_confirmation'!$A:$A,0)),""))</f>
        <v/>
      </c>
      <c r="AS11" s="2">
        <f>IF(AR11="","",INDEX('11_3nf_sales_person'!$B:$B,MATCH(AR11,'11_3nf_sales_person'!$A:$A,0)))</f>
        <v/>
      </c>
    </row>
    <row r="12">
      <c r="A12" s="2">
        <f>IF(ISBLANK('1_raw_log'!A12),"",'1_raw_log'!A12)</f>
        <v/>
      </c>
      <c r="B12" s="3">
        <f>IF(ISBLANK('1_raw_log'!B12),"",'1_raw_log'!B12)</f>
        <v/>
      </c>
      <c r="C12" s="2">
        <f>IF(ISBLANK('1_raw_log'!C12),"",'1_raw_log'!C12)</f>
        <v/>
      </c>
      <c r="D12" s="2">
        <f>IF(ISBLANK('1_raw_log'!D12),"",'1_raw_log'!D12)</f>
        <v/>
      </c>
      <c r="E12" s="4">
        <f>IF(ISBLANK('1_raw_log'!E12),"",'1_raw_log'!E12)</f>
        <v/>
      </c>
      <c r="F12" s="2">
        <f>IF(ISBLANK('1_raw_log'!F12),"",'1_raw_log'!F12)</f>
        <v/>
      </c>
      <c r="G12" s="2">
        <f>IF(ISBLANK('1_raw_log'!G12),"",'1_raw_log'!G12)</f>
        <v/>
      </c>
      <c r="H12" s="2">
        <f>IF(ISBLANK('1_raw_log'!H12),"",'1_raw_log'!H12)</f>
        <v/>
      </c>
      <c r="I12" s="7">
        <f>IF(ISBLANK('1_raw_log'!I12),"",'1_raw_log'!I12)</f>
        <v/>
      </c>
      <c r="J12" s="2">
        <f>IF(ISBLANK('1_raw_log'!J12),"",'1_raw_log'!J12)</f>
        <v/>
      </c>
      <c r="K12" s="2">
        <f>IF(ISBLANK('1_raw_log'!K12),"",'1_raw_log'!K12)</f>
        <v/>
      </c>
      <c r="L12" s="30">
        <f>INT(B12)</f>
        <v/>
      </c>
      <c r="M12" s="20">
        <f>ROUND(MOD(B12,1)*1440,0)/1440</f>
        <v/>
      </c>
      <c r="N12" s="4">
        <f>IFERROR(INDEX('3_ref_date'!$B:$B,MATCH(L12,'3_ref_date'!$A:$A,0)),"NOT FOUND")</f>
        <v/>
      </c>
      <c r="O12" s="2">
        <f>IFERROR(INDEX('3_ref_date'!$C:$C,MATCH(L12,'3_ref_date'!$A:$A,0)),"NOT FOUND")</f>
        <v/>
      </c>
      <c r="P12" s="4">
        <f>IFERROR(INDEX('3_ref_date'!$D:$D,MATCH(L12,'3_ref_date'!$A:$A,0)),"NOT FOUND")</f>
        <v/>
      </c>
      <c r="Q12" s="4">
        <f>IFERROR(INDEX('3_ref_date'!$E:$E,MATCH(L12,'3_ref_date'!$A:$A,0)),"NOT FOUND")</f>
        <v/>
      </c>
      <c r="R12" s="2">
        <f>IFERROR(INDEX('3_ref_date'!$F:$F,MATCH(L12,'3_ref_date'!$A:$A,0)),"NOT FOUND")</f>
        <v/>
      </c>
      <c r="S12" s="2">
        <f>IFERROR(INDEX('4_ref_time'!$D:$D,MATCH(ROUND(M12*1440,0),'4_ref_time'!$A:$A,0)),"NOT FOUND")</f>
        <v/>
      </c>
      <c r="T12" s="2">
        <f>UPPER(TRIM(C12))</f>
        <v/>
      </c>
      <c r="U12" s="30">
        <f>IF(_xlfn.MAXIFS('6_3nf_branch_history'!$B$2:$B$50,'6_3nf_branch_history'!$A$2:$A$50,T12,'6_3nf_branch_history'!$B$2:$B$50,"&lt;="&amp;L12)=0,"NOT FOUND",_xlfn.MAXIFS('6_3nf_branch_history'!$B$2:$B$50,'6_3nf_branch_history'!$A$2:$A$50,T12,'6_3nf_branch_history'!$B$2:$B$50,"&lt;="&amp;L12))</f>
        <v/>
      </c>
      <c r="V12" s="2">
        <f>IF(U12="NOT FOUND","NOT FOUND",INDEX('6_3nf_branch_history'!$C:$C,SUMPRODUCT(('6_3nf_branch_history'!$A$2:$A$50=T12)*('6_3nf_branch_history'!$B$2:$B$50=U12)*ROW('6_3nf_branch_history'!$A$2:$A$50))))</f>
        <v/>
      </c>
      <c r="W12" s="2">
        <f>IF(U12="NOT FOUND","NOT FOUND",INDEX('6_3nf_branch_history'!$D:$D,SUMPRODUCT(('6_3nf_branch_history'!$A$2:$A$50=T12)*('6_3nf_branch_history'!$B$2:$B$50=U12)*ROW('6_3nf_branch_history'!$A$2:$A$50))))</f>
        <v/>
      </c>
      <c r="X12" s="2">
        <f>IF(U12="NOT FOUND","NOT FOUND",INDEX('6_3nf_branch_history'!$E:$E,SUMPRODUCT(('6_3nf_branch_history'!$A$2:$A$50=T12)*('6_3nf_branch_history'!$B$2:$B$50=U12)*ROW('6_3nf_branch_history'!$A$2:$A$50))))</f>
        <v/>
      </c>
      <c r="Y12" s="2">
        <f>UPPER(TRIM(D12))</f>
        <v/>
      </c>
      <c r="Z12" s="2">
        <f>IFERROR(INDEX('7_3nf_product'!$B:$B,MATCH(Y12,'7_3nf_product'!$A:$A,0)),"NOT FOUND")</f>
        <v/>
      </c>
      <c r="AA12" s="2">
        <f>IFERROR(INDEX('7_3nf_product'!$C:$C,MATCH(Y12,'7_3nf_product'!$A:$A,0)),"NOT FOUND")</f>
        <v/>
      </c>
      <c r="AB12" s="2">
        <f>IFERROR(INDEX('7_3nf_product'!$D:$D,MATCH(Y12,'7_3nf_product'!$A:$A,0)),"NOT FOUND")</f>
        <v/>
      </c>
      <c r="AC12" s="6">
        <f>IFERROR(INDEX('7_3nf_product'!$E:$E,MATCH(Y12,'7_3nf_product'!$A:$A,0)),"NOT FOUND")</f>
        <v/>
      </c>
      <c r="AD12" s="33">
        <f>IF(LEN(TRIM(E12))=10,TRIM(E12),IF(LEN(TRIM(E12))=8,"00"&amp;TRIM(E12),"CHECK"))</f>
        <v/>
      </c>
      <c r="AE12" s="2">
        <f>IFERROR(INDEX('8_3nf_customer'!$C:$C,MATCH(AD12,'8_3nf_customer'!$B:$B,0)),"NOT FOUND")</f>
        <v/>
      </c>
      <c r="AF12" s="30">
        <f>IFERROR(INDEX('8_3nf_customer'!$D:$D,MATCH(AD12,'8_3nf_customer'!$B:$B,0)),"NOT FOUND")</f>
        <v/>
      </c>
      <c r="AG12" s="4">
        <f>IF(ISNUMBER(AF12),DATEDIF(AF12,L12,"y"),"NOT FOUND")</f>
        <v/>
      </c>
      <c r="AH12" s="2">
        <f>IFERROR(INDEX('8_3nf_customer'!$E:$E,MATCH(AD12,'8_3nf_customer'!$B:$B,0)),"NOT FOUND")</f>
        <v/>
      </c>
      <c r="AI12" s="30">
        <f>IF(_xlfn.MAXIFS('9_3nf_customer_history'!$B$2:$B$500,'9_3nf_customer_history'!$A$2:$A$500,AD12,'9_3nf_customer_history'!$B$2:$B$500,"&lt;="&amp;L12)=0,"NOT FOUND",_xlfn.MAXIFS('9_3nf_customer_history'!$B$2:$B$500,'9_3nf_customer_history'!$A$2:$A$500,AD12,'9_3nf_customer_history'!$B$2:$B$500,"&lt;="&amp;L12))</f>
        <v/>
      </c>
      <c r="AJ12" s="2">
        <f>IF(AI12="NOT FOUND","NOT FOUND",INDEX('9_3nf_customer_history'!$C:$C,SUMPRODUCT(('9_3nf_customer_history'!$A$2:$A$500=AD12)*('9_3nf_customer_history'!$B$2:$B$500=AI12)*ROW('9_3nf_customer_history'!$A$2:$A$500))))</f>
        <v/>
      </c>
      <c r="AK12" s="2">
        <f>IF(AI12="NOT FOUND","NOT FOUND",INDEX('9_3nf_customer_history'!$D:$D,SUMPRODUCT(('9_3nf_customer_history'!$A$2:$A$500=AD12)*('9_3nf_customer_history'!$B$2:$B$500=AI12)*ROW('9_3nf_customer_history'!$A$2:$A$500))))</f>
        <v/>
      </c>
      <c r="AL12" s="2">
        <f>UPPER(TRIM(H12))</f>
        <v/>
      </c>
      <c r="AM12" s="30">
        <f>IF(_xlfn.MAXIFS('10_ref_fx_rate'!$B$2:$B$2000,'10_ref_fx_rate'!$A$2:$A$2000,AL12,'10_ref_fx_rate'!$B$2:$B$2000,"&lt;="&amp;L12)=0,"NOT FOUND",_xlfn.MAXIFS('10_ref_fx_rate'!$B$2:$B$2000,'10_ref_fx_rate'!$A$2:$A$2000,AL12,'10_ref_fx_rate'!$B$2:$B$2000,"&lt;="&amp;L12))</f>
        <v/>
      </c>
      <c r="AN12" s="8">
        <f>IF(AM12="NOT FOUND","NOT FOUND",SUMIFS('10_ref_fx_rate'!$D$2:$D$2000,'10_ref_fx_rate'!$A$2:$A$2000,AL12,'10_ref_fx_rate'!$B$2:$B$2000,AM12))</f>
        <v/>
      </c>
      <c r="AO12" s="37">
        <f>IF(ISNUMBER(AN12),I12*AN12,"NOT FOUND")</f>
        <v/>
      </c>
      <c r="AP12" s="2">
        <f>UPPER(TRIM(J12))</f>
        <v/>
      </c>
      <c r="AQ12" s="2">
        <f>IF(AP12="","SELF-DIRECTED",IF(ISNUMBER(MATCH(AP12,'11_3nf_sales_person'!$A:$A,0)),IF(EXACT(AP12,J12),"OK","OK (auto-fixed)"),IF(ISNA(MATCH($A12,'12_sales_person_confirmation'!$A:$A,0)),"CONFIRM (not logged)",IF(INDEX('12_sales_person_confirmation'!$I:$I,MATCH($A12,'12_sales_person_confirmation'!$A:$A,0))="CONFIRMED","CONFIRMED ("&amp;LOWER(INDEX('12_sales_person_confirmation'!$E:$E,MATCH($A12,'12_sales_person_confirmation'!$A:$A,0)))&amp;")","PENDING CONFIRM"))))</f>
        <v/>
      </c>
      <c r="AR12" s="2">
        <f>IF(OR(AQ12="OK",AQ12="OK (auto-fixed)"),AP12,IF(LEFT(AQ12,9)="CONFIRMED",INDEX('12_sales_person_confirmation'!$F:$F,MATCH($A12,'12_sales_person_confirmation'!$A:$A,0)),""))</f>
        <v/>
      </c>
      <c r="AS12" s="2">
        <f>IF(AR12="","",INDEX('11_3nf_sales_person'!$B:$B,MATCH(AR12,'11_3nf_sales_person'!$A:$A,0)))</f>
        <v/>
      </c>
    </row>
    <row r="13">
      <c r="A13" s="2">
        <f>IF(ISBLANK('1_raw_log'!A13),"",'1_raw_log'!A13)</f>
        <v/>
      </c>
      <c r="B13" s="3">
        <f>IF(ISBLANK('1_raw_log'!B13),"",'1_raw_log'!B13)</f>
        <v/>
      </c>
      <c r="C13" s="2">
        <f>IF(ISBLANK('1_raw_log'!C13),"",'1_raw_log'!C13)</f>
        <v/>
      </c>
      <c r="D13" s="2">
        <f>IF(ISBLANK('1_raw_log'!D13),"",'1_raw_log'!D13)</f>
        <v/>
      </c>
      <c r="E13" s="4">
        <f>IF(ISBLANK('1_raw_log'!E13),"",'1_raw_log'!E13)</f>
        <v/>
      </c>
      <c r="F13" s="2">
        <f>IF(ISBLANK('1_raw_log'!F13),"",'1_raw_log'!F13)</f>
        <v/>
      </c>
      <c r="G13" s="2">
        <f>IF(ISBLANK('1_raw_log'!G13),"",'1_raw_log'!G13)</f>
        <v/>
      </c>
      <c r="H13" s="2">
        <f>IF(ISBLANK('1_raw_log'!H13),"",'1_raw_log'!H13)</f>
        <v/>
      </c>
      <c r="I13" s="7">
        <f>IF(ISBLANK('1_raw_log'!I13),"",'1_raw_log'!I13)</f>
        <v/>
      </c>
      <c r="J13" s="2">
        <f>IF(ISBLANK('1_raw_log'!J13),"",'1_raw_log'!J13)</f>
        <v/>
      </c>
      <c r="K13" s="2">
        <f>IF(ISBLANK('1_raw_log'!K13),"",'1_raw_log'!K13)</f>
        <v/>
      </c>
      <c r="L13" s="30">
        <f>INT(B13)</f>
        <v/>
      </c>
      <c r="M13" s="20">
        <f>ROUND(MOD(B13,1)*1440,0)/1440</f>
        <v/>
      </c>
      <c r="N13" s="4">
        <f>IFERROR(INDEX('3_ref_date'!$B:$B,MATCH(L13,'3_ref_date'!$A:$A,0)),"NOT FOUND")</f>
        <v/>
      </c>
      <c r="O13" s="2">
        <f>IFERROR(INDEX('3_ref_date'!$C:$C,MATCH(L13,'3_ref_date'!$A:$A,0)),"NOT FOUND")</f>
        <v/>
      </c>
      <c r="P13" s="4">
        <f>IFERROR(INDEX('3_ref_date'!$D:$D,MATCH(L13,'3_ref_date'!$A:$A,0)),"NOT FOUND")</f>
        <v/>
      </c>
      <c r="Q13" s="4">
        <f>IFERROR(INDEX('3_ref_date'!$E:$E,MATCH(L13,'3_ref_date'!$A:$A,0)),"NOT FOUND")</f>
        <v/>
      </c>
      <c r="R13" s="2">
        <f>IFERROR(INDEX('3_ref_date'!$F:$F,MATCH(L13,'3_ref_date'!$A:$A,0)),"NOT FOUND")</f>
        <v/>
      </c>
      <c r="S13" s="2">
        <f>IFERROR(INDEX('4_ref_time'!$D:$D,MATCH(ROUND(M13*1440,0),'4_ref_time'!$A:$A,0)),"NOT FOUND")</f>
        <v/>
      </c>
      <c r="T13" s="2">
        <f>UPPER(TRIM(C13))</f>
        <v/>
      </c>
      <c r="U13" s="30">
        <f>IF(_xlfn.MAXIFS('6_3nf_branch_history'!$B$2:$B$50,'6_3nf_branch_history'!$A$2:$A$50,T13,'6_3nf_branch_history'!$B$2:$B$50,"&lt;="&amp;L13)=0,"NOT FOUND",_xlfn.MAXIFS('6_3nf_branch_history'!$B$2:$B$50,'6_3nf_branch_history'!$A$2:$A$50,T13,'6_3nf_branch_history'!$B$2:$B$50,"&lt;="&amp;L13))</f>
        <v/>
      </c>
      <c r="V13" s="2">
        <f>IF(U13="NOT FOUND","NOT FOUND",INDEX('6_3nf_branch_history'!$C:$C,SUMPRODUCT(('6_3nf_branch_history'!$A$2:$A$50=T13)*('6_3nf_branch_history'!$B$2:$B$50=U13)*ROW('6_3nf_branch_history'!$A$2:$A$50))))</f>
        <v/>
      </c>
      <c r="W13" s="2">
        <f>IF(U13="NOT FOUND","NOT FOUND",INDEX('6_3nf_branch_history'!$D:$D,SUMPRODUCT(('6_3nf_branch_history'!$A$2:$A$50=T13)*('6_3nf_branch_history'!$B$2:$B$50=U13)*ROW('6_3nf_branch_history'!$A$2:$A$50))))</f>
        <v/>
      </c>
      <c r="X13" s="2">
        <f>IF(U13="NOT FOUND","NOT FOUND",INDEX('6_3nf_branch_history'!$E:$E,SUMPRODUCT(('6_3nf_branch_history'!$A$2:$A$50=T13)*('6_3nf_branch_history'!$B$2:$B$50=U13)*ROW('6_3nf_branch_history'!$A$2:$A$50))))</f>
        <v/>
      </c>
      <c r="Y13" s="2">
        <f>UPPER(TRIM(D13))</f>
        <v/>
      </c>
      <c r="Z13" s="2">
        <f>IFERROR(INDEX('7_3nf_product'!$B:$B,MATCH(Y13,'7_3nf_product'!$A:$A,0)),"NOT FOUND")</f>
        <v/>
      </c>
      <c r="AA13" s="2">
        <f>IFERROR(INDEX('7_3nf_product'!$C:$C,MATCH(Y13,'7_3nf_product'!$A:$A,0)),"NOT FOUND")</f>
        <v/>
      </c>
      <c r="AB13" s="2">
        <f>IFERROR(INDEX('7_3nf_product'!$D:$D,MATCH(Y13,'7_3nf_product'!$A:$A,0)),"NOT FOUND")</f>
        <v/>
      </c>
      <c r="AC13" s="6">
        <f>IFERROR(INDEX('7_3nf_product'!$E:$E,MATCH(Y13,'7_3nf_product'!$A:$A,0)),"NOT FOUND")</f>
        <v/>
      </c>
      <c r="AD13" s="33">
        <f>IF(LEN(TRIM(E13))=10,TRIM(E13),IF(LEN(TRIM(E13))=8,"00"&amp;TRIM(E13),"CHECK"))</f>
        <v/>
      </c>
      <c r="AE13" s="2">
        <f>IFERROR(INDEX('8_3nf_customer'!$C:$C,MATCH(AD13,'8_3nf_customer'!$B:$B,0)),"NOT FOUND")</f>
        <v/>
      </c>
      <c r="AF13" s="30">
        <f>IFERROR(INDEX('8_3nf_customer'!$D:$D,MATCH(AD13,'8_3nf_customer'!$B:$B,0)),"NOT FOUND")</f>
        <v/>
      </c>
      <c r="AG13" s="4">
        <f>IF(ISNUMBER(AF13),DATEDIF(AF13,L13,"y"),"NOT FOUND")</f>
        <v/>
      </c>
      <c r="AH13" s="2">
        <f>IFERROR(INDEX('8_3nf_customer'!$E:$E,MATCH(AD13,'8_3nf_customer'!$B:$B,0)),"NOT FOUND")</f>
        <v/>
      </c>
      <c r="AI13" s="30">
        <f>IF(_xlfn.MAXIFS('9_3nf_customer_history'!$B$2:$B$500,'9_3nf_customer_history'!$A$2:$A$500,AD13,'9_3nf_customer_history'!$B$2:$B$500,"&lt;="&amp;L13)=0,"NOT FOUND",_xlfn.MAXIFS('9_3nf_customer_history'!$B$2:$B$500,'9_3nf_customer_history'!$A$2:$A$500,AD13,'9_3nf_customer_history'!$B$2:$B$500,"&lt;="&amp;L13))</f>
        <v/>
      </c>
      <c r="AJ13" s="2">
        <f>IF(AI13="NOT FOUND","NOT FOUND",INDEX('9_3nf_customer_history'!$C:$C,SUMPRODUCT(('9_3nf_customer_history'!$A$2:$A$500=AD13)*('9_3nf_customer_history'!$B$2:$B$500=AI13)*ROW('9_3nf_customer_history'!$A$2:$A$500))))</f>
        <v/>
      </c>
      <c r="AK13" s="2">
        <f>IF(AI13="NOT FOUND","NOT FOUND",INDEX('9_3nf_customer_history'!$D:$D,SUMPRODUCT(('9_3nf_customer_history'!$A$2:$A$500=AD13)*('9_3nf_customer_history'!$B$2:$B$500=AI13)*ROW('9_3nf_customer_history'!$A$2:$A$500))))</f>
        <v/>
      </c>
      <c r="AL13" s="2">
        <f>UPPER(TRIM(H13))</f>
        <v/>
      </c>
      <c r="AM13" s="30">
        <f>IF(_xlfn.MAXIFS('10_ref_fx_rate'!$B$2:$B$2000,'10_ref_fx_rate'!$A$2:$A$2000,AL13,'10_ref_fx_rate'!$B$2:$B$2000,"&lt;="&amp;L13)=0,"NOT FOUND",_xlfn.MAXIFS('10_ref_fx_rate'!$B$2:$B$2000,'10_ref_fx_rate'!$A$2:$A$2000,AL13,'10_ref_fx_rate'!$B$2:$B$2000,"&lt;="&amp;L13))</f>
        <v/>
      </c>
      <c r="AN13" s="8">
        <f>IF(AM13="NOT FOUND","NOT FOUND",SUMIFS('10_ref_fx_rate'!$D$2:$D$2000,'10_ref_fx_rate'!$A$2:$A$2000,AL13,'10_ref_fx_rate'!$B$2:$B$2000,AM13))</f>
        <v/>
      </c>
      <c r="AO13" s="37">
        <f>IF(ISNUMBER(AN13),I13*AN13,"NOT FOUND")</f>
        <v/>
      </c>
      <c r="AP13" s="2">
        <f>UPPER(TRIM(J13))</f>
        <v/>
      </c>
      <c r="AQ13" s="2">
        <f>IF(AP13="","SELF-DIRECTED",IF(ISNUMBER(MATCH(AP13,'11_3nf_sales_person'!$A:$A,0)),IF(EXACT(AP13,J13),"OK","OK (auto-fixed)"),IF(ISNA(MATCH($A13,'12_sales_person_confirmation'!$A:$A,0)),"CONFIRM (not logged)",IF(INDEX('12_sales_person_confirmation'!$I:$I,MATCH($A13,'12_sales_person_confirmation'!$A:$A,0))="CONFIRMED","CONFIRMED ("&amp;LOWER(INDEX('12_sales_person_confirmation'!$E:$E,MATCH($A13,'12_sales_person_confirmation'!$A:$A,0)))&amp;")","PENDING CONFIRM"))))</f>
        <v/>
      </c>
      <c r="AR13" s="2">
        <f>IF(OR(AQ13="OK",AQ13="OK (auto-fixed)"),AP13,IF(LEFT(AQ13,9)="CONFIRMED",INDEX('12_sales_person_confirmation'!$F:$F,MATCH($A13,'12_sales_person_confirmation'!$A:$A,0)),""))</f>
        <v/>
      </c>
      <c r="AS13" s="2">
        <f>IF(AR13="","",INDEX('11_3nf_sales_person'!$B:$B,MATCH(AR13,'11_3nf_sales_person'!$A:$A,0)))</f>
        <v/>
      </c>
    </row>
    <row r="14">
      <c r="A14" s="2">
        <f>IF(ISBLANK('1_raw_log'!A14),"",'1_raw_log'!A14)</f>
        <v/>
      </c>
      <c r="B14" s="3">
        <f>IF(ISBLANK('1_raw_log'!B14),"",'1_raw_log'!B14)</f>
        <v/>
      </c>
      <c r="C14" s="2">
        <f>IF(ISBLANK('1_raw_log'!C14),"",'1_raw_log'!C14)</f>
        <v/>
      </c>
      <c r="D14" s="2">
        <f>IF(ISBLANK('1_raw_log'!D14),"",'1_raw_log'!D14)</f>
        <v/>
      </c>
      <c r="E14" s="4">
        <f>IF(ISBLANK('1_raw_log'!E14),"",'1_raw_log'!E14)</f>
        <v/>
      </c>
      <c r="F14" s="2">
        <f>IF(ISBLANK('1_raw_log'!F14),"",'1_raw_log'!F14)</f>
        <v/>
      </c>
      <c r="G14" s="2">
        <f>IF(ISBLANK('1_raw_log'!G14),"",'1_raw_log'!G14)</f>
        <v/>
      </c>
      <c r="H14" s="2">
        <f>IF(ISBLANK('1_raw_log'!H14),"",'1_raw_log'!H14)</f>
        <v/>
      </c>
      <c r="I14" s="7">
        <f>IF(ISBLANK('1_raw_log'!I14),"",'1_raw_log'!I14)</f>
        <v/>
      </c>
      <c r="J14" s="2">
        <f>IF(ISBLANK('1_raw_log'!J14),"",'1_raw_log'!J14)</f>
        <v/>
      </c>
      <c r="K14" s="2">
        <f>IF(ISBLANK('1_raw_log'!K14),"",'1_raw_log'!K14)</f>
        <v/>
      </c>
      <c r="L14" s="30">
        <f>INT(B14)</f>
        <v/>
      </c>
      <c r="M14" s="20">
        <f>ROUND(MOD(B14,1)*1440,0)/1440</f>
        <v/>
      </c>
      <c r="N14" s="4">
        <f>IFERROR(INDEX('3_ref_date'!$B:$B,MATCH(L14,'3_ref_date'!$A:$A,0)),"NOT FOUND")</f>
        <v/>
      </c>
      <c r="O14" s="2">
        <f>IFERROR(INDEX('3_ref_date'!$C:$C,MATCH(L14,'3_ref_date'!$A:$A,0)),"NOT FOUND")</f>
        <v/>
      </c>
      <c r="P14" s="4">
        <f>IFERROR(INDEX('3_ref_date'!$D:$D,MATCH(L14,'3_ref_date'!$A:$A,0)),"NOT FOUND")</f>
        <v/>
      </c>
      <c r="Q14" s="4">
        <f>IFERROR(INDEX('3_ref_date'!$E:$E,MATCH(L14,'3_ref_date'!$A:$A,0)),"NOT FOUND")</f>
        <v/>
      </c>
      <c r="R14" s="2">
        <f>IFERROR(INDEX('3_ref_date'!$F:$F,MATCH(L14,'3_ref_date'!$A:$A,0)),"NOT FOUND")</f>
        <v/>
      </c>
      <c r="S14" s="2">
        <f>IFERROR(INDEX('4_ref_time'!$D:$D,MATCH(ROUND(M14*1440,0),'4_ref_time'!$A:$A,0)),"NOT FOUND")</f>
        <v/>
      </c>
      <c r="T14" s="2">
        <f>UPPER(TRIM(C14))</f>
        <v/>
      </c>
      <c r="U14" s="30">
        <f>IF(_xlfn.MAXIFS('6_3nf_branch_history'!$B$2:$B$50,'6_3nf_branch_history'!$A$2:$A$50,T14,'6_3nf_branch_history'!$B$2:$B$50,"&lt;="&amp;L14)=0,"NOT FOUND",_xlfn.MAXIFS('6_3nf_branch_history'!$B$2:$B$50,'6_3nf_branch_history'!$A$2:$A$50,T14,'6_3nf_branch_history'!$B$2:$B$50,"&lt;="&amp;L14))</f>
        <v/>
      </c>
      <c r="V14" s="2">
        <f>IF(U14="NOT FOUND","NOT FOUND",INDEX('6_3nf_branch_history'!$C:$C,SUMPRODUCT(('6_3nf_branch_history'!$A$2:$A$50=T14)*('6_3nf_branch_history'!$B$2:$B$50=U14)*ROW('6_3nf_branch_history'!$A$2:$A$50))))</f>
        <v/>
      </c>
      <c r="W14" s="2">
        <f>IF(U14="NOT FOUND","NOT FOUND",INDEX('6_3nf_branch_history'!$D:$D,SUMPRODUCT(('6_3nf_branch_history'!$A$2:$A$50=T14)*('6_3nf_branch_history'!$B$2:$B$50=U14)*ROW('6_3nf_branch_history'!$A$2:$A$50))))</f>
        <v/>
      </c>
      <c r="X14" s="2">
        <f>IF(U14="NOT FOUND","NOT FOUND",INDEX('6_3nf_branch_history'!$E:$E,SUMPRODUCT(('6_3nf_branch_history'!$A$2:$A$50=T14)*('6_3nf_branch_history'!$B$2:$B$50=U14)*ROW('6_3nf_branch_history'!$A$2:$A$50))))</f>
        <v/>
      </c>
      <c r="Y14" s="2">
        <f>UPPER(TRIM(D14))</f>
        <v/>
      </c>
      <c r="Z14" s="2">
        <f>IFERROR(INDEX('7_3nf_product'!$B:$B,MATCH(Y14,'7_3nf_product'!$A:$A,0)),"NOT FOUND")</f>
        <v/>
      </c>
      <c r="AA14" s="2">
        <f>IFERROR(INDEX('7_3nf_product'!$C:$C,MATCH(Y14,'7_3nf_product'!$A:$A,0)),"NOT FOUND")</f>
        <v/>
      </c>
      <c r="AB14" s="2">
        <f>IFERROR(INDEX('7_3nf_product'!$D:$D,MATCH(Y14,'7_3nf_product'!$A:$A,0)),"NOT FOUND")</f>
        <v/>
      </c>
      <c r="AC14" s="6">
        <f>IFERROR(INDEX('7_3nf_product'!$E:$E,MATCH(Y14,'7_3nf_product'!$A:$A,0)),"NOT FOUND")</f>
        <v/>
      </c>
      <c r="AD14" s="33">
        <f>IF(LEN(TRIM(E14))=10,TRIM(E14),IF(LEN(TRIM(E14))=8,"00"&amp;TRIM(E14),"CHECK"))</f>
        <v/>
      </c>
      <c r="AE14" s="2">
        <f>IFERROR(INDEX('8_3nf_customer'!$C:$C,MATCH(AD14,'8_3nf_customer'!$B:$B,0)),"NOT FOUND")</f>
        <v/>
      </c>
      <c r="AF14" s="30">
        <f>IFERROR(INDEX('8_3nf_customer'!$D:$D,MATCH(AD14,'8_3nf_customer'!$B:$B,0)),"NOT FOUND")</f>
        <v/>
      </c>
      <c r="AG14" s="4">
        <f>IF(ISNUMBER(AF14),DATEDIF(AF14,L14,"y"),"NOT FOUND")</f>
        <v/>
      </c>
      <c r="AH14" s="2">
        <f>IFERROR(INDEX('8_3nf_customer'!$E:$E,MATCH(AD14,'8_3nf_customer'!$B:$B,0)),"NOT FOUND")</f>
        <v/>
      </c>
      <c r="AI14" s="30">
        <f>IF(_xlfn.MAXIFS('9_3nf_customer_history'!$B$2:$B$500,'9_3nf_customer_history'!$A$2:$A$500,AD14,'9_3nf_customer_history'!$B$2:$B$500,"&lt;="&amp;L14)=0,"NOT FOUND",_xlfn.MAXIFS('9_3nf_customer_history'!$B$2:$B$500,'9_3nf_customer_history'!$A$2:$A$500,AD14,'9_3nf_customer_history'!$B$2:$B$500,"&lt;="&amp;L14))</f>
        <v/>
      </c>
      <c r="AJ14" s="2">
        <f>IF(AI14="NOT FOUND","NOT FOUND",INDEX('9_3nf_customer_history'!$C:$C,SUMPRODUCT(('9_3nf_customer_history'!$A$2:$A$500=AD14)*('9_3nf_customer_history'!$B$2:$B$500=AI14)*ROW('9_3nf_customer_history'!$A$2:$A$500))))</f>
        <v/>
      </c>
      <c r="AK14" s="2">
        <f>IF(AI14="NOT FOUND","NOT FOUND",INDEX('9_3nf_customer_history'!$D:$D,SUMPRODUCT(('9_3nf_customer_history'!$A$2:$A$500=AD14)*('9_3nf_customer_history'!$B$2:$B$500=AI14)*ROW('9_3nf_customer_history'!$A$2:$A$500))))</f>
        <v/>
      </c>
      <c r="AL14" s="2">
        <f>UPPER(TRIM(H14))</f>
        <v/>
      </c>
      <c r="AM14" s="30">
        <f>IF(_xlfn.MAXIFS('10_ref_fx_rate'!$B$2:$B$2000,'10_ref_fx_rate'!$A$2:$A$2000,AL14,'10_ref_fx_rate'!$B$2:$B$2000,"&lt;="&amp;L14)=0,"NOT FOUND",_xlfn.MAXIFS('10_ref_fx_rate'!$B$2:$B$2000,'10_ref_fx_rate'!$A$2:$A$2000,AL14,'10_ref_fx_rate'!$B$2:$B$2000,"&lt;="&amp;L14))</f>
        <v/>
      </c>
      <c r="AN14" s="8">
        <f>IF(AM14="NOT FOUND","NOT FOUND",SUMIFS('10_ref_fx_rate'!$D$2:$D$2000,'10_ref_fx_rate'!$A$2:$A$2000,AL14,'10_ref_fx_rate'!$B$2:$B$2000,AM14))</f>
        <v/>
      </c>
      <c r="AO14" s="37">
        <f>IF(ISNUMBER(AN14),I14*AN14,"NOT FOUND")</f>
        <v/>
      </c>
      <c r="AP14" s="2">
        <f>UPPER(TRIM(J14))</f>
        <v/>
      </c>
      <c r="AQ14" s="2">
        <f>IF(AP14="","SELF-DIRECTED",IF(ISNUMBER(MATCH(AP14,'11_3nf_sales_person'!$A:$A,0)),IF(EXACT(AP14,J14),"OK","OK (auto-fixed)"),IF(ISNA(MATCH($A14,'12_sales_person_confirmation'!$A:$A,0)),"CONFIRM (not logged)",IF(INDEX('12_sales_person_confirmation'!$I:$I,MATCH($A14,'12_sales_person_confirmation'!$A:$A,0))="CONFIRMED","CONFIRMED ("&amp;LOWER(INDEX('12_sales_person_confirmation'!$E:$E,MATCH($A14,'12_sales_person_confirmation'!$A:$A,0)))&amp;")","PENDING CONFIRM"))))</f>
        <v/>
      </c>
      <c r="AR14" s="2">
        <f>IF(OR(AQ14="OK",AQ14="OK (auto-fixed)"),AP14,IF(LEFT(AQ14,9)="CONFIRMED",INDEX('12_sales_person_confirmation'!$F:$F,MATCH($A14,'12_sales_person_confirmation'!$A:$A,0)),""))</f>
        <v/>
      </c>
      <c r="AS14" s="2">
        <f>IF(AR14="","",INDEX('11_3nf_sales_person'!$B:$B,MATCH(AR14,'11_3nf_sales_person'!$A:$A,0)))</f>
        <v/>
      </c>
    </row>
    <row r="15">
      <c r="A15" s="2">
        <f>IF(ISBLANK('1_raw_log'!A15),"",'1_raw_log'!A15)</f>
        <v/>
      </c>
      <c r="B15" s="3">
        <f>IF(ISBLANK('1_raw_log'!B15),"",'1_raw_log'!B15)</f>
        <v/>
      </c>
      <c r="C15" s="2">
        <f>IF(ISBLANK('1_raw_log'!C15),"",'1_raw_log'!C15)</f>
        <v/>
      </c>
      <c r="D15" s="2">
        <f>IF(ISBLANK('1_raw_log'!D15),"",'1_raw_log'!D15)</f>
        <v/>
      </c>
      <c r="E15" s="4">
        <f>IF(ISBLANK('1_raw_log'!E15),"",'1_raw_log'!E15)</f>
        <v/>
      </c>
      <c r="F15" s="2">
        <f>IF(ISBLANK('1_raw_log'!F15),"",'1_raw_log'!F15)</f>
        <v/>
      </c>
      <c r="G15" s="2">
        <f>IF(ISBLANK('1_raw_log'!G15),"",'1_raw_log'!G15)</f>
        <v/>
      </c>
      <c r="H15" s="2">
        <f>IF(ISBLANK('1_raw_log'!H15),"",'1_raw_log'!H15)</f>
        <v/>
      </c>
      <c r="I15" s="7">
        <f>IF(ISBLANK('1_raw_log'!I15),"",'1_raw_log'!I15)</f>
        <v/>
      </c>
      <c r="J15" s="2">
        <f>IF(ISBLANK('1_raw_log'!J15),"",'1_raw_log'!J15)</f>
        <v/>
      </c>
      <c r="K15" s="2">
        <f>IF(ISBLANK('1_raw_log'!K15),"",'1_raw_log'!K15)</f>
        <v/>
      </c>
      <c r="L15" s="30">
        <f>INT(B15)</f>
        <v/>
      </c>
      <c r="M15" s="20">
        <f>ROUND(MOD(B15,1)*1440,0)/1440</f>
        <v/>
      </c>
      <c r="N15" s="4">
        <f>IFERROR(INDEX('3_ref_date'!$B:$B,MATCH(L15,'3_ref_date'!$A:$A,0)),"NOT FOUND")</f>
        <v/>
      </c>
      <c r="O15" s="2">
        <f>IFERROR(INDEX('3_ref_date'!$C:$C,MATCH(L15,'3_ref_date'!$A:$A,0)),"NOT FOUND")</f>
        <v/>
      </c>
      <c r="P15" s="4">
        <f>IFERROR(INDEX('3_ref_date'!$D:$D,MATCH(L15,'3_ref_date'!$A:$A,0)),"NOT FOUND")</f>
        <v/>
      </c>
      <c r="Q15" s="4">
        <f>IFERROR(INDEX('3_ref_date'!$E:$E,MATCH(L15,'3_ref_date'!$A:$A,0)),"NOT FOUND")</f>
        <v/>
      </c>
      <c r="R15" s="2">
        <f>IFERROR(INDEX('3_ref_date'!$F:$F,MATCH(L15,'3_ref_date'!$A:$A,0)),"NOT FOUND")</f>
        <v/>
      </c>
      <c r="S15" s="2">
        <f>IFERROR(INDEX('4_ref_time'!$D:$D,MATCH(ROUND(M15*1440,0),'4_ref_time'!$A:$A,0)),"NOT FOUND")</f>
        <v/>
      </c>
      <c r="T15" s="2">
        <f>UPPER(TRIM(C15))</f>
        <v/>
      </c>
      <c r="U15" s="30">
        <f>IF(_xlfn.MAXIFS('6_3nf_branch_history'!$B$2:$B$50,'6_3nf_branch_history'!$A$2:$A$50,T15,'6_3nf_branch_history'!$B$2:$B$50,"&lt;="&amp;L15)=0,"NOT FOUND",_xlfn.MAXIFS('6_3nf_branch_history'!$B$2:$B$50,'6_3nf_branch_history'!$A$2:$A$50,T15,'6_3nf_branch_history'!$B$2:$B$50,"&lt;="&amp;L15))</f>
        <v/>
      </c>
      <c r="V15" s="2">
        <f>IF(U15="NOT FOUND","NOT FOUND",INDEX('6_3nf_branch_history'!$C:$C,SUMPRODUCT(('6_3nf_branch_history'!$A$2:$A$50=T15)*('6_3nf_branch_history'!$B$2:$B$50=U15)*ROW('6_3nf_branch_history'!$A$2:$A$50))))</f>
        <v/>
      </c>
      <c r="W15" s="2">
        <f>IF(U15="NOT FOUND","NOT FOUND",INDEX('6_3nf_branch_history'!$D:$D,SUMPRODUCT(('6_3nf_branch_history'!$A$2:$A$50=T15)*('6_3nf_branch_history'!$B$2:$B$50=U15)*ROW('6_3nf_branch_history'!$A$2:$A$50))))</f>
        <v/>
      </c>
      <c r="X15" s="2">
        <f>IF(U15="NOT FOUND","NOT FOUND",INDEX('6_3nf_branch_history'!$E:$E,SUMPRODUCT(('6_3nf_branch_history'!$A$2:$A$50=T15)*('6_3nf_branch_history'!$B$2:$B$50=U15)*ROW('6_3nf_branch_history'!$A$2:$A$50))))</f>
        <v/>
      </c>
      <c r="Y15" s="2">
        <f>UPPER(TRIM(D15))</f>
        <v/>
      </c>
      <c r="Z15" s="2">
        <f>IFERROR(INDEX('7_3nf_product'!$B:$B,MATCH(Y15,'7_3nf_product'!$A:$A,0)),"NOT FOUND")</f>
        <v/>
      </c>
      <c r="AA15" s="2">
        <f>IFERROR(INDEX('7_3nf_product'!$C:$C,MATCH(Y15,'7_3nf_product'!$A:$A,0)),"NOT FOUND")</f>
        <v/>
      </c>
      <c r="AB15" s="2">
        <f>IFERROR(INDEX('7_3nf_product'!$D:$D,MATCH(Y15,'7_3nf_product'!$A:$A,0)),"NOT FOUND")</f>
        <v/>
      </c>
      <c r="AC15" s="6">
        <f>IFERROR(INDEX('7_3nf_product'!$E:$E,MATCH(Y15,'7_3nf_product'!$A:$A,0)),"NOT FOUND")</f>
        <v/>
      </c>
      <c r="AD15" s="33">
        <f>IF(LEN(TRIM(E15))=10,TRIM(E15),IF(LEN(TRIM(E15))=8,"00"&amp;TRIM(E15),"CHECK"))</f>
        <v/>
      </c>
      <c r="AE15" s="2">
        <f>IFERROR(INDEX('8_3nf_customer'!$C:$C,MATCH(AD15,'8_3nf_customer'!$B:$B,0)),"NOT FOUND")</f>
        <v/>
      </c>
      <c r="AF15" s="30">
        <f>IFERROR(INDEX('8_3nf_customer'!$D:$D,MATCH(AD15,'8_3nf_customer'!$B:$B,0)),"NOT FOUND")</f>
        <v/>
      </c>
      <c r="AG15" s="4">
        <f>IF(ISNUMBER(AF15),DATEDIF(AF15,L15,"y"),"NOT FOUND")</f>
        <v/>
      </c>
      <c r="AH15" s="2">
        <f>IFERROR(INDEX('8_3nf_customer'!$E:$E,MATCH(AD15,'8_3nf_customer'!$B:$B,0)),"NOT FOUND")</f>
        <v/>
      </c>
      <c r="AI15" s="30">
        <f>IF(_xlfn.MAXIFS('9_3nf_customer_history'!$B$2:$B$500,'9_3nf_customer_history'!$A$2:$A$500,AD15,'9_3nf_customer_history'!$B$2:$B$500,"&lt;="&amp;L15)=0,"NOT FOUND",_xlfn.MAXIFS('9_3nf_customer_history'!$B$2:$B$500,'9_3nf_customer_history'!$A$2:$A$500,AD15,'9_3nf_customer_history'!$B$2:$B$500,"&lt;="&amp;L15))</f>
        <v/>
      </c>
      <c r="AJ15" s="2">
        <f>IF(AI15="NOT FOUND","NOT FOUND",INDEX('9_3nf_customer_history'!$C:$C,SUMPRODUCT(('9_3nf_customer_history'!$A$2:$A$500=AD15)*('9_3nf_customer_history'!$B$2:$B$500=AI15)*ROW('9_3nf_customer_history'!$A$2:$A$500))))</f>
        <v/>
      </c>
      <c r="AK15" s="2">
        <f>IF(AI15="NOT FOUND","NOT FOUND",INDEX('9_3nf_customer_history'!$D:$D,SUMPRODUCT(('9_3nf_customer_history'!$A$2:$A$500=AD15)*('9_3nf_customer_history'!$B$2:$B$500=AI15)*ROW('9_3nf_customer_history'!$A$2:$A$500))))</f>
        <v/>
      </c>
      <c r="AL15" s="2">
        <f>UPPER(TRIM(H15))</f>
        <v/>
      </c>
      <c r="AM15" s="30">
        <f>IF(_xlfn.MAXIFS('10_ref_fx_rate'!$B$2:$B$2000,'10_ref_fx_rate'!$A$2:$A$2000,AL15,'10_ref_fx_rate'!$B$2:$B$2000,"&lt;="&amp;L15)=0,"NOT FOUND",_xlfn.MAXIFS('10_ref_fx_rate'!$B$2:$B$2000,'10_ref_fx_rate'!$A$2:$A$2000,AL15,'10_ref_fx_rate'!$B$2:$B$2000,"&lt;="&amp;L15))</f>
        <v/>
      </c>
      <c r="AN15" s="8">
        <f>IF(AM15="NOT FOUND","NOT FOUND",SUMIFS('10_ref_fx_rate'!$D$2:$D$2000,'10_ref_fx_rate'!$A$2:$A$2000,AL15,'10_ref_fx_rate'!$B$2:$B$2000,AM15))</f>
        <v/>
      </c>
      <c r="AO15" s="37">
        <f>IF(ISNUMBER(AN15),I15*AN15,"NOT FOUND")</f>
        <v/>
      </c>
      <c r="AP15" s="2">
        <f>UPPER(TRIM(J15))</f>
        <v/>
      </c>
      <c r="AQ15" s="2">
        <f>IF(AP15="","SELF-DIRECTED",IF(ISNUMBER(MATCH(AP15,'11_3nf_sales_person'!$A:$A,0)),IF(EXACT(AP15,J15),"OK","OK (auto-fixed)"),IF(ISNA(MATCH($A15,'12_sales_person_confirmation'!$A:$A,0)),"CONFIRM (not logged)",IF(INDEX('12_sales_person_confirmation'!$I:$I,MATCH($A15,'12_sales_person_confirmation'!$A:$A,0))="CONFIRMED","CONFIRMED ("&amp;LOWER(INDEX('12_sales_person_confirmation'!$E:$E,MATCH($A15,'12_sales_person_confirmation'!$A:$A,0)))&amp;")","PENDING CONFIRM"))))</f>
        <v/>
      </c>
      <c r="AR15" s="2">
        <f>IF(OR(AQ15="OK",AQ15="OK (auto-fixed)"),AP15,IF(LEFT(AQ15,9)="CONFIRMED",INDEX('12_sales_person_confirmation'!$F:$F,MATCH($A15,'12_sales_person_confirmation'!$A:$A,0)),""))</f>
        <v/>
      </c>
      <c r="AS15" s="2">
        <f>IF(AR15="","",INDEX('11_3nf_sales_person'!$B:$B,MATCH(AR15,'11_3nf_sales_person'!$A:$A,0)))</f>
        <v/>
      </c>
    </row>
    <row r="16">
      <c r="A16" s="2">
        <f>IF(ISBLANK('1_raw_log'!A16),"",'1_raw_log'!A16)</f>
        <v/>
      </c>
      <c r="B16" s="3">
        <f>IF(ISBLANK('1_raw_log'!B16),"",'1_raw_log'!B16)</f>
        <v/>
      </c>
      <c r="C16" s="2">
        <f>IF(ISBLANK('1_raw_log'!C16),"",'1_raw_log'!C16)</f>
        <v/>
      </c>
      <c r="D16" s="2">
        <f>IF(ISBLANK('1_raw_log'!D16),"",'1_raw_log'!D16)</f>
        <v/>
      </c>
      <c r="E16" s="4">
        <f>IF(ISBLANK('1_raw_log'!E16),"",'1_raw_log'!E16)</f>
        <v/>
      </c>
      <c r="F16" s="2">
        <f>IF(ISBLANK('1_raw_log'!F16),"",'1_raw_log'!F16)</f>
        <v/>
      </c>
      <c r="G16" s="2">
        <f>IF(ISBLANK('1_raw_log'!G16),"",'1_raw_log'!G16)</f>
        <v/>
      </c>
      <c r="H16" s="2">
        <f>IF(ISBLANK('1_raw_log'!H16),"",'1_raw_log'!H16)</f>
        <v/>
      </c>
      <c r="I16" s="7">
        <f>IF(ISBLANK('1_raw_log'!I16),"",'1_raw_log'!I16)</f>
        <v/>
      </c>
      <c r="J16" s="2">
        <f>IF(ISBLANK('1_raw_log'!J16),"",'1_raw_log'!J16)</f>
        <v/>
      </c>
      <c r="K16" s="2">
        <f>IF(ISBLANK('1_raw_log'!K16),"",'1_raw_log'!K16)</f>
        <v/>
      </c>
      <c r="L16" s="30">
        <f>INT(B16)</f>
        <v/>
      </c>
      <c r="M16" s="20">
        <f>ROUND(MOD(B16,1)*1440,0)/1440</f>
        <v/>
      </c>
      <c r="N16" s="4">
        <f>IFERROR(INDEX('3_ref_date'!$B:$B,MATCH(L16,'3_ref_date'!$A:$A,0)),"NOT FOUND")</f>
        <v/>
      </c>
      <c r="O16" s="2">
        <f>IFERROR(INDEX('3_ref_date'!$C:$C,MATCH(L16,'3_ref_date'!$A:$A,0)),"NOT FOUND")</f>
        <v/>
      </c>
      <c r="P16" s="4">
        <f>IFERROR(INDEX('3_ref_date'!$D:$D,MATCH(L16,'3_ref_date'!$A:$A,0)),"NOT FOUND")</f>
        <v/>
      </c>
      <c r="Q16" s="4">
        <f>IFERROR(INDEX('3_ref_date'!$E:$E,MATCH(L16,'3_ref_date'!$A:$A,0)),"NOT FOUND")</f>
        <v/>
      </c>
      <c r="R16" s="2">
        <f>IFERROR(INDEX('3_ref_date'!$F:$F,MATCH(L16,'3_ref_date'!$A:$A,0)),"NOT FOUND")</f>
        <v/>
      </c>
      <c r="S16" s="2">
        <f>IFERROR(INDEX('4_ref_time'!$D:$D,MATCH(ROUND(M16*1440,0),'4_ref_time'!$A:$A,0)),"NOT FOUND")</f>
        <v/>
      </c>
      <c r="T16" s="2">
        <f>UPPER(TRIM(C16))</f>
        <v/>
      </c>
      <c r="U16" s="30">
        <f>IF(_xlfn.MAXIFS('6_3nf_branch_history'!$B$2:$B$50,'6_3nf_branch_history'!$A$2:$A$50,T16,'6_3nf_branch_history'!$B$2:$B$50,"&lt;="&amp;L16)=0,"NOT FOUND",_xlfn.MAXIFS('6_3nf_branch_history'!$B$2:$B$50,'6_3nf_branch_history'!$A$2:$A$50,T16,'6_3nf_branch_history'!$B$2:$B$50,"&lt;="&amp;L16))</f>
        <v/>
      </c>
      <c r="V16" s="2">
        <f>IF(U16="NOT FOUND","NOT FOUND",INDEX('6_3nf_branch_history'!$C:$C,SUMPRODUCT(('6_3nf_branch_history'!$A$2:$A$50=T16)*('6_3nf_branch_history'!$B$2:$B$50=U16)*ROW('6_3nf_branch_history'!$A$2:$A$50))))</f>
        <v/>
      </c>
      <c r="W16" s="2">
        <f>IF(U16="NOT FOUND","NOT FOUND",INDEX('6_3nf_branch_history'!$D:$D,SUMPRODUCT(('6_3nf_branch_history'!$A$2:$A$50=T16)*('6_3nf_branch_history'!$B$2:$B$50=U16)*ROW('6_3nf_branch_history'!$A$2:$A$50))))</f>
        <v/>
      </c>
      <c r="X16" s="2">
        <f>IF(U16="NOT FOUND","NOT FOUND",INDEX('6_3nf_branch_history'!$E:$E,SUMPRODUCT(('6_3nf_branch_history'!$A$2:$A$50=T16)*('6_3nf_branch_history'!$B$2:$B$50=U16)*ROW('6_3nf_branch_history'!$A$2:$A$50))))</f>
        <v/>
      </c>
      <c r="Y16" s="2">
        <f>UPPER(TRIM(D16))</f>
        <v/>
      </c>
      <c r="Z16" s="2">
        <f>IFERROR(INDEX('7_3nf_product'!$B:$B,MATCH(Y16,'7_3nf_product'!$A:$A,0)),"NOT FOUND")</f>
        <v/>
      </c>
      <c r="AA16" s="2">
        <f>IFERROR(INDEX('7_3nf_product'!$C:$C,MATCH(Y16,'7_3nf_product'!$A:$A,0)),"NOT FOUND")</f>
        <v/>
      </c>
      <c r="AB16" s="2">
        <f>IFERROR(INDEX('7_3nf_product'!$D:$D,MATCH(Y16,'7_3nf_product'!$A:$A,0)),"NOT FOUND")</f>
        <v/>
      </c>
      <c r="AC16" s="6">
        <f>IFERROR(INDEX('7_3nf_product'!$E:$E,MATCH(Y16,'7_3nf_product'!$A:$A,0)),"NOT FOUND")</f>
        <v/>
      </c>
      <c r="AD16" s="33">
        <f>IF(LEN(TRIM(E16))=10,TRIM(E16),IF(LEN(TRIM(E16))=8,"00"&amp;TRIM(E16),"CHECK"))</f>
        <v/>
      </c>
      <c r="AE16" s="2">
        <f>IFERROR(INDEX('8_3nf_customer'!$C:$C,MATCH(AD16,'8_3nf_customer'!$B:$B,0)),"NOT FOUND")</f>
        <v/>
      </c>
      <c r="AF16" s="30">
        <f>IFERROR(INDEX('8_3nf_customer'!$D:$D,MATCH(AD16,'8_3nf_customer'!$B:$B,0)),"NOT FOUND")</f>
        <v/>
      </c>
      <c r="AG16" s="4">
        <f>IF(ISNUMBER(AF16),DATEDIF(AF16,L16,"y"),"NOT FOUND")</f>
        <v/>
      </c>
      <c r="AH16" s="2">
        <f>IFERROR(INDEX('8_3nf_customer'!$E:$E,MATCH(AD16,'8_3nf_customer'!$B:$B,0)),"NOT FOUND")</f>
        <v/>
      </c>
      <c r="AI16" s="30">
        <f>IF(_xlfn.MAXIFS('9_3nf_customer_history'!$B$2:$B$500,'9_3nf_customer_history'!$A$2:$A$500,AD16,'9_3nf_customer_history'!$B$2:$B$500,"&lt;="&amp;L16)=0,"NOT FOUND",_xlfn.MAXIFS('9_3nf_customer_history'!$B$2:$B$500,'9_3nf_customer_history'!$A$2:$A$500,AD16,'9_3nf_customer_history'!$B$2:$B$500,"&lt;="&amp;L16))</f>
        <v/>
      </c>
      <c r="AJ16" s="2">
        <f>IF(AI16="NOT FOUND","NOT FOUND",INDEX('9_3nf_customer_history'!$C:$C,SUMPRODUCT(('9_3nf_customer_history'!$A$2:$A$500=AD16)*('9_3nf_customer_history'!$B$2:$B$500=AI16)*ROW('9_3nf_customer_history'!$A$2:$A$500))))</f>
        <v/>
      </c>
      <c r="AK16" s="2">
        <f>IF(AI16="NOT FOUND","NOT FOUND",INDEX('9_3nf_customer_history'!$D:$D,SUMPRODUCT(('9_3nf_customer_history'!$A$2:$A$500=AD16)*('9_3nf_customer_history'!$B$2:$B$500=AI16)*ROW('9_3nf_customer_history'!$A$2:$A$500))))</f>
        <v/>
      </c>
      <c r="AL16" s="2">
        <f>UPPER(TRIM(H16))</f>
        <v/>
      </c>
      <c r="AM16" s="30">
        <f>IF(_xlfn.MAXIFS('10_ref_fx_rate'!$B$2:$B$2000,'10_ref_fx_rate'!$A$2:$A$2000,AL16,'10_ref_fx_rate'!$B$2:$B$2000,"&lt;="&amp;L16)=0,"NOT FOUND",_xlfn.MAXIFS('10_ref_fx_rate'!$B$2:$B$2000,'10_ref_fx_rate'!$A$2:$A$2000,AL16,'10_ref_fx_rate'!$B$2:$B$2000,"&lt;="&amp;L16))</f>
        <v/>
      </c>
      <c r="AN16" s="8">
        <f>IF(AM16="NOT FOUND","NOT FOUND",SUMIFS('10_ref_fx_rate'!$D$2:$D$2000,'10_ref_fx_rate'!$A$2:$A$2000,AL16,'10_ref_fx_rate'!$B$2:$B$2000,AM16))</f>
        <v/>
      </c>
      <c r="AO16" s="37">
        <f>IF(ISNUMBER(AN16),I16*AN16,"NOT FOUND")</f>
        <v/>
      </c>
      <c r="AP16" s="2">
        <f>UPPER(TRIM(J16))</f>
        <v/>
      </c>
      <c r="AQ16" s="2">
        <f>IF(AP16="","SELF-DIRECTED",IF(ISNUMBER(MATCH(AP16,'11_3nf_sales_person'!$A:$A,0)),IF(EXACT(AP16,J16),"OK","OK (auto-fixed)"),IF(ISNA(MATCH($A16,'12_sales_person_confirmation'!$A:$A,0)),"CONFIRM (not logged)",IF(INDEX('12_sales_person_confirmation'!$I:$I,MATCH($A16,'12_sales_person_confirmation'!$A:$A,0))="CONFIRMED","CONFIRMED ("&amp;LOWER(INDEX('12_sales_person_confirmation'!$E:$E,MATCH($A16,'12_sales_person_confirmation'!$A:$A,0)))&amp;")","PENDING CONFIRM"))))</f>
        <v/>
      </c>
      <c r="AR16" s="2">
        <f>IF(OR(AQ16="OK",AQ16="OK (auto-fixed)"),AP16,IF(LEFT(AQ16,9)="CONFIRMED",INDEX('12_sales_person_confirmation'!$F:$F,MATCH($A16,'12_sales_person_confirmation'!$A:$A,0)),""))</f>
        <v/>
      </c>
      <c r="AS16" s="2">
        <f>IF(AR16="","",INDEX('11_3nf_sales_person'!$B:$B,MATCH(AR16,'11_3nf_sales_person'!$A:$A,0)))</f>
        <v/>
      </c>
    </row>
    <row r="17">
      <c r="A17" s="2">
        <f>IF(ISBLANK('1_raw_log'!A17),"",'1_raw_log'!A17)</f>
        <v/>
      </c>
      <c r="B17" s="3">
        <f>IF(ISBLANK('1_raw_log'!B17),"",'1_raw_log'!B17)</f>
        <v/>
      </c>
      <c r="C17" s="2">
        <f>IF(ISBLANK('1_raw_log'!C17),"",'1_raw_log'!C17)</f>
        <v/>
      </c>
      <c r="D17" s="2">
        <f>IF(ISBLANK('1_raw_log'!D17),"",'1_raw_log'!D17)</f>
        <v/>
      </c>
      <c r="E17" s="4">
        <f>IF(ISBLANK('1_raw_log'!E17),"",'1_raw_log'!E17)</f>
        <v/>
      </c>
      <c r="F17" s="2">
        <f>IF(ISBLANK('1_raw_log'!F17),"",'1_raw_log'!F17)</f>
        <v/>
      </c>
      <c r="G17" s="2">
        <f>IF(ISBLANK('1_raw_log'!G17),"",'1_raw_log'!G17)</f>
        <v/>
      </c>
      <c r="H17" s="2">
        <f>IF(ISBLANK('1_raw_log'!H17),"",'1_raw_log'!H17)</f>
        <v/>
      </c>
      <c r="I17" s="7">
        <f>IF(ISBLANK('1_raw_log'!I17),"",'1_raw_log'!I17)</f>
        <v/>
      </c>
      <c r="J17" s="2">
        <f>IF(ISBLANK('1_raw_log'!J17),"",'1_raw_log'!J17)</f>
        <v/>
      </c>
      <c r="K17" s="2">
        <f>IF(ISBLANK('1_raw_log'!K17),"",'1_raw_log'!K17)</f>
        <v/>
      </c>
      <c r="L17" s="30">
        <f>INT(B17)</f>
        <v/>
      </c>
      <c r="M17" s="20">
        <f>ROUND(MOD(B17,1)*1440,0)/1440</f>
        <v/>
      </c>
      <c r="N17" s="4">
        <f>IFERROR(INDEX('3_ref_date'!$B:$B,MATCH(L17,'3_ref_date'!$A:$A,0)),"NOT FOUND")</f>
        <v/>
      </c>
      <c r="O17" s="2">
        <f>IFERROR(INDEX('3_ref_date'!$C:$C,MATCH(L17,'3_ref_date'!$A:$A,0)),"NOT FOUND")</f>
        <v/>
      </c>
      <c r="P17" s="4">
        <f>IFERROR(INDEX('3_ref_date'!$D:$D,MATCH(L17,'3_ref_date'!$A:$A,0)),"NOT FOUND")</f>
        <v/>
      </c>
      <c r="Q17" s="4">
        <f>IFERROR(INDEX('3_ref_date'!$E:$E,MATCH(L17,'3_ref_date'!$A:$A,0)),"NOT FOUND")</f>
        <v/>
      </c>
      <c r="R17" s="2">
        <f>IFERROR(INDEX('3_ref_date'!$F:$F,MATCH(L17,'3_ref_date'!$A:$A,0)),"NOT FOUND")</f>
        <v/>
      </c>
      <c r="S17" s="2">
        <f>IFERROR(INDEX('4_ref_time'!$D:$D,MATCH(ROUND(M17*1440,0),'4_ref_time'!$A:$A,0)),"NOT FOUND")</f>
        <v/>
      </c>
      <c r="T17" s="2">
        <f>UPPER(TRIM(C17))</f>
        <v/>
      </c>
      <c r="U17" s="30">
        <f>IF(_xlfn.MAXIFS('6_3nf_branch_history'!$B$2:$B$50,'6_3nf_branch_history'!$A$2:$A$50,T17,'6_3nf_branch_history'!$B$2:$B$50,"&lt;="&amp;L17)=0,"NOT FOUND",_xlfn.MAXIFS('6_3nf_branch_history'!$B$2:$B$50,'6_3nf_branch_history'!$A$2:$A$50,T17,'6_3nf_branch_history'!$B$2:$B$50,"&lt;="&amp;L17))</f>
        <v/>
      </c>
      <c r="V17" s="2">
        <f>IF(U17="NOT FOUND","NOT FOUND",INDEX('6_3nf_branch_history'!$C:$C,SUMPRODUCT(('6_3nf_branch_history'!$A$2:$A$50=T17)*('6_3nf_branch_history'!$B$2:$B$50=U17)*ROW('6_3nf_branch_history'!$A$2:$A$50))))</f>
        <v/>
      </c>
      <c r="W17" s="2">
        <f>IF(U17="NOT FOUND","NOT FOUND",INDEX('6_3nf_branch_history'!$D:$D,SUMPRODUCT(('6_3nf_branch_history'!$A$2:$A$50=T17)*('6_3nf_branch_history'!$B$2:$B$50=U17)*ROW('6_3nf_branch_history'!$A$2:$A$50))))</f>
        <v/>
      </c>
      <c r="X17" s="2">
        <f>IF(U17="NOT FOUND","NOT FOUND",INDEX('6_3nf_branch_history'!$E:$E,SUMPRODUCT(('6_3nf_branch_history'!$A$2:$A$50=T17)*('6_3nf_branch_history'!$B$2:$B$50=U17)*ROW('6_3nf_branch_history'!$A$2:$A$50))))</f>
        <v/>
      </c>
      <c r="Y17" s="2">
        <f>UPPER(TRIM(D17))</f>
        <v/>
      </c>
      <c r="Z17" s="2">
        <f>IFERROR(INDEX('7_3nf_product'!$B:$B,MATCH(Y17,'7_3nf_product'!$A:$A,0)),"NOT FOUND")</f>
        <v/>
      </c>
      <c r="AA17" s="2">
        <f>IFERROR(INDEX('7_3nf_product'!$C:$C,MATCH(Y17,'7_3nf_product'!$A:$A,0)),"NOT FOUND")</f>
        <v/>
      </c>
      <c r="AB17" s="2">
        <f>IFERROR(INDEX('7_3nf_product'!$D:$D,MATCH(Y17,'7_3nf_product'!$A:$A,0)),"NOT FOUND")</f>
        <v/>
      </c>
      <c r="AC17" s="6">
        <f>IFERROR(INDEX('7_3nf_product'!$E:$E,MATCH(Y17,'7_3nf_product'!$A:$A,0)),"NOT FOUND")</f>
        <v/>
      </c>
      <c r="AD17" s="33">
        <f>IF(LEN(TRIM(E17))=10,TRIM(E17),IF(LEN(TRIM(E17))=8,"00"&amp;TRIM(E17),"CHECK"))</f>
        <v/>
      </c>
      <c r="AE17" s="2">
        <f>IFERROR(INDEX('8_3nf_customer'!$C:$C,MATCH(AD17,'8_3nf_customer'!$B:$B,0)),"NOT FOUND")</f>
        <v/>
      </c>
      <c r="AF17" s="30">
        <f>IFERROR(INDEX('8_3nf_customer'!$D:$D,MATCH(AD17,'8_3nf_customer'!$B:$B,0)),"NOT FOUND")</f>
        <v/>
      </c>
      <c r="AG17" s="4">
        <f>IF(ISNUMBER(AF17),DATEDIF(AF17,L17,"y"),"NOT FOUND")</f>
        <v/>
      </c>
      <c r="AH17" s="2">
        <f>IFERROR(INDEX('8_3nf_customer'!$E:$E,MATCH(AD17,'8_3nf_customer'!$B:$B,0)),"NOT FOUND")</f>
        <v/>
      </c>
      <c r="AI17" s="30">
        <f>IF(_xlfn.MAXIFS('9_3nf_customer_history'!$B$2:$B$500,'9_3nf_customer_history'!$A$2:$A$500,AD17,'9_3nf_customer_history'!$B$2:$B$500,"&lt;="&amp;L17)=0,"NOT FOUND",_xlfn.MAXIFS('9_3nf_customer_history'!$B$2:$B$500,'9_3nf_customer_history'!$A$2:$A$500,AD17,'9_3nf_customer_history'!$B$2:$B$500,"&lt;="&amp;L17))</f>
        <v/>
      </c>
      <c r="AJ17" s="2">
        <f>IF(AI17="NOT FOUND","NOT FOUND",INDEX('9_3nf_customer_history'!$C:$C,SUMPRODUCT(('9_3nf_customer_history'!$A$2:$A$500=AD17)*('9_3nf_customer_history'!$B$2:$B$500=AI17)*ROW('9_3nf_customer_history'!$A$2:$A$500))))</f>
        <v/>
      </c>
      <c r="AK17" s="2">
        <f>IF(AI17="NOT FOUND","NOT FOUND",INDEX('9_3nf_customer_history'!$D:$D,SUMPRODUCT(('9_3nf_customer_history'!$A$2:$A$500=AD17)*('9_3nf_customer_history'!$B$2:$B$500=AI17)*ROW('9_3nf_customer_history'!$A$2:$A$500))))</f>
        <v/>
      </c>
      <c r="AL17" s="2">
        <f>UPPER(TRIM(H17))</f>
        <v/>
      </c>
      <c r="AM17" s="30">
        <f>IF(_xlfn.MAXIFS('10_ref_fx_rate'!$B$2:$B$2000,'10_ref_fx_rate'!$A$2:$A$2000,AL17,'10_ref_fx_rate'!$B$2:$B$2000,"&lt;="&amp;L17)=0,"NOT FOUND",_xlfn.MAXIFS('10_ref_fx_rate'!$B$2:$B$2000,'10_ref_fx_rate'!$A$2:$A$2000,AL17,'10_ref_fx_rate'!$B$2:$B$2000,"&lt;="&amp;L17))</f>
        <v/>
      </c>
      <c r="AN17" s="8">
        <f>IF(AM17="NOT FOUND","NOT FOUND",SUMIFS('10_ref_fx_rate'!$D$2:$D$2000,'10_ref_fx_rate'!$A$2:$A$2000,AL17,'10_ref_fx_rate'!$B$2:$B$2000,AM17))</f>
        <v/>
      </c>
      <c r="AO17" s="37">
        <f>IF(ISNUMBER(AN17),I17*AN17,"NOT FOUND")</f>
        <v/>
      </c>
      <c r="AP17" s="2">
        <f>UPPER(TRIM(J17))</f>
        <v/>
      </c>
      <c r="AQ17" s="2">
        <f>IF(AP17="","SELF-DIRECTED",IF(ISNUMBER(MATCH(AP17,'11_3nf_sales_person'!$A:$A,0)),IF(EXACT(AP17,J17),"OK","OK (auto-fixed)"),IF(ISNA(MATCH($A17,'12_sales_person_confirmation'!$A:$A,0)),"CONFIRM (not logged)",IF(INDEX('12_sales_person_confirmation'!$I:$I,MATCH($A17,'12_sales_person_confirmation'!$A:$A,0))="CONFIRMED","CONFIRMED ("&amp;LOWER(INDEX('12_sales_person_confirmation'!$E:$E,MATCH($A17,'12_sales_person_confirmation'!$A:$A,0)))&amp;")","PENDING CONFIRM"))))</f>
        <v/>
      </c>
      <c r="AR17" s="2">
        <f>IF(OR(AQ17="OK",AQ17="OK (auto-fixed)"),AP17,IF(LEFT(AQ17,9)="CONFIRMED",INDEX('12_sales_person_confirmation'!$F:$F,MATCH($A17,'12_sales_person_confirmation'!$A:$A,0)),""))</f>
        <v/>
      </c>
      <c r="AS17" s="2">
        <f>IF(AR17="","",INDEX('11_3nf_sales_person'!$B:$B,MATCH(AR17,'11_3nf_sales_person'!$A:$A,0)))</f>
        <v/>
      </c>
    </row>
    <row r="18">
      <c r="A18" s="2">
        <f>IF(ISBLANK('1_raw_log'!A18),"",'1_raw_log'!A18)</f>
        <v/>
      </c>
      <c r="B18" s="3">
        <f>IF(ISBLANK('1_raw_log'!B18),"",'1_raw_log'!B18)</f>
        <v/>
      </c>
      <c r="C18" s="2">
        <f>IF(ISBLANK('1_raw_log'!C18),"",'1_raw_log'!C18)</f>
        <v/>
      </c>
      <c r="D18" s="2">
        <f>IF(ISBLANK('1_raw_log'!D18),"",'1_raw_log'!D18)</f>
        <v/>
      </c>
      <c r="E18" s="4">
        <f>IF(ISBLANK('1_raw_log'!E18),"",'1_raw_log'!E18)</f>
        <v/>
      </c>
      <c r="F18" s="2">
        <f>IF(ISBLANK('1_raw_log'!F18),"",'1_raw_log'!F18)</f>
        <v/>
      </c>
      <c r="G18" s="2">
        <f>IF(ISBLANK('1_raw_log'!G18),"",'1_raw_log'!G18)</f>
        <v/>
      </c>
      <c r="H18" s="2">
        <f>IF(ISBLANK('1_raw_log'!H18),"",'1_raw_log'!H18)</f>
        <v/>
      </c>
      <c r="I18" s="7">
        <f>IF(ISBLANK('1_raw_log'!I18),"",'1_raw_log'!I18)</f>
        <v/>
      </c>
      <c r="J18" s="2">
        <f>IF(ISBLANK('1_raw_log'!J18),"",'1_raw_log'!J18)</f>
        <v/>
      </c>
      <c r="K18" s="2">
        <f>IF(ISBLANK('1_raw_log'!K18),"",'1_raw_log'!K18)</f>
        <v/>
      </c>
      <c r="L18" s="30">
        <f>INT(B18)</f>
        <v/>
      </c>
      <c r="M18" s="20">
        <f>ROUND(MOD(B18,1)*1440,0)/1440</f>
        <v/>
      </c>
      <c r="N18" s="4">
        <f>IFERROR(INDEX('3_ref_date'!$B:$B,MATCH(L18,'3_ref_date'!$A:$A,0)),"NOT FOUND")</f>
        <v/>
      </c>
      <c r="O18" s="2">
        <f>IFERROR(INDEX('3_ref_date'!$C:$C,MATCH(L18,'3_ref_date'!$A:$A,0)),"NOT FOUND")</f>
        <v/>
      </c>
      <c r="P18" s="4">
        <f>IFERROR(INDEX('3_ref_date'!$D:$D,MATCH(L18,'3_ref_date'!$A:$A,0)),"NOT FOUND")</f>
        <v/>
      </c>
      <c r="Q18" s="4">
        <f>IFERROR(INDEX('3_ref_date'!$E:$E,MATCH(L18,'3_ref_date'!$A:$A,0)),"NOT FOUND")</f>
        <v/>
      </c>
      <c r="R18" s="2">
        <f>IFERROR(INDEX('3_ref_date'!$F:$F,MATCH(L18,'3_ref_date'!$A:$A,0)),"NOT FOUND")</f>
        <v/>
      </c>
      <c r="S18" s="2">
        <f>IFERROR(INDEX('4_ref_time'!$D:$D,MATCH(ROUND(M18*1440,0),'4_ref_time'!$A:$A,0)),"NOT FOUND")</f>
        <v/>
      </c>
      <c r="T18" s="2">
        <f>UPPER(TRIM(C18))</f>
        <v/>
      </c>
      <c r="U18" s="30">
        <f>IF(_xlfn.MAXIFS('6_3nf_branch_history'!$B$2:$B$50,'6_3nf_branch_history'!$A$2:$A$50,T18,'6_3nf_branch_history'!$B$2:$B$50,"&lt;="&amp;L18)=0,"NOT FOUND",_xlfn.MAXIFS('6_3nf_branch_history'!$B$2:$B$50,'6_3nf_branch_history'!$A$2:$A$50,T18,'6_3nf_branch_history'!$B$2:$B$50,"&lt;="&amp;L18))</f>
        <v/>
      </c>
      <c r="V18" s="2">
        <f>IF(U18="NOT FOUND","NOT FOUND",INDEX('6_3nf_branch_history'!$C:$C,SUMPRODUCT(('6_3nf_branch_history'!$A$2:$A$50=T18)*('6_3nf_branch_history'!$B$2:$B$50=U18)*ROW('6_3nf_branch_history'!$A$2:$A$50))))</f>
        <v/>
      </c>
      <c r="W18" s="2">
        <f>IF(U18="NOT FOUND","NOT FOUND",INDEX('6_3nf_branch_history'!$D:$D,SUMPRODUCT(('6_3nf_branch_history'!$A$2:$A$50=T18)*('6_3nf_branch_history'!$B$2:$B$50=U18)*ROW('6_3nf_branch_history'!$A$2:$A$50))))</f>
        <v/>
      </c>
      <c r="X18" s="2">
        <f>IF(U18="NOT FOUND","NOT FOUND",INDEX('6_3nf_branch_history'!$E:$E,SUMPRODUCT(('6_3nf_branch_history'!$A$2:$A$50=T18)*('6_3nf_branch_history'!$B$2:$B$50=U18)*ROW('6_3nf_branch_history'!$A$2:$A$50))))</f>
        <v/>
      </c>
      <c r="Y18" s="2">
        <f>UPPER(TRIM(D18))</f>
        <v/>
      </c>
      <c r="Z18" s="2">
        <f>IFERROR(INDEX('7_3nf_product'!$B:$B,MATCH(Y18,'7_3nf_product'!$A:$A,0)),"NOT FOUND")</f>
        <v/>
      </c>
      <c r="AA18" s="2">
        <f>IFERROR(INDEX('7_3nf_product'!$C:$C,MATCH(Y18,'7_3nf_product'!$A:$A,0)),"NOT FOUND")</f>
        <v/>
      </c>
      <c r="AB18" s="2">
        <f>IFERROR(INDEX('7_3nf_product'!$D:$D,MATCH(Y18,'7_3nf_product'!$A:$A,0)),"NOT FOUND")</f>
        <v/>
      </c>
      <c r="AC18" s="6">
        <f>IFERROR(INDEX('7_3nf_product'!$E:$E,MATCH(Y18,'7_3nf_product'!$A:$A,0)),"NOT FOUND")</f>
        <v/>
      </c>
      <c r="AD18" s="33">
        <f>IF(LEN(TRIM(E18))=10,TRIM(E18),IF(LEN(TRIM(E18))=8,"00"&amp;TRIM(E18),"CHECK"))</f>
        <v/>
      </c>
      <c r="AE18" s="2">
        <f>IFERROR(INDEX('8_3nf_customer'!$C:$C,MATCH(AD18,'8_3nf_customer'!$B:$B,0)),"NOT FOUND")</f>
        <v/>
      </c>
      <c r="AF18" s="30">
        <f>IFERROR(INDEX('8_3nf_customer'!$D:$D,MATCH(AD18,'8_3nf_customer'!$B:$B,0)),"NOT FOUND")</f>
        <v/>
      </c>
      <c r="AG18" s="4">
        <f>IF(ISNUMBER(AF18),DATEDIF(AF18,L18,"y"),"NOT FOUND")</f>
        <v/>
      </c>
      <c r="AH18" s="2">
        <f>IFERROR(INDEX('8_3nf_customer'!$E:$E,MATCH(AD18,'8_3nf_customer'!$B:$B,0)),"NOT FOUND")</f>
        <v/>
      </c>
      <c r="AI18" s="30">
        <f>IF(_xlfn.MAXIFS('9_3nf_customer_history'!$B$2:$B$500,'9_3nf_customer_history'!$A$2:$A$500,AD18,'9_3nf_customer_history'!$B$2:$B$500,"&lt;="&amp;L18)=0,"NOT FOUND",_xlfn.MAXIFS('9_3nf_customer_history'!$B$2:$B$500,'9_3nf_customer_history'!$A$2:$A$500,AD18,'9_3nf_customer_history'!$B$2:$B$500,"&lt;="&amp;L18))</f>
        <v/>
      </c>
      <c r="AJ18" s="2">
        <f>IF(AI18="NOT FOUND","NOT FOUND",INDEX('9_3nf_customer_history'!$C:$C,SUMPRODUCT(('9_3nf_customer_history'!$A$2:$A$500=AD18)*('9_3nf_customer_history'!$B$2:$B$500=AI18)*ROW('9_3nf_customer_history'!$A$2:$A$500))))</f>
        <v/>
      </c>
      <c r="AK18" s="2">
        <f>IF(AI18="NOT FOUND","NOT FOUND",INDEX('9_3nf_customer_history'!$D:$D,SUMPRODUCT(('9_3nf_customer_history'!$A$2:$A$500=AD18)*('9_3nf_customer_history'!$B$2:$B$500=AI18)*ROW('9_3nf_customer_history'!$A$2:$A$500))))</f>
        <v/>
      </c>
      <c r="AL18" s="2">
        <f>UPPER(TRIM(H18))</f>
        <v/>
      </c>
      <c r="AM18" s="30">
        <f>IF(_xlfn.MAXIFS('10_ref_fx_rate'!$B$2:$B$2000,'10_ref_fx_rate'!$A$2:$A$2000,AL18,'10_ref_fx_rate'!$B$2:$B$2000,"&lt;="&amp;L18)=0,"NOT FOUND",_xlfn.MAXIFS('10_ref_fx_rate'!$B$2:$B$2000,'10_ref_fx_rate'!$A$2:$A$2000,AL18,'10_ref_fx_rate'!$B$2:$B$2000,"&lt;="&amp;L18))</f>
        <v/>
      </c>
      <c r="AN18" s="8">
        <f>IF(AM18="NOT FOUND","NOT FOUND",SUMIFS('10_ref_fx_rate'!$D$2:$D$2000,'10_ref_fx_rate'!$A$2:$A$2000,AL18,'10_ref_fx_rate'!$B$2:$B$2000,AM18))</f>
        <v/>
      </c>
      <c r="AO18" s="37">
        <f>IF(ISNUMBER(AN18),I18*AN18,"NOT FOUND")</f>
        <v/>
      </c>
      <c r="AP18" s="2">
        <f>UPPER(TRIM(J18))</f>
        <v/>
      </c>
      <c r="AQ18" s="2">
        <f>IF(AP18="","SELF-DIRECTED",IF(ISNUMBER(MATCH(AP18,'11_3nf_sales_person'!$A:$A,0)),IF(EXACT(AP18,J18),"OK","OK (auto-fixed)"),IF(ISNA(MATCH($A18,'12_sales_person_confirmation'!$A:$A,0)),"CONFIRM (not logged)",IF(INDEX('12_sales_person_confirmation'!$I:$I,MATCH($A18,'12_sales_person_confirmation'!$A:$A,0))="CONFIRMED","CONFIRMED ("&amp;LOWER(INDEX('12_sales_person_confirmation'!$E:$E,MATCH($A18,'12_sales_person_confirmation'!$A:$A,0)))&amp;")","PENDING CONFIRM"))))</f>
        <v/>
      </c>
      <c r="AR18" s="2">
        <f>IF(OR(AQ18="OK",AQ18="OK (auto-fixed)"),AP18,IF(LEFT(AQ18,9)="CONFIRMED",INDEX('12_sales_person_confirmation'!$F:$F,MATCH($A18,'12_sales_person_confirmation'!$A:$A,0)),""))</f>
        <v/>
      </c>
      <c r="AS18" s="2">
        <f>IF(AR18="","",INDEX('11_3nf_sales_person'!$B:$B,MATCH(AR18,'11_3nf_sales_person'!$A:$A,0)))</f>
        <v/>
      </c>
    </row>
    <row r="19">
      <c r="A19" s="2">
        <f>IF(ISBLANK('1_raw_log'!A19),"",'1_raw_log'!A19)</f>
        <v/>
      </c>
      <c r="B19" s="3">
        <f>IF(ISBLANK('1_raw_log'!B19),"",'1_raw_log'!B19)</f>
        <v/>
      </c>
      <c r="C19" s="2">
        <f>IF(ISBLANK('1_raw_log'!C19),"",'1_raw_log'!C19)</f>
        <v/>
      </c>
      <c r="D19" s="2">
        <f>IF(ISBLANK('1_raw_log'!D19),"",'1_raw_log'!D19)</f>
        <v/>
      </c>
      <c r="E19" s="4">
        <f>IF(ISBLANK('1_raw_log'!E19),"",'1_raw_log'!E19)</f>
        <v/>
      </c>
      <c r="F19" s="2">
        <f>IF(ISBLANK('1_raw_log'!F19),"",'1_raw_log'!F19)</f>
        <v/>
      </c>
      <c r="G19" s="2">
        <f>IF(ISBLANK('1_raw_log'!G19),"",'1_raw_log'!G19)</f>
        <v/>
      </c>
      <c r="H19" s="2">
        <f>IF(ISBLANK('1_raw_log'!H19),"",'1_raw_log'!H19)</f>
        <v/>
      </c>
      <c r="I19" s="7">
        <f>IF(ISBLANK('1_raw_log'!I19),"",'1_raw_log'!I19)</f>
        <v/>
      </c>
      <c r="J19" s="2">
        <f>IF(ISBLANK('1_raw_log'!J19),"",'1_raw_log'!J19)</f>
        <v/>
      </c>
      <c r="K19" s="2">
        <f>IF(ISBLANK('1_raw_log'!K19),"",'1_raw_log'!K19)</f>
        <v/>
      </c>
      <c r="L19" s="30">
        <f>INT(B19)</f>
        <v/>
      </c>
      <c r="M19" s="20">
        <f>ROUND(MOD(B19,1)*1440,0)/1440</f>
        <v/>
      </c>
      <c r="N19" s="4">
        <f>IFERROR(INDEX('3_ref_date'!$B:$B,MATCH(L19,'3_ref_date'!$A:$A,0)),"NOT FOUND")</f>
        <v/>
      </c>
      <c r="O19" s="2">
        <f>IFERROR(INDEX('3_ref_date'!$C:$C,MATCH(L19,'3_ref_date'!$A:$A,0)),"NOT FOUND")</f>
        <v/>
      </c>
      <c r="P19" s="4">
        <f>IFERROR(INDEX('3_ref_date'!$D:$D,MATCH(L19,'3_ref_date'!$A:$A,0)),"NOT FOUND")</f>
        <v/>
      </c>
      <c r="Q19" s="4">
        <f>IFERROR(INDEX('3_ref_date'!$E:$E,MATCH(L19,'3_ref_date'!$A:$A,0)),"NOT FOUND")</f>
        <v/>
      </c>
      <c r="R19" s="2">
        <f>IFERROR(INDEX('3_ref_date'!$F:$F,MATCH(L19,'3_ref_date'!$A:$A,0)),"NOT FOUND")</f>
        <v/>
      </c>
      <c r="S19" s="2">
        <f>IFERROR(INDEX('4_ref_time'!$D:$D,MATCH(ROUND(M19*1440,0),'4_ref_time'!$A:$A,0)),"NOT FOUND")</f>
        <v/>
      </c>
      <c r="T19" s="2">
        <f>UPPER(TRIM(C19))</f>
        <v/>
      </c>
      <c r="U19" s="30">
        <f>IF(_xlfn.MAXIFS('6_3nf_branch_history'!$B$2:$B$50,'6_3nf_branch_history'!$A$2:$A$50,T19,'6_3nf_branch_history'!$B$2:$B$50,"&lt;="&amp;L19)=0,"NOT FOUND",_xlfn.MAXIFS('6_3nf_branch_history'!$B$2:$B$50,'6_3nf_branch_history'!$A$2:$A$50,T19,'6_3nf_branch_history'!$B$2:$B$50,"&lt;="&amp;L19))</f>
        <v/>
      </c>
      <c r="V19" s="2">
        <f>IF(U19="NOT FOUND","NOT FOUND",INDEX('6_3nf_branch_history'!$C:$C,SUMPRODUCT(('6_3nf_branch_history'!$A$2:$A$50=T19)*('6_3nf_branch_history'!$B$2:$B$50=U19)*ROW('6_3nf_branch_history'!$A$2:$A$50))))</f>
        <v/>
      </c>
      <c r="W19" s="2">
        <f>IF(U19="NOT FOUND","NOT FOUND",INDEX('6_3nf_branch_history'!$D:$D,SUMPRODUCT(('6_3nf_branch_history'!$A$2:$A$50=T19)*('6_3nf_branch_history'!$B$2:$B$50=U19)*ROW('6_3nf_branch_history'!$A$2:$A$50))))</f>
        <v/>
      </c>
      <c r="X19" s="2">
        <f>IF(U19="NOT FOUND","NOT FOUND",INDEX('6_3nf_branch_history'!$E:$E,SUMPRODUCT(('6_3nf_branch_history'!$A$2:$A$50=T19)*('6_3nf_branch_history'!$B$2:$B$50=U19)*ROW('6_3nf_branch_history'!$A$2:$A$50))))</f>
        <v/>
      </c>
      <c r="Y19" s="2">
        <f>UPPER(TRIM(D19))</f>
        <v/>
      </c>
      <c r="Z19" s="2">
        <f>IFERROR(INDEX('7_3nf_product'!$B:$B,MATCH(Y19,'7_3nf_product'!$A:$A,0)),"NOT FOUND")</f>
        <v/>
      </c>
      <c r="AA19" s="2">
        <f>IFERROR(INDEX('7_3nf_product'!$C:$C,MATCH(Y19,'7_3nf_product'!$A:$A,0)),"NOT FOUND")</f>
        <v/>
      </c>
      <c r="AB19" s="2">
        <f>IFERROR(INDEX('7_3nf_product'!$D:$D,MATCH(Y19,'7_3nf_product'!$A:$A,0)),"NOT FOUND")</f>
        <v/>
      </c>
      <c r="AC19" s="6">
        <f>IFERROR(INDEX('7_3nf_product'!$E:$E,MATCH(Y19,'7_3nf_product'!$A:$A,0)),"NOT FOUND")</f>
        <v/>
      </c>
      <c r="AD19" s="33">
        <f>IF(LEN(TRIM(E19))=10,TRIM(E19),IF(LEN(TRIM(E19))=8,"00"&amp;TRIM(E19),"CHECK"))</f>
        <v/>
      </c>
      <c r="AE19" s="2">
        <f>IFERROR(INDEX('8_3nf_customer'!$C:$C,MATCH(AD19,'8_3nf_customer'!$B:$B,0)),"NOT FOUND")</f>
        <v/>
      </c>
      <c r="AF19" s="30">
        <f>IFERROR(INDEX('8_3nf_customer'!$D:$D,MATCH(AD19,'8_3nf_customer'!$B:$B,0)),"NOT FOUND")</f>
        <v/>
      </c>
      <c r="AG19" s="4">
        <f>IF(ISNUMBER(AF19),DATEDIF(AF19,L19,"y"),"NOT FOUND")</f>
        <v/>
      </c>
      <c r="AH19" s="2">
        <f>IFERROR(INDEX('8_3nf_customer'!$E:$E,MATCH(AD19,'8_3nf_customer'!$B:$B,0)),"NOT FOUND")</f>
        <v/>
      </c>
      <c r="AI19" s="30">
        <f>IF(_xlfn.MAXIFS('9_3nf_customer_history'!$B$2:$B$500,'9_3nf_customer_history'!$A$2:$A$500,AD19,'9_3nf_customer_history'!$B$2:$B$500,"&lt;="&amp;L19)=0,"NOT FOUND",_xlfn.MAXIFS('9_3nf_customer_history'!$B$2:$B$500,'9_3nf_customer_history'!$A$2:$A$500,AD19,'9_3nf_customer_history'!$B$2:$B$500,"&lt;="&amp;L19))</f>
        <v/>
      </c>
      <c r="AJ19" s="2">
        <f>IF(AI19="NOT FOUND","NOT FOUND",INDEX('9_3nf_customer_history'!$C:$C,SUMPRODUCT(('9_3nf_customer_history'!$A$2:$A$500=AD19)*('9_3nf_customer_history'!$B$2:$B$500=AI19)*ROW('9_3nf_customer_history'!$A$2:$A$500))))</f>
        <v/>
      </c>
      <c r="AK19" s="2">
        <f>IF(AI19="NOT FOUND","NOT FOUND",INDEX('9_3nf_customer_history'!$D:$D,SUMPRODUCT(('9_3nf_customer_history'!$A$2:$A$500=AD19)*('9_3nf_customer_history'!$B$2:$B$500=AI19)*ROW('9_3nf_customer_history'!$A$2:$A$500))))</f>
        <v/>
      </c>
      <c r="AL19" s="2">
        <f>UPPER(TRIM(H19))</f>
        <v/>
      </c>
      <c r="AM19" s="30">
        <f>IF(_xlfn.MAXIFS('10_ref_fx_rate'!$B$2:$B$2000,'10_ref_fx_rate'!$A$2:$A$2000,AL19,'10_ref_fx_rate'!$B$2:$B$2000,"&lt;="&amp;L19)=0,"NOT FOUND",_xlfn.MAXIFS('10_ref_fx_rate'!$B$2:$B$2000,'10_ref_fx_rate'!$A$2:$A$2000,AL19,'10_ref_fx_rate'!$B$2:$B$2000,"&lt;="&amp;L19))</f>
        <v/>
      </c>
      <c r="AN19" s="8">
        <f>IF(AM19="NOT FOUND","NOT FOUND",SUMIFS('10_ref_fx_rate'!$D$2:$D$2000,'10_ref_fx_rate'!$A$2:$A$2000,AL19,'10_ref_fx_rate'!$B$2:$B$2000,AM19))</f>
        <v/>
      </c>
      <c r="AO19" s="37">
        <f>IF(ISNUMBER(AN19),I19*AN19,"NOT FOUND")</f>
        <v/>
      </c>
      <c r="AP19" s="2">
        <f>UPPER(TRIM(J19))</f>
        <v/>
      </c>
      <c r="AQ19" s="2">
        <f>IF(AP19="","SELF-DIRECTED",IF(ISNUMBER(MATCH(AP19,'11_3nf_sales_person'!$A:$A,0)),IF(EXACT(AP19,J19),"OK","OK (auto-fixed)"),IF(ISNA(MATCH($A19,'12_sales_person_confirmation'!$A:$A,0)),"CONFIRM (not logged)",IF(INDEX('12_sales_person_confirmation'!$I:$I,MATCH($A19,'12_sales_person_confirmation'!$A:$A,0))="CONFIRMED","CONFIRMED ("&amp;LOWER(INDEX('12_sales_person_confirmation'!$E:$E,MATCH($A19,'12_sales_person_confirmation'!$A:$A,0)))&amp;")","PENDING CONFIRM"))))</f>
        <v/>
      </c>
      <c r="AR19" s="2">
        <f>IF(OR(AQ19="OK",AQ19="OK (auto-fixed)"),AP19,IF(LEFT(AQ19,9)="CONFIRMED",INDEX('12_sales_person_confirmation'!$F:$F,MATCH($A19,'12_sales_person_confirmation'!$A:$A,0)),""))</f>
        <v/>
      </c>
      <c r="AS19" s="2">
        <f>IF(AR19="","",INDEX('11_3nf_sales_person'!$B:$B,MATCH(AR19,'11_3nf_sales_person'!$A:$A,0)))</f>
        <v/>
      </c>
    </row>
    <row r="20">
      <c r="A20" s="2">
        <f>IF(ISBLANK('1_raw_log'!A20),"",'1_raw_log'!A20)</f>
        <v/>
      </c>
      <c r="B20" s="3">
        <f>IF(ISBLANK('1_raw_log'!B20),"",'1_raw_log'!B20)</f>
        <v/>
      </c>
      <c r="C20" s="2">
        <f>IF(ISBLANK('1_raw_log'!C20),"",'1_raw_log'!C20)</f>
        <v/>
      </c>
      <c r="D20" s="2">
        <f>IF(ISBLANK('1_raw_log'!D20),"",'1_raw_log'!D20)</f>
        <v/>
      </c>
      <c r="E20" s="4">
        <f>IF(ISBLANK('1_raw_log'!E20),"",'1_raw_log'!E20)</f>
        <v/>
      </c>
      <c r="F20" s="2">
        <f>IF(ISBLANK('1_raw_log'!F20),"",'1_raw_log'!F20)</f>
        <v/>
      </c>
      <c r="G20" s="2">
        <f>IF(ISBLANK('1_raw_log'!G20),"",'1_raw_log'!G20)</f>
        <v/>
      </c>
      <c r="H20" s="2">
        <f>IF(ISBLANK('1_raw_log'!H20),"",'1_raw_log'!H20)</f>
        <v/>
      </c>
      <c r="I20" s="7">
        <f>IF(ISBLANK('1_raw_log'!I20),"",'1_raw_log'!I20)</f>
        <v/>
      </c>
      <c r="J20" s="2">
        <f>IF(ISBLANK('1_raw_log'!J20),"",'1_raw_log'!J20)</f>
        <v/>
      </c>
      <c r="K20" s="2">
        <f>IF(ISBLANK('1_raw_log'!K20),"",'1_raw_log'!K20)</f>
        <v/>
      </c>
      <c r="L20" s="30">
        <f>INT(B20)</f>
        <v/>
      </c>
      <c r="M20" s="20">
        <f>ROUND(MOD(B20,1)*1440,0)/1440</f>
        <v/>
      </c>
      <c r="N20" s="4">
        <f>IFERROR(INDEX('3_ref_date'!$B:$B,MATCH(L20,'3_ref_date'!$A:$A,0)),"NOT FOUND")</f>
        <v/>
      </c>
      <c r="O20" s="2">
        <f>IFERROR(INDEX('3_ref_date'!$C:$C,MATCH(L20,'3_ref_date'!$A:$A,0)),"NOT FOUND")</f>
        <v/>
      </c>
      <c r="P20" s="4">
        <f>IFERROR(INDEX('3_ref_date'!$D:$D,MATCH(L20,'3_ref_date'!$A:$A,0)),"NOT FOUND")</f>
        <v/>
      </c>
      <c r="Q20" s="4">
        <f>IFERROR(INDEX('3_ref_date'!$E:$E,MATCH(L20,'3_ref_date'!$A:$A,0)),"NOT FOUND")</f>
        <v/>
      </c>
      <c r="R20" s="2">
        <f>IFERROR(INDEX('3_ref_date'!$F:$F,MATCH(L20,'3_ref_date'!$A:$A,0)),"NOT FOUND")</f>
        <v/>
      </c>
      <c r="S20" s="2">
        <f>IFERROR(INDEX('4_ref_time'!$D:$D,MATCH(ROUND(M20*1440,0),'4_ref_time'!$A:$A,0)),"NOT FOUND")</f>
        <v/>
      </c>
      <c r="T20" s="2">
        <f>UPPER(TRIM(C20))</f>
        <v/>
      </c>
      <c r="U20" s="30">
        <f>IF(_xlfn.MAXIFS('6_3nf_branch_history'!$B$2:$B$50,'6_3nf_branch_history'!$A$2:$A$50,T20,'6_3nf_branch_history'!$B$2:$B$50,"&lt;="&amp;L20)=0,"NOT FOUND",_xlfn.MAXIFS('6_3nf_branch_history'!$B$2:$B$50,'6_3nf_branch_history'!$A$2:$A$50,T20,'6_3nf_branch_history'!$B$2:$B$50,"&lt;="&amp;L20))</f>
        <v/>
      </c>
      <c r="V20" s="2">
        <f>IF(U20="NOT FOUND","NOT FOUND",INDEX('6_3nf_branch_history'!$C:$C,SUMPRODUCT(('6_3nf_branch_history'!$A$2:$A$50=T20)*('6_3nf_branch_history'!$B$2:$B$50=U20)*ROW('6_3nf_branch_history'!$A$2:$A$50))))</f>
        <v/>
      </c>
      <c r="W20" s="2">
        <f>IF(U20="NOT FOUND","NOT FOUND",INDEX('6_3nf_branch_history'!$D:$D,SUMPRODUCT(('6_3nf_branch_history'!$A$2:$A$50=T20)*('6_3nf_branch_history'!$B$2:$B$50=U20)*ROW('6_3nf_branch_history'!$A$2:$A$50))))</f>
        <v/>
      </c>
      <c r="X20" s="2">
        <f>IF(U20="NOT FOUND","NOT FOUND",INDEX('6_3nf_branch_history'!$E:$E,SUMPRODUCT(('6_3nf_branch_history'!$A$2:$A$50=T20)*('6_3nf_branch_history'!$B$2:$B$50=U20)*ROW('6_3nf_branch_history'!$A$2:$A$50))))</f>
        <v/>
      </c>
      <c r="Y20" s="2">
        <f>UPPER(TRIM(D20))</f>
        <v/>
      </c>
      <c r="Z20" s="2">
        <f>IFERROR(INDEX('7_3nf_product'!$B:$B,MATCH(Y20,'7_3nf_product'!$A:$A,0)),"NOT FOUND")</f>
        <v/>
      </c>
      <c r="AA20" s="2">
        <f>IFERROR(INDEX('7_3nf_product'!$C:$C,MATCH(Y20,'7_3nf_product'!$A:$A,0)),"NOT FOUND")</f>
        <v/>
      </c>
      <c r="AB20" s="2">
        <f>IFERROR(INDEX('7_3nf_product'!$D:$D,MATCH(Y20,'7_3nf_product'!$A:$A,0)),"NOT FOUND")</f>
        <v/>
      </c>
      <c r="AC20" s="6">
        <f>IFERROR(INDEX('7_3nf_product'!$E:$E,MATCH(Y20,'7_3nf_product'!$A:$A,0)),"NOT FOUND")</f>
        <v/>
      </c>
      <c r="AD20" s="33">
        <f>IF(LEN(TRIM(E20))=10,TRIM(E20),IF(LEN(TRIM(E20))=8,"00"&amp;TRIM(E20),"CHECK"))</f>
        <v/>
      </c>
      <c r="AE20" s="2">
        <f>IFERROR(INDEX('8_3nf_customer'!$C:$C,MATCH(AD20,'8_3nf_customer'!$B:$B,0)),"NOT FOUND")</f>
        <v/>
      </c>
      <c r="AF20" s="30">
        <f>IFERROR(INDEX('8_3nf_customer'!$D:$D,MATCH(AD20,'8_3nf_customer'!$B:$B,0)),"NOT FOUND")</f>
        <v/>
      </c>
      <c r="AG20" s="4">
        <f>IF(ISNUMBER(AF20),DATEDIF(AF20,L20,"y"),"NOT FOUND")</f>
        <v/>
      </c>
      <c r="AH20" s="2">
        <f>IFERROR(INDEX('8_3nf_customer'!$E:$E,MATCH(AD20,'8_3nf_customer'!$B:$B,0)),"NOT FOUND")</f>
        <v/>
      </c>
      <c r="AI20" s="30">
        <f>IF(_xlfn.MAXIFS('9_3nf_customer_history'!$B$2:$B$500,'9_3nf_customer_history'!$A$2:$A$500,AD20,'9_3nf_customer_history'!$B$2:$B$500,"&lt;="&amp;L20)=0,"NOT FOUND",_xlfn.MAXIFS('9_3nf_customer_history'!$B$2:$B$500,'9_3nf_customer_history'!$A$2:$A$500,AD20,'9_3nf_customer_history'!$B$2:$B$500,"&lt;="&amp;L20))</f>
        <v/>
      </c>
      <c r="AJ20" s="2">
        <f>IF(AI20="NOT FOUND","NOT FOUND",INDEX('9_3nf_customer_history'!$C:$C,SUMPRODUCT(('9_3nf_customer_history'!$A$2:$A$500=AD20)*('9_3nf_customer_history'!$B$2:$B$500=AI20)*ROW('9_3nf_customer_history'!$A$2:$A$500))))</f>
        <v/>
      </c>
      <c r="AK20" s="2">
        <f>IF(AI20="NOT FOUND","NOT FOUND",INDEX('9_3nf_customer_history'!$D:$D,SUMPRODUCT(('9_3nf_customer_history'!$A$2:$A$500=AD20)*('9_3nf_customer_history'!$B$2:$B$500=AI20)*ROW('9_3nf_customer_history'!$A$2:$A$500))))</f>
        <v/>
      </c>
      <c r="AL20" s="2">
        <f>UPPER(TRIM(H20))</f>
        <v/>
      </c>
      <c r="AM20" s="30">
        <f>IF(_xlfn.MAXIFS('10_ref_fx_rate'!$B$2:$B$2000,'10_ref_fx_rate'!$A$2:$A$2000,AL20,'10_ref_fx_rate'!$B$2:$B$2000,"&lt;="&amp;L20)=0,"NOT FOUND",_xlfn.MAXIFS('10_ref_fx_rate'!$B$2:$B$2000,'10_ref_fx_rate'!$A$2:$A$2000,AL20,'10_ref_fx_rate'!$B$2:$B$2000,"&lt;="&amp;L20))</f>
        <v/>
      </c>
      <c r="AN20" s="8">
        <f>IF(AM20="NOT FOUND","NOT FOUND",SUMIFS('10_ref_fx_rate'!$D$2:$D$2000,'10_ref_fx_rate'!$A$2:$A$2000,AL20,'10_ref_fx_rate'!$B$2:$B$2000,AM20))</f>
        <v/>
      </c>
      <c r="AO20" s="37">
        <f>IF(ISNUMBER(AN20),I20*AN20,"NOT FOUND")</f>
        <v/>
      </c>
      <c r="AP20" s="2">
        <f>UPPER(TRIM(J20))</f>
        <v/>
      </c>
      <c r="AQ20" s="2">
        <f>IF(AP20="","SELF-DIRECTED",IF(ISNUMBER(MATCH(AP20,'11_3nf_sales_person'!$A:$A,0)),IF(EXACT(AP20,J20),"OK","OK (auto-fixed)"),IF(ISNA(MATCH($A20,'12_sales_person_confirmation'!$A:$A,0)),"CONFIRM (not logged)",IF(INDEX('12_sales_person_confirmation'!$I:$I,MATCH($A20,'12_sales_person_confirmation'!$A:$A,0))="CONFIRMED","CONFIRMED ("&amp;LOWER(INDEX('12_sales_person_confirmation'!$E:$E,MATCH($A20,'12_sales_person_confirmation'!$A:$A,0)))&amp;")","PENDING CONFIRM"))))</f>
        <v/>
      </c>
      <c r="AR20" s="2">
        <f>IF(OR(AQ20="OK",AQ20="OK (auto-fixed)"),AP20,IF(LEFT(AQ20,9)="CONFIRMED",INDEX('12_sales_person_confirmation'!$F:$F,MATCH($A20,'12_sales_person_confirmation'!$A:$A,0)),""))</f>
        <v/>
      </c>
      <c r="AS20" s="2">
        <f>IF(AR20="","",INDEX('11_3nf_sales_person'!$B:$B,MATCH(AR20,'11_3nf_sales_person'!$A:$A,0)))</f>
        <v/>
      </c>
    </row>
    <row r="21">
      <c r="A21" s="2">
        <f>IF(ISBLANK('1_raw_log'!A21),"",'1_raw_log'!A21)</f>
        <v/>
      </c>
      <c r="B21" s="3">
        <f>IF(ISBLANK('1_raw_log'!B21),"",'1_raw_log'!B21)</f>
        <v/>
      </c>
      <c r="C21" s="2">
        <f>IF(ISBLANK('1_raw_log'!C21),"",'1_raw_log'!C21)</f>
        <v/>
      </c>
      <c r="D21" s="2">
        <f>IF(ISBLANK('1_raw_log'!D21),"",'1_raw_log'!D21)</f>
        <v/>
      </c>
      <c r="E21" s="4">
        <f>IF(ISBLANK('1_raw_log'!E21),"",'1_raw_log'!E21)</f>
        <v/>
      </c>
      <c r="F21" s="2">
        <f>IF(ISBLANK('1_raw_log'!F21),"",'1_raw_log'!F21)</f>
        <v/>
      </c>
      <c r="G21" s="2">
        <f>IF(ISBLANK('1_raw_log'!G21),"",'1_raw_log'!G21)</f>
        <v/>
      </c>
      <c r="H21" s="2">
        <f>IF(ISBLANK('1_raw_log'!H21),"",'1_raw_log'!H21)</f>
        <v/>
      </c>
      <c r="I21" s="7">
        <f>IF(ISBLANK('1_raw_log'!I21),"",'1_raw_log'!I21)</f>
        <v/>
      </c>
      <c r="J21" s="2">
        <f>IF(ISBLANK('1_raw_log'!J21),"",'1_raw_log'!J21)</f>
        <v/>
      </c>
      <c r="K21" s="2">
        <f>IF(ISBLANK('1_raw_log'!K21),"",'1_raw_log'!K21)</f>
        <v/>
      </c>
      <c r="L21" s="30">
        <f>INT(B21)</f>
        <v/>
      </c>
      <c r="M21" s="20">
        <f>ROUND(MOD(B21,1)*1440,0)/1440</f>
        <v/>
      </c>
      <c r="N21" s="4">
        <f>IFERROR(INDEX('3_ref_date'!$B:$B,MATCH(L21,'3_ref_date'!$A:$A,0)),"NOT FOUND")</f>
        <v/>
      </c>
      <c r="O21" s="2">
        <f>IFERROR(INDEX('3_ref_date'!$C:$C,MATCH(L21,'3_ref_date'!$A:$A,0)),"NOT FOUND")</f>
        <v/>
      </c>
      <c r="P21" s="4">
        <f>IFERROR(INDEX('3_ref_date'!$D:$D,MATCH(L21,'3_ref_date'!$A:$A,0)),"NOT FOUND")</f>
        <v/>
      </c>
      <c r="Q21" s="4">
        <f>IFERROR(INDEX('3_ref_date'!$E:$E,MATCH(L21,'3_ref_date'!$A:$A,0)),"NOT FOUND")</f>
        <v/>
      </c>
      <c r="R21" s="2">
        <f>IFERROR(INDEX('3_ref_date'!$F:$F,MATCH(L21,'3_ref_date'!$A:$A,0)),"NOT FOUND")</f>
        <v/>
      </c>
      <c r="S21" s="2">
        <f>IFERROR(INDEX('4_ref_time'!$D:$D,MATCH(ROUND(M21*1440,0),'4_ref_time'!$A:$A,0)),"NOT FOUND")</f>
        <v/>
      </c>
      <c r="T21" s="2">
        <f>UPPER(TRIM(C21))</f>
        <v/>
      </c>
      <c r="U21" s="30">
        <f>IF(_xlfn.MAXIFS('6_3nf_branch_history'!$B$2:$B$50,'6_3nf_branch_history'!$A$2:$A$50,T21,'6_3nf_branch_history'!$B$2:$B$50,"&lt;="&amp;L21)=0,"NOT FOUND",_xlfn.MAXIFS('6_3nf_branch_history'!$B$2:$B$50,'6_3nf_branch_history'!$A$2:$A$50,T21,'6_3nf_branch_history'!$B$2:$B$50,"&lt;="&amp;L21))</f>
        <v/>
      </c>
      <c r="V21" s="2">
        <f>IF(U21="NOT FOUND","NOT FOUND",INDEX('6_3nf_branch_history'!$C:$C,SUMPRODUCT(('6_3nf_branch_history'!$A$2:$A$50=T21)*('6_3nf_branch_history'!$B$2:$B$50=U21)*ROW('6_3nf_branch_history'!$A$2:$A$50))))</f>
        <v/>
      </c>
      <c r="W21" s="2">
        <f>IF(U21="NOT FOUND","NOT FOUND",INDEX('6_3nf_branch_history'!$D:$D,SUMPRODUCT(('6_3nf_branch_history'!$A$2:$A$50=T21)*('6_3nf_branch_history'!$B$2:$B$50=U21)*ROW('6_3nf_branch_history'!$A$2:$A$50))))</f>
        <v/>
      </c>
      <c r="X21" s="2">
        <f>IF(U21="NOT FOUND","NOT FOUND",INDEX('6_3nf_branch_history'!$E:$E,SUMPRODUCT(('6_3nf_branch_history'!$A$2:$A$50=T21)*('6_3nf_branch_history'!$B$2:$B$50=U21)*ROW('6_3nf_branch_history'!$A$2:$A$50))))</f>
        <v/>
      </c>
      <c r="Y21" s="2">
        <f>UPPER(TRIM(D21))</f>
        <v/>
      </c>
      <c r="Z21" s="2">
        <f>IFERROR(INDEX('7_3nf_product'!$B:$B,MATCH(Y21,'7_3nf_product'!$A:$A,0)),"NOT FOUND")</f>
        <v/>
      </c>
      <c r="AA21" s="2">
        <f>IFERROR(INDEX('7_3nf_product'!$C:$C,MATCH(Y21,'7_3nf_product'!$A:$A,0)),"NOT FOUND")</f>
        <v/>
      </c>
      <c r="AB21" s="2">
        <f>IFERROR(INDEX('7_3nf_product'!$D:$D,MATCH(Y21,'7_3nf_product'!$A:$A,0)),"NOT FOUND")</f>
        <v/>
      </c>
      <c r="AC21" s="6">
        <f>IFERROR(INDEX('7_3nf_product'!$E:$E,MATCH(Y21,'7_3nf_product'!$A:$A,0)),"NOT FOUND")</f>
        <v/>
      </c>
      <c r="AD21" s="33">
        <f>IF(LEN(TRIM(E21))=10,TRIM(E21),IF(LEN(TRIM(E21))=8,"00"&amp;TRIM(E21),"CHECK"))</f>
        <v/>
      </c>
      <c r="AE21" s="2">
        <f>IFERROR(INDEX('8_3nf_customer'!$C:$C,MATCH(AD21,'8_3nf_customer'!$B:$B,0)),"NOT FOUND")</f>
        <v/>
      </c>
      <c r="AF21" s="30">
        <f>IFERROR(INDEX('8_3nf_customer'!$D:$D,MATCH(AD21,'8_3nf_customer'!$B:$B,0)),"NOT FOUND")</f>
        <v/>
      </c>
      <c r="AG21" s="4">
        <f>IF(ISNUMBER(AF21),DATEDIF(AF21,L21,"y"),"NOT FOUND")</f>
        <v/>
      </c>
      <c r="AH21" s="2">
        <f>IFERROR(INDEX('8_3nf_customer'!$E:$E,MATCH(AD21,'8_3nf_customer'!$B:$B,0)),"NOT FOUND")</f>
        <v/>
      </c>
      <c r="AI21" s="30">
        <f>IF(_xlfn.MAXIFS('9_3nf_customer_history'!$B$2:$B$500,'9_3nf_customer_history'!$A$2:$A$500,AD21,'9_3nf_customer_history'!$B$2:$B$500,"&lt;="&amp;L21)=0,"NOT FOUND",_xlfn.MAXIFS('9_3nf_customer_history'!$B$2:$B$500,'9_3nf_customer_history'!$A$2:$A$500,AD21,'9_3nf_customer_history'!$B$2:$B$500,"&lt;="&amp;L21))</f>
        <v/>
      </c>
      <c r="AJ21" s="2">
        <f>IF(AI21="NOT FOUND","NOT FOUND",INDEX('9_3nf_customer_history'!$C:$C,SUMPRODUCT(('9_3nf_customer_history'!$A$2:$A$500=AD21)*('9_3nf_customer_history'!$B$2:$B$500=AI21)*ROW('9_3nf_customer_history'!$A$2:$A$500))))</f>
        <v/>
      </c>
      <c r="AK21" s="2">
        <f>IF(AI21="NOT FOUND","NOT FOUND",INDEX('9_3nf_customer_history'!$D:$D,SUMPRODUCT(('9_3nf_customer_history'!$A$2:$A$500=AD21)*('9_3nf_customer_history'!$B$2:$B$500=AI21)*ROW('9_3nf_customer_history'!$A$2:$A$500))))</f>
        <v/>
      </c>
      <c r="AL21" s="2">
        <f>UPPER(TRIM(H21))</f>
        <v/>
      </c>
      <c r="AM21" s="30">
        <f>IF(_xlfn.MAXIFS('10_ref_fx_rate'!$B$2:$B$2000,'10_ref_fx_rate'!$A$2:$A$2000,AL21,'10_ref_fx_rate'!$B$2:$B$2000,"&lt;="&amp;L21)=0,"NOT FOUND",_xlfn.MAXIFS('10_ref_fx_rate'!$B$2:$B$2000,'10_ref_fx_rate'!$A$2:$A$2000,AL21,'10_ref_fx_rate'!$B$2:$B$2000,"&lt;="&amp;L21))</f>
        <v/>
      </c>
      <c r="AN21" s="8">
        <f>IF(AM21="NOT FOUND","NOT FOUND",SUMIFS('10_ref_fx_rate'!$D$2:$D$2000,'10_ref_fx_rate'!$A$2:$A$2000,AL21,'10_ref_fx_rate'!$B$2:$B$2000,AM21))</f>
        <v/>
      </c>
      <c r="AO21" s="37">
        <f>IF(ISNUMBER(AN21),I21*AN21,"NOT FOUND")</f>
        <v/>
      </c>
      <c r="AP21" s="2">
        <f>UPPER(TRIM(J21))</f>
        <v/>
      </c>
      <c r="AQ21" s="2">
        <f>IF(AP21="","SELF-DIRECTED",IF(ISNUMBER(MATCH(AP21,'11_3nf_sales_person'!$A:$A,0)),IF(EXACT(AP21,J21),"OK","OK (auto-fixed)"),IF(ISNA(MATCH($A21,'12_sales_person_confirmation'!$A:$A,0)),"CONFIRM (not logged)",IF(INDEX('12_sales_person_confirmation'!$I:$I,MATCH($A21,'12_sales_person_confirmation'!$A:$A,0))="CONFIRMED","CONFIRMED ("&amp;LOWER(INDEX('12_sales_person_confirmation'!$E:$E,MATCH($A21,'12_sales_person_confirmation'!$A:$A,0)))&amp;")","PENDING CONFIRM"))))</f>
        <v/>
      </c>
      <c r="AR21" s="2">
        <f>IF(OR(AQ21="OK",AQ21="OK (auto-fixed)"),AP21,IF(LEFT(AQ21,9)="CONFIRMED",INDEX('12_sales_person_confirmation'!$F:$F,MATCH($A21,'12_sales_person_confirmation'!$A:$A,0)),""))</f>
        <v/>
      </c>
      <c r="AS21" s="2">
        <f>IF(AR21="","",INDEX('11_3nf_sales_person'!$B:$B,MATCH(AR21,'11_3nf_sales_person'!$A:$A,0)))</f>
        <v/>
      </c>
    </row>
    <row r="22">
      <c r="A22" s="2">
        <f>IF(ISBLANK('1_raw_log'!A22),"",'1_raw_log'!A22)</f>
        <v/>
      </c>
      <c r="B22" s="3">
        <f>IF(ISBLANK('1_raw_log'!B22),"",'1_raw_log'!B22)</f>
        <v/>
      </c>
      <c r="C22" s="2">
        <f>IF(ISBLANK('1_raw_log'!C22),"",'1_raw_log'!C22)</f>
        <v/>
      </c>
      <c r="D22" s="2">
        <f>IF(ISBLANK('1_raw_log'!D22),"",'1_raw_log'!D22)</f>
        <v/>
      </c>
      <c r="E22" s="4">
        <f>IF(ISBLANK('1_raw_log'!E22),"",'1_raw_log'!E22)</f>
        <v/>
      </c>
      <c r="F22" s="2">
        <f>IF(ISBLANK('1_raw_log'!F22),"",'1_raw_log'!F22)</f>
        <v/>
      </c>
      <c r="G22" s="2">
        <f>IF(ISBLANK('1_raw_log'!G22),"",'1_raw_log'!G22)</f>
        <v/>
      </c>
      <c r="H22" s="2">
        <f>IF(ISBLANK('1_raw_log'!H22),"",'1_raw_log'!H22)</f>
        <v/>
      </c>
      <c r="I22" s="7">
        <f>IF(ISBLANK('1_raw_log'!I22),"",'1_raw_log'!I22)</f>
        <v/>
      </c>
      <c r="J22" s="2">
        <f>IF(ISBLANK('1_raw_log'!J22),"",'1_raw_log'!J22)</f>
        <v/>
      </c>
      <c r="K22" s="2">
        <f>IF(ISBLANK('1_raw_log'!K22),"",'1_raw_log'!K22)</f>
        <v/>
      </c>
      <c r="L22" s="30">
        <f>INT(B22)</f>
        <v/>
      </c>
      <c r="M22" s="20">
        <f>ROUND(MOD(B22,1)*1440,0)/1440</f>
        <v/>
      </c>
      <c r="N22" s="4">
        <f>IFERROR(INDEX('3_ref_date'!$B:$B,MATCH(L22,'3_ref_date'!$A:$A,0)),"NOT FOUND")</f>
        <v/>
      </c>
      <c r="O22" s="2">
        <f>IFERROR(INDEX('3_ref_date'!$C:$C,MATCH(L22,'3_ref_date'!$A:$A,0)),"NOT FOUND")</f>
        <v/>
      </c>
      <c r="P22" s="4">
        <f>IFERROR(INDEX('3_ref_date'!$D:$D,MATCH(L22,'3_ref_date'!$A:$A,0)),"NOT FOUND")</f>
        <v/>
      </c>
      <c r="Q22" s="4">
        <f>IFERROR(INDEX('3_ref_date'!$E:$E,MATCH(L22,'3_ref_date'!$A:$A,0)),"NOT FOUND")</f>
        <v/>
      </c>
      <c r="R22" s="2">
        <f>IFERROR(INDEX('3_ref_date'!$F:$F,MATCH(L22,'3_ref_date'!$A:$A,0)),"NOT FOUND")</f>
        <v/>
      </c>
      <c r="S22" s="2">
        <f>IFERROR(INDEX('4_ref_time'!$D:$D,MATCH(ROUND(M22*1440,0),'4_ref_time'!$A:$A,0)),"NOT FOUND")</f>
        <v/>
      </c>
      <c r="T22" s="2">
        <f>UPPER(TRIM(C22))</f>
        <v/>
      </c>
      <c r="U22" s="30">
        <f>IF(_xlfn.MAXIFS('6_3nf_branch_history'!$B$2:$B$50,'6_3nf_branch_history'!$A$2:$A$50,T22,'6_3nf_branch_history'!$B$2:$B$50,"&lt;="&amp;L22)=0,"NOT FOUND",_xlfn.MAXIFS('6_3nf_branch_history'!$B$2:$B$50,'6_3nf_branch_history'!$A$2:$A$50,T22,'6_3nf_branch_history'!$B$2:$B$50,"&lt;="&amp;L22))</f>
        <v/>
      </c>
      <c r="V22" s="2">
        <f>IF(U22="NOT FOUND","NOT FOUND",INDEX('6_3nf_branch_history'!$C:$C,SUMPRODUCT(('6_3nf_branch_history'!$A$2:$A$50=T22)*('6_3nf_branch_history'!$B$2:$B$50=U22)*ROW('6_3nf_branch_history'!$A$2:$A$50))))</f>
        <v/>
      </c>
      <c r="W22" s="2">
        <f>IF(U22="NOT FOUND","NOT FOUND",INDEX('6_3nf_branch_history'!$D:$D,SUMPRODUCT(('6_3nf_branch_history'!$A$2:$A$50=T22)*('6_3nf_branch_history'!$B$2:$B$50=U22)*ROW('6_3nf_branch_history'!$A$2:$A$50))))</f>
        <v/>
      </c>
      <c r="X22" s="2">
        <f>IF(U22="NOT FOUND","NOT FOUND",INDEX('6_3nf_branch_history'!$E:$E,SUMPRODUCT(('6_3nf_branch_history'!$A$2:$A$50=T22)*('6_3nf_branch_history'!$B$2:$B$50=U22)*ROW('6_3nf_branch_history'!$A$2:$A$50))))</f>
        <v/>
      </c>
      <c r="Y22" s="2">
        <f>UPPER(TRIM(D22))</f>
        <v/>
      </c>
      <c r="Z22" s="2">
        <f>IFERROR(INDEX('7_3nf_product'!$B:$B,MATCH(Y22,'7_3nf_product'!$A:$A,0)),"NOT FOUND")</f>
        <v/>
      </c>
      <c r="AA22" s="2">
        <f>IFERROR(INDEX('7_3nf_product'!$C:$C,MATCH(Y22,'7_3nf_product'!$A:$A,0)),"NOT FOUND")</f>
        <v/>
      </c>
      <c r="AB22" s="2">
        <f>IFERROR(INDEX('7_3nf_product'!$D:$D,MATCH(Y22,'7_3nf_product'!$A:$A,0)),"NOT FOUND")</f>
        <v/>
      </c>
      <c r="AC22" s="6">
        <f>IFERROR(INDEX('7_3nf_product'!$E:$E,MATCH(Y22,'7_3nf_product'!$A:$A,0)),"NOT FOUND")</f>
        <v/>
      </c>
      <c r="AD22" s="33">
        <f>IF(LEN(TRIM(E22))=10,TRIM(E22),IF(LEN(TRIM(E22))=8,"00"&amp;TRIM(E22),"CHECK"))</f>
        <v/>
      </c>
      <c r="AE22" s="2">
        <f>IFERROR(INDEX('8_3nf_customer'!$C:$C,MATCH(AD22,'8_3nf_customer'!$B:$B,0)),"NOT FOUND")</f>
        <v/>
      </c>
      <c r="AF22" s="30">
        <f>IFERROR(INDEX('8_3nf_customer'!$D:$D,MATCH(AD22,'8_3nf_customer'!$B:$B,0)),"NOT FOUND")</f>
        <v/>
      </c>
      <c r="AG22" s="4">
        <f>IF(ISNUMBER(AF22),DATEDIF(AF22,L22,"y"),"NOT FOUND")</f>
        <v/>
      </c>
      <c r="AH22" s="2">
        <f>IFERROR(INDEX('8_3nf_customer'!$E:$E,MATCH(AD22,'8_3nf_customer'!$B:$B,0)),"NOT FOUND")</f>
        <v/>
      </c>
      <c r="AI22" s="30">
        <f>IF(_xlfn.MAXIFS('9_3nf_customer_history'!$B$2:$B$500,'9_3nf_customer_history'!$A$2:$A$500,AD22,'9_3nf_customer_history'!$B$2:$B$500,"&lt;="&amp;L22)=0,"NOT FOUND",_xlfn.MAXIFS('9_3nf_customer_history'!$B$2:$B$500,'9_3nf_customer_history'!$A$2:$A$500,AD22,'9_3nf_customer_history'!$B$2:$B$500,"&lt;="&amp;L22))</f>
        <v/>
      </c>
      <c r="AJ22" s="2">
        <f>IF(AI22="NOT FOUND","NOT FOUND",INDEX('9_3nf_customer_history'!$C:$C,SUMPRODUCT(('9_3nf_customer_history'!$A$2:$A$500=AD22)*('9_3nf_customer_history'!$B$2:$B$500=AI22)*ROW('9_3nf_customer_history'!$A$2:$A$500))))</f>
        <v/>
      </c>
      <c r="AK22" s="2">
        <f>IF(AI22="NOT FOUND","NOT FOUND",INDEX('9_3nf_customer_history'!$D:$D,SUMPRODUCT(('9_3nf_customer_history'!$A$2:$A$500=AD22)*('9_3nf_customer_history'!$B$2:$B$500=AI22)*ROW('9_3nf_customer_history'!$A$2:$A$500))))</f>
        <v/>
      </c>
      <c r="AL22" s="2">
        <f>UPPER(TRIM(H22))</f>
        <v/>
      </c>
      <c r="AM22" s="30">
        <f>IF(_xlfn.MAXIFS('10_ref_fx_rate'!$B$2:$B$2000,'10_ref_fx_rate'!$A$2:$A$2000,AL22,'10_ref_fx_rate'!$B$2:$B$2000,"&lt;="&amp;L22)=0,"NOT FOUND",_xlfn.MAXIFS('10_ref_fx_rate'!$B$2:$B$2000,'10_ref_fx_rate'!$A$2:$A$2000,AL22,'10_ref_fx_rate'!$B$2:$B$2000,"&lt;="&amp;L22))</f>
        <v/>
      </c>
      <c r="AN22" s="8">
        <f>IF(AM22="NOT FOUND","NOT FOUND",SUMIFS('10_ref_fx_rate'!$D$2:$D$2000,'10_ref_fx_rate'!$A$2:$A$2000,AL22,'10_ref_fx_rate'!$B$2:$B$2000,AM22))</f>
        <v/>
      </c>
      <c r="AO22" s="37">
        <f>IF(ISNUMBER(AN22),I22*AN22,"NOT FOUND")</f>
        <v/>
      </c>
      <c r="AP22" s="2">
        <f>UPPER(TRIM(J22))</f>
        <v/>
      </c>
      <c r="AQ22" s="2">
        <f>IF(AP22="","SELF-DIRECTED",IF(ISNUMBER(MATCH(AP22,'11_3nf_sales_person'!$A:$A,0)),IF(EXACT(AP22,J22),"OK","OK (auto-fixed)"),IF(ISNA(MATCH($A22,'12_sales_person_confirmation'!$A:$A,0)),"CONFIRM (not logged)",IF(INDEX('12_sales_person_confirmation'!$I:$I,MATCH($A22,'12_sales_person_confirmation'!$A:$A,0))="CONFIRMED","CONFIRMED ("&amp;LOWER(INDEX('12_sales_person_confirmation'!$E:$E,MATCH($A22,'12_sales_person_confirmation'!$A:$A,0)))&amp;")","PENDING CONFIRM"))))</f>
        <v/>
      </c>
      <c r="AR22" s="2">
        <f>IF(OR(AQ22="OK",AQ22="OK (auto-fixed)"),AP22,IF(LEFT(AQ22,9)="CONFIRMED",INDEX('12_sales_person_confirmation'!$F:$F,MATCH($A22,'12_sales_person_confirmation'!$A:$A,0)),""))</f>
        <v/>
      </c>
      <c r="AS22" s="2">
        <f>IF(AR22="","",INDEX('11_3nf_sales_person'!$B:$B,MATCH(AR22,'11_3nf_sales_person'!$A:$A,0)))</f>
        <v/>
      </c>
    </row>
    <row r="23">
      <c r="A23" s="2">
        <f>IF(ISBLANK('1_raw_log'!A23),"",'1_raw_log'!A23)</f>
        <v/>
      </c>
      <c r="B23" s="3">
        <f>IF(ISBLANK('1_raw_log'!B23),"",'1_raw_log'!B23)</f>
        <v/>
      </c>
      <c r="C23" s="2">
        <f>IF(ISBLANK('1_raw_log'!C23),"",'1_raw_log'!C23)</f>
        <v/>
      </c>
      <c r="D23" s="2">
        <f>IF(ISBLANK('1_raw_log'!D23),"",'1_raw_log'!D23)</f>
        <v/>
      </c>
      <c r="E23" s="4">
        <f>IF(ISBLANK('1_raw_log'!E23),"",'1_raw_log'!E23)</f>
        <v/>
      </c>
      <c r="F23" s="2">
        <f>IF(ISBLANK('1_raw_log'!F23),"",'1_raw_log'!F23)</f>
        <v/>
      </c>
      <c r="G23" s="2">
        <f>IF(ISBLANK('1_raw_log'!G23),"",'1_raw_log'!G23)</f>
        <v/>
      </c>
      <c r="H23" s="2">
        <f>IF(ISBLANK('1_raw_log'!H23),"",'1_raw_log'!H23)</f>
        <v/>
      </c>
      <c r="I23" s="7">
        <f>IF(ISBLANK('1_raw_log'!I23),"",'1_raw_log'!I23)</f>
        <v/>
      </c>
      <c r="J23" s="2">
        <f>IF(ISBLANK('1_raw_log'!J23),"",'1_raw_log'!J23)</f>
        <v/>
      </c>
      <c r="K23" s="2">
        <f>IF(ISBLANK('1_raw_log'!K23),"",'1_raw_log'!K23)</f>
        <v/>
      </c>
      <c r="L23" s="30">
        <f>INT(B23)</f>
        <v/>
      </c>
      <c r="M23" s="20">
        <f>ROUND(MOD(B23,1)*1440,0)/1440</f>
        <v/>
      </c>
      <c r="N23" s="4">
        <f>IFERROR(INDEX('3_ref_date'!$B:$B,MATCH(L23,'3_ref_date'!$A:$A,0)),"NOT FOUND")</f>
        <v/>
      </c>
      <c r="O23" s="2">
        <f>IFERROR(INDEX('3_ref_date'!$C:$C,MATCH(L23,'3_ref_date'!$A:$A,0)),"NOT FOUND")</f>
        <v/>
      </c>
      <c r="P23" s="4">
        <f>IFERROR(INDEX('3_ref_date'!$D:$D,MATCH(L23,'3_ref_date'!$A:$A,0)),"NOT FOUND")</f>
        <v/>
      </c>
      <c r="Q23" s="4">
        <f>IFERROR(INDEX('3_ref_date'!$E:$E,MATCH(L23,'3_ref_date'!$A:$A,0)),"NOT FOUND")</f>
        <v/>
      </c>
      <c r="R23" s="2">
        <f>IFERROR(INDEX('3_ref_date'!$F:$F,MATCH(L23,'3_ref_date'!$A:$A,0)),"NOT FOUND")</f>
        <v/>
      </c>
      <c r="S23" s="2">
        <f>IFERROR(INDEX('4_ref_time'!$D:$D,MATCH(ROUND(M23*1440,0),'4_ref_time'!$A:$A,0)),"NOT FOUND")</f>
        <v/>
      </c>
      <c r="T23" s="2">
        <f>UPPER(TRIM(C23))</f>
        <v/>
      </c>
      <c r="U23" s="30">
        <f>IF(_xlfn.MAXIFS('6_3nf_branch_history'!$B$2:$B$50,'6_3nf_branch_history'!$A$2:$A$50,T23,'6_3nf_branch_history'!$B$2:$B$50,"&lt;="&amp;L23)=0,"NOT FOUND",_xlfn.MAXIFS('6_3nf_branch_history'!$B$2:$B$50,'6_3nf_branch_history'!$A$2:$A$50,T23,'6_3nf_branch_history'!$B$2:$B$50,"&lt;="&amp;L23))</f>
        <v/>
      </c>
      <c r="V23" s="2">
        <f>IF(U23="NOT FOUND","NOT FOUND",INDEX('6_3nf_branch_history'!$C:$C,SUMPRODUCT(('6_3nf_branch_history'!$A$2:$A$50=T23)*('6_3nf_branch_history'!$B$2:$B$50=U23)*ROW('6_3nf_branch_history'!$A$2:$A$50))))</f>
        <v/>
      </c>
      <c r="W23" s="2">
        <f>IF(U23="NOT FOUND","NOT FOUND",INDEX('6_3nf_branch_history'!$D:$D,SUMPRODUCT(('6_3nf_branch_history'!$A$2:$A$50=T23)*('6_3nf_branch_history'!$B$2:$B$50=U23)*ROW('6_3nf_branch_history'!$A$2:$A$50))))</f>
        <v/>
      </c>
      <c r="X23" s="2">
        <f>IF(U23="NOT FOUND","NOT FOUND",INDEX('6_3nf_branch_history'!$E:$E,SUMPRODUCT(('6_3nf_branch_history'!$A$2:$A$50=T23)*('6_3nf_branch_history'!$B$2:$B$50=U23)*ROW('6_3nf_branch_history'!$A$2:$A$50))))</f>
        <v/>
      </c>
      <c r="Y23" s="2">
        <f>UPPER(TRIM(D23))</f>
        <v/>
      </c>
      <c r="Z23" s="2">
        <f>IFERROR(INDEX('7_3nf_product'!$B:$B,MATCH(Y23,'7_3nf_product'!$A:$A,0)),"NOT FOUND")</f>
        <v/>
      </c>
      <c r="AA23" s="2">
        <f>IFERROR(INDEX('7_3nf_product'!$C:$C,MATCH(Y23,'7_3nf_product'!$A:$A,0)),"NOT FOUND")</f>
        <v/>
      </c>
      <c r="AB23" s="2">
        <f>IFERROR(INDEX('7_3nf_product'!$D:$D,MATCH(Y23,'7_3nf_product'!$A:$A,0)),"NOT FOUND")</f>
        <v/>
      </c>
      <c r="AC23" s="6">
        <f>IFERROR(INDEX('7_3nf_product'!$E:$E,MATCH(Y23,'7_3nf_product'!$A:$A,0)),"NOT FOUND")</f>
        <v/>
      </c>
      <c r="AD23" s="33">
        <f>IF(LEN(TRIM(E23))=10,TRIM(E23),IF(LEN(TRIM(E23))=8,"00"&amp;TRIM(E23),"CHECK"))</f>
        <v/>
      </c>
      <c r="AE23" s="2">
        <f>IFERROR(INDEX('8_3nf_customer'!$C:$C,MATCH(AD23,'8_3nf_customer'!$B:$B,0)),"NOT FOUND")</f>
        <v/>
      </c>
      <c r="AF23" s="30">
        <f>IFERROR(INDEX('8_3nf_customer'!$D:$D,MATCH(AD23,'8_3nf_customer'!$B:$B,0)),"NOT FOUND")</f>
        <v/>
      </c>
      <c r="AG23" s="4">
        <f>IF(ISNUMBER(AF23),DATEDIF(AF23,L23,"y"),"NOT FOUND")</f>
        <v/>
      </c>
      <c r="AH23" s="2">
        <f>IFERROR(INDEX('8_3nf_customer'!$E:$E,MATCH(AD23,'8_3nf_customer'!$B:$B,0)),"NOT FOUND")</f>
        <v/>
      </c>
      <c r="AI23" s="30">
        <f>IF(_xlfn.MAXIFS('9_3nf_customer_history'!$B$2:$B$500,'9_3nf_customer_history'!$A$2:$A$500,AD23,'9_3nf_customer_history'!$B$2:$B$500,"&lt;="&amp;L23)=0,"NOT FOUND",_xlfn.MAXIFS('9_3nf_customer_history'!$B$2:$B$500,'9_3nf_customer_history'!$A$2:$A$500,AD23,'9_3nf_customer_history'!$B$2:$B$500,"&lt;="&amp;L23))</f>
        <v/>
      </c>
      <c r="AJ23" s="2">
        <f>IF(AI23="NOT FOUND","NOT FOUND",INDEX('9_3nf_customer_history'!$C:$C,SUMPRODUCT(('9_3nf_customer_history'!$A$2:$A$500=AD23)*('9_3nf_customer_history'!$B$2:$B$500=AI23)*ROW('9_3nf_customer_history'!$A$2:$A$500))))</f>
        <v/>
      </c>
      <c r="AK23" s="2">
        <f>IF(AI23="NOT FOUND","NOT FOUND",INDEX('9_3nf_customer_history'!$D:$D,SUMPRODUCT(('9_3nf_customer_history'!$A$2:$A$500=AD23)*('9_3nf_customer_history'!$B$2:$B$500=AI23)*ROW('9_3nf_customer_history'!$A$2:$A$500))))</f>
        <v/>
      </c>
      <c r="AL23" s="2">
        <f>UPPER(TRIM(H23))</f>
        <v/>
      </c>
      <c r="AM23" s="30">
        <f>IF(_xlfn.MAXIFS('10_ref_fx_rate'!$B$2:$B$2000,'10_ref_fx_rate'!$A$2:$A$2000,AL23,'10_ref_fx_rate'!$B$2:$B$2000,"&lt;="&amp;L23)=0,"NOT FOUND",_xlfn.MAXIFS('10_ref_fx_rate'!$B$2:$B$2000,'10_ref_fx_rate'!$A$2:$A$2000,AL23,'10_ref_fx_rate'!$B$2:$B$2000,"&lt;="&amp;L23))</f>
        <v/>
      </c>
      <c r="AN23" s="8">
        <f>IF(AM23="NOT FOUND","NOT FOUND",SUMIFS('10_ref_fx_rate'!$D$2:$D$2000,'10_ref_fx_rate'!$A$2:$A$2000,AL23,'10_ref_fx_rate'!$B$2:$B$2000,AM23))</f>
        <v/>
      </c>
      <c r="AO23" s="37">
        <f>IF(ISNUMBER(AN23),I23*AN23,"NOT FOUND")</f>
        <v/>
      </c>
      <c r="AP23" s="2">
        <f>UPPER(TRIM(J23))</f>
        <v/>
      </c>
      <c r="AQ23" s="2">
        <f>IF(AP23="","SELF-DIRECTED",IF(ISNUMBER(MATCH(AP23,'11_3nf_sales_person'!$A:$A,0)),IF(EXACT(AP23,J23),"OK","OK (auto-fixed)"),IF(ISNA(MATCH($A23,'12_sales_person_confirmation'!$A:$A,0)),"CONFIRM (not logged)",IF(INDEX('12_sales_person_confirmation'!$I:$I,MATCH($A23,'12_sales_person_confirmation'!$A:$A,0))="CONFIRMED","CONFIRMED ("&amp;LOWER(INDEX('12_sales_person_confirmation'!$E:$E,MATCH($A23,'12_sales_person_confirmation'!$A:$A,0)))&amp;")","PENDING CONFIRM"))))</f>
        <v/>
      </c>
      <c r="AR23" s="2">
        <f>IF(OR(AQ23="OK",AQ23="OK (auto-fixed)"),AP23,IF(LEFT(AQ23,9)="CONFIRMED",INDEX('12_sales_person_confirmation'!$F:$F,MATCH($A23,'12_sales_person_confirmation'!$A:$A,0)),""))</f>
        <v/>
      </c>
      <c r="AS23" s="2">
        <f>IF(AR23="","",INDEX('11_3nf_sales_person'!$B:$B,MATCH(AR23,'11_3nf_sales_person'!$A:$A,0)))</f>
        <v/>
      </c>
    </row>
    <row r="24">
      <c r="A24" s="2">
        <f>IF(ISBLANK('1_raw_log'!A24),"",'1_raw_log'!A24)</f>
        <v/>
      </c>
      <c r="B24" s="3">
        <f>IF(ISBLANK('1_raw_log'!B24),"",'1_raw_log'!B24)</f>
        <v/>
      </c>
      <c r="C24" s="2">
        <f>IF(ISBLANK('1_raw_log'!C24),"",'1_raw_log'!C24)</f>
        <v/>
      </c>
      <c r="D24" s="2">
        <f>IF(ISBLANK('1_raw_log'!D24),"",'1_raw_log'!D24)</f>
        <v/>
      </c>
      <c r="E24" s="4">
        <f>IF(ISBLANK('1_raw_log'!E24),"",'1_raw_log'!E24)</f>
        <v/>
      </c>
      <c r="F24" s="2">
        <f>IF(ISBLANK('1_raw_log'!F24),"",'1_raw_log'!F24)</f>
        <v/>
      </c>
      <c r="G24" s="2">
        <f>IF(ISBLANK('1_raw_log'!G24),"",'1_raw_log'!G24)</f>
        <v/>
      </c>
      <c r="H24" s="2">
        <f>IF(ISBLANK('1_raw_log'!H24),"",'1_raw_log'!H24)</f>
        <v/>
      </c>
      <c r="I24" s="7">
        <f>IF(ISBLANK('1_raw_log'!I24),"",'1_raw_log'!I24)</f>
        <v/>
      </c>
      <c r="J24" s="2">
        <f>IF(ISBLANK('1_raw_log'!J24),"",'1_raw_log'!J24)</f>
        <v/>
      </c>
      <c r="K24" s="2">
        <f>IF(ISBLANK('1_raw_log'!K24),"",'1_raw_log'!K24)</f>
        <v/>
      </c>
      <c r="L24" s="30">
        <f>INT(B24)</f>
        <v/>
      </c>
      <c r="M24" s="20">
        <f>ROUND(MOD(B24,1)*1440,0)/1440</f>
        <v/>
      </c>
      <c r="N24" s="4">
        <f>IFERROR(INDEX('3_ref_date'!$B:$B,MATCH(L24,'3_ref_date'!$A:$A,0)),"NOT FOUND")</f>
        <v/>
      </c>
      <c r="O24" s="2">
        <f>IFERROR(INDEX('3_ref_date'!$C:$C,MATCH(L24,'3_ref_date'!$A:$A,0)),"NOT FOUND")</f>
        <v/>
      </c>
      <c r="P24" s="4">
        <f>IFERROR(INDEX('3_ref_date'!$D:$D,MATCH(L24,'3_ref_date'!$A:$A,0)),"NOT FOUND")</f>
        <v/>
      </c>
      <c r="Q24" s="4">
        <f>IFERROR(INDEX('3_ref_date'!$E:$E,MATCH(L24,'3_ref_date'!$A:$A,0)),"NOT FOUND")</f>
        <v/>
      </c>
      <c r="R24" s="2">
        <f>IFERROR(INDEX('3_ref_date'!$F:$F,MATCH(L24,'3_ref_date'!$A:$A,0)),"NOT FOUND")</f>
        <v/>
      </c>
      <c r="S24" s="2">
        <f>IFERROR(INDEX('4_ref_time'!$D:$D,MATCH(ROUND(M24*1440,0),'4_ref_time'!$A:$A,0)),"NOT FOUND")</f>
        <v/>
      </c>
      <c r="T24" s="2">
        <f>UPPER(TRIM(C24))</f>
        <v/>
      </c>
      <c r="U24" s="30">
        <f>IF(_xlfn.MAXIFS('6_3nf_branch_history'!$B$2:$B$50,'6_3nf_branch_history'!$A$2:$A$50,T24,'6_3nf_branch_history'!$B$2:$B$50,"&lt;="&amp;L24)=0,"NOT FOUND",_xlfn.MAXIFS('6_3nf_branch_history'!$B$2:$B$50,'6_3nf_branch_history'!$A$2:$A$50,T24,'6_3nf_branch_history'!$B$2:$B$50,"&lt;="&amp;L24))</f>
        <v/>
      </c>
      <c r="V24" s="2">
        <f>IF(U24="NOT FOUND","NOT FOUND",INDEX('6_3nf_branch_history'!$C:$C,SUMPRODUCT(('6_3nf_branch_history'!$A$2:$A$50=T24)*('6_3nf_branch_history'!$B$2:$B$50=U24)*ROW('6_3nf_branch_history'!$A$2:$A$50))))</f>
        <v/>
      </c>
      <c r="W24" s="2">
        <f>IF(U24="NOT FOUND","NOT FOUND",INDEX('6_3nf_branch_history'!$D:$D,SUMPRODUCT(('6_3nf_branch_history'!$A$2:$A$50=T24)*('6_3nf_branch_history'!$B$2:$B$50=U24)*ROW('6_3nf_branch_history'!$A$2:$A$50))))</f>
        <v/>
      </c>
      <c r="X24" s="2">
        <f>IF(U24="NOT FOUND","NOT FOUND",INDEX('6_3nf_branch_history'!$E:$E,SUMPRODUCT(('6_3nf_branch_history'!$A$2:$A$50=T24)*('6_3nf_branch_history'!$B$2:$B$50=U24)*ROW('6_3nf_branch_history'!$A$2:$A$50))))</f>
        <v/>
      </c>
      <c r="Y24" s="2">
        <f>UPPER(TRIM(D24))</f>
        <v/>
      </c>
      <c r="Z24" s="2">
        <f>IFERROR(INDEX('7_3nf_product'!$B:$B,MATCH(Y24,'7_3nf_product'!$A:$A,0)),"NOT FOUND")</f>
        <v/>
      </c>
      <c r="AA24" s="2">
        <f>IFERROR(INDEX('7_3nf_product'!$C:$C,MATCH(Y24,'7_3nf_product'!$A:$A,0)),"NOT FOUND")</f>
        <v/>
      </c>
      <c r="AB24" s="2">
        <f>IFERROR(INDEX('7_3nf_product'!$D:$D,MATCH(Y24,'7_3nf_product'!$A:$A,0)),"NOT FOUND")</f>
        <v/>
      </c>
      <c r="AC24" s="6">
        <f>IFERROR(INDEX('7_3nf_product'!$E:$E,MATCH(Y24,'7_3nf_product'!$A:$A,0)),"NOT FOUND")</f>
        <v/>
      </c>
      <c r="AD24" s="33">
        <f>IF(LEN(TRIM(E24))=10,TRIM(E24),IF(LEN(TRIM(E24))=8,"00"&amp;TRIM(E24),"CHECK"))</f>
        <v/>
      </c>
      <c r="AE24" s="2">
        <f>IFERROR(INDEX('8_3nf_customer'!$C:$C,MATCH(AD24,'8_3nf_customer'!$B:$B,0)),"NOT FOUND")</f>
        <v/>
      </c>
      <c r="AF24" s="30">
        <f>IFERROR(INDEX('8_3nf_customer'!$D:$D,MATCH(AD24,'8_3nf_customer'!$B:$B,0)),"NOT FOUND")</f>
        <v/>
      </c>
      <c r="AG24" s="4">
        <f>IF(ISNUMBER(AF24),DATEDIF(AF24,L24,"y"),"NOT FOUND")</f>
        <v/>
      </c>
      <c r="AH24" s="2">
        <f>IFERROR(INDEX('8_3nf_customer'!$E:$E,MATCH(AD24,'8_3nf_customer'!$B:$B,0)),"NOT FOUND")</f>
        <v/>
      </c>
      <c r="AI24" s="30">
        <f>IF(_xlfn.MAXIFS('9_3nf_customer_history'!$B$2:$B$500,'9_3nf_customer_history'!$A$2:$A$500,AD24,'9_3nf_customer_history'!$B$2:$B$500,"&lt;="&amp;L24)=0,"NOT FOUND",_xlfn.MAXIFS('9_3nf_customer_history'!$B$2:$B$500,'9_3nf_customer_history'!$A$2:$A$500,AD24,'9_3nf_customer_history'!$B$2:$B$500,"&lt;="&amp;L24))</f>
        <v/>
      </c>
      <c r="AJ24" s="2">
        <f>IF(AI24="NOT FOUND","NOT FOUND",INDEX('9_3nf_customer_history'!$C:$C,SUMPRODUCT(('9_3nf_customer_history'!$A$2:$A$500=AD24)*('9_3nf_customer_history'!$B$2:$B$500=AI24)*ROW('9_3nf_customer_history'!$A$2:$A$500))))</f>
        <v/>
      </c>
      <c r="AK24" s="2">
        <f>IF(AI24="NOT FOUND","NOT FOUND",INDEX('9_3nf_customer_history'!$D:$D,SUMPRODUCT(('9_3nf_customer_history'!$A$2:$A$500=AD24)*('9_3nf_customer_history'!$B$2:$B$500=AI24)*ROW('9_3nf_customer_history'!$A$2:$A$500))))</f>
        <v/>
      </c>
      <c r="AL24" s="2">
        <f>UPPER(TRIM(H24))</f>
        <v/>
      </c>
      <c r="AM24" s="30">
        <f>IF(_xlfn.MAXIFS('10_ref_fx_rate'!$B$2:$B$2000,'10_ref_fx_rate'!$A$2:$A$2000,AL24,'10_ref_fx_rate'!$B$2:$B$2000,"&lt;="&amp;L24)=0,"NOT FOUND",_xlfn.MAXIFS('10_ref_fx_rate'!$B$2:$B$2000,'10_ref_fx_rate'!$A$2:$A$2000,AL24,'10_ref_fx_rate'!$B$2:$B$2000,"&lt;="&amp;L24))</f>
        <v/>
      </c>
      <c r="AN24" s="8">
        <f>IF(AM24="NOT FOUND","NOT FOUND",SUMIFS('10_ref_fx_rate'!$D$2:$D$2000,'10_ref_fx_rate'!$A$2:$A$2000,AL24,'10_ref_fx_rate'!$B$2:$B$2000,AM24))</f>
        <v/>
      </c>
      <c r="AO24" s="37">
        <f>IF(ISNUMBER(AN24),I24*AN24,"NOT FOUND")</f>
        <v/>
      </c>
      <c r="AP24" s="2">
        <f>UPPER(TRIM(J24))</f>
        <v/>
      </c>
      <c r="AQ24" s="2">
        <f>IF(AP24="","SELF-DIRECTED",IF(ISNUMBER(MATCH(AP24,'11_3nf_sales_person'!$A:$A,0)),IF(EXACT(AP24,J24),"OK","OK (auto-fixed)"),IF(ISNA(MATCH($A24,'12_sales_person_confirmation'!$A:$A,0)),"CONFIRM (not logged)",IF(INDEX('12_sales_person_confirmation'!$I:$I,MATCH($A24,'12_sales_person_confirmation'!$A:$A,0))="CONFIRMED","CONFIRMED ("&amp;LOWER(INDEX('12_sales_person_confirmation'!$E:$E,MATCH($A24,'12_sales_person_confirmation'!$A:$A,0)))&amp;")","PENDING CONFIRM"))))</f>
        <v/>
      </c>
      <c r="AR24" s="2">
        <f>IF(OR(AQ24="OK",AQ24="OK (auto-fixed)"),AP24,IF(LEFT(AQ24,9)="CONFIRMED",INDEX('12_sales_person_confirmation'!$F:$F,MATCH($A24,'12_sales_person_confirmation'!$A:$A,0)),""))</f>
        <v/>
      </c>
      <c r="AS24" s="2">
        <f>IF(AR24="","",INDEX('11_3nf_sales_person'!$B:$B,MATCH(AR24,'11_3nf_sales_person'!$A:$A,0)))</f>
        <v/>
      </c>
    </row>
    <row r="25">
      <c r="A25" s="2">
        <f>IF(ISBLANK('1_raw_log'!A25),"",'1_raw_log'!A25)</f>
        <v/>
      </c>
      <c r="B25" s="3">
        <f>IF(ISBLANK('1_raw_log'!B25),"",'1_raw_log'!B25)</f>
        <v/>
      </c>
      <c r="C25" s="2">
        <f>IF(ISBLANK('1_raw_log'!C25),"",'1_raw_log'!C25)</f>
        <v/>
      </c>
      <c r="D25" s="2">
        <f>IF(ISBLANK('1_raw_log'!D25),"",'1_raw_log'!D25)</f>
        <v/>
      </c>
      <c r="E25" s="4">
        <f>IF(ISBLANK('1_raw_log'!E25),"",'1_raw_log'!E25)</f>
        <v/>
      </c>
      <c r="F25" s="2">
        <f>IF(ISBLANK('1_raw_log'!F25),"",'1_raw_log'!F25)</f>
        <v/>
      </c>
      <c r="G25" s="2">
        <f>IF(ISBLANK('1_raw_log'!G25),"",'1_raw_log'!G25)</f>
        <v/>
      </c>
      <c r="H25" s="2">
        <f>IF(ISBLANK('1_raw_log'!H25),"",'1_raw_log'!H25)</f>
        <v/>
      </c>
      <c r="I25" s="7">
        <f>IF(ISBLANK('1_raw_log'!I25),"",'1_raw_log'!I25)</f>
        <v/>
      </c>
      <c r="J25" s="2">
        <f>IF(ISBLANK('1_raw_log'!J25),"",'1_raw_log'!J25)</f>
        <v/>
      </c>
      <c r="K25" s="2">
        <f>IF(ISBLANK('1_raw_log'!K25),"",'1_raw_log'!K25)</f>
        <v/>
      </c>
      <c r="L25" s="30">
        <f>INT(B25)</f>
        <v/>
      </c>
      <c r="M25" s="20">
        <f>ROUND(MOD(B25,1)*1440,0)/1440</f>
        <v/>
      </c>
      <c r="N25" s="4">
        <f>IFERROR(INDEX('3_ref_date'!$B:$B,MATCH(L25,'3_ref_date'!$A:$A,0)),"NOT FOUND")</f>
        <v/>
      </c>
      <c r="O25" s="2">
        <f>IFERROR(INDEX('3_ref_date'!$C:$C,MATCH(L25,'3_ref_date'!$A:$A,0)),"NOT FOUND")</f>
        <v/>
      </c>
      <c r="P25" s="4">
        <f>IFERROR(INDEX('3_ref_date'!$D:$D,MATCH(L25,'3_ref_date'!$A:$A,0)),"NOT FOUND")</f>
        <v/>
      </c>
      <c r="Q25" s="4">
        <f>IFERROR(INDEX('3_ref_date'!$E:$E,MATCH(L25,'3_ref_date'!$A:$A,0)),"NOT FOUND")</f>
        <v/>
      </c>
      <c r="R25" s="2">
        <f>IFERROR(INDEX('3_ref_date'!$F:$F,MATCH(L25,'3_ref_date'!$A:$A,0)),"NOT FOUND")</f>
        <v/>
      </c>
      <c r="S25" s="2">
        <f>IFERROR(INDEX('4_ref_time'!$D:$D,MATCH(ROUND(M25*1440,0),'4_ref_time'!$A:$A,0)),"NOT FOUND")</f>
        <v/>
      </c>
      <c r="T25" s="2">
        <f>UPPER(TRIM(C25))</f>
        <v/>
      </c>
      <c r="U25" s="30">
        <f>IF(_xlfn.MAXIFS('6_3nf_branch_history'!$B$2:$B$50,'6_3nf_branch_history'!$A$2:$A$50,T25,'6_3nf_branch_history'!$B$2:$B$50,"&lt;="&amp;L25)=0,"NOT FOUND",_xlfn.MAXIFS('6_3nf_branch_history'!$B$2:$B$50,'6_3nf_branch_history'!$A$2:$A$50,T25,'6_3nf_branch_history'!$B$2:$B$50,"&lt;="&amp;L25))</f>
        <v/>
      </c>
      <c r="V25" s="2">
        <f>IF(U25="NOT FOUND","NOT FOUND",INDEX('6_3nf_branch_history'!$C:$C,SUMPRODUCT(('6_3nf_branch_history'!$A$2:$A$50=T25)*('6_3nf_branch_history'!$B$2:$B$50=U25)*ROW('6_3nf_branch_history'!$A$2:$A$50))))</f>
        <v/>
      </c>
      <c r="W25" s="2">
        <f>IF(U25="NOT FOUND","NOT FOUND",INDEX('6_3nf_branch_history'!$D:$D,SUMPRODUCT(('6_3nf_branch_history'!$A$2:$A$50=T25)*('6_3nf_branch_history'!$B$2:$B$50=U25)*ROW('6_3nf_branch_history'!$A$2:$A$50))))</f>
        <v/>
      </c>
      <c r="X25" s="2">
        <f>IF(U25="NOT FOUND","NOT FOUND",INDEX('6_3nf_branch_history'!$E:$E,SUMPRODUCT(('6_3nf_branch_history'!$A$2:$A$50=T25)*('6_3nf_branch_history'!$B$2:$B$50=U25)*ROW('6_3nf_branch_history'!$A$2:$A$50))))</f>
        <v/>
      </c>
      <c r="Y25" s="2">
        <f>UPPER(TRIM(D25))</f>
        <v/>
      </c>
      <c r="Z25" s="2">
        <f>IFERROR(INDEX('7_3nf_product'!$B:$B,MATCH(Y25,'7_3nf_product'!$A:$A,0)),"NOT FOUND")</f>
        <v/>
      </c>
      <c r="AA25" s="2">
        <f>IFERROR(INDEX('7_3nf_product'!$C:$C,MATCH(Y25,'7_3nf_product'!$A:$A,0)),"NOT FOUND")</f>
        <v/>
      </c>
      <c r="AB25" s="2">
        <f>IFERROR(INDEX('7_3nf_product'!$D:$D,MATCH(Y25,'7_3nf_product'!$A:$A,0)),"NOT FOUND")</f>
        <v/>
      </c>
      <c r="AC25" s="6">
        <f>IFERROR(INDEX('7_3nf_product'!$E:$E,MATCH(Y25,'7_3nf_product'!$A:$A,0)),"NOT FOUND")</f>
        <v/>
      </c>
      <c r="AD25" s="33">
        <f>IF(LEN(TRIM(E25))=10,TRIM(E25),IF(LEN(TRIM(E25))=8,"00"&amp;TRIM(E25),"CHECK"))</f>
        <v/>
      </c>
      <c r="AE25" s="2">
        <f>IFERROR(INDEX('8_3nf_customer'!$C:$C,MATCH(AD25,'8_3nf_customer'!$B:$B,0)),"NOT FOUND")</f>
        <v/>
      </c>
      <c r="AF25" s="30">
        <f>IFERROR(INDEX('8_3nf_customer'!$D:$D,MATCH(AD25,'8_3nf_customer'!$B:$B,0)),"NOT FOUND")</f>
        <v/>
      </c>
      <c r="AG25" s="4">
        <f>IF(ISNUMBER(AF25),DATEDIF(AF25,L25,"y"),"NOT FOUND")</f>
        <v/>
      </c>
      <c r="AH25" s="2">
        <f>IFERROR(INDEX('8_3nf_customer'!$E:$E,MATCH(AD25,'8_3nf_customer'!$B:$B,0)),"NOT FOUND")</f>
        <v/>
      </c>
      <c r="AI25" s="30">
        <f>IF(_xlfn.MAXIFS('9_3nf_customer_history'!$B$2:$B$500,'9_3nf_customer_history'!$A$2:$A$500,AD25,'9_3nf_customer_history'!$B$2:$B$500,"&lt;="&amp;L25)=0,"NOT FOUND",_xlfn.MAXIFS('9_3nf_customer_history'!$B$2:$B$500,'9_3nf_customer_history'!$A$2:$A$500,AD25,'9_3nf_customer_history'!$B$2:$B$500,"&lt;="&amp;L25))</f>
        <v/>
      </c>
      <c r="AJ25" s="2">
        <f>IF(AI25="NOT FOUND","NOT FOUND",INDEX('9_3nf_customer_history'!$C:$C,SUMPRODUCT(('9_3nf_customer_history'!$A$2:$A$500=AD25)*('9_3nf_customer_history'!$B$2:$B$500=AI25)*ROW('9_3nf_customer_history'!$A$2:$A$500))))</f>
        <v/>
      </c>
      <c r="AK25" s="2">
        <f>IF(AI25="NOT FOUND","NOT FOUND",INDEX('9_3nf_customer_history'!$D:$D,SUMPRODUCT(('9_3nf_customer_history'!$A$2:$A$500=AD25)*('9_3nf_customer_history'!$B$2:$B$500=AI25)*ROW('9_3nf_customer_history'!$A$2:$A$500))))</f>
        <v/>
      </c>
      <c r="AL25" s="2">
        <f>UPPER(TRIM(H25))</f>
        <v/>
      </c>
      <c r="AM25" s="30">
        <f>IF(_xlfn.MAXIFS('10_ref_fx_rate'!$B$2:$B$2000,'10_ref_fx_rate'!$A$2:$A$2000,AL25,'10_ref_fx_rate'!$B$2:$B$2000,"&lt;="&amp;L25)=0,"NOT FOUND",_xlfn.MAXIFS('10_ref_fx_rate'!$B$2:$B$2000,'10_ref_fx_rate'!$A$2:$A$2000,AL25,'10_ref_fx_rate'!$B$2:$B$2000,"&lt;="&amp;L25))</f>
        <v/>
      </c>
      <c r="AN25" s="8">
        <f>IF(AM25="NOT FOUND","NOT FOUND",SUMIFS('10_ref_fx_rate'!$D$2:$D$2000,'10_ref_fx_rate'!$A$2:$A$2000,AL25,'10_ref_fx_rate'!$B$2:$B$2000,AM25))</f>
        <v/>
      </c>
      <c r="AO25" s="37">
        <f>IF(ISNUMBER(AN25),I25*AN25,"NOT FOUND")</f>
        <v/>
      </c>
      <c r="AP25" s="2">
        <f>UPPER(TRIM(J25))</f>
        <v/>
      </c>
      <c r="AQ25" s="2">
        <f>IF(AP25="","SELF-DIRECTED",IF(ISNUMBER(MATCH(AP25,'11_3nf_sales_person'!$A:$A,0)),IF(EXACT(AP25,J25),"OK","OK (auto-fixed)"),IF(ISNA(MATCH($A25,'12_sales_person_confirmation'!$A:$A,0)),"CONFIRM (not logged)",IF(INDEX('12_sales_person_confirmation'!$I:$I,MATCH($A25,'12_sales_person_confirmation'!$A:$A,0))="CONFIRMED","CONFIRMED ("&amp;LOWER(INDEX('12_sales_person_confirmation'!$E:$E,MATCH($A25,'12_sales_person_confirmation'!$A:$A,0)))&amp;")","PENDING CONFIRM"))))</f>
        <v/>
      </c>
      <c r="AR25" s="2">
        <f>IF(OR(AQ25="OK",AQ25="OK (auto-fixed)"),AP25,IF(LEFT(AQ25,9)="CONFIRMED",INDEX('12_sales_person_confirmation'!$F:$F,MATCH($A25,'12_sales_person_confirmation'!$A:$A,0)),""))</f>
        <v/>
      </c>
      <c r="AS25" s="2">
        <f>IF(AR25="","",INDEX('11_3nf_sales_person'!$B:$B,MATCH(AR25,'11_3nf_sales_person'!$A:$A,0)))</f>
        <v/>
      </c>
    </row>
    <row r="26">
      <c r="A26" s="2">
        <f>IF(ISBLANK('1_raw_log'!A26),"",'1_raw_log'!A26)</f>
        <v/>
      </c>
      <c r="B26" s="3">
        <f>IF(ISBLANK('1_raw_log'!B26),"",'1_raw_log'!B26)</f>
        <v/>
      </c>
      <c r="C26" s="2">
        <f>IF(ISBLANK('1_raw_log'!C26),"",'1_raw_log'!C26)</f>
        <v/>
      </c>
      <c r="D26" s="2">
        <f>IF(ISBLANK('1_raw_log'!D26),"",'1_raw_log'!D26)</f>
        <v/>
      </c>
      <c r="E26" s="4">
        <f>IF(ISBLANK('1_raw_log'!E26),"",'1_raw_log'!E26)</f>
        <v/>
      </c>
      <c r="F26" s="2">
        <f>IF(ISBLANK('1_raw_log'!F26),"",'1_raw_log'!F26)</f>
        <v/>
      </c>
      <c r="G26" s="2">
        <f>IF(ISBLANK('1_raw_log'!G26),"",'1_raw_log'!G26)</f>
        <v/>
      </c>
      <c r="H26" s="2">
        <f>IF(ISBLANK('1_raw_log'!H26),"",'1_raw_log'!H26)</f>
        <v/>
      </c>
      <c r="I26" s="7">
        <f>IF(ISBLANK('1_raw_log'!I26),"",'1_raw_log'!I26)</f>
        <v/>
      </c>
      <c r="J26" s="2">
        <f>IF(ISBLANK('1_raw_log'!J26),"",'1_raw_log'!J26)</f>
        <v/>
      </c>
      <c r="K26" s="2">
        <f>IF(ISBLANK('1_raw_log'!K26),"",'1_raw_log'!K26)</f>
        <v/>
      </c>
      <c r="L26" s="30">
        <f>INT(B26)</f>
        <v/>
      </c>
      <c r="M26" s="20">
        <f>ROUND(MOD(B26,1)*1440,0)/1440</f>
        <v/>
      </c>
      <c r="N26" s="4">
        <f>IFERROR(INDEX('3_ref_date'!$B:$B,MATCH(L26,'3_ref_date'!$A:$A,0)),"NOT FOUND")</f>
        <v/>
      </c>
      <c r="O26" s="2">
        <f>IFERROR(INDEX('3_ref_date'!$C:$C,MATCH(L26,'3_ref_date'!$A:$A,0)),"NOT FOUND")</f>
        <v/>
      </c>
      <c r="P26" s="4">
        <f>IFERROR(INDEX('3_ref_date'!$D:$D,MATCH(L26,'3_ref_date'!$A:$A,0)),"NOT FOUND")</f>
        <v/>
      </c>
      <c r="Q26" s="4">
        <f>IFERROR(INDEX('3_ref_date'!$E:$E,MATCH(L26,'3_ref_date'!$A:$A,0)),"NOT FOUND")</f>
        <v/>
      </c>
      <c r="R26" s="2">
        <f>IFERROR(INDEX('3_ref_date'!$F:$F,MATCH(L26,'3_ref_date'!$A:$A,0)),"NOT FOUND")</f>
        <v/>
      </c>
      <c r="S26" s="2">
        <f>IFERROR(INDEX('4_ref_time'!$D:$D,MATCH(ROUND(M26*1440,0),'4_ref_time'!$A:$A,0)),"NOT FOUND")</f>
        <v/>
      </c>
      <c r="T26" s="2">
        <f>UPPER(TRIM(C26))</f>
        <v/>
      </c>
      <c r="U26" s="30">
        <f>IF(_xlfn.MAXIFS('6_3nf_branch_history'!$B$2:$B$50,'6_3nf_branch_history'!$A$2:$A$50,T26,'6_3nf_branch_history'!$B$2:$B$50,"&lt;="&amp;L26)=0,"NOT FOUND",_xlfn.MAXIFS('6_3nf_branch_history'!$B$2:$B$50,'6_3nf_branch_history'!$A$2:$A$50,T26,'6_3nf_branch_history'!$B$2:$B$50,"&lt;="&amp;L26))</f>
        <v/>
      </c>
      <c r="V26" s="2">
        <f>IF(U26="NOT FOUND","NOT FOUND",INDEX('6_3nf_branch_history'!$C:$C,SUMPRODUCT(('6_3nf_branch_history'!$A$2:$A$50=T26)*('6_3nf_branch_history'!$B$2:$B$50=U26)*ROW('6_3nf_branch_history'!$A$2:$A$50))))</f>
        <v/>
      </c>
      <c r="W26" s="2">
        <f>IF(U26="NOT FOUND","NOT FOUND",INDEX('6_3nf_branch_history'!$D:$D,SUMPRODUCT(('6_3nf_branch_history'!$A$2:$A$50=T26)*('6_3nf_branch_history'!$B$2:$B$50=U26)*ROW('6_3nf_branch_history'!$A$2:$A$50))))</f>
        <v/>
      </c>
      <c r="X26" s="2">
        <f>IF(U26="NOT FOUND","NOT FOUND",INDEX('6_3nf_branch_history'!$E:$E,SUMPRODUCT(('6_3nf_branch_history'!$A$2:$A$50=T26)*('6_3nf_branch_history'!$B$2:$B$50=U26)*ROW('6_3nf_branch_history'!$A$2:$A$50))))</f>
        <v/>
      </c>
      <c r="Y26" s="2">
        <f>UPPER(TRIM(D26))</f>
        <v/>
      </c>
      <c r="Z26" s="2">
        <f>IFERROR(INDEX('7_3nf_product'!$B:$B,MATCH(Y26,'7_3nf_product'!$A:$A,0)),"NOT FOUND")</f>
        <v/>
      </c>
      <c r="AA26" s="2">
        <f>IFERROR(INDEX('7_3nf_product'!$C:$C,MATCH(Y26,'7_3nf_product'!$A:$A,0)),"NOT FOUND")</f>
        <v/>
      </c>
      <c r="AB26" s="2">
        <f>IFERROR(INDEX('7_3nf_product'!$D:$D,MATCH(Y26,'7_3nf_product'!$A:$A,0)),"NOT FOUND")</f>
        <v/>
      </c>
      <c r="AC26" s="6">
        <f>IFERROR(INDEX('7_3nf_product'!$E:$E,MATCH(Y26,'7_3nf_product'!$A:$A,0)),"NOT FOUND")</f>
        <v/>
      </c>
      <c r="AD26" s="33">
        <f>IF(LEN(TRIM(E26))=10,TRIM(E26),IF(LEN(TRIM(E26))=8,"00"&amp;TRIM(E26),"CHECK"))</f>
        <v/>
      </c>
      <c r="AE26" s="2">
        <f>IFERROR(INDEX('8_3nf_customer'!$C:$C,MATCH(AD26,'8_3nf_customer'!$B:$B,0)),"NOT FOUND")</f>
        <v/>
      </c>
      <c r="AF26" s="30">
        <f>IFERROR(INDEX('8_3nf_customer'!$D:$D,MATCH(AD26,'8_3nf_customer'!$B:$B,0)),"NOT FOUND")</f>
        <v/>
      </c>
      <c r="AG26" s="4">
        <f>IF(ISNUMBER(AF26),DATEDIF(AF26,L26,"y"),"NOT FOUND")</f>
        <v/>
      </c>
      <c r="AH26" s="2">
        <f>IFERROR(INDEX('8_3nf_customer'!$E:$E,MATCH(AD26,'8_3nf_customer'!$B:$B,0)),"NOT FOUND")</f>
        <v/>
      </c>
      <c r="AI26" s="30">
        <f>IF(_xlfn.MAXIFS('9_3nf_customer_history'!$B$2:$B$500,'9_3nf_customer_history'!$A$2:$A$500,AD26,'9_3nf_customer_history'!$B$2:$B$500,"&lt;="&amp;L26)=0,"NOT FOUND",_xlfn.MAXIFS('9_3nf_customer_history'!$B$2:$B$500,'9_3nf_customer_history'!$A$2:$A$500,AD26,'9_3nf_customer_history'!$B$2:$B$500,"&lt;="&amp;L26))</f>
        <v/>
      </c>
      <c r="AJ26" s="2">
        <f>IF(AI26="NOT FOUND","NOT FOUND",INDEX('9_3nf_customer_history'!$C:$C,SUMPRODUCT(('9_3nf_customer_history'!$A$2:$A$500=AD26)*('9_3nf_customer_history'!$B$2:$B$500=AI26)*ROW('9_3nf_customer_history'!$A$2:$A$500))))</f>
        <v/>
      </c>
      <c r="AK26" s="2">
        <f>IF(AI26="NOT FOUND","NOT FOUND",INDEX('9_3nf_customer_history'!$D:$D,SUMPRODUCT(('9_3nf_customer_history'!$A$2:$A$500=AD26)*('9_3nf_customer_history'!$B$2:$B$500=AI26)*ROW('9_3nf_customer_history'!$A$2:$A$500))))</f>
        <v/>
      </c>
      <c r="AL26" s="2">
        <f>UPPER(TRIM(H26))</f>
        <v/>
      </c>
      <c r="AM26" s="30">
        <f>IF(_xlfn.MAXIFS('10_ref_fx_rate'!$B$2:$B$2000,'10_ref_fx_rate'!$A$2:$A$2000,AL26,'10_ref_fx_rate'!$B$2:$B$2000,"&lt;="&amp;L26)=0,"NOT FOUND",_xlfn.MAXIFS('10_ref_fx_rate'!$B$2:$B$2000,'10_ref_fx_rate'!$A$2:$A$2000,AL26,'10_ref_fx_rate'!$B$2:$B$2000,"&lt;="&amp;L26))</f>
        <v/>
      </c>
      <c r="AN26" s="8">
        <f>IF(AM26="NOT FOUND","NOT FOUND",SUMIFS('10_ref_fx_rate'!$D$2:$D$2000,'10_ref_fx_rate'!$A$2:$A$2000,AL26,'10_ref_fx_rate'!$B$2:$B$2000,AM26))</f>
        <v/>
      </c>
      <c r="AO26" s="37">
        <f>IF(ISNUMBER(AN26),I26*AN26,"NOT FOUND")</f>
        <v/>
      </c>
      <c r="AP26" s="2">
        <f>UPPER(TRIM(J26))</f>
        <v/>
      </c>
      <c r="AQ26" s="2">
        <f>IF(AP26="","SELF-DIRECTED",IF(ISNUMBER(MATCH(AP26,'11_3nf_sales_person'!$A:$A,0)),IF(EXACT(AP26,J26),"OK","OK (auto-fixed)"),IF(ISNA(MATCH($A26,'12_sales_person_confirmation'!$A:$A,0)),"CONFIRM (not logged)",IF(INDEX('12_sales_person_confirmation'!$I:$I,MATCH($A26,'12_sales_person_confirmation'!$A:$A,0))="CONFIRMED","CONFIRMED ("&amp;LOWER(INDEX('12_sales_person_confirmation'!$E:$E,MATCH($A26,'12_sales_person_confirmation'!$A:$A,0)))&amp;")","PENDING CONFIRM"))))</f>
        <v/>
      </c>
      <c r="AR26" s="2">
        <f>IF(OR(AQ26="OK",AQ26="OK (auto-fixed)"),AP26,IF(LEFT(AQ26,9)="CONFIRMED",INDEX('12_sales_person_confirmation'!$F:$F,MATCH($A26,'12_sales_person_confirmation'!$A:$A,0)),""))</f>
        <v/>
      </c>
      <c r="AS26" s="2">
        <f>IF(AR26="","",INDEX('11_3nf_sales_person'!$B:$B,MATCH(AR26,'11_3nf_sales_person'!$A:$A,0)))</f>
        <v/>
      </c>
    </row>
    <row r="27">
      <c r="A27" s="2">
        <f>IF(ISBLANK('1_raw_log'!A27),"",'1_raw_log'!A27)</f>
        <v/>
      </c>
      <c r="B27" s="3">
        <f>IF(ISBLANK('1_raw_log'!B27),"",'1_raw_log'!B27)</f>
        <v/>
      </c>
      <c r="C27" s="2">
        <f>IF(ISBLANK('1_raw_log'!C27),"",'1_raw_log'!C27)</f>
        <v/>
      </c>
      <c r="D27" s="2">
        <f>IF(ISBLANK('1_raw_log'!D27),"",'1_raw_log'!D27)</f>
        <v/>
      </c>
      <c r="E27" s="4">
        <f>IF(ISBLANK('1_raw_log'!E27),"",'1_raw_log'!E27)</f>
        <v/>
      </c>
      <c r="F27" s="2">
        <f>IF(ISBLANK('1_raw_log'!F27),"",'1_raw_log'!F27)</f>
        <v/>
      </c>
      <c r="G27" s="2">
        <f>IF(ISBLANK('1_raw_log'!G27),"",'1_raw_log'!G27)</f>
        <v/>
      </c>
      <c r="H27" s="2">
        <f>IF(ISBLANK('1_raw_log'!H27),"",'1_raw_log'!H27)</f>
        <v/>
      </c>
      <c r="I27" s="7">
        <f>IF(ISBLANK('1_raw_log'!I27),"",'1_raw_log'!I27)</f>
        <v/>
      </c>
      <c r="J27" s="2">
        <f>IF(ISBLANK('1_raw_log'!J27),"",'1_raw_log'!J27)</f>
        <v/>
      </c>
      <c r="K27" s="2">
        <f>IF(ISBLANK('1_raw_log'!K27),"",'1_raw_log'!K27)</f>
        <v/>
      </c>
      <c r="L27" s="30">
        <f>INT(B27)</f>
        <v/>
      </c>
      <c r="M27" s="20">
        <f>ROUND(MOD(B27,1)*1440,0)/1440</f>
        <v/>
      </c>
      <c r="N27" s="4">
        <f>IFERROR(INDEX('3_ref_date'!$B:$B,MATCH(L27,'3_ref_date'!$A:$A,0)),"NOT FOUND")</f>
        <v/>
      </c>
      <c r="O27" s="2">
        <f>IFERROR(INDEX('3_ref_date'!$C:$C,MATCH(L27,'3_ref_date'!$A:$A,0)),"NOT FOUND")</f>
        <v/>
      </c>
      <c r="P27" s="4">
        <f>IFERROR(INDEX('3_ref_date'!$D:$D,MATCH(L27,'3_ref_date'!$A:$A,0)),"NOT FOUND")</f>
        <v/>
      </c>
      <c r="Q27" s="4">
        <f>IFERROR(INDEX('3_ref_date'!$E:$E,MATCH(L27,'3_ref_date'!$A:$A,0)),"NOT FOUND")</f>
        <v/>
      </c>
      <c r="R27" s="2">
        <f>IFERROR(INDEX('3_ref_date'!$F:$F,MATCH(L27,'3_ref_date'!$A:$A,0)),"NOT FOUND")</f>
        <v/>
      </c>
      <c r="S27" s="2">
        <f>IFERROR(INDEX('4_ref_time'!$D:$D,MATCH(ROUND(M27*1440,0),'4_ref_time'!$A:$A,0)),"NOT FOUND")</f>
        <v/>
      </c>
      <c r="T27" s="2">
        <f>UPPER(TRIM(C27))</f>
        <v/>
      </c>
      <c r="U27" s="30">
        <f>IF(_xlfn.MAXIFS('6_3nf_branch_history'!$B$2:$B$50,'6_3nf_branch_history'!$A$2:$A$50,T27,'6_3nf_branch_history'!$B$2:$B$50,"&lt;="&amp;L27)=0,"NOT FOUND",_xlfn.MAXIFS('6_3nf_branch_history'!$B$2:$B$50,'6_3nf_branch_history'!$A$2:$A$50,T27,'6_3nf_branch_history'!$B$2:$B$50,"&lt;="&amp;L27))</f>
        <v/>
      </c>
      <c r="V27" s="2">
        <f>IF(U27="NOT FOUND","NOT FOUND",INDEX('6_3nf_branch_history'!$C:$C,SUMPRODUCT(('6_3nf_branch_history'!$A$2:$A$50=T27)*('6_3nf_branch_history'!$B$2:$B$50=U27)*ROW('6_3nf_branch_history'!$A$2:$A$50))))</f>
        <v/>
      </c>
      <c r="W27" s="2">
        <f>IF(U27="NOT FOUND","NOT FOUND",INDEX('6_3nf_branch_history'!$D:$D,SUMPRODUCT(('6_3nf_branch_history'!$A$2:$A$50=T27)*('6_3nf_branch_history'!$B$2:$B$50=U27)*ROW('6_3nf_branch_history'!$A$2:$A$50))))</f>
        <v/>
      </c>
      <c r="X27" s="2">
        <f>IF(U27="NOT FOUND","NOT FOUND",INDEX('6_3nf_branch_history'!$E:$E,SUMPRODUCT(('6_3nf_branch_history'!$A$2:$A$50=T27)*('6_3nf_branch_history'!$B$2:$B$50=U27)*ROW('6_3nf_branch_history'!$A$2:$A$50))))</f>
        <v/>
      </c>
      <c r="Y27" s="2">
        <f>UPPER(TRIM(D27))</f>
        <v/>
      </c>
      <c r="Z27" s="2">
        <f>IFERROR(INDEX('7_3nf_product'!$B:$B,MATCH(Y27,'7_3nf_product'!$A:$A,0)),"NOT FOUND")</f>
        <v/>
      </c>
      <c r="AA27" s="2">
        <f>IFERROR(INDEX('7_3nf_product'!$C:$C,MATCH(Y27,'7_3nf_product'!$A:$A,0)),"NOT FOUND")</f>
        <v/>
      </c>
      <c r="AB27" s="2">
        <f>IFERROR(INDEX('7_3nf_product'!$D:$D,MATCH(Y27,'7_3nf_product'!$A:$A,0)),"NOT FOUND")</f>
        <v/>
      </c>
      <c r="AC27" s="6">
        <f>IFERROR(INDEX('7_3nf_product'!$E:$E,MATCH(Y27,'7_3nf_product'!$A:$A,0)),"NOT FOUND")</f>
        <v/>
      </c>
      <c r="AD27" s="33">
        <f>IF(LEN(TRIM(E27))=10,TRIM(E27),IF(LEN(TRIM(E27))=8,"00"&amp;TRIM(E27),"CHECK"))</f>
        <v/>
      </c>
      <c r="AE27" s="2">
        <f>IFERROR(INDEX('8_3nf_customer'!$C:$C,MATCH(AD27,'8_3nf_customer'!$B:$B,0)),"NOT FOUND")</f>
        <v/>
      </c>
      <c r="AF27" s="30">
        <f>IFERROR(INDEX('8_3nf_customer'!$D:$D,MATCH(AD27,'8_3nf_customer'!$B:$B,0)),"NOT FOUND")</f>
        <v/>
      </c>
      <c r="AG27" s="4">
        <f>IF(ISNUMBER(AF27),DATEDIF(AF27,L27,"y"),"NOT FOUND")</f>
        <v/>
      </c>
      <c r="AH27" s="2">
        <f>IFERROR(INDEX('8_3nf_customer'!$E:$E,MATCH(AD27,'8_3nf_customer'!$B:$B,0)),"NOT FOUND")</f>
        <v/>
      </c>
      <c r="AI27" s="30">
        <f>IF(_xlfn.MAXIFS('9_3nf_customer_history'!$B$2:$B$500,'9_3nf_customer_history'!$A$2:$A$500,AD27,'9_3nf_customer_history'!$B$2:$B$500,"&lt;="&amp;L27)=0,"NOT FOUND",_xlfn.MAXIFS('9_3nf_customer_history'!$B$2:$B$500,'9_3nf_customer_history'!$A$2:$A$500,AD27,'9_3nf_customer_history'!$B$2:$B$500,"&lt;="&amp;L27))</f>
        <v/>
      </c>
      <c r="AJ27" s="2">
        <f>IF(AI27="NOT FOUND","NOT FOUND",INDEX('9_3nf_customer_history'!$C:$C,SUMPRODUCT(('9_3nf_customer_history'!$A$2:$A$500=AD27)*('9_3nf_customer_history'!$B$2:$B$500=AI27)*ROW('9_3nf_customer_history'!$A$2:$A$500))))</f>
        <v/>
      </c>
      <c r="AK27" s="2">
        <f>IF(AI27="NOT FOUND","NOT FOUND",INDEX('9_3nf_customer_history'!$D:$D,SUMPRODUCT(('9_3nf_customer_history'!$A$2:$A$500=AD27)*('9_3nf_customer_history'!$B$2:$B$500=AI27)*ROW('9_3nf_customer_history'!$A$2:$A$500))))</f>
        <v/>
      </c>
      <c r="AL27" s="2">
        <f>UPPER(TRIM(H27))</f>
        <v/>
      </c>
      <c r="AM27" s="30">
        <f>IF(_xlfn.MAXIFS('10_ref_fx_rate'!$B$2:$B$2000,'10_ref_fx_rate'!$A$2:$A$2000,AL27,'10_ref_fx_rate'!$B$2:$B$2000,"&lt;="&amp;L27)=0,"NOT FOUND",_xlfn.MAXIFS('10_ref_fx_rate'!$B$2:$B$2000,'10_ref_fx_rate'!$A$2:$A$2000,AL27,'10_ref_fx_rate'!$B$2:$B$2000,"&lt;="&amp;L27))</f>
        <v/>
      </c>
      <c r="AN27" s="8">
        <f>IF(AM27="NOT FOUND","NOT FOUND",SUMIFS('10_ref_fx_rate'!$D$2:$D$2000,'10_ref_fx_rate'!$A$2:$A$2000,AL27,'10_ref_fx_rate'!$B$2:$B$2000,AM27))</f>
        <v/>
      </c>
      <c r="AO27" s="37">
        <f>IF(ISNUMBER(AN27),I27*AN27,"NOT FOUND")</f>
        <v/>
      </c>
      <c r="AP27" s="2">
        <f>UPPER(TRIM(J27))</f>
        <v/>
      </c>
      <c r="AQ27" s="2">
        <f>IF(AP27="","SELF-DIRECTED",IF(ISNUMBER(MATCH(AP27,'11_3nf_sales_person'!$A:$A,0)),IF(EXACT(AP27,J27),"OK","OK (auto-fixed)"),IF(ISNA(MATCH($A27,'12_sales_person_confirmation'!$A:$A,0)),"CONFIRM (not logged)",IF(INDEX('12_sales_person_confirmation'!$I:$I,MATCH($A27,'12_sales_person_confirmation'!$A:$A,0))="CONFIRMED","CONFIRMED ("&amp;LOWER(INDEX('12_sales_person_confirmation'!$E:$E,MATCH($A27,'12_sales_person_confirmation'!$A:$A,0)))&amp;")","PENDING CONFIRM"))))</f>
        <v/>
      </c>
      <c r="AR27" s="2">
        <f>IF(OR(AQ27="OK",AQ27="OK (auto-fixed)"),AP27,IF(LEFT(AQ27,9)="CONFIRMED",INDEX('12_sales_person_confirmation'!$F:$F,MATCH($A27,'12_sales_person_confirmation'!$A:$A,0)),""))</f>
        <v/>
      </c>
      <c r="AS27" s="2">
        <f>IF(AR27="","",INDEX('11_3nf_sales_person'!$B:$B,MATCH(AR27,'11_3nf_sales_person'!$A:$A,0)))</f>
        <v/>
      </c>
    </row>
    <row r="28">
      <c r="A28" s="2">
        <f>IF(ISBLANK('1_raw_log'!A28),"",'1_raw_log'!A28)</f>
        <v/>
      </c>
      <c r="B28" s="3">
        <f>IF(ISBLANK('1_raw_log'!B28),"",'1_raw_log'!B28)</f>
        <v/>
      </c>
      <c r="C28" s="2">
        <f>IF(ISBLANK('1_raw_log'!C28),"",'1_raw_log'!C28)</f>
        <v/>
      </c>
      <c r="D28" s="2">
        <f>IF(ISBLANK('1_raw_log'!D28),"",'1_raw_log'!D28)</f>
        <v/>
      </c>
      <c r="E28" s="4">
        <f>IF(ISBLANK('1_raw_log'!E28),"",'1_raw_log'!E28)</f>
        <v/>
      </c>
      <c r="F28" s="2">
        <f>IF(ISBLANK('1_raw_log'!F28),"",'1_raw_log'!F28)</f>
        <v/>
      </c>
      <c r="G28" s="2">
        <f>IF(ISBLANK('1_raw_log'!G28),"",'1_raw_log'!G28)</f>
        <v/>
      </c>
      <c r="H28" s="2">
        <f>IF(ISBLANK('1_raw_log'!H28),"",'1_raw_log'!H28)</f>
        <v/>
      </c>
      <c r="I28" s="7">
        <f>IF(ISBLANK('1_raw_log'!I28),"",'1_raw_log'!I28)</f>
        <v/>
      </c>
      <c r="J28" s="2">
        <f>IF(ISBLANK('1_raw_log'!J28),"",'1_raw_log'!J28)</f>
        <v/>
      </c>
      <c r="K28" s="2">
        <f>IF(ISBLANK('1_raw_log'!K28),"",'1_raw_log'!K28)</f>
        <v/>
      </c>
      <c r="L28" s="30">
        <f>INT(B28)</f>
        <v/>
      </c>
      <c r="M28" s="20">
        <f>ROUND(MOD(B28,1)*1440,0)/1440</f>
        <v/>
      </c>
      <c r="N28" s="4">
        <f>IFERROR(INDEX('3_ref_date'!$B:$B,MATCH(L28,'3_ref_date'!$A:$A,0)),"NOT FOUND")</f>
        <v/>
      </c>
      <c r="O28" s="2">
        <f>IFERROR(INDEX('3_ref_date'!$C:$C,MATCH(L28,'3_ref_date'!$A:$A,0)),"NOT FOUND")</f>
        <v/>
      </c>
      <c r="P28" s="4">
        <f>IFERROR(INDEX('3_ref_date'!$D:$D,MATCH(L28,'3_ref_date'!$A:$A,0)),"NOT FOUND")</f>
        <v/>
      </c>
      <c r="Q28" s="4">
        <f>IFERROR(INDEX('3_ref_date'!$E:$E,MATCH(L28,'3_ref_date'!$A:$A,0)),"NOT FOUND")</f>
        <v/>
      </c>
      <c r="R28" s="2">
        <f>IFERROR(INDEX('3_ref_date'!$F:$F,MATCH(L28,'3_ref_date'!$A:$A,0)),"NOT FOUND")</f>
        <v/>
      </c>
      <c r="S28" s="2">
        <f>IFERROR(INDEX('4_ref_time'!$D:$D,MATCH(ROUND(M28*1440,0),'4_ref_time'!$A:$A,0)),"NOT FOUND")</f>
        <v/>
      </c>
      <c r="T28" s="2">
        <f>UPPER(TRIM(C28))</f>
        <v/>
      </c>
      <c r="U28" s="30">
        <f>IF(_xlfn.MAXIFS('6_3nf_branch_history'!$B$2:$B$50,'6_3nf_branch_history'!$A$2:$A$50,T28,'6_3nf_branch_history'!$B$2:$B$50,"&lt;="&amp;L28)=0,"NOT FOUND",_xlfn.MAXIFS('6_3nf_branch_history'!$B$2:$B$50,'6_3nf_branch_history'!$A$2:$A$50,T28,'6_3nf_branch_history'!$B$2:$B$50,"&lt;="&amp;L28))</f>
        <v/>
      </c>
      <c r="V28" s="2">
        <f>IF(U28="NOT FOUND","NOT FOUND",INDEX('6_3nf_branch_history'!$C:$C,SUMPRODUCT(('6_3nf_branch_history'!$A$2:$A$50=T28)*('6_3nf_branch_history'!$B$2:$B$50=U28)*ROW('6_3nf_branch_history'!$A$2:$A$50))))</f>
        <v/>
      </c>
      <c r="W28" s="2">
        <f>IF(U28="NOT FOUND","NOT FOUND",INDEX('6_3nf_branch_history'!$D:$D,SUMPRODUCT(('6_3nf_branch_history'!$A$2:$A$50=T28)*('6_3nf_branch_history'!$B$2:$B$50=U28)*ROW('6_3nf_branch_history'!$A$2:$A$50))))</f>
        <v/>
      </c>
      <c r="X28" s="2">
        <f>IF(U28="NOT FOUND","NOT FOUND",INDEX('6_3nf_branch_history'!$E:$E,SUMPRODUCT(('6_3nf_branch_history'!$A$2:$A$50=T28)*('6_3nf_branch_history'!$B$2:$B$50=U28)*ROW('6_3nf_branch_history'!$A$2:$A$50))))</f>
        <v/>
      </c>
      <c r="Y28" s="2">
        <f>UPPER(TRIM(D28))</f>
        <v/>
      </c>
      <c r="Z28" s="2">
        <f>IFERROR(INDEX('7_3nf_product'!$B:$B,MATCH(Y28,'7_3nf_product'!$A:$A,0)),"NOT FOUND")</f>
        <v/>
      </c>
      <c r="AA28" s="2">
        <f>IFERROR(INDEX('7_3nf_product'!$C:$C,MATCH(Y28,'7_3nf_product'!$A:$A,0)),"NOT FOUND")</f>
        <v/>
      </c>
      <c r="AB28" s="2">
        <f>IFERROR(INDEX('7_3nf_product'!$D:$D,MATCH(Y28,'7_3nf_product'!$A:$A,0)),"NOT FOUND")</f>
        <v/>
      </c>
      <c r="AC28" s="6">
        <f>IFERROR(INDEX('7_3nf_product'!$E:$E,MATCH(Y28,'7_3nf_product'!$A:$A,0)),"NOT FOUND")</f>
        <v/>
      </c>
      <c r="AD28" s="33">
        <f>IF(LEN(TRIM(E28))=10,TRIM(E28),IF(LEN(TRIM(E28))=8,"00"&amp;TRIM(E28),"CHECK"))</f>
        <v/>
      </c>
      <c r="AE28" s="2">
        <f>IFERROR(INDEX('8_3nf_customer'!$C:$C,MATCH(AD28,'8_3nf_customer'!$B:$B,0)),"NOT FOUND")</f>
        <v/>
      </c>
      <c r="AF28" s="30">
        <f>IFERROR(INDEX('8_3nf_customer'!$D:$D,MATCH(AD28,'8_3nf_customer'!$B:$B,0)),"NOT FOUND")</f>
        <v/>
      </c>
      <c r="AG28" s="4">
        <f>IF(ISNUMBER(AF28),DATEDIF(AF28,L28,"y"),"NOT FOUND")</f>
        <v/>
      </c>
      <c r="AH28" s="2">
        <f>IFERROR(INDEX('8_3nf_customer'!$E:$E,MATCH(AD28,'8_3nf_customer'!$B:$B,0)),"NOT FOUND")</f>
        <v/>
      </c>
      <c r="AI28" s="30">
        <f>IF(_xlfn.MAXIFS('9_3nf_customer_history'!$B$2:$B$500,'9_3nf_customer_history'!$A$2:$A$500,AD28,'9_3nf_customer_history'!$B$2:$B$500,"&lt;="&amp;L28)=0,"NOT FOUND",_xlfn.MAXIFS('9_3nf_customer_history'!$B$2:$B$500,'9_3nf_customer_history'!$A$2:$A$500,AD28,'9_3nf_customer_history'!$B$2:$B$500,"&lt;="&amp;L28))</f>
        <v/>
      </c>
      <c r="AJ28" s="2">
        <f>IF(AI28="NOT FOUND","NOT FOUND",INDEX('9_3nf_customer_history'!$C:$C,SUMPRODUCT(('9_3nf_customer_history'!$A$2:$A$500=AD28)*('9_3nf_customer_history'!$B$2:$B$500=AI28)*ROW('9_3nf_customer_history'!$A$2:$A$500))))</f>
        <v/>
      </c>
      <c r="AK28" s="2">
        <f>IF(AI28="NOT FOUND","NOT FOUND",INDEX('9_3nf_customer_history'!$D:$D,SUMPRODUCT(('9_3nf_customer_history'!$A$2:$A$500=AD28)*('9_3nf_customer_history'!$B$2:$B$500=AI28)*ROW('9_3nf_customer_history'!$A$2:$A$500))))</f>
        <v/>
      </c>
      <c r="AL28" s="2">
        <f>UPPER(TRIM(H28))</f>
        <v/>
      </c>
      <c r="AM28" s="30">
        <f>IF(_xlfn.MAXIFS('10_ref_fx_rate'!$B$2:$B$2000,'10_ref_fx_rate'!$A$2:$A$2000,AL28,'10_ref_fx_rate'!$B$2:$B$2000,"&lt;="&amp;L28)=0,"NOT FOUND",_xlfn.MAXIFS('10_ref_fx_rate'!$B$2:$B$2000,'10_ref_fx_rate'!$A$2:$A$2000,AL28,'10_ref_fx_rate'!$B$2:$B$2000,"&lt;="&amp;L28))</f>
        <v/>
      </c>
      <c r="AN28" s="8">
        <f>IF(AM28="NOT FOUND","NOT FOUND",SUMIFS('10_ref_fx_rate'!$D$2:$D$2000,'10_ref_fx_rate'!$A$2:$A$2000,AL28,'10_ref_fx_rate'!$B$2:$B$2000,AM28))</f>
        <v/>
      </c>
      <c r="AO28" s="37">
        <f>IF(ISNUMBER(AN28),I28*AN28,"NOT FOUND")</f>
        <v/>
      </c>
      <c r="AP28" s="2">
        <f>UPPER(TRIM(J28))</f>
        <v/>
      </c>
      <c r="AQ28" s="2">
        <f>IF(AP28="","SELF-DIRECTED",IF(ISNUMBER(MATCH(AP28,'11_3nf_sales_person'!$A:$A,0)),IF(EXACT(AP28,J28),"OK","OK (auto-fixed)"),IF(ISNA(MATCH($A28,'12_sales_person_confirmation'!$A:$A,0)),"CONFIRM (not logged)",IF(INDEX('12_sales_person_confirmation'!$I:$I,MATCH($A28,'12_sales_person_confirmation'!$A:$A,0))="CONFIRMED","CONFIRMED ("&amp;LOWER(INDEX('12_sales_person_confirmation'!$E:$E,MATCH($A28,'12_sales_person_confirmation'!$A:$A,0)))&amp;")","PENDING CONFIRM"))))</f>
        <v/>
      </c>
      <c r="AR28" s="2">
        <f>IF(OR(AQ28="OK",AQ28="OK (auto-fixed)"),AP28,IF(LEFT(AQ28,9)="CONFIRMED",INDEX('12_sales_person_confirmation'!$F:$F,MATCH($A28,'12_sales_person_confirmation'!$A:$A,0)),""))</f>
        <v/>
      </c>
      <c r="AS28" s="2">
        <f>IF(AR28="","",INDEX('11_3nf_sales_person'!$B:$B,MATCH(AR28,'11_3nf_sales_person'!$A:$A,0)))</f>
        <v/>
      </c>
    </row>
    <row r="29">
      <c r="A29" s="2">
        <f>IF(ISBLANK('1_raw_log'!A29),"",'1_raw_log'!A29)</f>
        <v/>
      </c>
      <c r="B29" s="3">
        <f>IF(ISBLANK('1_raw_log'!B29),"",'1_raw_log'!B29)</f>
        <v/>
      </c>
      <c r="C29" s="2">
        <f>IF(ISBLANK('1_raw_log'!C29),"",'1_raw_log'!C29)</f>
        <v/>
      </c>
      <c r="D29" s="2">
        <f>IF(ISBLANK('1_raw_log'!D29),"",'1_raw_log'!D29)</f>
        <v/>
      </c>
      <c r="E29" s="4">
        <f>IF(ISBLANK('1_raw_log'!E29),"",'1_raw_log'!E29)</f>
        <v/>
      </c>
      <c r="F29" s="2">
        <f>IF(ISBLANK('1_raw_log'!F29),"",'1_raw_log'!F29)</f>
        <v/>
      </c>
      <c r="G29" s="2">
        <f>IF(ISBLANK('1_raw_log'!G29),"",'1_raw_log'!G29)</f>
        <v/>
      </c>
      <c r="H29" s="2">
        <f>IF(ISBLANK('1_raw_log'!H29),"",'1_raw_log'!H29)</f>
        <v/>
      </c>
      <c r="I29" s="7">
        <f>IF(ISBLANK('1_raw_log'!I29),"",'1_raw_log'!I29)</f>
        <v/>
      </c>
      <c r="J29" s="2">
        <f>IF(ISBLANK('1_raw_log'!J29),"",'1_raw_log'!J29)</f>
        <v/>
      </c>
      <c r="K29" s="2">
        <f>IF(ISBLANK('1_raw_log'!K29),"",'1_raw_log'!K29)</f>
        <v/>
      </c>
      <c r="L29" s="30">
        <f>INT(B29)</f>
        <v/>
      </c>
      <c r="M29" s="20">
        <f>ROUND(MOD(B29,1)*1440,0)/1440</f>
        <v/>
      </c>
      <c r="N29" s="4">
        <f>IFERROR(INDEX('3_ref_date'!$B:$B,MATCH(L29,'3_ref_date'!$A:$A,0)),"NOT FOUND")</f>
        <v/>
      </c>
      <c r="O29" s="2">
        <f>IFERROR(INDEX('3_ref_date'!$C:$C,MATCH(L29,'3_ref_date'!$A:$A,0)),"NOT FOUND")</f>
        <v/>
      </c>
      <c r="P29" s="4">
        <f>IFERROR(INDEX('3_ref_date'!$D:$D,MATCH(L29,'3_ref_date'!$A:$A,0)),"NOT FOUND")</f>
        <v/>
      </c>
      <c r="Q29" s="4">
        <f>IFERROR(INDEX('3_ref_date'!$E:$E,MATCH(L29,'3_ref_date'!$A:$A,0)),"NOT FOUND")</f>
        <v/>
      </c>
      <c r="R29" s="2">
        <f>IFERROR(INDEX('3_ref_date'!$F:$F,MATCH(L29,'3_ref_date'!$A:$A,0)),"NOT FOUND")</f>
        <v/>
      </c>
      <c r="S29" s="2">
        <f>IFERROR(INDEX('4_ref_time'!$D:$D,MATCH(ROUND(M29*1440,0),'4_ref_time'!$A:$A,0)),"NOT FOUND")</f>
        <v/>
      </c>
      <c r="T29" s="2">
        <f>UPPER(TRIM(C29))</f>
        <v/>
      </c>
      <c r="U29" s="30">
        <f>IF(_xlfn.MAXIFS('6_3nf_branch_history'!$B$2:$B$50,'6_3nf_branch_history'!$A$2:$A$50,T29,'6_3nf_branch_history'!$B$2:$B$50,"&lt;="&amp;L29)=0,"NOT FOUND",_xlfn.MAXIFS('6_3nf_branch_history'!$B$2:$B$50,'6_3nf_branch_history'!$A$2:$A$50,T29,'6_3nf_branch_history'!$B$2:$B$50,"&lt;="&amp;L29))</f>
        <v/>
      </c>
      <c r="V29" s="2">
        <f>IF(U29="NOT FOUND","NOT FOUND",INDEX('6_3nf_branch_history'!$C:$C,SUMPRODUCT(('6_3nf_branch_history'!$A$2:$A$50=T29)*('6_3nf_branch_history'!$B$2:$B$50=U29)*ROW('6_3nf_branch_history'!$A$2:$A$50))))</f>
        <v/>
      </c>
      <c r="W29" s="2">
        <f>IF(U29="NOT FOUND","NOT FOUND",INDEX('6_3nf_branch_history'!$D:$D,SUMPRODUCT(('6_3nf_branch_history'!$A$2:$A$50=T29)*('6_3nf_branch_history'!$B$2:$B$50=U29)*ROW('6_3nf_branch_history'!$A$2:$A$50))))</f>
        <v/>
      </c>
      <c r="X29" s="2">
        <f>IF(U29="NOT FOUND","NOT FOUND",INDEX('6_3nf_branch_history'!$E:$E,SUMPRODUCT(('6_3nf_branch_history'!$A$2:$A$50=T29)*('6_3nf_branch_history'!$B$2:$B$50=U29)*ROW('6_3nf_branch_history'!$A$2:$A$50))))</f>
        <v/>
      </c>
      <c r="Y29" s="2">
        <f>UPPER(TRIM(D29))</f>
        <v/>
      </c>
      <c r="Z29" s="2">
        <f>IFERROR(INDEX('7_3nf_product'!$B:$B,MATCH(Y29,'7_3nf_product'!$A:$A,0)),"NOT FOUND")</f>
        <v/>
      </c>
      <c r="AA29" s="2">
        <f>IFERROR(INDEX('7_3nf_product'!$C:$C,MATCH(Y29,'7_3nf_product'!$A:$A,0)),"NOT FOUND")</f>
        <v/>
      </c>
      <c r="AB29" s="2">
        <f>IFERROR(INDEX('7_3nf_product'!$D:$D,MATCH(Y29,'7_3nf_product'!$A:$A,0)),"NOT FOUND")</f>
        <v/>
      </c>
      <c r="AC29" s="6">
        <f>IFERROR(INDEX('7_3nf_product'!$E:$E,MATCH(Y29,'7_3nf_product'!$A:$A,0)),"NOT FOUND")</f>
        <v/>
      </c>
      <c r="AD29" s="33">
        <f>IF(LEN(TRIM(E29))=10,TRIM(E29),IF(LEN(TRIM(E29))=8,"00"&amp;TRIM(E29),"CHECK"))</f>
        <v/>
      </c>
      <c r="AE29" s="2">
        <f>IFERROR(INDEX('8_3nf_customer'!$C:$C,MATCH(AD29,'8_3nf_customer'!$B:$B,0)),"NOT FOUND")</f>
        <v/>
      </c>
      <c r="AF29" s="30">
        <f>IFERROR(INDEX('8_3nf_customer'!$D:$D,MATCH(AD29,'8_3nf_customer'!$B:$B,0)),"NOT FOUND")</f>
        <v/>
      </c>
      <c r="AG29" s="4">
        <f>IF(ISNUMBER(AF29),DATEDIF(AF29,L29,"y"),"NOT FOUND")</f>
        <v/>
      </c>
      <c r="AH29" s="2">
        <f>IFERROR(INDEX('8_3nf_customer'!$E:$E,MATCH(AD29,'8_3nf_customer'!$B:$B,0)),"NOT FOUND")</f>
        <v/>
      </c>
      <c r="AI29" s="30">
        <f>IF(_xlfn.MAXIFS('9_3nf_customer_history'!$B$2:$B$500,'9_3nf_customer_history'!$A$2:$A$500,AD29,'9_3nf_customer_history'!$B$2:$B$500,"&lt;="&amp;L29)=0,"NOT FOUND",_xlfn.MAXIFS('9_3nf_customer_history'!$B$2:$B$500,'9_3nf_customer_history'!$A$2:$A$500,AD29,'9_3nf_customer_history'!$B$2:$B$500,"&lt;="&amp;L29))</f>
        <v/>
      </c>
      <c r="AJ29" s="2">
        <f>IF(AI29="NOT FOUND","NOT FOUND",INDEX('9_3nf_customer_history'!$C:$C,SUMPRODUCT(('9_3nf_customer_history'!$A$2:$A$500=AD29)*('9_3nf_customer_history'!$B$2:$B$500=AI29)*ROW('9_3nf_customer_history'!$A$2:$A$500))))</f>
        <v/>
      </c>
      <c r="AK29" s="2">
        <f>IF(AI29="NOT FOUND","NOT FOUND",INDEX('9_3nf_customer_history'!$D:$D,SUMPRODUCT(('9_3nf_customer_history'!$A$2:$A$500=AD29)*('9_3nf_customer_history'!$B$2:$B$500=AI29)*ROW('9_3nf_customer_history'!$A$2:$A$500))))</f>
        <v/>
      </c>
      <c r="AL29" s="2">
        <f>UPPER(TRIM(H29))</f>
        <v/>
      </c>
      <c r="AM29" s="30">
        <f>IF(_xlfn.MAXIFS('10_ref_fx_rate'!$B$2:$B$2000,'10_ref_fx_rate'!$A$2:$A$2000,AL29,'10_ref_fx_rate'!$B$2:$B$2000,"&lt;="&amp;L29)=0,"NOT FOUND",_xlfn.MAXIFS('10_ref_fx_rate'!$B$2:$B$2000,'10_ref_fx_rate'!$A$2:$A$2000,AL29,'10_ref_fx_rate'!$B$2:$B$2000,"&lt;="&amp;L29))</f>
        <v/>
      </c>
      <c r="AN29" s="8">
        <f>IF(AM29="NOT FOUND","NOT FOUND",SUMIFS('10_ref_fx_rate'!$D$2:$D$2000,'10_ref_fx_rate'!$A$2:$A$2000,AL29,'10_ref_fx_rate'!$B$2:$B$2000,AM29))</f>
        <v/>
      </c>
      <c r="AO29" s="37">
        <f>IF(ISNUMBER(AN29),I29*AN29,"NOT FOUND")</f>
        <v/>
      </c>
      <c r="AP29" s="2">
        <f>UPPER(TRIM(J29))</f>
        <v/>
      </c>
      <c r="AQ29" s="2">
        <f>IF(AP29="","SELF-DIRECTED",IF(ISNUMBER(MATCH(AP29,'11_3nf_sales_person'!$A:$A,0)),IF(EXACT(AP29,J29),"OK","OK (auto-fixed)"),IF(ISNA(MATCH($A29,'12_sales_person_confirmation'!$A:$A,0)),"CONFIRM (not logged)",IF(INDEX('12_sales_person_confirmation'!$I:$I,MATCH($A29,'12_sales_person_confirmation'!$A:$A,0))="CONFIRMED","CONFIRMED ("&amp;LOWER(INDEX('12_sales_person_confirmation'!$E:$E,MATCH($A29,'12_sales_person_confirmation'!$A:$A,0)))&amp;")","PENDING CONFIRM"))))</f>
        <v/>
      </c>
      <c r="AR29" s="2">
        <f>IF(OR(AQ29="OK",AQ29="OK (auto-fixed)"),AP29,IF(LEFT(AQ29,9)="CONFIRMED",INDEX('12_sales_person_confirmation'!$F:$F,MATCH($A29,'12_sales_person_confirmation'!$A:$A,0)),""))</f>
        <v/>
      </c>
      <c r="AS29" s="2">
        <f>IF(AR29="","",INDEX('11_3nf_sales_person'!$B:$B,MATCH(AR29,'11_3nf_sales_person'!$A:$A,0)))</f>
        <v/>
      </c>
    </row>
    <row r="30">
      <c r="A30" s="2">
        <f>IF(ISBLANK('1_raw_log'!A30),"",'1_raw_log'!A30)</f>
        <v/>
      </c>
      <c r="B30" s="3">
        <f>IF(ISBLANK('1_raw_log'!B30),"",'1_raw_log'!B30)</f>
        <v/>
      </c>
      <c r="C30" s="2">
        <f>IF(ISBLANK('1_raw_log'!C30),"",'1_raw_log'!C30)</f>
        <v/>
      </c>
      <c r="D30" s="2">
        <f>IF(ISBLANK('1_raw_log'!D30),"",'1_raw_log'!D30)</f>
        <v/>
      </c>
      <c r="E30" s="4">
        <f>IF(ISBLANK('1_raw_log'!E30),"",'1_raw_log'!E30)</f>
        <v/>
      </c>
      <c r="F30" s="2">
        <f>IF(ISBLANK('1_raw_log'!F30),"",'1_raw_log'!F30)</f>
        <v/>
      </c>
      <c r="G30" s="2">
        <f>IF(ISBLANK('1_raw_log'!G30),"",'1_raw_log'!G30)</f>
        <v/>
      </c>
      <c r="H30" s="2">
        <f>IF(ISBLANK('1_raw_log'!H30),"",'1_raw_log'!H30)</f>
        <v/>
      </c>
      <c r="I30" s="7">
        <f>IF(ISBLANK('1_raw_log'!I30),"",'1_raw_log'!I30)</f>
        <v/>
      </c>
      <c r="J30" s="2">
        <f>IF(ISBLANK('1_raw_log'!J30),"",'1_raw_log'!J30)</f>
        <v/>
      </c>
      <c r="K30" s="2">
        <f>IF(ISBLANK('1_raw_log'!K30),"",'1_raw_log'!K30)</f>
        <v/>
      </c>
      <c r="L30" s="30">
        <f>INT(B30)</f>
        <v/>
      </c>
      <c r="M30" s="20">
        <f>ROUND(MOD(B30,1)*1440,0)/1440</f>
        <v/>
      </c>
      <c r="N30" s="4">
        <f>IFERROR(INDEX('3_ref_date'!$B:$B,MATCH(L30,'3_ref_date'!$A:$A,0)),"NOT FOUND")</f>
        <v/>
      </c>
      <c r="O30" s="2">
        <f>IFERROR(INDEX('3_ref_date'!$C:$C,MATCH(L30,'3_ref_date'!$A:$A,0)),"NOT FOUND")</f>
        <v/>
      </c>
      <c r="P30" s="4">
        <f>IFERROR(INDEX('3_ref_date'!$D:$D,MATCH(L30,'3_ref_date'!$A:$A,0)),"NOT FOUND")</f>
        <v/>
      </c>
      <c r="Q30" s="4">
        <f>IFERROR(INDEX('3_ref_date'!$E:$E,MATCH(L30,'3_ref_date'!$A:$A,0)),"NOT FOUND")</f>
        <v/>
      </c>
      <c r="R30" s="2">
        <f>IFERROR(INDEX('3_ref_date'!$F:$F,MATCH(L30,'3_ref_date'!$A:$A,0)),"NOT FOUND")</f>
        <v/>
      </c>
      <c r="S30" s="2">
        <f>IFERROR(INDEX('4_ref_time'!$D:$D,MATCH(ROUND(M30*1440,0),'4_ref_time'!$A:$A,0)),"NOT FOUND")</f>
        <v/>
      </c>
      <c r="T30" s="2">
        <f>UPPER(TRIM(C30))</f>
        <v/>
      </c>
      <c r="U30" s="30">
        <f>IF(_xlfn.MAXIFS('6_3nf_branch_history'!$B$2:$B$50,'6_3nf_branch_history'!$A$2:$A$50,T30,'6_3nf_branch_history'!$B$2:$B$50,"&lt;="&amp;L30)=0,"NOT FOUND",_xlfn.MAXIFS('6_3nf_branch_history'!$B$2:$B$50,'6_3nf_branch_history'!$A$2:$A$50,T30,'6_3nf_branch_history'!$B$2:$B$50,"&lt;="&amp;L30))</f>
        <v/>
      </c>
      <c r="V30" s="2">
        <f>IF(U30="NOT FOUND","NOT FOUND",INDEX('6_3nf_branch_history'!$C:$C,SUMPRODUCT(('6_3nf_branch_history'!$A$2:$A$50=T30)*('6_3nf_branch_history'!$B$2:$B$50=U30)*ROW('6_3nf_branch_history'!$A$2:$A$50))))</f>
        <v/>
      </c>
      <c r="W30" s="2">
        <f>IF(U30="NOT FOUND","NOT FOUND",INDEX('6_3nf_branch_history'!$D:$D,SUMPRODUCT(('6_3nf_branch_history'!$A$2:$A$50=T30)*('6_3nf_branch_history'!$B$2:$B$50=U30)*ROW('6_3nf_branch_history'!$A$2:$A$50))))</f>
        <v/>
      </c>
      <c r="X30" s="2">
        <f>IF(U30="NOT FOUND","NOT FOUND",INDEX('6_3nf_branch_history'!$E:$E,SUMPRODUCT(('6_3nf_branch_history'!$A$2:$A$50=T30)*('6_3nf_branch_history'!$B$2:$B$50=U30)*ROW('6_3nf_branch_history'!$A$2:$A$50))))</f>
        <v/>
      </c>
      <c r="Y30" s="2">
        <f>UPPER(TRIM(D30))</f>
        <v/>
      </c>
      <c r="Z30" s="2">
        <f>IFERROR(INDEX('7_3nf_product'!$B:$B,MATCH(Y30,'7_3nf_product'!$A:$A,0)),"NOT FOUND")</f>
        <v/>
      </c>
      <c r="AA30" s="2">
        <f>IFERROR(INDEX('7_3nf_product'!$C:$C,MATCH(Y30,'7_3nf_product'!$A:$A,0)),"NOT FOUND")</f>
        <v/>
      </c>
      <c r="AB30" s="2">
        <f>IFERROR(INDEX('7_3nf_product'!$D:$D,MATCH(Y30,'7_3nf_product'!$A:$A,0)),"NOT FOUND")</f>
        <v/>
      </c>
      <c r="AC30" s="6">
        <f>IFERROR(INDEX('7_3nf_product'!$E:$E,MATCH(Y30,'7_3nf_product'!$A:$A,0)),"NOT FOUND")</f>
        <v/>
      </c>
      <c r="AD30" s="33">
        <f>IF(LEN(TRIM(E30))=10,TRIM(E30),IF(LEN(TRIM(E30))=8,"00"&amp;TRIM(E30),"CHECK"))</f>
        <v/>
      </c>
      <c r="AE30" s="2">
        <f>IFERROR(INDEX('8_3nf_customer'!$C:$C,MATCH(AD30,'8_3nf_customer'!$B:$B,0)),"NOT FOUND")</f>
        <v/>
      </c>
      <c r="AF30" s="30">
        <f>IFERROR(INDEX('8_3nf_customer'!$D:$D,MATCH(AD30,'8_3nf_customer'!$B:$B,0)),"NOT FOUND")</f>
        <v/>
      </c>
      <c r="AG30" s="4">
        <f>IF(ISNUMBER(AF30),DATEDIF(AF30,L30,"y"),"NOT FOUND")</f>
        <v/>
      </c>
      <c r="AH30" s="2">
        <f>IFERROR(INDEX('8_3nf_customer'!$E:$E,MATCH(AD30,'8_3nf_customer'!$B:$B,0)),"NOT FOUND")</f>
        <v/>
      </c>
      <c r="AI30" s="30">
        <f>IF(_xlfn.MAXIFS('9_3nf_customer_history'!$B$2:$B$500,'9_3nf_customer_history'!$A$2:$A$500,AD30,'9_3nf_customer_history'!$B$2:$B$500,"&lt;="&amp;L30)=0,"NOT FOUND",_xlfn.MAXIFS('9_3nf_customer_history'!$B$2:$B$500,'9_3nf_customer_history'!$A$2:$A$500,AD30,'9_3nf_customer_history'!$B$2:$B$500,"&lt;="&amp;L30))</f>
        <v/>
      </c>
      <c r="AJ30" s="2">
        <f>IF(AI30="NOT FOUND","NOT FOUND",INDEX('9_3nf_customer_history'!$C:$C,SUMPRODUCT(('9_3nf_customer_history'!$A$2:$A$500=AD30)*('9_3nf_customer_history'!$B$2:$B$500=AI30)*ROW('9_3nf_customer_history'!$A$2:$A$500))))</f>
        <v/>
      </c>
      <c r="AK30" s="2">
        <f>IF(AI30="NOT FOUND","NOT FOUND",INDEX('9_3nf_customer_history'!$D:$D,SUMPRODUCT(('9_3nf_customer_history'!$A$2:$A$500=AD30)*('9_3nf_customer_history'!$B$2:$B$500=AI30)*ROW('9_3nf_customer_history'!$A$2:$A$500))))</f>
        <v/>
      </c>
      <c r="AL30" s="2">
        <f>UPPER(TRIM(H30))</f>
        <v/>
      </c>
      <c r="AM30" s="30">
        <f>IF(_xlfn.MAXIFS('10_ref_fx_rate'!$B$2:$B$2000,'10_ref_fx_rate'!$A$2:$A$2000,AL30,'10_ref_fx_rate'!$B$2:$B$2000,"&lt;="&amp;L30)=0,"NOT FOUND",_xlfn.MAXIFS('10_ref_fx_rate'!$B$2:$B$2000,'10_ref_fx_rate'!$A$2:$A$2000,AL30,'10_ref_fx_rate'!$B$2:$B$2000,"&lt;="&amp;L30))</f>
        <v/>
      </c>
      <c r="AN30" s="8">
        <f>IF(AM30="NOT FOUND","NOT FOUND",SUMIFS('10_ref_fx_rate'!$D$2:$D$2000,'10_ref_fx_rate'!$A$2:$A$2000,AL30,'10_ref_fx_rate'!$B$2:$B$2000,AM30))</f>
        <v/>
      </c>
      <c r="AO30" s="37">
        <f>IF(ISNUMBER(AN30),I30*AN30,"NOT FOUND")</f>
        <v/>
      </c>
      <c r="AP30" s="2">
        <f>UPPER(TRIM(J30))</f>
        <v/>
      </c>
      <c r="AQ30" s="2">
        <f>IF(AP30="","SELF-DIRECTED",IF(ISNUMBER(MATCH(AP30,'11_3nf_sales_person'!$A:$A,0)),IF(EXACT(AP30,J30),"OK","OK (auto-fixed)"),IF(ISNA(MATCH($A30,'12_sales_person_confirmation'!$A:$A,0)),"CONFIRM (not logged)",IF(INDEX('12_sales_person_confirmation'!$I:$I,MATCH($A30,'12_sales_person_confirmation'!$A:$A,0))="CONFIRMED","CONFIRMED ("&amp;LOWER(INDEX('12_sales_person_confirmation'!$E:$E,MATCH($A30,'12_sales_person_confirmation'!$A:$A,0)))&amp;")","PENDING CONFIRM"))))</f>
        <v/>
      </c>
      <c r="AR30" s="2">
        <f>IF(OR(AQ30="OK",AQ30="OK (auto-fixed)"),AP30,IF(LEFT(AQ30,9)="CONFIRMED",INDEX('12_sales_person_confirmation'!$F:$F,MATCH($A30,'12_sales_person_confirmation'!$A:$A,0)),""))</f>
        <v/>
      </c>
      <c r="AS30" s="2">
        <f>IF(AR30="","",INDEX('11_3nf_sales_person'!$B:$B,MATCH(AR30,'11_3nf_sales_person'!$A:$A,0)))</f>
        <v/>
      </c>
    </row>
    <row r="31">
      <c r="A31" s="2">
        <f>IF(ISBLANK('1_raw_log'!A31),"",'1_raw_log'!A31)</f>
        <v/>
      </c>
      <c r="B31" s="3">
        <f>IF(ISBLANK('1_raw_log'!B31),"",'1_raw_log'!B31)</f>
        <v/>
      </c>
      <c r="C31" s="2">
        <f>IF(ISBLANK('1_raw_log'!C31),"",'1_raw_log'!C31)</f>
        <v/>
      </c>
      <c r="D31" s="2">
        <f>IF(ISBLANK('1_raw_log'!D31),"",'1_raw_log'!D31)</f>
        <v/>
      </c>
      <c r="E31" s="4">
        <f>IF(ISBLANK('1_raw_log'!E31),"",'1_raw_log'!E31)</f>
        <v/>
      </c>
      <c r="F31" s="2">
        <f>IF(ISBLANK('1_raw_log'!F31),"",'1_raw_log'!F31)</f>
        <v/>
      </c>
      <c r="G31" s="2">
        <f>IF(ISBLANK('1_raw_log'!G31),"",'1_raw_log'!G31)</f>
        <v/>
      </c>
      <c r="H31" s="2">
        <f>IF(ISBLANK('1_raw_log'!H31),"",'1_raw_log'!H31)</f>
        <v/>
      </c>
      <c r="I31" s="7">
        <f>IF(ISBLANK('1_raw_log'!I31),"",'1_raw_log'!I31)</f>
        <v/>
      </c>
      <c r="J31" s="2">
        <f>IF(ISBLANK('1_raw_log'!J31),"",'1_raw_log'!J31)</f>
        <v/>
      </c>
      <c r="K31" s="2">
        <f>IF(ISBLANK('1_raw_log'!K31),"",'1_raw_log'!K31)</f>
        <v/>
      </c>
      <c r="L31" s="30">
        <f>INT(B31)</f>
        <v/>
      </c>
      <c r="M31" s="20">
        <f>ROUND(MOD(B31,1)*1440,0)/1440</f>
        <v/>
      </c>
      <c r="N31" s="4">
        <f>IFERROR(INDEX('3_ref_date'!$B:$B,MATCH(L31,'3_ref_date'!$A:$A,0)),"NOT FOUND")</f>
        <v/>
      </c>
      <c r="O31" s="2">
        <f>IFERROR(INDEX('3_ref_date'!$C:$C,MATCH(L31,'3_ref_date'!$A:$A,0)),"NOT FOUND")</f>
        <v/>
      </c>
      <c r="P31" s="4">
        <f>IFERROR(INDEX('3_ref_date'!$D:$D,MATCH(L31,'3_ref_date'!$A:$A,0)),"NOT FOUND")</f>
        <v/>
      </c>
      <c r="Q31" s="4">
        <f>IFERROR(INDEX('3_ref_date'!$E:$E,MATCH(L31,'3_ref_date'!$A:$A,0)),"NOT FOUND")</f>
        <v/>
      </c>
      <c r="R31" s="2">
        <f>IFERROR(INDEX('3_ref_date'!$F:$F,MATCH(L31,'3_ref_date'!$A:$A,0)),"NOT FOUND")</f>
        <v/>
      </c>
      <c r="S31" s="2">
        <f>IFERROR(INDEX('4_ref_time'!$D:$D,MATCH(ROUND(M31*1440,0),'4_ref_time'!$A:$A,0)),"NOT FOUND")</f>
        <v/>
      </c>
      <c r="T31" s="2">
        <f>UPPER(TRIM(C31))</f>
        <v/>
      </c>
      <c r="U31" s="30">
        <f>IF(_xlfn.MAXIFS('6_3nf_branch_history'!$B$2:$B$50,'6_3nf_branch_history'!$A$2:$A$50,T31,'6_3nf_branch_history'!$B$2:$B$50,"&lt;="&amp;L31)=0,"NOT FOUND",_xlfn.MAXIFS('6_3nf_branch_history'!$B$2:$B$50,'6_3nf_branch_history'!$A$2:$A$50,T31,'6_3nf_branch_history'!$B$2:$B$50,"&lt;="&amp;L31))</f>
        <v/>
      </c>
      <c r="V31" s="2">
        <f>IF(U31="NOT FOUND","NOT FOUND",INDEX('6_3nf_branch_history'!$C:$C,SUMPRODUCT(('6_3nf_branch_history'!$A$2:$A$50=T31)*('6_3nf_branch_history'!$B$2:$B$50=U31)*ROW('6_3nf_branch_history'!$A$2:$A$50))))</f>
        <v/>
      </c>
      <c r="W31" s="2">
        <f>IF(U31="NOT FOUND","NOT FOUND",INDEX('6_3nf_branch_history'!$D:$D,SUMPRODUCT(('6_3nf_branch_history'!$A$2:$A$50=T31)*('6_3nf_branch_history'!$B$2:$B$50=U31)*ROW('6_3nf_branch_history'!$A$2:$A$50))))</f>
        <v/>
      </c>
      <c r="X31" s="2">
        <f>IF(U31="NOT FOUND","NOT FOUND",INDEX('6_3nf_branch_history'!$E:$E,SUMPRODUCT(('6_3nf_branch_history'!$A$2:$A$50=T31)*('6_3nf_branch_history'!$B$2:$B$50=U31)*ROW('6_3nf_branch_history'!$A$2:$A$50))))</f>
        <v/>
      </c>
      <c r="Y31" s="2">
        <f>UPPER(TRIM(D31))</f>
        <v/>
      </c>
      <c r="Z31" s="2">
        <f>IFERROR(INDEX('7_3nf_product'!$B:$B,MATCH(Y31,'7_3nf_product'!$A:$A,0)),"NOT FOUND")</f>
        <v/>
      </c>
      <c r="AA31" s="2">
        <f>IFERROR(INDEX('7_3nf_product'!$C:$C,MATCH(Y31,'7_3nf_product'!$A:$A,0)),"NOT FOUND")</f>
        <v/>
      </c>
      <c r="AB31" s="2">
        <f>IFERROR(INDEX('7_3nf_product'!$D:$D,MATCH(Y31,'7_3nf_product'!$A:$A,0)),"NOT FOUND")</f>
        <v/>
      </c>
      <c r="AC31" s="6">
        <f>IFERROR(INDEX('7_3nf_product'!$E:$E,MATCH(Y31,'7_3nf_product'!$A:$A,0)),"NOT FOUND")</f>
        <v/>
      </c>
      <c r="AD31" s="33">
        <f>IF(LEN(TRIM(E31))=10,TRIM(E31),IF(LEN(TRIM(E31))=8,"00"&amp;TRIM(E31),"CHECK"))</f>
        <v/>
      </c>
      <c r="AE31" s="2">
        <f>IFERROR(INDEX('8_3nf_customer'!$C:$C,MATCH(AD31,'8_3nf_customer'!$B:$B,0)),"NOT FOUND")</f>
        <v/>
      </c>
      <c r="AF31" s="30">
        <f>IFERROR(INDEX('8_3nf_customer'!$D:$D,MATCH(AD31,'8_3nf_customer'!$B:$B,0)),"NOT FOUND")</f>
        <v/>
      </c>
      <c r="AG31" s="4">
        <f>IF(ISNUMBER(AF31),DATEDIF(AF31,L31,"y"),"NOT FOUND")</f>
        <v/>
      </c>
      <c r="AH31" s="2">
        <f>IFERROR(INDEX('8_3nf_customer'!$E:$E,MATCH(AD31,'8_3nf_customer'!$B:$B,0)),"NOT FOUND")</f>
        <v/>
      </c>
      <c r="AI31" s="30">
        <f>IF(_xlfn.MAXIFS('9_3nf_customer_history'!$B$2:$B$500,'9_3nf_customer_history'!$A$2:$A$500,AD31,'9_3nf_customer_history'!$B$2:$B$500,"&lt;="&amp;L31)=0,"NOT FOUND",_xlfn.MAXIFS('9_3nf_customer_history'!$B$2:$B$500,'9_3nf_customer_history'!$A$2:$A$500,AD31,'9_3nf_customer_history'!$B$2:$B$500,"&lt;="&amp;L31))</f>
        <v/>
      </c>
      <c r="AJ31" s="2">
        <f>IF(AI31="NOT FOUND","NOT FOUND",INDEX('9_3nf_customer_history'!$C:$C,SUMPRODUCT(('9_3nf_customer_history'!$A$2:$A$500=AD31)*('9_3nf_customer_history'!$B$2:$B$500=AI31)*ROW('9_3nf_customer_history'!$A$2:$A$500))))</f>
        <v/>
      </c>
      <c r="AK31" s="2">
        <f>IF(AI31="NOT FOUND","NOT FOUND",INDEX('9_3nf_customer_history'!$D:$D,SUMPRODUCT(('9_3nf_customer_history'!$A$2:$A$500=AD31)*('9_3nf_customer_history'!$B$2:$B$500=AI31)*ROW('9_3nf_customer_history'!$A$2:$A$500))))</f>
        <v/>
      </c>
      <c r="AL31" s="2">
        <f>UPPER(TRIM(H31))</f>
        <v/>
      </c>
      <c r="AM31" s="30">
        <f>IF(_xlfn.MAXIFS('10_ref_fx_rate'!$B$2:$B$2000,'10_ref_fx_rate'!$A$2:$A$2000,AL31,'10_ref_fx_rate'!$B$2:$B$2000,"&lt;="&amp;L31)=0,"NOT FOUND",_xlfn.MAXIFS('10_ref_fx_rate'!$B$2:$B$2000,'10_ref_fx_rate'!$A$2:$A$2000,AL31,'10_ref_fx_rate'!$B$2:$B$2000,"&lt;="&amp;L31))</f>
        <v/>
      </c>
      <c r="AN31" s="8">
        <f>IF(AM31="NOT FOUND","NOT FOUND",SUMIFS('10_ref_fx_rate'!$D$2:$D$2000,'10_ref_fx_rate'!$A$2:$A$2000,AL31,'10_ref_fx_rate'!$B$2:$B$2000,AM31))</f>
        <v/>
      </c>
      <c r="AO31" s="37">
        <f>IF(ISNUMBER(AN31),I31*AN31,"NOT FOUND")</f>
        <v/>
      </c>
      <c r="AP31" s="2">
        <f>UPPER(TRIM(J31))</f>
        <v/>
      </c>
      <c r="AQ31" s="2">
        <f>IF(AP31="","SELF-DIRECTED",IF(ISNUMBER(MATCH(AP31,'11_3nf_sales_person'!$A:$A,0)),IF(EXACT(AP31,J31),"OK","OK (auto-fixed)"),IF(ISNA(MATCH($A31,'12_sales_person_confirmation'!$A:$A,0)),"CONFIRM (not logged)",IF(INDEX('12_sales_person_confirmation'!$I:$I,MATCH($A31,'12_sales_person_confirmation'!$A:$A,0))="CONFIRMED","CONFIRMED ("&amp;LOWER(INDEX('12_sales_person_confirmation'!$E:$E,MATCH($A31,'12_sales_person_confirmation'!$A:$A,0)))&amp;")","PENDING CONFIRM"))))</f>
        <v/>
      </c>
      <c r="AR31" s="2">
        <f>IF(OR(AQ31="OK",AQ31="OK (auto-fixed)"),AP31,IF(LEFT(AQ31,9)="CONFIRMED",INDEX('12_sales_person_confirmation'!$F:$F,MATCH($A31,'12_sales_person_confirmation'!$A:$A,0)),""))</f>
        <v/>
      </c>
      <c r="AS31" s="2">
        <f>IF(AR31="","",INDEX('11_3nf_sales_person'!$B:$B,MATCH(AR31,'11_3nf_sales_person'!$A:$A,0)))</f>
        <v/>
      </c>
    </row>
    <row r="32">
      <c r="A32" s="2">
        <f>IF(ISBLANK('1_raw_log'!A32),"",'1_raw_log'!A32)</f>
        <v/>
      </c>
      <c r="B32" s="3">
        <f>IF(ISBLANK('1_raw_log'!B32),"",'1_raw_log'!B32)</f>
        <v/>
      </c>
      <c r="C32" s="2">
        <f>IF(ISBLANK('1_raw_log'!C32),"",'1_raw_log'!C32)</f>
        <v/>
      </c>
      <c r="D32" s="2">
        <f>IF(ISBLANK('1_raw_log'!D32),"",'1_raw_log'!D32)</f>
        <v/>
      </c>
      <c r="E32" s="4">
        <f>IF(ISBLANK('1_raw_log'!E32),"",'1_raw_log'!E32)</f>
        <v/>
      </c>
      <c r="F32" s="2">
        <f>IF(ISBLANK('1_raw_log'!F32),"",'1_raw_log'!F32)</f>
        <v/>
      </c>
      <c r="G32" s="2">
        <f>IF(ISBLANK('1_raw_log'!G32),"",'1_raw_log'!G32)</f>
        <v/>
      </c>
      <c r="H32" s="2">
        <f>IF(ISBLANK('1_raw_log'!H32),"",'1_raw_log'!H32)</f>
        <v/>
      </c>
      <c r="I32" s="7">
        <f>IF(ISBLANK('1_raw_log'!I32),"",'1_raw_log'!I32)</f>
        <v/>
      </c>
      <c r="J32" s="2">
        <f>IF(ISBLANK('1_raw_log'!J32),"",'1_raw_log'!J32)</f>
        <v/>
      </c>
      <c r="K32" s="2">
        <f>IF(ISBLANK('1_raw_log'!K32),"",'1_raw_log'!K32)</f>
        <v/>
      </c>
      <c r="L32" s="30">
        <f>INT(B32)</f>
        <v/>
      </c>
      <c r="M32" s="20">
        <f>ROUND(MOD(B32,1)*1440,0)/1440</f>
        <v/>
      </c>
      <c r="N32" s="4">
        <f>IFERROR(INDEX('3_ref_date'!$B:$B,MATCH(L32,'3_ref_date'!$A:$A,0)),"NOT FOUND")</f>
        <v/>
      </c>
      <c r="O32" s="2">
        <f>IFERROR(INDEX('3_ref_date'!$C:$C,MATCH(L32,'3_ref_date'!$A:$A,0)),"NOT FOUND")</f>
        <v/>
      </c>
      <c r="P32" s="4">
        <f>IFERROR(INDEX('3_ref_date'!$D:$D,MATCH(L32,'3_ref_date'!$A:$A,0)),"NOT FOUND")</f>
        <v/>
      </c>
      <c r="Q32" s="4">
        <f>IFERROR(INDEX('3_ref_date'!$E:$E,MATCH(L32,'3_ref_date'!$A:$A,0)),"NOT FOUND")</f>
        <v/>
      </c>
      <c r="R32" s="2">
        <f>IFERROR(INDEX('3_ref_date'!$F:$F,MATCH(L32,'3_ref_date'!$A:$A,0)),"NOT FOUND")</f>
        <v/>
      </c>
      <c r="S32" s="2">
        <f>IFERROR(INDEX('4_ref_time'!$D:$D,MATCH(ROUND(M32*1440,0),'4_ref_time'!$A:$A,0)),"NOT FOUND")</f>
        <v/>
      </c>
      <c r="T32" s="2">
        <f>UPPER(TRIM(C32))</f>
        <v/>
      </c>
      <c r="U32" s="30">
        <f>IF(_xlfn.MAXIFS('6_3nf_branch_history'!$B$2:$B$50,'6_3nf_branch_history'!$A$2:$A$50,T32,'6_3nf_branch_history'!$B$2:$B$50,"&lt;="&amp;L32)=0,"NOT FOUND",_xlfn.MAXIFS('6_3nf_branch_history'!$B$2:$B$50,'6_3nf_branch_history'!$A$2:$A$50,T32,'6_3nf_branch_history'!$B$2:$B$50,"&lt;="&amp;L32))</f>
        <v/>
      </c>
      <c r="V32" s="2">
        <f>IF(U32="NOT FOUND","NOT FOUND",INDEX('6_3nf_branch_history'!$C:$C,SUMPRODUCT(('6_3nf_branch_history'!$A$2:$A$50=T32)*('6_3nf_branch_history'!$B$2:$B$50=U32)*ROW('6_3nf_branch_history'!$A$2:$A$50))))</f>
        <v/>
      </c>
      <c r="W32" s="2">
        <f>IF(U32="NOT FOUND","NOT FOUND",INDEX('6_3nf_branch_history'!$D:$D,SUMPRODUCT(('6_3nf_branch_history'!$A$2:$A$50=T32)*('6_3nf_branch_history'!$B$2:$B$50=U32)*ROW('6_3nf_branch_history'!$A$2:$A$50))))</f>
        <v/>
      </c>
      <c r="X32" s="2">
        <f>IF(U32="NOT FOUND","NOT FOUND",INDEX('6_3nf_branch_history'!$E:$E,SUMPRODUCT(('6_3nf_branch_history'!$A$2:$A$50=T32)*('6_3nf_branch_history'!$B$2:$B$50=U32)*ROW('6_3nf_branch_history'!$A$2:$A$50))))</f>
        <v/>
      </c>
      <c r="Y32" s="2">
        <f>UPPER(TRIM(D32))</f>
        <v/>
      </c>
      <c r="Z32" s="2">
        <f>IFERROR(INDEX('7_3nf_product'!$B:$B,MATCH(Y32,'7_3nf_product'!$A:$A,0)),"NOT FOUND")</f>
        <v/>
      </c>
      <c r="AA32" s="2">
        <f>IFERROR(INDEX('7_3nf_product'!$C:$C,MATCH(Y32,'7_3nf_product'!$A:$A,0)),"NOT FOUND")</f>
        <v/>
      </c>
      <c r="AB32" s="2">
        <f>IFERROR(INDEX('7_3nf_product'!$D:$D,MATCH(Y32,'7_3nf_product'!$A:$A,0)),"NOT FOUND")</f>
        <v/>
      </c>
      <c r="AC32" s="6">
        <f>IFERROR(INDEX('7_3nf_product'!$E:$E,MATCH(Y32,'7_3nf_product'!$A:$A,0)),"NOT FOUND")</f>
        <v/>
      </c>
      <c r="AD32" s="33">
        <f>IF(LEN(TRIM(E32))=10,TRIM(E32),IF(LEN(TRIM(E32))=8,"00"&amp;TRIM(E32),"CHECK"))</f>
        <v/>
      </c>
      <c r="AE32" s="2">
        <f>IFERROR(INDEX('8_3nf_customer'!$C:$C,MATCH(AD32,'8_3nf_customer'!$B:$B,0)),"NOT FOUND")</f>
        <v/>
      </c>
      <c r="AF32" s="30">
        <f>IFERROR(INDEX('8_3nf_customer'!$D:$D,MATCH(AD32,'8_3nf_customer'!$B:$B,0)),"NOT FOUND")</f>
        <v/>
      </c>
      <c r="AG32" s="4">
        <f>IF(ISNUMBER(AF32),DATEDIF(AF32,L32,"y"),"NOT FOUND")</f>
        <v/>
      </c>
      <c r="AH32" s="2">
        <f>IFERROR(INDEX('8_3nf_customer'!$E:$E,MATCH(AD32,'8_3nf_customer'!$B:$B,0)),"NOT FOUND")</f>
        <v/>
      </c>
      <c r="AI32" s="30">
        <f>IF(_xlfn.MAXIFS('9_3nf_customer_history'!$B$2:$B$500,'9_3nf_customer_history'!$A$2:$A$500,AD32,'9_3nf_customer_history'!$B$2:$B$500,"&lt;="&amp;L32)=0,"NOT FOUND",_xlfn.MAXIFS('9_3nf_customer_history'!$B$2:$B$500,'9_3nf_customer_history'!$A$2:$A$500,AD32,'9_3nf_customer_history'!$B$2:$B$500,"&lt;="&amp;L32))</f>
        <v/>
      </c>
      <c r="AJ32" s="2">
        <f>IF(AI32="NOT FOUND","NOT FOUND",INDEX('9_3nf_customer_history'!$C:$C,SUMPRODUCT(('9_3nf_customer_history'!$A$2:$A$500=AD32)*('9_3nf_customer_history'!$B$2:$B$500=AI32)*ROW('9_3nf_customer_history'!$A$2:$A$500))))</f>
        <v/>
      </c>
      <c r="AK32" s="2">
        <f>IF(AI32="NOT FOUND","NOT FOUND",INDEX('9_3nf_customer_history'!$D:$D,SUMPRODUCT(('9_3nf_customer_history'!$A$2:$A$500=AD32)*('9_3nf_customer_history'!$B$2:$B$500=AI32)*ROW('9_3nf_customer_history'!$A$2:$A$500))))</f>
        <v/>
      </c>
      <c r="AL32" s="2">
        <f>UPPER(TRIM(H32))</f>
        <v/>
      </c>
      <c r="AM32" s="30">
        <f>IF(_xlfn.MAXIFS('10_ref_fx_rate'!$B$2:$B$2000,'10_ref_fx_rate'!$A$2:$A$2000,AL32,'10_ref_fx_rate'!$B$2:$B$2000,"&lt;="&amp;L32)=0,"NOT FOUND",_xlfn.MAXIFS('10_ref_fx_rate'!$B$2:$B$2000,'10_ref_fx_rate'!$A$2:$A$2000,AL32,'10_ref_fx_rate'!$B$2:$B$2000,"&lt;="&amp;L32))</f>
        <v/>
      </c>
      <c r="AN32" s="8">
        <f>IF(AM32="NOT FOUND","NOT FOUND",SUMIFS('10_ref_fx_rate'!$D$2:$D$2000,'10_ref_fx_rate'!$A$2:$A$2000,AL32,'10_ref_fx_rate'!$B$2:$B$2000,AM32))</f>
        <v/>
      </c>
      <c r="AO32" s="37">
        <f>IF(ISNUMBER(AN32),I32*AN32,"NOT FOUND")</f>
        <v/>
      </c>
      <c r="AP32" s="2">
        <f>UPPER(TRIM(J32))</f>
        <v/>
      </c>
      <c r="AQ32" s="2">
        <f>IF(AP32="","SELF-DIRECTED",IF(ISNUMBER(MATCH(AP32,'11_3nf_sales_person'!$A:$A,0)),IF(EXACT(AP32,J32),"OK","OK (auto-fixed)"),IF(ISNA(MATCH($A32,'12_sales_person_confirmation'!$A:$A,0)),"CONFIRM (not logged)",IF(INDEX('12_sales_person_confirmation'!$I:$I,MATCH($A32,'12_sales_person_confirmation'!$A:$A,0))="CONFIRMED","CONFIRMED ("&amp;LOWER(INDEX('12_sales_person_confirmation'!$E:$E,MATCH($A32,'12_sales_person_confirmation'!$A:$A,0)))&amp;")","PENDING CONFIRM"))))</f>
        <v/>
      </c>
      <c r="AR32" s="2">
        <f>IF(OR(AQ32="OK",AQ32="OK (auto-fixed)"),AP32,IF(LEFT(AQ32,9)="CONFIRMED",INDEX('12_sales_person_confirmation'!$F:$F,MATCH($A32,'12_sales_person_confirmation'!$A:$A,0)),""))</f>
        <v/>
      </c>
      <c r="AS32" s="2">
        <f>IF(AR32="","",INDEX('11_3nf_sales_person'!$B:$B,MATCH(AR32,'11_3nf_sales_person'!$A:$A,0)))</f>
        <v/>
      </c>
    </row>
    <row r="33">
      <c r="A33" s="2">
        <f>IF(ISBLANK('1_raw_log'!A33),"",'1_raw_log'!A33)</f>
        <v/>
      </c>
      <c r="B33" s="3">
        <f>IF(ISBLANK('1_raw_log'!B33),"",'1_raw_log'!B33)</f>
        <v/>
      </c>
      <c r="C33" s="2">
        <f>IF(ISBLANK('1_raw_log'!C33),"",'1_raw_log'!C33)</f>
        <v/>
      </c>
      <c r="D33" s="2">
        <f>IF(ISBLANK('1_raw_log'!D33),"",'1_raw_log'!D33)</f>
        <v/>
      </c>
      <c r="E33" s="4">
        <f>IF(ISBLANK('1_raw_log'!E33),"",'1_raw_log'!E33)</f>
        <v/>
      </c>
      <c r="F33" s="2">
        <f>IF(ISBLANK('1_raw_log'!F33),"",'1_raw_log'!F33)</f>
        <v/>
      </c>
      <c r="G33" s="2">
        <f>IF(ISBLANK('1_raw_log'!G33),"",'1_raw_log'!G33)</f>
        <v/>
      </c>
      <c r="H33" s="2">
        <f>IF(ISBLANK('1_raw_log'!H33),"",'1_raw_log'!H33)</f>
        <v/>
      </c>
      <c r="I33" s="7">
        <f>IF(ISBLANK('1_raw_log'!I33),"",'1_raw_log'!I33)</f>
        <v/>
      </c>
      <c r="J33" s="2">
        <f>IF(ISBLANK('1_raw_log'!J33),"",'1_raw_log'!J33)</f>
        <v/>
      </c>
      <c r="K33" s="2">
        <f>IF(ISBLANK('1_raw_log'!K33),"",'1_raw_log'!K33)</f>
        <v/>
      </c>
      <c r="L33" s="30">
        <f>INT(B33)</f>
        <v/>
      </c>
      <c r="M33" s="20">
        <f>ROUND(MOD(B33,1)*1440,0)/1440</f>
        <v/>
      </c>
      <c r="N33" s="4">
        <f>IFERROR(INDEX('3_ref_date'!$B:$B,MATCH(L33,'3_ref_date'!$A:$A,0)),"NOT FOUND")</f>
        <v/>
      </c>
      <c r="O33" s="2">
        <f>IFERROR(INDEX('3_ref_date'!$C:$C,MATCH(L33,'3_ref_date'!$A:$A,0)),"NOT FOUND")</f>
        <v/>
      </c>
      <c r="P33" s="4">
        <f>IFERROR(INDEX('3_ref_date'!$D:$D,MATCH(L33,'3_ref_date'!$A:$A,0)),"NOT FOUND")</f>
        <v/>
      </c>
      <c r="Q33" s="4">
        <f>IFERROR(INDEX('3_ref_date'!$E:$E,MATCH(L33,'3_ref_date'!$A:$A,0)),"NOT FOUND")</f>
        <v/>
      </c>
      <c r="R33" s="2">
        <f>IFERROR(INDEX('3_ref_date'!$F:$F,MATCH(L33,'3_ref_date'!$A:$A,0)),"NOT FOUND")</f>
        <v/>
      </c>
      <c r="S33" s="2">
        <f>IFERROR(INDEX('4_ref_time'!$D:$D,MATCH(ROUND(M33*1440,0),'4_ref_time'!$A:$A,0)),"NOT FOUND")</f>
        <v/>
      </c>
      <c r="T33" s="2">
        <f>UPPER(TRIM(C33))</f>
        <v/>
      </c>
      <c r="U33" s="30">
        <f>IF(_xlfn.MAXIFS('6_3nf_branch_history'!$B$2:$B$50,'6_3nf_branch_history'!$A$2:$A$50,T33,'6_3nf_branch_history'!$B$2:$B$50,"&lt;="&amp;L33)=0,"NOT FOUND",_xlfn.MAXIFS('6_3nf_branch_history'!$B$2:$B$50,'6_3nf_branch_history'!$A$2:$A$50,T33,'6_3nf_branch_history'!$B$2:$B$50,"&lt;="&amp;L33))</f>
        <v/>
      </c>
      <c r="V33" s="2">
        <f>IF(U33="NOT FOUND","NOT FOUND",INDEX('6_3nf_branch_history'!$C:$C,SUMPRODUCT(('6_3nf_branch_history'!$A$2:$A$50=T33)*('6_3nf_branch_history'!$B$2:$B$50=U33)*ROW('6_3nf_branch_history'!$A$2:$A$50))))</f>
        <v/>
      </c>
      <c r="W33" s="2">
        <f>IF(U33="NOT FOUND","NOT FOUND",INDEX('6_3nf_branch_history'!$D:$D,SUMPRODUCT(('6_3nf_branch_history'!$A$2:$A$50=T33)*('6_3nf_branch_history'!$B$2:$B$50=U33)*ROW('6_3nf_branch_history'!$A$2:$A$50))))</f>
        <v/>
      </c>
      <c r="X33" s="2">
        <f>IF(U33="NOT FOUND","NOT FOUND",INDEX('6_3nf_branch_history'!$E:$E,SUMPRODUCT(('6_3nf_branch_history'!$A$2:$A$50=T33)*('6_3nf_branch_history'!$B$2:$B$50=U33)*ROW('6_3nf_branch_history'!$A$2:$A$50))))</f>
        <v/>
      </c>
      <c r="Y33" s="2">
        <f>UPPER(TRIM(D33))</f>
        <v/>
      </c>
      <c r="Z33" s="2">
        <f>IFERROR(INDEX('7_3nf_product'!$B:$B,MATCH(Y33,'7_3nf_product'!$A:$A,0)),"NOT FOUND")</f>
        <v/>
      </c>
      <c r="AA33" s="2">
        <f>IFERROR(INDEX('7_3nf_product'!$C:$C,MATCH(Y33,'7_3nf_product'!$A:$A,0)),"NOT FOUND")</f>
        <v/>
      </c>
      <c r="AB33" s="2">
        <f>IFERROR(INDEX('7_3nf_product'!$D:$D,MATCH(Y33,'7_3nf_product'!$A:$A,0)),"NOT FOUND")</f>
        <v/>
      </c>
      <c r="AC33" s="6">
        <f>IFERROR(INDEX('7_3nf_product'!$E:$E,MATCH(Y33,'7_3nf_product'!$A:$A,0)),"NOT FOUND")</f>
        <v/>
      </c>
      <c r="AD33" s="33">
        <f>IF(LEN(TRIM(E33))=10,TRIM(E33),IF(LEN(TRIM(E33))=8,"00"&amp;TRIM(E33),"CHECK"))</f>
        <v/>
      </c>
      <c r="AE33" s="2">
        <f>IFERROR(INDEX('8_3nf_customer'!$C:$C,MATCH(AD33,'8_3nf_customer'!$B:$B,0)),"NOT FOUND")</f>
        <v/>
      </c>
      <c r="AF33" s="30">
        <f>IFERROR(INDEX('8_3nf_customer'!$D:$D,MATCH(AD33,'8_3nf_customer'!$B:$B,0)),"NOT FOUND")</f>
        <v/>
      </c>
      <c r="AG33" s="4">
        <f>IF(ISNUMBER(AF33),DATEDIF(AF33,L33,"y"),"NOT FOUND")</f>
        <v/>
      </c>
      <c r="AH33" s="2">
        <f>IFERROR(INDEX('8_3nf_customer'!$E:$E,MATCH(AD33,'8_3nf_customer'!$B:$B,0)),"NOT FOUND")</f>
        <v/>
      </c>
      <c r="AI33" s="30">
        <f>IF(_xlfn.MAXIFS('9_3nf_customer_history'!$B$2:$B$500,'9_3nf_customer_history'!$A$2:$A$500,AD33,'9_3nf_customer_history'!$B$2:$B$500,"&lt;="&amp;L33)=0,"NOT FOUND",_xlfn.MAXIFS('9_3nf_customer_history'!$B$2:$B$500,'9_3nf_customer_history'!$A$2:$A$500,AD33,'9_3nf_customer_history'!$B$2:$B$500,"&lt;="&amp;L33))</f>
        <v/>
      </c>
      <c r="AJ33" s="2">
        <f>IF(AI33="NOT FOUND","NOT FOUND",INDEX('9_3nf_customer_history'!$C:$C,SUMPRODUCT(('9_3nf_customer_history'!$A$2:$A$500=AD33)*('9_3nf_customer_history'!$B$2:$B$500=AI33)*ROW('9_3nf_customer_history'!$A$2:$A$500))))</f>
        <v/>
      </c>
      <c r="AK33" s="2">
        <f>IF(AI33="NOT FOUND","NOT FOUND",INDEX('9_3nf_customer_history'!$D:$D,SUMPRODUCT(('9_3nf_customer_history'!$A$2:$A$500=AD33)*('9_3nf_customer_history'!$B$2:$B$500=AI33)*ROW('9_3nf_customer_history'!$A$2:$A$500))))</f>
        <v/>
      </c>
      <c r="AL33" s="2">
        <f>UPPER(TRIM(H33))</f>
        <v/>
      </c>
      <c r="AM33" s="30">
        <f>IF(_xlfn.MAXIFS('10_ref_fx_rate'!$B$2:$B$2000,'10_ref_fx_rate'!$A$2:$A$2000,AL33,'10_ref_fx_rate'!$B$2:$B$2000,"&lt;="&amp;L33)=0,"NOT FOUND",_xlfn.MAXIFS('10_ref_fx_rate'!$B$2:$B$2000,'10_ref_fx_rate'!$A$2:$A$2000,AL33,'10_ref_fx_rate'!$B$2:$B$2000,"&lt;="&amp;L33))</f>
        <v/>
      </c>
      <c r="AN33" s="8">
        <f>IF(AM33="NOT FOUND","NOT FOUND",SUMIFS('10_ref_fx_rate'!$D$2:$D$2000,'10_ref_fx_rate'!$A$2:$A$2000,AL33,'10_ref_fx_rate'!$B$2:$B$2000,AM33))</f>
        <v/>
      </c>
      <c r="AO33" s="37">
        <f>IF(ISNUMBER(AN33),I33*AN33,"NOT FOUND")</f>
        <v/>
      </c>
      <c r="AP33" s="2">
        <f>UPPER(TRIM(J33))</f>
        <v/>
      </c>
      <c r="AQ33" s="2">
        <f>IF(AP33="","SELF-DIRECTED",IF(ISNUMBER(MATCH(AP33,'11_3nf_sales_person'!$A:$A,0)),IF(EXACT(AP33,J33),"OK","OK (auto-fixed)"),IF(ISNA(MATCH($A33,'12_sales_person_confirmation'!$A:$A,0)),"CONFIRM (not logged)",IF(INDEX('12_sales_person_confirmation'!$I:$I,MATCH($A33,'12_sales_person_confirmation'!$A:$A,0))="CONFIRMED","CONFIRMED ("&amp;LOWER(INDEX('12_sales_person_confirmation'!$E:$E,MATCH($A33,'12_sales_person_confirmation'!$A:$A,0)))&amp;")","PENDING CONFIRM"))))</f>
        <v/>
      </c>
      <c r="AR33" s="2">
        <f>IF(OR(AQ33="OK",AQ33="OK (auto-fixed)"),AP33,IF(LEFT(AQ33,9)="CONFIRMED",INDEX('12_sales_person_confirmation'!$F:$F,MATCH($A33,'12_sales_person_confirmation'!$A:$A,0)),""))</f>
        <v/>
      </c>
      <c r="AS33" s="2">
        <f>IF(AR33="","",INDEX('11_3nf_sales_person'!$B:$B,MATCH(AR33,'11_3nf_sales_person'!$A:$A,0)))</f>
        <v/>
      </c>
    </row>
    <row r="34">
      <c r="A34" s="2">
        <f>IF(ISBLANK('1_raw_log'!A34),"",'1_raw_log'!A34)</f>
        <v/>
      </c>
      <c r="B34" s="3">
        <f>IF(ISBLANK('1_raw_log'!B34),"",'1_raw_log'!B34)</f>
        <v/>
      </c>
      <c r="C34" s="2">
        <f>IF(ISBLANK('1_raw_log'!C34),"",'1_raw_log'!C34)</f>
        <v/>
      </c>
      <c r="D34" s="2">
        <f>IF(ISBLANK('1_raw_log'!D34),"",'1_raw_log'!D34)</f>
        <v/>
      </c>
      <c r="E34" s="4">
        <f>IF(ISBLANK('1_raw_log'!E34),"",'1_raw_log'!E34)</f>
        <v/>
      </c>
      <c r="F34" s="2">
        <f>IF(ISBLANK('1_raw_log'!F34),"",'1_raw_log'!F34)</f>
        <v/>
      </c>
      <c r="G34" s="2">
        <f>IF(ISBLANK('1_raw_log'!G34),"",'1_raw_log'!G34)</f>
        <v/>
      </c>
      <c r="H34" s="2">
        <f>IF(ISBLANK('1_raw_log'!H34),"",'1_raw_log'!H34)</f>
        <v/>
      </c>
      <c r="I34" s="7">
        <f>IF(ISBLANK('1_raw_log'!I34),"",'1_raw_log'!I34)</f>
        <v/>
      </c>
      <c r="J34" s="2">
        <f>IF(ISBLANK('1_raw_log'!J34),"",'1_raw_log'!J34)</f>
        <v/>
      </c>
      <c r="K34" s="2">
        <f>IF(ISBLANK('1_raw_log'!K34),"",'1_raw_log'!K34)</f>
        <v/>
      </c>
      <c r="L34" s="30">
        <f>INT(B34)</f>
        <v/>
      </c>
      <c r="M34" s="20">
        <f>ROUND(MOD(B34,1)*1440,0)/1440</f>
        <v/>
      </c>
      <c r="N34" s="4">
        <f>IFERROR(INDEX('3_ref_date'!$B:$B,MATCH(L34,'3_ref_date'!$A:$A,0)),"NOT FOUND")</f>
        <v/>
      </c>
      <c r="O34" s="2">
        <f>IFERROR(INDEX('3_ref_date'!$C:$C,MATCH(L34,'3_ref_date'!$A:$A,0)),"NOT FOUND")</f>
        <v/>
      </c>
      <c r="P34" s="4">
        <f>IFERROR(INDEX('3_ref_date'!$D:$D,MATCH(L34,'3_ref_date'!$A:$A,0)),"NOT FOUND")</f>
        <v/>
      </c>
      <c r="Q34" s="4">
        <f>IFERROR(INDEX('3_ref_date'!$E:$E,MATCH(L34,'3_ref_date'!$A:$A,0)),"NOT FOUND")</f>
        <v/>
      </c>
      <c r="R34" s="2">
        <f>IFERROR(INDEX('3_ref_date'!$F:$F,MATCH(L34,'3_ref_date'!$A:$A,0)),"NOT FOUND")</f>
        <v/>
      </c>
      <c r="S34" s="2">
        <f>IFERROR(INDEX('4_ref_time'!$D:$D,MATCH(ROUND(M34*1440,0),'4_ref_time'!$A:$A,0)),"NOT FOUND")</f>
        <v/>
      </c>
      <c r="T34" s="2">
        <f>UPPER(TRIM(C34))</f>
        <v/>
      </c>
      <c r="U34" s="30">
        <f>IF(_xlfn.MAXIFS('6_3nf_branch_history'!$B$2:$B$50,'6_3nf_branch_history'!$A$2:$A$50,T34,'6_3nf_branch_history'!$B$2:$B$50,"&lt;="&amp;L34)=0,"NOT FOUND",_xlfn.MAXIFS('6_3nf_branch_history'!$B$2:$B$50,'6_3nf_branch_history'!$A$2:$A$50,T34,'6_3nf_branch_history'!$B$2:$B$50,"&lt;="&amp;L34))</f>
        <v/>
      </c>
      <c r="V34" s="2">
        <f>IF(U34="NOT FOUND","NOT FOUND",INDEX('6_3nf_branch_history'!$C:$C,SUMPRODUCT(('6_3nf_branch_history'!$A$2:$A$50=T34)*('6_3nf_branch_history'!$B$2:$B$50=U34)*ROW('6_3nf_branch_history'!$A$2:$A$50))))</f>
        <v/>
      </c>
      <c r="W34" s="2">
        <f>IF(U34="NOT FOUND","NOT FOUND",INDEX('6_3nf_branch_history'!$D:$D,SUMPRODUCT(('6_3nf_branch_history'!$A$2:$A$50=T34)*('6_3nf_branch_history'!$B$2:$B$50=U34)*ROW('6_3nf_branch_history'!$A$2:$A$50))))</f>
        <v/>
      </c>
      <c r="X34" s="2">
        <f>IF(U34="NOT FOUND","NOT FOUND",INDEX('6_3nf_branch_history'!$E:$E,SUMPRODUCT(('6_3nf_branch_history'!$A$2:$A$50=T34)*('6_3nf_branch_history'!$B$2:$B$50=U34)*ROW('6_3nf_branch_history'!$A$2:$A$50))))</f>
        <v/>
      </c>
      <c r="Y34" s="2">
        <f>UPPER(TRIM(D34))</f>
        <v/>
      </c>
      <c r="Z34" s="2">
        <f>IFERROR(INDEX('7_3nf_product'!$B:$B,MATCH(Y34,'7_3nf_product'!$A:$A,0)),"NOT FOUND")</f>
        <v/>
      </c>
      <c r="AA34" s="2">
        <f>IFERROR(INDEX('7_3nf_product'!$C:$C,MATCH(Y34,'7_3nf_product'!$A:$A,0)),"NOT FOUND")</f>
        <v/>
      </c>
      <c r="AB34" s="2">
        <f>IFERROR(INDEX('7_3nf_product'!$D:$D,MATCH(Y34,'7_3nf_product'!$A:$A,0)),"NOT FOUND")</f>
        <v/>
      </c>
      <c r="AC34" s="6">
        <f>IFERROR(INDEX('7_3nf_product'!$E:$E,MATCH(Y34,'7_3nf_product'!$A:$A,0)),"NOT FOUND")</f>
        <v/>
      </c>
      <c r="AD34" s="33">
        <f>IF(LEN(TRIM(E34))=10,TRIM(E34),IF(LEN(TRIM(E34))=8,"00"&amp;TRIM(E34),"CHECK"))</f>
        <v/>
      </c>
      <c r="AE34" s="2">
        <f>IFERROR(INDEX('8_3nf_customer'!$C:$C,MATCH(AD34,'8_3nf_customer'!$B:$B,0)),"NOT FOUND")</f>
        <v/>
      </c>
      <c r="AF34" s="30">
        <f>IFERROR(INDEX('8_3nf_customer'!$D:$D,MATCH(AD34,'8_3nf_customer'!$B:$B,0)),"NOT FOUND")</f>
        <v/>
      </c>
      <c r="AG34" s="4">
        <f>IF(ISNUMBER(AF34),DATEDIF(AF34,L34,"y"),"NOT FOUND")</f>
        <v/>
      </c>
      <c r="AH34" s="2">
        <f>IFERROR(INDEX('8_3nf_customer'!$E:$E,MATCH(AD34,'8_3nf_customer'!$B:$B,0)),"NOT FOUND")</f>
        <v/>
      </c>
      <c r="AI34" s="30">
        <f>IF(_xlfn.MAXIFS('9_3nf_customer_history'!$B$2:$B$500,'9_3nf_customer_history'!$A$2:$A$500,AD34,'9_3nf_customer_history'!$B$2:$B$500,"&lt;="&amp;L34)=0,"NOT FOUND",_xlfn.MAXIFS('9_3nf_customer_history'!$B$2:$B$500,'9_3nf_customer_history'!$A$2:$A$500,AD34,'9_3nf_customer_history'!$B$2:$B$500,"&lt;="&amp;L34))</f>
        <v/>
      </c>
      <c r="AJ34" s="2">
        <f>IF(AI34="NOT FOUND","NOT FOUND",INDEX('9_3nf_customer_history'!$C:$C,SUMPRODUCT(('9_3nf_customer_history'!$A$2:$A$500=AD34)*('9_3nf_customer_history'!$B$2:$B$500=AI34)*ROW('9_3nf_customer_history'!$A$2:$A$500))))</f>
        <v/>
      </c>
      <c r="AK34" s="2">
        <f>IF(AI34="NOT FOUND","NOT FOUND",INDEX('9_3nf_customer_history'!$D:$D,SUMPRODUCT(('9_3nf_customer_history'!$A$2:$A$500=AD34)*('9_3nf_customer_history'!$B$2:$B$500=AI34)*ROW('9_3nf_customer_history'!$A$2:$A$500))))</f>
        <v/>
      </c>
      <c r="AL34" s="2">
        <f>UPPER(TRIM(H34))</f>
        <v/>
      </c>
      <c r="AM34" s="30">
        <f>IF(_xlfn.MAXIFS('10_ref_fx_rate'!$B$2:$B$2000,'10_ref_fx_rate'!$A$2:$A$2000,AL34,'10_ref_fx_rate'!$B$2:$B$2000,"&lt;="&amp;L34)=0,"NOT FOUND",_xlfn.MAXIFS('10_ref_fx_rate'!$B$2:$B$2000,'10_ref_fx_rate'!$A$2:$A$2000,AL34,'10_ref_fx_rate'!$B$2:$B$2000,"&lt;="&amp;L34))</f>
        <v/>
      </c>
      <c r="AN34" s="8">
        <f>IF(AM34="NOT FOUND","NOT FOUND",SUMIFS('10_ref_fx_rate'!$D$2:$D$2000,'10_ref_fx_rate'!$A$2:$A$2000,AL34,'10_ref_fx_rate'!$B$2:$B$2000,AM34))</f>
        <v/>
      </c>
      <c r="AO34" s="37">
        <f>IF(ISNUMBER(AN34),I34*AN34,"NOT FOUND")</f>
        <v/>
      </c>
      <c r="AP34" s="2">
        <f>UPPER(TRIM(J34))</f>
        <v/>
      </c>
      <c r="AQ34" s="2">
        <f>IF(AP34="","SELF-DIRECTED",IF(ISNUMBER(MATCH(AP34,'11_3nf_sales_person'!$A:$A,0)),IF(EXACT(AP34,J34),"OK","OK (auto-fixed)"),IF(ISNA(MATCH($A34,'12_sales_person_confirmation'!$A:$A,0)),"CONFIRM (not logged)",IF(INDEX('12_sales_person_confirmation'!$I:$I,MATCH($A34,'12_sales_person_confirmation'!$A:$A,0))="CONFIRMED","CONFIRMED ("&amp;LOWER(INDEX('12_sales_person_confirmation'!$E:$E,MATCH($A34,'12_sales_person_confirmation'!$A:$A,0)))&amp;")","PENDING CONFIRM"))))</f>
        <v/>
      </c>
      <c r="AR34" s="2">
        <f>IF(OR(AQ34="OK",AQ34="OK (auto-fixed)"),AP34,IF(LEFT(AQ34,9)="CONFIRMED",INDEX('12_sales_person_confirmation'!$F:$F,MATCH($A34,'12_sales_person_confirmation'!$A:$A,0)),""))</f>
        <v/>
      </c>
      <c r="AS34" s="2">
        <f>IF(AR34="","",INDEX('11_3nf_sales_person'!$B:$B,MATCH(AR34,'11_3nf_sales_person'!$A:$A,0)))</f>
        <v/>
      </c>
    </row>
    <row r="35">
      <c r="A35" s="2">
        <f>IF(ISBLANK('1_raw_log'!A35),"",'1_raw_log'!A35)</f>
        <v/>
      </c>
      <c r="B35" s="3">
        <f>IF(ISBLANK('1_raw_log'!B35),"",'1_raw_log'!B35)</f>
        <v/>
      </c>
      <c r="C35" s="2">
        <f>IF(ISBLANK('1_raw_log'!C35),"",'1_raw_log'!C35)</f>
        <v/>
      </c>
      <c r="D35" s="2">
        <f>IF(ISBLANK('1_raw_log'!D35),"",'1_raw_log'!D35)</f>
        <v/>
      </c>
      <c r="E35" s="4">
        <f>IF(ISBLANK('1_raw_log'!E35),"",'1_raw_log'!E35)</f>
        <v/>
      </c>
      <c r="F35" s="2">
        <f>IF(ISBLANK('1_raw_log'!F35),"",'1_raw_log'!F35)</f>
        <v/>
      </c>
      <c r="G35" s="2">
        <f>IF(ISBLANK('1_raw_log'!G35),"",'1_raw_log'!G35)</f>
        <v/>
      </c>
      <c r="H35" s="2">
        <f>IF(ISBLANK('1_raw_log'!H35),"",'1_raw_log'!H35)</f>
        <v/>
      </c>
      <c r="I35" s="7">
        <f>IF(ISBLANK('1_raw_log'!I35),"",'1_raw_log'!I35)</f>
        <v/>
      </c>
      <c r="J35" s="2">
        <f>IF(ISBLANK('1_raw_log'!J35),"",'1_raw_log'!J35)</f>
        <v/>
      </c>
      <c r="K35" s="2">
        <f>IF(ISBLANK('1_raw_log'!K35),"",'1_raw_log'!K35)</f>
        <v/>
      </c>
      <c r="L35" s="30">
        <f>INT(B35)</f>
        <v/>
      </c>
      <c r="M35" s="20">
        <f>ROUND(MOD(B35,1)*1440,0)/1440</f>
        <v/>
      </c>
      <c r="N35" s="4">
        <f>IFERROR(INDEX('3_ref_date'!$B:$B,MATCH(L35,'3_ref_date'!$A:$A,0)),"NOT FOUND")</f>
        <v/>
      </c>
      <c r="O35" s="2">
        <f>IFERROR(INDEX('3_ref_date'!$C:$C,MATCH(L35,'3_ref_date'!$A:$A,0)),"NOT FOUND")</f>
        <v/>
      </c>
      <c r="P35" s="4">
        <f>IFERROR(INDEX('3_ref_date'!$D:$D,MATCH(L35,'3_ref_date'!$A:$A,0)),"NOT FOUND")</f>
        <v/>
      </c>
      <c r="Q35" s="4">
        <f>IFERROR(INDEX('3_ref_date'!$E:$E,MATCH(L35,'3_ref_date'!$A:$A,0)),"NOT FOUND")</f>
        <v/>
      </c>
      <c r="R35" s="2">
        <f>IFERROR(INDEX('3_ref_date'!$F:$F,MATCH(L35,'3_ref_date'!$A:$A,0)),"NOT FOUND")</f>
        <v/>
      </c>
      <c r="S35" s="2">
        <f>IFERROR(INDEX('4_ref_time'!$D:$D,MATCH(ROUND(M35*1440,0),'4_ref_time'!$A:$A,0)),"NOT FOUND")</f>
        <v/>
      </c>
      <c r="T35" s="2">
        <f>UPPER(TRIM(C35))</f>
        <v/>
      </c>
      <c r="U35" s="30">
        <f>IF(_xlfn.MAXIFS('6_3nf_branch_history'!$B$2:$B$50,'6_3nf_branch_history'!$A$2:$A$50,T35,'6_3nf_branch_history'!$B$2:$B$50,"&lt;="&amp;L35)=0,"NOT FOUND",_xlfn.MAXIFS('6_3nf_branch_history'!$B$2:$B$50,'6_3nf_branch_history'!$A$2:$A$50,T35,'6_3nf_branch_history'!$B$2:$B$50,"&lt;="&amp;L35))</f>
        <v/>
      </c>
      <c r="V35" s="2">
        <f>IF(U35="NOT FOUND","NOT FOUND",INDEX('6_3nf_branch_history'!$C:$C,SUMPRODUCT(('6_3nf_branch_history'!$A$2:$A$50=T35)*('6_3nf_branch_history'!$B$2:$B$50=U35)*ROW('6_3nf_branch_history'!$A$2:$A$50))))</f>
        <v/>
      </c>
      <c r="W35" s="2">
        <f>IF(U35="NOT FOUND","NOT FOUND",INDEX('6_3nf_branch_history'!$D:$D,SUMPRODUCT(('6_3nf_branch_history'!$A$2:$A$50=T35)*('6_3nf_branch_history'!$B$2:$B$50=U35)*ROW('6_3nf_branch_history'!$A$2:$A$50))))</f>
        <v/>
      </c>
      <c r="X35" s="2">
        <f>IF(U35="NOT FOUND","NOT FOUND",INDEX('6_3nf_branch_history'!$E:$E,SUMPRODUCT(('6_3nf_branch_history'!$A$2:$A$50=T35)*('6_3nf_branch_history'!$B$2:$B$50=U35)*ROW('6_3nf_branch_history'!$A$2:$A$50))))</f>
        <v/>
      </c>
      <c r="Y35" s="2">
        <f>UPPER(TRIM(D35))</f>
        <v/>
      </c>
      <c r="Z35" s="2">
        <f>IFERROR(INDEX('7_3nf_product'!$B:$B,MATCH(Y35,'7_3nf_product'!$A:$A,0)),"NOT FOUND")</f>
        <v/>
      </c>
      <c r="AA35" s="2">
        <f>IFERROR(INDEX('7_3nf_product'!$C:$C,MATCH(Y35,'7_3nf_product'!$A:$A,0)),"NOT FOUND")</f>
        <v/>
      </c>
      <c r="AB35" s="2">
        <f>IFERROR(INDEX('7_3nf_product'!$D:$D,MATCH(Y35,'7_3nf_product'!$A:$A,0)),"NOT FOUND")</f>
        <v/>
      </c>
      <c r="AC35" s="6">
        <f>IFERROR(INDEX('7_3nf_product'!$E:$E,MATCH(Y35,'7_3nf_product'!$A:$A,0)),"NOT FOUND")</f>
        <v/>
      </c>
      <c r="AD35" s="33">
        <f>IF(LEN(TRIM(E35))=10,TRIM(E35),IF(LEN(TRIM(E35))=8,"00"&amp;TRIM(E35),"CHECK"))</f>
        <v/>
      </c>
      <c r="AE35" s="2">
        <f>IFERROR(INDEX('8_3nf_customer'!$C:$C,MATCH(AD35,'8_3nf_customer'!$B:$B,0)),"NOT FOUND")</f>
        <v/>
      </c>
      <c r="AF35" s="30">
        <f>IFERROR(INDEX('8_3nf_customer'!$D:$D,MATCH(AD35,'8_3nf_customer'!$B:$B,0)),"NOT FOUND")</f>
        <v/>
      </c>
      <c r="AG35" s="4">
        <f>IF(ISNUMBER(AF35),DATEDIF(AF35,L35,"y"),"NOT FOUND")</f>
        <v/>
      </c>
      <c r="AH35" s="2">
        <f>IFERROR(INDEX('8_3nf_customer'!$E:$E,MATCH(AD35,'8_3nf_customer'!$B:$B,0)),"NOT FOUND")</f>
        <v/>
      </c>
      <c r="AI35" s="30">
        <f>IF(_xlfn.MAXIFS('9_3nf_customer_history'!$B$2:$B$500,'9_3nf_customer_history'!$A$2:$A$500,AD35,'9_3nf_customer_history'!$B$2:$B$500,"&lt;="&amp;L35)=0,"NOT FOUND",_xlfn.MAXIFS('9_3nf_customer_history'!$B$2:$B$500,'9_3nf_customer_history'!$A$2:$A$500,AD35,'9_3nf_customer_history'!$B$2:$B$500,"&lt;="&amp;L35))</f>
        <v/>
      </c>
      <c r="AJ35" s="2">
        <f>IF(AI35="NOT FOUND","NOT FOUND",INDEX('9_3nf_customer_history'!$C:$C,SUMPRODUCT(('9_3nf_customer_history'!$A$2:$A$500=AD35)*('9_3nf_customer_history'!$B$2:$B$500=AI35)*ROW('9_3nf_customer_history'!$A$2:$A$500))))</f>
        <v/>
      </c>
      <c r="AK35" s="2">
        <f>IF(AI35="NOT FOUND","NOT FOUND",INDEX('9_3nf_customer_history'!$D:$D,SUMPRODUCT(('9_3nf_customer_history'!$A$2:$A$500=AD35)*('9_3nf_customer_history'!$B$2:$B$500=AI35)*ROW('9_3nf_customer_history'!$A$2:$A$500))))</f>
        <v/>
      </c>
      <c r="AL35" s="2">
        <f>UPPER(TRIM(H35))</f>
        <v/>
      </c>
      <c r="AM35" s="30">
        <f>IF(_xlfn.MAXIFS('10_ref_fx_rate'!$B$2:$B$2000,'10_ref_fx_rate'!$A$2:$A$2000,AL35,'10_ref_fx_rate'!$B$2:$B$2000,"&lt;="&amp;L35)=0,"NOT FOUND",_xlfn.MAXIFS('10_ref_fx_rate'!$B$2:$B$2000,'10_ref_fx_rate'!$A$2:$A$2000,AL35,'10_ref_fx_rate'!$B$2:$B$2000,"&lt;="&amp;L35))</f>
        <v/>
      </c>
      <c r="AN35" s="8">
        <f>IF(AM35="NOT FOUND","NOT FOUND",SUMIFS('10_ref_fx_rate'!$D$2:$D$2000,'10_ref_fx_rate'!$A$2:$A$2000,AL35,'10_ref_fx_rate'!$B$2:$B$2000,AM35))</f>
        <v/>
      </c>
      <c r="AO35" s="37">
        <f>IF(ISNUMBER(AN35),I35*AN35,"NOT FOUND")</f>
        <v/>
      </c>
      <c r="AP35" s="2">
        <f>UPPER(TRIM(J35))</f>
        <v/>
      </c>
      <c r="AQ35" s="2">
        <f>IF(AP35="","SELF-DIRECTED",IF(ISNUMBER(MATCH(AP35,'11_3nf_sales_person'!$A:$A,0)),IF(EXACT(AP35,J35),"OK","OK (auto-fixed)"),IF(ISNA(MATCH($A35,'12_sales_person_confirmation'!$A:$A,0)),"CONFIRM (not logged)",IF(INDEX('12_sales_person_confirmation'!$I:$I,MATCH($A35,'12_sales_person_confirmation'!$A:$A,0))="CONFIRMED","CONFIRMED ("&amp;LOWER(INDEX('12_sales_person_confirmation'!$E:$E,MATCH($A35,'12_sales_person_confirmation'!$A:$A,0)))&amp;")","PENDING CONFIRM"))))</f>
        <v/>
      </c>
      <c r="AR35" s="2">
        <f>IF(OR(AQ35="OK",AQ35="OK (auto-fixed)"),AP35,IF(LEFT(AQ35,9)="CONFIRMED",INDEX('12_sales_person_confirmation'!$F:$F,MATCH($A35,'12_sales_person_confirmation'!$A:$A,0)),""))</f>
        <v/>
      </c>
      <c r="AS35" s="2">
        <f>IF(AR35="","",INDEX('11_3nf_sales_person'!$B:$B,MATCH(AR35,'11_3nf_sales_person'!$A:$A,0)))</f>
        <v/>
      </c>
    </row>
    <row r="36">
      <c r="A36" s="2">
        <f>IF(ISBLANK('1_raw_log'!A36),"",'1_raw_log'!A36)</f>
        <v/>
      </c>
      <c r="B36" s="3">
        <f>IF(ISBLANK('1_raw_log'!B36),"",'1_raw_log'!B36)</f>
        <v/>
      </c>
      <c r="C36" s="2">
        <f>IF(ISBLANK('1_raw_log'!C36),"",'1_raw_log'!C36)</f>
        <v/>
      </c>
      <c r="D36" s="2">
        <f>IF(ISBLANK('1_raw_log'!D36),"",'1_raw_log'!D36)</f>
        <v/>
      </c>
      <c r="E36" s="4">
        <f>IF(ISBLANK('1_raw_log'!E36),"",'1_raw_log'!E36)</f>
        <v/>
      </c>
      <c r="F36" s="2">
        <f>IF(ISBLANK('1_raw_log'!F36),"",'1_raw_log'!F36)</f>
        <v/>
      </c>
      <c r="G36" s="2">
        <f>IF(ISBLANK('1_raw_log'!G36),"",'1_raw_log'!G36)</f>
        <v/>
      </c>
      <c r="H36" s="2">
        <f>IF(ISBLANK('1_raw_log'!H36),"",'1_raw_log'!H36)</f>
        <v/>
      </c>
      <c r="I36" s="7">
        <f>IF(ISBLANK('1_raw_log'!I36),"",'1_raw_log'!I36)</f>
        <v/>
      </c>
      <c r="J36" s="2">
        <f>IF(ISBLANK('1_raw_log'!J36),"",'1_raw_log'!J36)</f>
        <v/>
      </c>
      <c r="K36" s="2">
        <f>IF(ISBLANK('1_raw_log'!K36),"",'1_raw_log'!K36)</f>
        <v/>
      </c>
      <c r="L36" s="30">
        <f>INT(B36)</f>
        <v/>
      </c>
      <c r="M36" s="20">
        <f>ROUND(MOD(B36,1)*1440,0)/1440</f>
        <v/>
      </c>
      <c r="N36" s="4">
        <f>IFERROR(INDEX('3_ref_date'!$B:$B,MATCH(L36,'3_ref_date'!$A:$A,0)),"NOT FOUND")</f>
        <v/>
      </c>
      <c r="O36" s="2">
        <f>IFERROR(INDEX('3_ref_date'!$C:$C,MATCH(L36,'3_ref_date'!$A:$A,0)),"NOT FOUND")</f>
        <v/>
      </c>
      <c r="P36" s="4">
        <f>IFERROR(INDEX('3_ref_date'!$D:$D,MATCH(L36,'3_ref_date'!$A:$A,0)),"NOT FOUND")</f>
        <v/>
      </c>
      <c r="Q36" s="4">
        <f>IFERROR(INDEX('3_ref_date'!$E:$E,MATCH(L36,'3_ref_date'!$A:$A,0)),"NOT FOUND")</f>
        <v/>
      </c>
      <c r="R36" s="2">
        <f>IFERROR(INDEX('3_ref_date'!$F:$F,MATCH(L36,'3_ref_date'!$A:$A,0)),"NOT FOUND")</f>
        <v/>
      </c>
      <c r="S36" s="2">
        <f>IFERROR(INDEX('4_ref_time'!$D:$D,MATCH(ROUND(M36*1440,0),'4_ref_time'!$A:$A,0)),"NOT FOUND")</f>
        <v/>
      </c>
      <c r="T36" s="2">
        <f>UPPER(TRIM(C36))</f>
        <v/>
      </c>
      <c r="U36" s="30">
        <f>IF(_xlfn.MAXIFS('6_3nf_branch_history'!$B$2:$B$50,'6_3nf_branch_history'!$A$2:$A$50,T36,'6_3nf_branch_history'!$B$2:$B$50,"&lt;="&amp;L36)=0,"NOT FOUND",_xlfn.MAXIFS('6_3nf_branch_history'!$B$2:$B$50,'6_3nf_branch_history'!$A$2:$A$50,T36,'6_3nf_branch_history'!$B$2:$B$50,"&lt;="&amp;L36))</f>
        <v/>
      </c>
      <c r="V36" s="2">
        <f>IF(U36="NOT FOUND","NOT FOUND",INDEX('6_3nf_branch_history'!$C:$C,SUMPRODUCT(('6_3nf_branch_history'!$A$2:$A$50=T36)*('6_3nf_branch_history'!$B$2:$B$50=U36)*ROW('6_3nf_branch_history'!$A$2:$A$50))))</f>
        <v/>
      </c>
      <c r="W36" s="2">
        <f>IF(U36="NOT FOUND","NOT FOUND",INDEX('6_3nf_branch_history'!$D:$D,SUMPRODUCT(('6_3nf_branch_history'!$A$2:$A$50=T36)*('6_3nf_branch_history'!$B$2:$B$50=U36)*ROW('6_3nf_branch_history'!$A$2:$A$50))))</f>
        <v/>
      </c>
      <c r="X36" s="2">
        <f>IF(U36="NOT FOUND","NOT FOUND",INDEX('6_3nf_branch_history'!$E:$E,SUMPRODUCT(('6_3nf_branch_history'!$A$2:$A$50=T36)*('6_3nf_branch_history'!$B$2:$B$50=U36)*ROW('6_3nf_branch_history'!$A$2:$A$50))))</f>
        <v/>
      </c>
      <c r="Y36" s="2">
        <f>UPPER(TRIM(D36))</f>
        <v/>
      </c>
      <c r="Z36" s="2">
        <f>IFERROR(INDEX('7_3nf_product'!$B:$B,MATCH(Y36,'7_3nf_product'!$A:$A,0)),"NOT FOUND")</f>
        <v/>
      </c>
      <c r="AA36" s="2">
        <f>IFERROR(INDEX('7_3nf_product'!$C:$C,MATCH(Y36,'7_3nf_product'!$A:$A,0)),"NOT FOUND")</f>
        <v/>
      </c>
      <c r="AB36" s="2">
        <f>IFERROR(INDEX('7_3nf_product'!$D:$D,MATCH(Y36,'7_3nf_product'!$A:$A,0)),"NOT FOUND")</f>
        <v/>
      </c>
      <c r="AC36" s="6">
        <f>IFERROR(INDEX('7_3nf_product'!$E:$E,MATCH(Y36,'7_3nf_product'!$A:$A,0)),"NOT FOUND")</f>
        <v/>
      </c>
      <c r="AD36" s="33">
        <f>IF(LEN(TRIM(E36))=10,TRIM(E36),IF(LEN(TRIM(E36))=8,"00"&amp;TRIM(E36),"CHECK"))</f>
        <v/>
      </c>
      <c r="AE36" s="2">
        <f>IFERROR(INDEX('8_3nf_customer'!$C:$C,MATCH(AD36,'8_3nf_customer'!$B:$B,0)),"NOT FOUND")</f>
        <v/>
      </c>
      <c r="AF36" s="30">
        <f>IFERROR(INDEX('8_3nf_customer'!$D:$D,MATCH(AD36,'8_3nf_customer'!$B:$B,0)),"NOT FOUND")</f>
        <v/>
      </c>
      <c r="AG36" s="4">
        <f>IF(ISNUMBER(AF36),DATEDIF(AF36,L36,"y"),"NOT FOUND")</f>
        <v/>
      </c>
      <c r="AH36" s="2">
        <f>IFERROR(INDEX('8_3nf_customer'!$E:$E,MATCH(AD36,'8_3nf_customer'!$B:$B,0)),"NOT FOUND")</f>
        <v/>
      </c>
      <c r="AI36" s="30">
        <f>IF(_xlfn.MAXIFS('9_3nf_customer_history'!$B$2:$B$500,'9_3nf_customer_history'!$A$2:$A$500,AD36,'9_3nf_customer_history'!$B$2:$B$500,"&lt;="&amp;L36)=0,"NOT FOUND",_xlfn.MAXIFS('9_3nf_customer_history'!$B$2:$B$500,'9_3nf_customer_history'!$A$2:$A$500,AD36,'9_3nf_customer_history'!$B$2:$B$500,"&lt;="&amp;L36))</f>
        <v/>
      </c>
      <c r="AJ36" s="2">
        <f>IF(AI36="NOT FOUND","NOT FOUND",INDEX('9_3nf_customer_history'!$C:$C,SUMPRODUCT(('9_3nf_customer_history'!$A$2:$A$500=AD36)*('9_3nf_customer_history'!$B$2:$B$500=AI36)*ROW('9_3nf_customer_history'!$A$2:$A$500))))</f>
        <v/>
      </c>
      <c r="AK36" s="2">
        <f>IF(AI36="NOT FOUND","NOT FOUND",INDEX('9_3nf_customer_history'!$D:$D,SUMPRODUCT(('9_3nf_customer_history'!$A$2:$A$500=AD36)*('9_3nf_customer_history'!$B$2:$B$500=AI36)*ROW('9_3nf_customer_history'!$A$2:$A$500))))</f>
        <v/>
      </c>
      <c r="AL36" s="2">
        <f>UPPER(TRIM(H36))</f>
        <v/>
      </c>
      <c r="AM36" s="30">
        <f>IF(_xlfn.MAXIFS('10_ref_fx_rate'!$B$2:$B$2000,'10_ref_fx_rate'!$A$2:$A$2000,AL36,'10_ref_fx_rate'!$B$2:$B$2000,"&lt;="&amp;L36)=0,"NOT FOUND",_xlfn.MAXIFS('10_ref_fx_rate'!$B$2:$B$2000,'10_ref_fx_rate'!$A$2:$A$2000,AL36,'10_ref_fx_rate'!$B$2:$B$2000,"&lt;="&amp;L36))</f>
        <v/>
      </c>
      <c r="AN36" s="8">
        <f>IF(AM36="NOT FOUND","NOT FOUND",SUMIFS('10_ref_fx_rate'!$D$2:$D$2000,'10_ref_fx_rate'!$A$2:$A$2000,AL36,'10_ref_fx_rate'!$B$2:$B$2000,AM36))</f>
        <v/>
      </c>
      <c r="AO36" s="37">
        <f>IF(ISNUMBER(AN36),I36*AN36,"NOT FOUND")</f>
        <v/>
      </c>
      <c r="AP36" s="2">
        <f>UPPER(TRIM(J36))</f>
        <v/>
      </c>
      <c r="AQ36" s="2">
        <f>IF(AP36="","SELF-DIRECTED",IF(ISNUMBER(MATCH(AP36,'11_3nf_sales_person'!$A:$A,0)),IF(EXACT(AP36,J36),"OK","OK (auto-fixed)"),IF(ISNA(MATCH($A36,'12_sales_person_confirmation'!$A:$A,0)),"CONFIRM (not logged)",IF(INDEX('12_sales_person_confirmation'!$I:$I,MATCH($A36,'12_sales_person_confirmation'!$A:$A,0))="CONFIRMED","CONFIRMED ("&amp;LOWER(INDEX('12_sales_person_confirmation'!$E:$E,MATCH($A36,'12_sales_person_confirmation'!$A:$A,0)))&amp;")","PENDING CONFIRM"))))</f>
        <v/>
      </c>
      <c r="AR36" s="2">
        <f>IF(OR(AQ36="OK",AQ36="OK (auto-fixed)"),AP36,IF(LEFT(AQ36,9)="CONFIRMED",INDEX('12_sales_person_confirmation'!$F:$F,MATCH($A36,'12_sales_person_confirmation'!$A:$A,0)),""))</f>
        <v/>
      </c>
      <c r="AS36" s="2">
        <f>IF(AR36="","",INDEX('11_3nf_sales_person'!$B:$B,MATCH(AR36,'11_3nf_sales_person'!$A:$A,0)))</f>
        <v/>
      </c>
    </row>
    <row r="37">
      <c r="A37" s="2">
        <f>IF(ISBLANK('1_raw_log'!A37),"",'1_raw_log'!A37)</f>
        <v/>
      </c>
      <c r="B37" s="3">
        <f>IF(ISBLANK('1_raw_log'!B37),"",'1_raw_log'!B37)</f>
        <v/>
      </c>
      <c r="C37" s="2">
        <f>IF(ISBLANK('1_raw_log'!C37),"",'1_raw_log'!C37)</f>
        <v/>
      </c>
      <c r="D37" s="2">
        <f>IF(ISBLANK('1_raw_log'!D37),"",'1_raw_log'!D37)</f>
        <v/>
      </c>
      <c r="E37" s="4">
        <f>IF(ISBLANK('1_raw_log'!E37),"",'1_raw_log'!E37)</f>
        <v/>
      </c>
      <c r="F37" s="2">
        <f>IF(ISBLANK('1_raw_log'!F37),"",'1_raw_log'!F37)</f>
        <v/>
      </c>
      <c r="G37" s="2">
        <f>IF(ISBLANK('1_raw_log'!G37),"",'1_raw_log'!G37)</f>
        <v/>
      </c>
      <c r="H37" s="2">
        <f>IF(ISBLANK('1_raw_log'!H37),"",'1_raw_log'!H37)</f>
        <v/>
      </c>
      <c r="I37" s="7">
        <f>IF(ISBLANK('1_raw_log'!I37),"",'1_raw_log'!I37)</f>
        <v/>
      </c>
      <c r="J37" s="2">
        <f>IF(ISBLANK('1_raw_log'!J37),"",'1_raw_log'!J37)</f>
        <v/>
      </c>
      <c r="K37" s="2">
        <f>IF(ISBLANK('1_raw_log'!K37),"",'1_raw_log'!K37)</f>
        <v/>
      </c>
      <c r="L37" s="30">
        <f>INT(B37)</f>
        <v/>
      </c>
      <c r="M37" s="20">
        <f>ROUND(MOD(B37,1)*1440,0)/1440</f>
        <v/>
      </c>
      <c r="N37" s="4">
        <f>IFERROR(INDEX('3_ref_date'!$B:$B,MATCH(L37,'3_ref_date'!$A:$A,0)),"NOT FOUND")</f>
        <v/>
      </c>
      <c r="O37" s="2">
        <f>IFERROR(INDEX('3_ref_date'!$C:$C,MATCH(L37,'3_ref_date'!$A:$A,0)),"NOT FOUND")</f>
        <v/>
      </c>
      <c r="P37" s="4">
        <f>IFERROR(INDEX('3_ref_date'!$D:$D,MATCH(L37,'3_ref_date'!$A:$A,0)),"NOT FOUND")</f>
        <v/>
      </c>
      <c r="Q37" s="4">
        <f>IFERROR(INDEX('3_ref_date'!$E:$E,MATCH(L37,'3_ref_date'!$A:$A,0)),"NOT FOUND")</f>
        <v/>
      </c>
      <c r="R37" s="2">
        <f>IFERROR(INDEX('3_ref_date'!$F:$F,MATCH(L37,'3_ref_date'!$A:$A,0)),"NOT FOUND")</f>
        <v/>
      </c>
      <c r="S37" s="2">
        <f>IFERROR(INDEX('4_ref_time'!$D:$D,MATCH(ROUND(M37*1440,0),'4_ref_time'!$A:$A,0)),"NOT FOUND")</f>
        <v/>
      </c>
      <c r="T37" s="2">
        <f>UPPER(TRIM(C37))</f>
        <v/>
      </c>
      <c r="U37" s="30">
        <f>IF(_xlfn.MAXIFS('6_3nf_branch_history'!$B$2:$B$50,'6_3nf_branch_history'!$A$2:$A$50,T37,'6_3nf_branch_history'!$B$2:$B$50,"&lt;="&amp;L37)=0,"NOT FOUND",_xlfn.MAXIFS('6_3nf_branch_history'!$B$2:$B$50,'6_3nf_branch_history'!$A$2:$A$50,T37,'6_3nf_branch_history'!$B$2:$B$50,"&lt;="&amp;L37))</f>
        <v/>
      </c>
      <c r="V37" s="2">
        <f>IF(U37="NOT FOUND","NOT FOUND",INDEX('6_3nf_branch_history'!$C:$C,SUMPRODUCT(('6_3nf_branch_history'!$A$2:$A$50=T37)*('6_3nf_branch_history'!$B$2:$B$50=U37)*ROW('6_3nf_branch_history'!$A$2:$A$50))))</f>
        <v/>
      </c>
      <c r="W37" s="2">
        <f>IF(U37="NOT FOUND","NOT FOUND",INDEX('6_3nf_branch_history'!$D:$D,SUMPRODUCT(('6_3nf_branch_history'!$A$2:$A$50=T37)*('6_3nf_branch_history'!$B$2:$B$50=U37)*ROW('6_3nf_branch_history'!$A$2:$A$50))))</f>
        <v/>
      </c>
      <c r="X37" s="2">
        <f>IF(U37="NOT FOUND","NOT FOUND",INDEX('6_3nf_branch_history'!$E:$E,SUMPRODUCT(('6_3nf_branch_history'!$A$2:$A$50=T37)*('6_3nf_branch_history'!$B$2:$B$50=U37)*ROW('6_3nf_branch_history'!$A$2:$A$50))))</f>
        <v/>
      </c>
      <c r="Y37" s="2">
        <f>UPPER(TRIM(D37))</f>
        <v/>
      </c>
      <c r="Z37" s="2">
        <f>IFERROR(INDEX('7_3nf_product'!$B:$B,MATCH(Y37,'7_3nf_product'!$A:$A,0)),"NOT FOUND")</f>
        <v/>
      </c>
      <c r="AA37" s="2">
        <f>IFERROR(INDEX('7_3nf_product'!$C:$C,MATCH(Y37,'7_3nf_product'!$A:$A,0)),"NOT FOUND")</f>
        <v/>
      </c>
      <c r="AB37" s="2">
        <f>IFERROR(INDEX('7_3nf_product'!$D:$D,MATCH(Y37,'7_3nf_product'!$A:$A,0)),"NOT FOUND")</f>
        <v/>
      </c>
      <c r="AC37" s="6">
        <f>IFERROR(INDEX('7_3nf_product'!$E:$E,MATCH(Y37,'7_3nf_product'!$A:$A,0)),"NOT FOUND")</f>
        <v/>
      </c>
      <c r="AD37" s="33">
        <f>IF(LEN(TRIM(E37))=10,TRIM(E37),IF(LEN(TRIM(E37))=8,"00"&amp;TRIM(E37),"CHECK"))</f>
        <v/>
      </c>
      <c r="AE37" s="2">
        <f>IFERROR(INDEX('8_3nf_customer'!$C:$C,MATCH(AD37,'8_3nf_customer'!$B:$B,0)),"NOT FOUND")</f>
        <v/>
      </c>
      <c r="AF37" s="30">
        <f>IFERROR(INDEX('8_3nf_customer'!$D:$D,MATCH(AD37,'8_3nf_customer'!$B:$B,0)),"NOT FOUND")</f>
        <v/>
      </c>
      <c r="AG37" s="4">
        <f>IF(ISNUMBER(AF37),DATEDIF(AF37,L37,"y"),"NOT FOUND")</f>
        <v/>
      </c>
      <c r="AH37" s="2">
        <f>IFERROR(INDEX('8_3nf_customer'!$E:$E,MATCH(AD37,'8_3nf_customer'!$B:$B,0)),"NOT FOUND")</f>
        <v/>
      </c>
      <c r="AI37" s="30">
        <f>IF(_xlfn.MAXIFS('9_3nf_customer_history'!$B$2:$B$500,'9_3nf_customer_history'!$A$2:$A$500,AD37,'9_3nf_customer_history'!$B$2:$B$500,"&lt;="&amp;L37)=0,"NOT FOUND",_xlfn.MAXIFS('9_3nf_customer_history'!$B$2:$B$500,'9_3nf_customer_history'!$A$2:$A$500,AD37,'9_3nf_customer_history'!$B$2:$B$500,"&lt;="&amp;L37))</f>
        <v/>
      </c>
      <c r="AJ37" s="2">
        <f>IF(AI37="NOT FOUND","NOT FOUND",INDEX('9_3nf_customer_history'!$C:$C,SUMPRODUCT(('9_3nf_customer_history'!$A$2:$A$500=AD37)*('9_3nf_customer_history'!$B$2:$B$500=AI37)*ROW('9_3nf_customer_history'!$A$2:$A$500))))</f>
        <v/>
      </c>
      <c r="AK37" s="2">
        <f>IF(AI37="NOT FOUND","NOT FOUND",INDEX('9_3nf_customer_history'!$D:$D,SUMPRODUCT(('9_3nf_customer_history'!$A$2:$A$500=AD37)*('9_3nf_customer_history'!$B$2:$B$500=AI37)*ROW('9_3nf_customer_history'!$A$2:$A$500))))</f>
        <v/>
      </c>
      <c r="AL37" s="2">
        <f>UPPER(TRIM(H37))</f>
        <v/>
      </c>
      <c r="AM37" s="30">
        <f>IF(_xlfn.MAXIFS('10_ref_fx_rate'!$B$2:$B$2000,'10_ref_fx_rate'!$A$2:$A$2000,AL37,'10_ref_fx_rate'!$B$2:$B$2000,"&lt;="&amp;L37)=0,"NOT FOUND",_xlfn.MAXIFS('10_ref_fx_rate'!$B$2:$B$2000,'10_ref_fx_rate'!$A$2:$A$2000,AL37,'10_ref_fx_rate'!$B$2:$B$2000,"&lt;="&amp;L37))</f>
        <v/>
      </c>
      <c r="AN37" s="8">
        <f>IF(AM37="NOT FOUND","NOT FOUND",SUMIFS('10_ref_fx_rate'!$D$2:$D$2000,'10_ref_fx_rate'!$A$2:$A$2000,AL37,'10_ref_fx_rate'!$B$2:$B$2000,AM37))</f>
        <v/>
      </c>
      <c r="AO37" s="37">
        <f>IF(ISNUMBER(AN37),I37*AN37,"NOT FOUND")</f>
        <v/>
      </c>
      <c r="AP37" s="2">
        <f>UPPER(TRIM(J37))</f>
        <v/>
      </c>
      <c r="AQ37" s="2">
        <f>IF(AP37="","SELF-DIRECTED",IF(ISNUMBER(MATCH(AP37,'11_3nf_sales_person'!$A:$A,0)),IF(EXACT(AP37,J37),"OK","OK (auto-fixed)"),IF(ISNA(MATCH($A37,'12_sales_person_confirmation'!$A:$A,0)),"CONFIRM (not logged)",IF(INDEX('12_sales_person_confirmation'!$I:$I,MATCH($A37,'12_sales_person_confirmation'!$A:$A,0))="CONFIRMED","CONFIRMED ("&amp;LOWER(INDEX('12_sales_person_confirmation'!$E:$E,MATCH($A37,'12_sales_person_confirmation'!$A:$A,0)))&amp;")","PENDING CONFIRM"))))</f>
        <v/>
      </c>
      <c r="AR37" s="2">
        <f>IF(OR(AQ37="OK",AQ37="OK (auto-fixed)"),AP37,IF(LEFT(AQ37,9)="CONFIRMED",INDEX('12_sales_person_confirmation'!$F:$F,MATCH($A37,'12_sales_person_confirmation'!$A:$A,0)),""))</f>
        <v/>
      </c>
      <c r="AS37" s="2">
        <f>IF(AR37="","",INDEX('11_3nf_sales_person'!$B:$B,MATCH(AR37,'11_3nf_sales_person'!$A:$A,0)))</f>
        <v/>
      </c>
    </row>
    <row r="38">
      <c r="A38" s="2">
        <f>IF(ISBLANK('1_raw_log'!A38),"",'1_raw_log'!A38)</f>
        <v/>
      </c>
      <c r="B38" s="3">
        <f>IF(ISBLANK('1_raw_log'!B38),"",'1_raw_log'!B38)</f>
        <v/>
      </c>
      <c r="C38" s="2">
        <f>IF(ISBLANK('1_raw_log'!C38),"",'1_raw_log'!C38)</f>
        <v/>
      </c>
      <c r="D38" s="2">
        <f>IF(ISBLANK('1_raw_log'!D38),"",'1_raw_log'!D38)</f>
        <v/>
      </c>
      <c r="E38" s="4">
        <f>IF(ISBLANK('1_raw_log'!E38),"",'1_raw_log'!E38)</f>
        <v/>
      </c>
      <c r="F38" s="2">
        <f>IF(ISBLANK('1_raw_log'!F38),"",'1_raw_log'!F38)</f>
        <v/>
      </c>
      <c r="G38" s="2">
        <f>IF(ISBLANK('1_raw_log'!G38),"",'1_raw_log'!G38)</f>
        <v/>
      </c>
      <c r="H38" s="2">
        <f>IF(ISBLANK('1_raw_log'!H38),"",'1_raw_log'!H38)</f>
        <v/>
      </c>
      <c r="I38" s="7">
        <f>IF(ISBLANK('1_raw_log'!I38),"",'1_raw_log'!I38)</f>
        <v/>
      </c>
      <c r="J38" s="2">
        <f>IF(ISBLANK('1_raw_log'!J38),"",'1_raw_log'!J38)</f>
        <v/>
      </c>
      <c r="K38" s="2">
        <f>IF(ISBLANK('1_raw_log'!K38),"",'1_raw_log'!K38)</f>
        <v/>
      </c>
      <c r="L38" s="30">
        <f>INT(B38)</f>
        <v/>
      </c>
      <c r="M38" s="20">
        <f>ROUND(MOD(B38,1)*1440,0)/1440</f>
        <v/>
      </c>
      <c r="N38" s="4">
        <f>IFERROR(INDEX('3_ref_date'!$B:$B,MATCH(L38,'3_ref_date'!$A:$A,0)),"NOT FOUND")</f>
        <v/>
      </c>
      <c r="O38" s="2">
        <f>IFERROR(INDEX('3_ref_date'!$C:$C,MATCH(L38,'3_ref_date'!$A:$A,0)),"NOT FOUND")</f>
        <v/>
      </c>
      <c r="P38" s="4">
        <f>IFERROR(INDEX('3_ref_date'!$D:$D,MATCH(L38,'3_ref_date'!$A:$A,0)),"NOT FOUND")</f>
        <v/>
      </c>
      <c r="Q38" s="4">
        <f>IFERROR(INDEX('3_ref_date'!$E:$E,MATCH(L38,'3_ref_date'!$A:$A,0)),"NOT FOUND")</f>
        <v/>
      </c>
      <c r="R38" s="2">
        <f>IFERROR(INDEX('3_ref_date'!$F:$F,MATCH(L38,'3_ref_date'!$A:$A,0)),"NOT FOUND")</f>
        <v/>
      </c>
      <c r="S38" s="2">
        <f>IFERROR(INDEX('4_ref_time'!$D:$D,MATCH(ROUND(M38*1440,0),'4_ref_time'!$A:$A,0)),"NOT FOUND")</f>
        <v/>
      </c>
      <c r="T38" s="2">
        <f>UPPER(TRIM(C38))</f>
        <v/>
      </c>
      <c r="U38" s="30">
        <f>IF(_xlfn.MAXIFS('6_3nf_branch_history'!$B$2:$B$50,'6_3nf_branch_history'!$A$2:$A$50,T38,'6_3nf_branch_history'!$B$2:$B$50,"&lt;="&amp;L38)=0,"NOT FOUND",_xlfn.MAXIFS('6_3nf_branch_history'!$B$2:$B$50,'6_3nf_branch_history'!$A$2:$A$50,T38,'6_3nf_branch_history'!$B$2:$B$50,"&lt;="&amp;L38))</f>
        <v/>
      </c>
      <c r="V38" s="2">
        <f>IF(U38="NOT FOUND","NOT FOUND",INDEX('6_3nf_branch_history'!$C:$C,SUMPRODUCT(('6_3nf_branch_history'!$A$2:$A$50=T38)*('6_3nf_branch_history'!$B$2:$B$50=U38)*ROW('6_3nf_branch_history'!$A$2:$A$50))))</f>
        <v/>
      </c>
      <c r="W38" s="2">
        <f>IF(U38="NOT FOUND","NOT FOUND",INDEX('6_3nf_branch_history'!$D:$D,SUMPRODUCT(('6_3nf_branch_history'!$A$2:$A$50=T38)*('6_3nf_branch_history'!$B$2:$B$50=U38)*ROW('6_3nf_branch_history'!$A$2:$A$50))))</f>
        <v/>
      </c>
      <c r="X38" s="2">
        <f>IF(U38="NOT FOUND","NOT FOUND",INDEX('6_3nf_branch_history'!$E:$E,SUMPRODUCT(('6_3nf_branch_history'!$A$2:$A$50=T38)*('6_3nf_branch_history'!$B$2:$B$50=U38)*ROW('6_3nf_branch_history'!$A$2:$A$50))))</f>
        <v/>
      </c>
      <c r="Y38" s="2">
        <f>UPPER(TRIM(D38))</f>
        <v/>
      </c>
      <c r="Z38" s="2">
        <f>IFERROR(INDEX('7_3nf_product'!$B:$B,MATCH(Y38,'7_3nf_product'!$A:$A,0)),"NOT FOUND")</f>
        <v/>
      </c>
      <c r="AA38" s="2">
        <f>IFERROR(INDEX('7_3nf_product'!$C:$C,MATCH(Y38,'7_3nf_product'!$A:$A,0)),"NOT FOUND")</f>
        <v/>
      </c>
      <c r="AB38" s="2">
        <f>IFERROR(INDEX('7_3nf_product'!$D:$D,MATCH(Y38,'7_3nf_product'!$A:$A,0)),"NOT FOUND")</f>
        <v/>
      </c>
      <c r="AC38" s="6">
        <f>IFERROR(INDEX('7_3nf_product'!$E:$E,MATCH(Y38,'7_3nf_product'!$A:$A,0)),"NOT FOUND")</f>
        <v/>
      </c>
      <c r="AD38" s="33">
        <f>IF(LEN(TRIM(E38))=10,TRIM(E38),IF(LEN(TRIM(E38))=8,"00"&amp;TRIM(E38),"CHECK"))</f>
        <v/>
      </c>
      <c r="AE38" s="2">
        <f>IFERROR(INDEX('8_3nf_customer'!$C:$C,MATCH(AD38,'8_3nf_customer'!$B:$B,0)),"NOT FOUND")</f>
        <v/>
      </c>
      <c r="AF38" s="30">
        <f>IFERROR(INDEX('8_3nf_customer'!$D:$D,MATCH(AD38,'8_3nf_customer'!$B:$B,0)),"NOT FOUND")</f>
        <v/>
      </c>
      <c r="AG38" s="4">
        <f>IF(ISNUMBER(AF38),DATEDIF(AF38,L38,"y"),"NOT FOUND")</f>
        <v/>
      </c>
      <c r="AH38" s="2">
        <f>IFERROR(INDEX('8_3nf_customer'!$E:$E,MATCH(AD38,'8_3nf_customer'!$B:$B,0)),"NOT FOUND")</f>
        <v/>
      </c>
      <c r="AI38" s="30">
        <f>IF(_xlfn.MAXIFS('9_3nf_customer_history'!$B$2:$B$500,'9_3nf_customer_history'!$A$2:$A$500,AD38,'9_3nf_customer_history'!$B$2:$B$500,"&lt;="&amp;L38)=0,"NOT FOUND",_xlfn.MAXIFS('9_3nf_customer_history'!$B$2:$B$500,'9_3nf_customer_history'!$A$2:$A$500,AD38,'9_3nf_customer_history'!$B$2:$B$500,"&lt;="&amp;L38))</f>
        <v/>
      </c>
      <c r="AJ38" s="2">
        <f>IF(AI38="NOT FOUND","NOT FOUND",INDEX('9_3nf_customer_history'!$C:$C,SUMPRODUCT(('9_3nf_customer_history'!$A$2:$A$500=AD38)*('9_3nf_customer_history'!$B$2:$B$500=AI38)*ROW('9_3nf_customer_history'!$A$2:$A$500))))</f>
        <v/>
      </c>
      <c r="AK38" s="2">
        <f>IF(AI38="NOT FOUND","NOT FOUND",INDEX('9_3nf_customer_history'!$D:$D,SUMPRODUCT(('9_3nf_customer_history'!$A$2:$A$500=AD38)*('9_3nf_customer_history'!$B$2:$B$500=AI38)*ROW('9_3nf_customer_history'!$A$2:$A$500))))</f>
        <v/>
      </c>
      <c r="AL38" s="2">
        <f>UPPER(TRIM(H38))</f>
        <v/>
      </c>
      <c r="AM38" s="30">
        <f>IF(_xlfn.MAXIFS('10_ref_fx_rate'!$B$2:$B$2000,'10_ref_fx_rate'!$A$2:$A$2000,AL38,'10_ref_fx_rate'!$B$2:$B$2000,"&lt;="&amp;L38)=0,"NOT FOUND",_xlfn.MAXIFS('10_ref_fx_rate'!$B$2:$B$2000,'10_ref_fx_rate'!$A$2:$A$2000,AL38,'10_ref_fx_rate'!$B$2:$B$2000,"&lt;="&amp;L38))</f>
        <v/>
      </c>
      <c r="AN38" s="8">
        <f>IF(AM38="NOT FOUND","NOT FOUND",SUMIFS('10_ref_fx_rate'!$D$2:$D$2000,'10_ref_fx_rate'!$A$2:$A$2000,AL38,'10_ref_fx_rate'!$B$2:$B$2000,AM38))</f>
        <v/>
      </c>
      <c r="AO38" s="37">
        <f>IF(ISNUMBER(AN38),I38*AN38,"NOT FOUND")</f>
        <v/>
      </c>
      <c r="AP38" s="2">
        <f>UPPER(TRIM(J38))</f>
        <v/>
      </c>
      <c r="AQ38" s="2">
        <f>IF(AP38="","SELF-DIRECTED",IF(ISNUMBER(MATCH(AP38,'11_3nf_sales_person'!$A:$A,0)),IF(EXACT(AP38,J38),"OK","OK (auto-fixed)"),IF(ISNA(MATCH($A38,'12_sales_person_confirmation'!$A:$A,0)),"CONFIRM (not logged)",IF(INDEX('12_sales_person_confirmation'!$I:$I,MATCH($A38,'12_sales_person_confirmation'!$A:$A,0))="CONFIRMED","CONFIRMED ("&amp;LOWER(INDEX('12_sales_person_confirmation'!$E:$E,MATCH($A38,'12_sales_person_confirmation'!$A:$A,0)))&amp;")","PENDING CONFIRM"))))</f>
        <v/>
      </c>
      <c r="AR38" s="2">
        <f>IF(OR(AQ38="OK",AQ38="OK (auto-fixed)"),AP38,IF(LEFT(AQ38,9)="CONFIRMED",INDEX('12_sales_person_confirmation'!$F:$F,MATCH($A38,'12_sales_person_confirmation'!$A:$A,0)),""))</f>
        <v/>
      </c>
      <c r="AS38" s="2">
        <f>IF(AR38="","",INDEX('11_3nf_sales_person'!$B:$B,MATCH(AR38,'11_3nf_sales_person'!$A:$A,0)))</f>
        <v/>
      </c>
    </row>
    <row r="39">
      <c r="A39" s="2">
        <f>IF(ISBLANK('1_raw_log'!A39),"",'1_raw_log'!A39)</f>
        <v/>
      </c>
      <c r="B39" s="3">
        <f>IF(ISBLANK('1_raw_log'!B39),"",'1_raw_log'!B39)</f>
        <v/>
      </c>
      <c r="C39" s="2">
        <f>IF(ISBLANK('1_raw_log'!C39),"",'1_raw_log'!C39)</f>
        <v/>
      </c>
      <c r="D39" s="2">
        <f>IF(ISBLANK('1_raw_log'!D39),"",'1_raw_log'!D39)</f>
        <v/>
      </c>
      <c r="E39" s="4">
        <f>IF(ISBLANK('1_raw_log'!E39),"",'1_raw_log'!E39)</f>
        <v/>
      </c>
      <c r="F39" s="2">
        <f>IF(ISBLANK('1_raw_log'!F39),"",'1_raw_log'!F39)</f>
        <v/>
      </c>
      <c r="G39" s="2">
        <f>IF(ISBLANK('1_raw_log'!G39),"",'1_raw_log'!G39)</f>
        <v/>
      </c>
      <c r="H39" s="2">
        <f>IF(ISBLANK('1_raw_log'!H39),"",'1_raw_log'!H39)</f>
        <v/>
      </c>
      <c r="I39" s="7">
        <f>IF(ISBLANK('1_raw_log'!I39),"",'1_raw_log'!I39)</f>
        <v/>
      </c>
      <c r="J39" s="2">
        <f>IF(ISBLANK('1_raw_log'!J39),"",'1_raw_log'!J39)</f>
        <v/>
      </c>
      <c r="K39" s="2">
        <f>IF(ISBLANK('1_raw_log'!K39),"",'1_raw_log'!K39)</f>
        <v/>
      </c>
      <c r="L39" s="30">
        <f>INT(B39)</f>
        <v/>
      </c>
      <c r="M39" s="20">
        <f>ROUND(MOD(B39,1)*1440,0)/1440</f>
        <v/>
      </c>
      <c r="N39" s="4">
        <f>IFERROR(INDEX('3_ref_date'!$B:$B,MATCH(L39,'3_ref_date'!$A:$A,0)),"NOT FOUND")</f>
        <v/>
      </c>
      <c r="O39" s="2">
        <f>IFERROR(INDEX('3_ref_date'!$C:$C,MATCH(L39,'3_ref_date'!$A:$A,0)),"NOT FOUND")</f>
        <v/>
      </c>
      <c r="P39" s="4">
        <f>IFERROR(INDEX('3_ref_date'!$D:$D,MATCH(L39,'3_ref_date'!$A:$A,0)),"NOT FOUND")</f>
        <v/>
      </c>
      <c r="Q39" s="4">
        <f>IFERROR(INDEX('3_ref_date'!$E:$E,MATCH(L39,'3_ref_date'!$A:$A,0)),"NOT FOUND")</f>
        <v/>
      </c>
      <c r="R39" s="2">
        <f>IFERROR(INDEX('3_ref_date'!$F:$F,MATCH(L39,'3_ref_date'!$A:$A,0)),"NOT FOUND")</f>
        <v/>
      </c>
      <c r="S39" s="2">
        <f>IFERROR(INDEX('4_ref_time'!$D:$D,MATCH(ROUND(M39*1440,0),'4_ref_time'!$A:$A,0)),"NOT FOUND")</f>
        <v/>
      </c>
      <c r="T39" s="2">
        <f>UPPER(TRIM(C39))</f>
        <v/>
      </c>
      <c r="U39" s="30">
        <f>IF(_xlfn.MAXIFS('6_3nf_branch_history'!$B$2:$B$50,'6_3nf_branch_history'!$A$2:$A$50,T39,'6_3nf_branch_history'!$B$2:$B$50,"&lt;="&amp;L39)=0,"NOT FOUND",_xlfn.MAXIFS('6_3nf_branch_history'!$B$2:$B$50,'6_3nf_branch_history'!$A$2:$A$50,T39,'6_3nf_branch_history'!$B$2:$B$50,"&lt;="&amp;L39))</f>
        <v/>
      </c>
      <c r="V39" s="2">
        <f>IF(U39="NOT FOUND","NOT FOUND",INDEX('6_3nf_branch_history'!$C:$C,SUMPRODUCT(('6_3nf_branch_history'!$A$2:$A$50=T39)*('6_3nf_branch_history'!$B$2:$B$50=U39)*ROW('6_3nf_branch_history'!$A$2:$A$50))))</f>
        <v/>
      </c>
      <c r="W39" s="2">
        <f>IF(U39="NOT FOUND","NOT FOUND",INDEX('6_3nf_branch_history'!$D:$D,SUMPRODUCT(('6_3nf_branch_history'!$A$2:$A$50=T39)*('6_3nf_branch_history'!$B$2:$B$50=U39)*ROW('6_3nf_branch_history'!$A$2:$A$50))))</f>
        <v/>
      </c>
      <c r="X39" s="2">
        <f>IF(U39="NOT FOUND","NOT FOUND",INDEX('6_3nf_branch_history'!$E:$E,SUMPRODUCT(('6_3nf_branch_history'!$A$2:$A$50=T39)*('6_3nf_branch_history'!$B$2:$B$50=U39)*ROW('6_3nf_branch_history'!$A$2:$A$50))))</f>
        <v/>
      </c>
      <c r="Y39" s="2">
        <f>UPPER(TRIM(D39))</f>
        <v/>
      </c>
      <c r="Z39" s="2">
        <f>IFERROR(INDEX('7_3nf_product'!$B:$B,MATCH(Y39,'7_3nf_product'!$A:$A,0)),"NOT FOUND")</f>
        <v/>
      </c>
      <c r="AA39" s="2">
        <f>IFERROR(INDEX('7_3nf_product'!$C:$C,MATCH(Y39,'7_3nf_product'!$A:$A,0)),"NOT FOUND")</f>
        <v/>
      </c>
      <c r="AB39" s="2">
        <f>IFERROR(INDEX('7_3nf_product'!$D:$D,MATCH(Y39,'7_3nf_product'!$A:$A,0)),"NOT FOUND")</f>
        <v/>
      </c>
      <c r="AC39" s="6">
        <f>IFERROR(INDEX('7_3nf_product'!$E:$E,MATCH(Y39,'7_3nf_product'!$A:$A,0)),"NOT FOUND")</f>
        <v/>
      </c>
      <c r="AD39" s="33">
        <f>IF(LEN(TRIM(E39))=10,TRIM(E39),IF(LEN(TRIM(E39))=8,"00"&amp;TRIM(E39),"CHECK"))</f>
        <v/>
      </c>
      <c r="AE39" s="2">
        <f>IFERROR(INDEX('8_3nf_customer'!$C:$C,MATCH(AD39,'8_3nf_customer'!$B:$B,0)),"NOT FOUND")</f>
        <v/>
      </c>
      <c r="AF39" s="30">
        <f>IFERROR(INDEX('8_3nf_customer'!$D:$D,MATCH(AD39,'8_3nf_customer'!$B:$B,0)),"NOT FOUND")</f>
        <v/>
      </c>
      <c r="AG39" s="4">
        <f>IF(ISNUMBER(AF39),DATEDIF(AF39,L39,"y"),"NOT FOUND")</f>
        <v/>
      </c>
      <c r="AH39" s="2">
        <f>IFERROR(INDEX('8_3nf_customer'!$E:$E,MATCH(AD39,'8_3nf_customer'!$B:$B,0)),"NOT FOUND")</f>
        <v/>
      </c>
      <c r="AI39" s="30">
        <f>IF(_xlfn.MAXIFS('9_3nf_customer_history'!$B$2:$B$500,'9_3nf_customer_history'!$A$2:$A$500,AD39,'9_3nf_customer_history'!$B$2:$B$500,"&lt;="&amp;L39)=0,"NOT FOUND",_xlfn.MAXIFS('9_3nf_customer_history'!$B$2:$B$500,'9_3nf_customer_history'!$A$2:$A$500,AD39,'9_3nf_customer_history'!$B$2:$B$500,"&lt;="&amp;L39))</f>
        <v/>
      </c>
      <c r="AJ39" s="2">
        <f>IF(AI39="NOT FOUND","NOT FOUND",INDEX('9_3nf_customer_history'!$C:$C,SUMPRODUCT(('9_3nf_customer_history'!$A$2:$A$500=AD39)*('9_3nf_customer_history'!$B$2:$B$500=AI39)*ROW('9_3nf_customer_history'!$A$2:$A$500))))</f>
        <v/>
      </c>
      <c r="AK39" s="2">
        <f>IF(AI39="NOT FOUND","NOT FOUND",INDEX('9_3nf_customer_history'!$D:$D,SUMPRODUCT(('9_3nf_customer_history'!$A$2:$A$500=AD39)*('9_3nf_customer_history'!$B$2:$B$500=AI39)*ROW('9_3nf_customer_history'!$A$2:$A$500))))</f>
        <v/>
      </c>
      <c r="AL39" s="2">
        <f>UPPER(TRIM(H39))</f>
        <v/>
      </c>
      <c r="AM39" s="30">
        <f>IF(_xlfn.MAXIFS('10_ref_fx_rate'!$B$2:$B$2000,'10_ref_fx_rate'!$A$2:$A$2000,AL39,'10_ref_fx_rate'!$B$2:$B$2000,"&lt;="&amp;L39)=0,"NOT FOUND",_xlfn.MAXIFS('10_ref_fx_rate'!$B$2:$B$2000,'10_ref_fx_rate'!$A$2:$A$2000,AL39,'10_ref_fx_rate'!$B$2:$B$2000,"&lt;="&amp;L39))</f>
        <v/>
      </c>
      <c r="AN39" s="8">
        <f>IF(AM39="NOT FOUND","NOT FOUND",SUMIFS('10_ref_fx_rate'!$D$2:$D$2000,'10_ref_fx_rate'!$A$2:$A$2000,AL39,'10_ref_fx_rate'!$B$2:$B$2000,AM39))</f>
        <v/>
      </c>
      <c r="AO39" s="37">
        <f>IF(ISNUMBER(AN39),I39*AN39,"NOT FOUND")</f>
        <v/>
      </c>
      <c r="AP39" s="2">
        <f>UPPER(TRIM(J39))</f>
        <v/>
      </c>
      <c r="AQ39" s="2">
        <f>IF(AP39="","SELF-DIRECTED",IF(ISNUMBER(MATCH(AP39,'11_3nf_sales_person'!$A:$A,0)),IF(EXACT(AP39,J39),"OK","OK (auto-fixed)"),IF(ISNA(MATCH($A39,'12_sales_person_confirmation'!$A:$A,0)),"CONFIRM (not logged)",IF(INDEX('12_sales_person_confirmation'!$I:$I,MATCH($A39,'12_sales_person_confirmation'!$A:$A,0))="CONFIRMED","CONFIRMED ("&amp;LOWER(INDEX('12_sales_person_confirmation'!$E:$E,MATCH($A39,'12_sales_person_confirmation'!$A:$A,0)))&amp;")","PENDING CONFIRM"))))</f>
        <v/>
      </c>
      <c r="AR39" s="2">
        <f>IF(OR(AQ39="OK",AQ39="OK (auto-fixed)"),AP39,IF(LEFT(AQ39,9)="CONFIRMED",INDEX('12_sales_person_confirmation'!$F:$F,MATCH($A39,'12_sales_person_confirmation'!$A:$A,0)),""))</f>
        <v/>
      </c>
      <c r="AS39" s="2">
        <f>IF(AR39="","",INDEX('11_3nf_sales_person'!$B:$B,MATCH(AR39,'11_3nf_sales_person'!$A:$A,0)))</f>
        <v/>
      </c>
    </row>
    <row r="40">
      <c r="A40" s="2">
        <f>IF(ISBLANK('1_raw_log'!A40),"",'1_raw_log'!A40)</f>
        <v/>
      </c>
      <c r="B40" s="3">
        <f>IF(ISBLANK('1_raw_log'!B40),"",'1_raw_log'!B40)</f>
        <v/>
      </c>
      <c r="C40" s="2">
        <f>IF(ISBLANK('1_raw_log'!C40),"",'1_raw_log'!C40)</f>
        <v/>
      </c>
      <c r="D40" s="2">
        <f>IF(ISBLANK('1_raw_log'!D40),"",'1_raw_log'!D40)</f>
        <v/>
      </c>
      <c r="E40" s="4">
        <f>IF(ISBLANK('1_raw_log'!E40),"",'1_raw_log'!E40)</f>
        <v/>
      </c>
      <c r="F40" s="2">
        <f>IF(ISBLANK('1_raw_log'!F40),"",'1_raw_log'!F40)</f>
        <v/>
      </c>
      <c r="G40" s="2">
        <f>IF(ISBLANK('1_raw_log'!G40),"",'1_raw_log'!G40)</f>
        <v/>
      </c>
      <c r="H40" s="2">
        <f>IF(ISBLANK('1_raw_log'!H40),"",'1_raw_log'!H40)</f>
        <v/>
      </c>
      <c r="I40" s="7">
        <f>IF(ISBLANK('1_raw_log'!I40),"",'1_raw_log'!I40)</f>
        <v/>
      </c>
      <c r="J40" s="2">
        <f>IF(ISBLANK('1_raw_log'!J40),"",'1_raw_log'!J40)</f>
        <v/>
      </c>
      <c r="K40" s="2">
        <f>IF(ISBLANK('1_raw_log'!K40),"",'1_raw_log'!K40)</f>
        <v/>
      </c>
      <c r="L40" s="30">
        <f>INT(B40)</f>
        <v/>
      </c>
      <c r="M40" s="20">
        <f>ROUND(MOD(B40,1)*1440,0)/1440</f>
        <v/>
      </c>
      <c r="N40" s="4">
        <f>IFERROR(INDEX('3_ref_date'!$B:$B,MATCH(L40,'3_ref_date'!$A:$A,0)),"NOT FOUND")</f>
        <v/>
      </c>
      <c r="O40" s="2">
        <f>IFERROR(INDEX('3_ref_date'!$C:$C,MATCH(L40,'3_ref_date'!$A:$A,0)),"NOT FOUND")</f>
        <v/>
      </c>
      <c r="P40" s="4">
        <f>IFERROR(INDEX('3_ref_date'!$D:$D,MATCH(L40,'3_ref_date'!$A:$A,0)),"NOT FOUND")</f>
        <v/>
      </c>
      <c r="Q40" s="4">
        <f>IFERROR(INDEX('3_ref_date'!$E:$E,MATCH(L40,'3_ref_date'!$A:$A,0)),"NOT FOUND")</f>
        <v/>
      </c>
      <c r="R40" s="2">
        <f>IFERROR(INDEX('3_ref_date'!$F:$F,MATCH(L40,'3_ref_date'!$A:$A,0)),"NOT FOUND")</f>
        <v/>
      </c>
      <c r="S40" s="2">
        <f>IFERROR(INDEX('4_ref_time'!$D:$D,MATCH(ROUND(M40*1440,0),'4_ref_time'!$A:$A,0)),"NOT FOUND")</f>
        <v/>
      </c>
      <c r="T40" s="2">
        <f>UPPER(TRIM(C40))</f>
        <v/>
      </c>
      <c r="U40" s="30">
        <f>IF(_xlfn.MAXIFS('6_3nf_branch_history'!$B$2:$B$50,'6_3nf_branch_history'!$A$2:$A$50,T40,'6_3nf_branch_history'!$B$2:$B$50,"&lt;="&amp;L40)=0,"NOT FOUND",_xlfn.MAXIFS('6_3nf_branch_history'!$B$2:$B$50,'6_3nf_branch_history'!$A$2:$A$50,T40,'6_3nf_branch_history'!$B$2:$B$50,"&lt;="&amp;L40))</f>
        <v/>
      </c>
      <c r="V40" s="2">
        <f>IF(U40="NOT FOUND","NOT FOUND",INDEX('6_3nf_branch_history'!$C:$C,SUMPRODUCT(('6_3nf_branch_history'!$A$2:$A$50=T40)*('6_3nf_branch_history'!$B$2:$B$50=U40)*ROW('6_3nf_branch_history'!$A$2:$A$50))))</f>
        <v/>
      </c>
      <c r="W40" s="2">
        <f>IF(U40="NOT FOUND","NOT FOUND",INDEX('6_3nf_branch_history'!$D:$D,SUMPRODUCT(('6_3nf_branch_history'!$A$2:$A$50=T40)*('6_3nf_branch_history'!$B$2:$B$50=U40)*ROW('6_3nf_branch_history'!$A$2:$A$50))))</f>
        <v/>
      </c>
      <c r="X40" s="2">
        <f>IF(U40="NOT FOUND","NOT FOUND",INDEX('6_3nf_branch_history'!$E:$E,SUMPRODUCT(('6_3nf_branch_history'!$A$2:$A$50=T40)*('6_3nf_branch_history'!$B$2:$B$50=U40)*ROW('6_3nf_branch_history'!$A$2:$A$50))))</f>
        <v/>
      </c>
      <c r="Y40" s="2">
        <f>UPPER(TRIM(D40))</f>
        <v/>
      </c>
      <c r="Z40" s="2">
        <f>IFERROR(INDEX('7_3nf_product'!$B:$B,MATCH(Y40,'7_3nf_product'!$A:$A,0)),"NOT FOUND")</f>
        <v/>
      </c>
      <c r="AA40" s="2">
        <f>IFERROR(INDEX('7_3nf_product'!$C:$C,MATCH(Y40,'7_3nf_product'!$A:$A,0)),"NOT FOUND")</f>
        <v/>
      </c>
      <c r="AB40" s="2">
        <f>IFERROR(INDEX('7_3nf_product'!$D:$D,MATCH(Y40,'7_3nf_product'!$A:$A,0)),"NOT FOUND")</f>
        <v/>
      </c>
      <c r="AC40" s="6">
        <f>IFERROR(INDEX('7_3nf_product'!$E:$E,MATCH(Y40,'7_3nf_product'!$A:$A,0)),"NOT FOUND")</f>
        <v/>
      </c>
      <c r="AD40" s="33">
        <f>IF(LEN(TRIM(E40))=10,TRIM(E40),IF(LEN(TRIM(E40))=8,"00"&amp;TRIM(E40),"CHECK"))</f>
        <v/>
      </c>
      <c r="AE40" s="2">
        <f>IFERROR(INDEX('8_3nf_customer'!$C:$C,MATCH(AD40,'8_3nf_customer'!$B:$B,0)),"NOT FOUND")</f>
        <v/>
      </c>
      <c r="AF40" s="30">
        <f>IFERROR(INDEX('8_3nf_customer'!$D:$D,MATCH(AD40,'8_3nf_customer'!$B:$B,0)),"NOT FOUND")</f>
        <v/>
      </c>
      <c r="AG40" s="4">
        <f>IF(ISNUMBER(AF40),DATEDIF(AF40,L40,"y"),"NOT FOUND")</f>
        <v/>
      </c>
      <c r="AH40" s="2">
        <f>IFERROR(INDEX('8_3nf_customer'!$E:$E,MATCH(AD40,'8_3nf_customer'!$B:$B,0)),"NOT FOUND")</f>
        <v/>
      </c>
      <c r="AI40" s="30">
        <f>IF(_xlfn.MAXIFS('9_3nf_customer_history'!$B$2:$B$500,'9_3nf_customer_history'!$A$2:$A$500,AD40,'9_3nf_customer_history'!$B$2:$B$500,"&lt;="&amp;L40)=0,"NOT FOUND",_xlfn.MAXIFS('9_3nf_customer_history'!$B$2:$B$500,'9_3nf_customer_history'!$A$2:$A$500,AD40,'9_3nf_customer_history'!$B$2:$B$500,"&lt;="&amp;L40))</f>
        <v/>
      </c>
      <c r="AJ40" s="2">
        <f>IF(AI40="NOT FOUND","NOT FOUND",INDEX('9_3nf_customer_history'!$C:$C,SUMPRODUCT(('9_3nf_customer_history'!$A$2:$A$500=AD40)*('9_3nf_customer_history'!$B$2:$B$500=AI40)*ROW('9_3nf_customer_history'!$A$2:$A$500))))</f>
        <v/>
      </c>
      <c r="AK40" s="2">
        <f>IF(AI40="NOT FOUND","NOT FOUND",INDEX('9_3nf_customer_history'!$D:$D,SUMPRODUCT(('9_3nf_customer_history'!$A$2:$A$500=AD40)*('9_3nf_customer_history'!$B$2:$B$500=AI40)*ROW('9_3nf_customer_history'!$A$2:$A$500))))</f>
        <v/>
      </c>
      <c r="AL40" s="2">
        <f>UPPER(TRIM(H40))</f>
        <v/>
      </c>
      <c r="AM40" s="30">
        <f>IF(_xlfn.MAXIFS('10_ref_fx_rate'!$B$2:$B$2000,'10_ref_fx_rate'!$A$2:$A$2000,AL40,'10_ref_fx_rate'!$B$2:$B$2000,"&lt;="&amp;L40)=0,"NOT FOUND",_xlfn.MAXIFS('10_ref_fx_rate'!$B$2:$B$2000,'10_ref_fx_rate'!$A$2:$A$2000,AL40,'10_ref_fx_rate'!$B$2:$B$2000,"&lt;="&amp;L40))</f>
        <v/>
      </c>
      <c r="AN40" s="8">
        <f>IF(AM40="NOT FOUND","NOT FOUND",SUMIFS('10_ref_fx_rate'!$D$2:$D$2000,'10_ref_fx_rate'!$A$2:$A$2000,AL40,'10_ref_fx_rate'!$B$2:$B$2000,AM40))</f>
        <v/>
      </c>
      <c r="AO40" s="37">
        <f>IF(ISNUMBER(AN40),I40*AN40,"NOT FOUND")</f>
        <v/>
      </c>
      <c r="AP40" s="2">
        <f>UPPER(TRIM(J40))</f>
        <v/>
      </c>
      <c r="AQ40" s="2">
        <f>IF(AP40="","SELF-DIRECTED",IF(ISNUMBER(MATCH(AP40,'11_3nf_sales_person'!$A:$A,0)),IF(EXACT(AP40,J40),"OK","OK (auto-fixed)"),IF(ISNA(MATCH($A40,'12_sales_person_confirmation'!$A:$A,0)),"CONFIRM (not logged)",IF(INDEX('12_sales_person_confirmation'!$I:$I,MATCH($A40,'12_sales_person_confirmation'!$A:$A,0))="CONFIRMED","CONFIRMED ("&amp;LOWER(INDEX('12_sales_person_confirmation'!$E:$E,MATCH($A40,'12_sales_person_confirmation'!$A:$A,0)))&amp;")","PENDING CONFIRM"))))</f>
        <v/>
      </c>
      <c r="AR40" s="2">
        <f>IF(OR(AQ40="OK",AQ40="OK (auto-fixed)"),AP40,IF(LEFT(AQ40,9)="CONFIRMED",INDEX('12_sales_person_confirmation'!$F:$F,MATCH($A40,'12_sales_person_confirmation'!$A:$A,0)),""))</f>
        <v/>
      </c>
      <c r="AS40" s="2">
        <f>IF(AR40="","",INDEX('11_3nf_sales_person'!$B:$B,MATCH(AR40,'11_3nf_sales_person'!$A:$A,0)))</f>
        <v/>
      </c>
    </row>
    <row r="41">
      <c r="A41" s="2">
        <f>IF(ISBLANK('1_raw_log'!A41),"",'1_raw_log'!A41)</f>
        <v/>
      </c>
      <c r="B41" s="3">
        <f>IF(ISBLANK('1_raw_log'!B41),"",'1_raw_log'!B41)</f>
        <v/>
      </c>
      <c r="C41" s="2">
        <f>IF(ISBLANK('1_raw_log'!C41),"",'1_raw_log'!C41)</f>
        <v/>
      </c>
      <c r="D41" s="2">
        <f>IF(ISBLANK('1_raw_log'!D41),"",'1_raw_log'!D41)</f>
        <v/>
      </c>
      <c r="E41" s="4">
        <f>IF(ISBLANK('1_raw_log'!E41),"",'1_raw_log'!E41)</f>
        <v/>
      </c>
      <c r="F41" s="2">
        <f>IF(ISBLANK('1_raw_log'!F41),"",'1_raw_log'!F41)</f>
        <v/>
      </c>
      <c r="G41" s="2">
        <f>IF(ISBLANK('1_raw_log'!G41),"",'1_raw_log'!G41)</f>
        <v/>
      </c>
      <c r="H41" s="2">
        <f>IF(ISBLANK('1_raw_log'!H41),"",'1_raw_log'!H41)</f>
        <v/>
      </c>
      <c r="I41" s="7">
        <f>IF(ISBLANK('1_raw_log'!I41),"",'1_raw_log'!I41)</f>
        <v/>
      </c>
      <c r="J41" s="2">
        <f>IF(ISBLANK('1_raw_log'!J41),"",'1_raw_log'!J41)</f>
        <v/>
      </c>
      <c r="K41" s="2">
        <f>IF(ISBLANK('1_raw_log'!K41),"",'1_raw_log'!K41)</f>
        <v/>
      </c>
      <c r="L41" s="30">
        <f>INT(B41)</f>
        <v/>
      </c>
      <c r="M41" s="20">
        <f>ROUND(MOD(B41,1)*1440,0)/1440</f>
        <v/>
      </c>
      <c r="N41" s="4">
        <f>IFERROR(INDEX('3_ref_date'!$B:$B,MATCH(L41,'3_ref_date'!$A:$A,0)),"NOT FOUND")</f>
        <v/>
      </c>
      <c r="O41" s="2">
        <f>IFERROR(INDEX('3_ref_date'!$C:$C,MATCH(L41,'3_ref_date'!$A:$A,0)),"NOT FOUND")</f>
        <v/>
      </c>
      <c r="P41" s="4">
        <f>IFERROR(INDEX('3_ref_date'!$D:$D,MATCH(L41,'3_ref_date'!$A:$A,0)),"NOT FOUND")</f>
        <v/>
      </c>
      <c r="Q41" s="4">
        <f>IFERROR(INDEX('3_ref_date'!$E:$E,MATCH(L41,'3_ref_date'!$A:$A,0)),"NOT FOUND")</f>
        <v/>
      </c>
      <c r="R41" s="2">
        <f>IFERROR(INDEX('3_ref_date'!$F:$F,MATCH(L41,'3_ref_date'!$A:$A,0)),"NOT FOUND")</f>
        <v/>
      </c>
      <c r="S41" s="2">
        <f>IFERROR(INDEX('4_ref_time'!$D:$D,MATCH(ROUND(M41*1440,0),'4_ref_time'!$A:$A,0)),"NOT FOUND")</f>
        <v/>
      </c>
      <c r="T41" s="2">
        <f>UPPER(TRIM(C41))</f>
        <v/>
      </c>
      <c r="U41" s="30">
        <f>IF(_xlfn.MAXIFS('6_3nf_branch_history'!$B$2:$B$50,'6_3nf_branch_history'!$A$2:$A$50,T41,'6_3nf_branch_history'!$B$2:$B$50,"&lt;="&amp;L41)=0,"NOT FOUND",_xlfn.MAXIFS('6_3nf_branch_history'!$B$2:$B$50,'6_3nf_branch_history'!$A$2:$A$50,T41,'6_3nf_branch_history'!$B$2:$B$50,"&lt;="&amp;L41))</f>
        <v/>
      </c>
      <c r="V41" s="2">
        <f>IF(U41="NOT FOUND","NOT FOUND",INDEX('6_3nf_branch_history'!$C:$C,SUMPRODUCT(('6_3nf_branch_history'!$A$2:$A$50=T41)*('6_3nf_branch_history'!$B$2:$B$50=U41)*ROW('6_3nf_branch_history'!$A$2:$A$50))))</f>
        <v/>
      </c>
      <c r="W41" s="2">
        <f>IF(U41="NOT FOUND","NOT FOUND",INDEX('6_3nf_branch_history'!$D:$D,SUMPRODUCT(('6_3nf_branch_history'!$A$2:$A$50=T41)*('6_3nf_branch_history'!$B$2:$B$50=U41)*ROW('6_3nf_branch_history'!$A$2:$A$50))))</f>
        <v/>
      </c>
      <c r="X41" s="2">
        <f>IF(U41="NOT FOUND","NOT FOUND",INDEX('6_3nf_branch_history'!$E:$E,SUMPRODUCT(('6_3nf_branch_history'!$A$2:$A$50=T41)*('6_3nf_branch_history'!$B$2:$B$50=U41)*ROW('6_3nf_branch_history'!$A$2:$A$50))))</f>
        <v/>
      </c>
      <c r="Y41" s="2">
        <f>UPPER(TRIM(D41))</f>
        <v/>
      </c>
      <c r="Z41" s="2">
        <f>IFERROR(INDEX('7_3nf_product'!$B:$B,MATCH(Y41,'7_3nf_product'!$A:$A,0)),"NOT FOUND")</f>
        <v/>
      </c>
      <c r="AA41" s="2">
        <f>IFERROR(INDEX('7_3nf_product'!$C:$C,MATCH(Y41,'7_3nf_product'!$A:$A,0)),"NOT FOUND")</f>
        <v/>
      </c>
      <c r="AB41" s="2">
        <f>IFERROR(INDEX('7_3nf_product'!$D:$D,MATCH(Y41,'7_3nf_product'!$A:$A,0)),"NOT FOUND")</f>
        <v/>
      </c>
      <c r="AC41" s="6">
        <f>IFERROR(INDEX('7_3nf_product'!$E:$E,MATCH(Y41,'7_3nf_product'!$A:$A,0)),"NOT FOUND")</f>
        <v/>
      </c>
      <c r="AD41" s="33">
        <f>IF(LEN(TRIM(E41))=10,TRIM(E41),IF(LEN(TRIM(E41))=8,"00"&amp;TRIM(E41),"CHECK"))</f>
        <v/>
      </c>
      <c r="AE41" s="2">
        <f>IFERROR(INDEX('8_3nf_customer'!$C:$C,MATCH(AD41,'8_3nf_customer'!$B:$B,0)),"NOT FOUND")</f>
        <v/>
      </c>
      <c r="AF41" s="30">
        <f>IFERROR(INDEX('8_3nf_customer'!$D:$D,MATCH(AD41,'8_3nf_customer'!$B:$B,0)),"NOT FOUND")</f>
        <v/>
      </c>
      <c r="AG41" s="4">
        <f>IF(ISNUMBER(AF41),DATEDIF(AF41,L41,"y"),"NOT FOUND")</f>
        <v/>
      </c>
      <c r="AH41" s="2">
        <f>IFERROR(INDEX('8_3nf_customer'!$E:$E,MATCH(AD41,'8_3nf_customer'!$B:$B,0)),"NOT FOUND")</f>
        <v/>
      </c>
      <c r="AI41" s="30">
        <f>IF(_xlfn.MAXIFS('9_3nf_customer_history'!$B$2:$B$500,'9_3nf_customer_history'!$A$2:$A$500,AD41,'9_3nf_customer_history'!$B$2:$B$500,"&lt;="&amp;L41)=0,"NOT FOUND",_xlfn.MAXIFS('9_3nf_customer_history'!$B$2:$B$500,'9_3nf_customer_history'!$A$2:$A$500,AD41,'9_3nf_customer_history'!$B$2:$B$500,"&lt;="&amp;L41))</f>
        <v/>
      </c>
      <c r="AJ41" s="2">
        <f>IF(AI41="NOT FOUND","NOT FOUND",INDEX('9_3nf_customer_history'!$C:$C,SUMPRODUCT(('9_3nf_customer_history'!$A$2:$A$500=AD41)*('9_3nf_customer_history'!$B$2:$B$500=AI41)*ROW('9_3nf_customer_history'!$A$2:$A$500))))</f>
        <v/>
      </c>
      <c r="AK41" s="2">
        <f>IF(AI41="NOT FOUND","NOT FOUND",INDEX('9_3nf_customer_history'!$D:$D,SUMPRODUCT(('9_3nf_customer_history'!$A$2:$A$500=AD41)*('9_3nf_customer_history'!$B$2:$B$500=AI41)*ROW('9_3nf_customer_history'!$A$2:$A$500))))</f>
        <v/>
      </c>
      <c r="AL41" s="2">
        <f>UPPER(TRIM(H41))</f>
        <v/>
      </c>
      <c r="AM41" s="30">
        <f>IF(_xlfn.MAXIFS('10_ref_fx_rate'!$B$2:$B$2000,'10_ref_fx_rate'!$A$2:$A$2000,AL41,'10_ref_fx_rate'!$B$2:$B$2000,"&lt;="&amp;L41)=0,"NOT FOUND",_xlfn.MAXIFS('10_ref_fx_rate'!$B$2:$B$2000,'10_ref_fx_rate'!$A$2:$A$2000,AL41,'10_ref_fx_rate'!$B$2:$B$2000,"&lt;="&amp;L41))</f>
        <v/>
      </c>
      <c r="AN41" s="8">
        <f>IF(AM41="NOT FOUND","NOT FOUND",SUMIFS('10_ref_fx_rate'!$D$2:$D$2000,'10_ref_fx_rate'!$A$2:$A$2000,AL41,'10_ref_fx_rate'!$B$2:$B$2000,AM41))</f>
        <v/>
      </c>
      <c r="AO41" s="37">
        <f>IF(ISNUMBER(AN41),I41*AN41,"NOT FOUND")</f>
        <v/>
      </c>
      <c r="AP41" s="2">
        <f>UPPER(TRIM(J41))</f>
        <v/>
      </c>
      <c r="AQ41" s="2">
        <f>IF(AP41="","SELF-DIRECTED",IF(ISNUMBER(MATCH(AP41,'11_3nf_sales_person'!$A:$A,0)),IF(EXACT(AP41,J41),"OK","OK (auto-fixed)"),IF(ISNA(MATCH($A41,'12_sales_person_confirmation'!$A:$A,0)),"CONFIRM (not logged)",IF(INDEX('12_sales_person_confirmation'!$I:$I,MATCH($A41,'12_sales_person_confirmation'!$A:$A,0))="CONFIRMED","CONFIRMED ("&amp;LOWER(INDEX('12_sales_person_confirmation'!$E:$E,MATCH($A41,'12_sales_person_confirmation'!$A:$A,0)))&amp;")","PENDING CONFIRM"))))</f>
        <v/>
      </c>
      <c r="AR41" s="2">
        <f>IF(OR(AQ41="OK",AQ41="OK (auto-fixed)"),AP41,IF(LEFT(AQ41,9)="CONFIRMED",INDEX('12_sales_person_confirmation'!$F:$F,MATCH($A41,'12_sales_person_confirmation'!$A:$A,0)),""))</f>
        <v/>
      </c>
      <c r="AS41" s="2">
        <f>IF(AR41="","",INDEX('11_3nf_sales_person'!$B:$B,MATCH(AR41,'11_3nf_sales_person'!$A:$A,0)))</f>
        <v/>
      </c>
    </row>
    <row r="42">
      <c r="A42" s="2">
        <f>IF(ISBLANK('1_raw_log'!A42),"",'1_raw_log'!A42)</f>
        <v/>
      </c>
      <c r="B42" s="3">
        <f>IF(ISBLANK('1_raw_log'!B42),"",'1_raw_log'!B42)</f>
        <v/>
      </c>
      <c r="C42" s="2">
        <f>IF(ISBLANK('1_raw_log'!C42),"",'1_raw_log'!C42)</f>
        <v/>
      </c>
      <c r="D42" s="2">
        <f>IF(ISBLANK('1_raw_log'!D42),"",'1_raw_log'!D42)</f>
        <v/>
      </c>
      <c r="E42" s="4">
        <f>IF(ISBLANK('1_raw_log'!E42),"",'1_raw_log'!E42)</f>
        <v/>
      </c>
      <c r="F42" s="2">
        <f>IF(ISBLANK('1_raw_log'!F42),"",'1_raw_log'!F42)</f>
        <v/>
      </c>
      <c r="G42" s="2">
        <f>IF(ISBLANK('1_raw_log'!G42),"",'1_raw_log'!G42)</f>
        <v/>
      </c>
      <c r="H42" s="2">
        <f>IF(ISBLANK('1_raw_log'!H42),"",'1_raw_log'!H42)</f>
        <v/>
      </c>
      <c r="I42" s="7">
        <f>IF(ISBLANK('1_raw_log'!I42),"",'1_raw_log'!I42)</f>
        <v/>
      </c>
      <c r="J42" s="2">
        <f>IF(ISBLANK('1_raw_log'!J42),"",'1_raw_log'!J42)</f>
        <v/>
      </c>
      <c r="K42" s="2">
        <f>IF(ISBLANK('1_raw_log'!K42),"",'1_raw_log'!K42)</f>
        <v/>
      </c>
      <c r="L42" s="30">
        <f>INT(B42)</f>
        <v/>
      </c>
      <c r="M42" s="20">
        <f>ROUND(MOD(B42,1)*1440,0)/1440</f>
        <v/>
      </c>
      <c r="N42" s="4">
        <f>IFERROR(INDEX('3_ref_date'!$B:$B,MATCH(L42,'3_ref_date'!$A:$A,0)),"NOT FOUND")</f>
        <v/>
      </c>
      <c r="O42" s="2">
        <f>IFERROR(INDEX('3_ref_date'!$C:$C,MATCH(L42,'3_ref_date'!$A:$A,0)),"NOT FOUND")</f>
        <v/>
      </c>
      <c r="P42" s="4">
        <f>IFERROR(INDEX('3_ref_date'!$D:$D,MATCH(L42,'3_ref_date'!$A:$A,0)),"NOT FOUND")</f>
        <v/>
      </c>
      <c r="Q42" s="4">
        <f>IFERROR(INDEX('3_ref_date'!$E:$E,MATCH(L42,'3_ref_date'!$A:$A,0)),"NOT FOUND")</f>
        <v/>
      </c>
      <c r="R42" s="2">
        <f>IFERROR(INDEX('3_ref_date'!$F:$F,MATCH(L42,'3_ref_date'!$A:$A,0)),"NOT FOUND")</f>
        <v/>
      </c>
      <c r="S42" s="2">
        <f>IFERROR(INDEX('4_ref_time'!$D:$D,MATCH(ROUND(M42*1440,0),'4_ref_time'!$A:$A,0)),"NOT FOUND")</f>
        <v/>
      </c>
      <c r="T42" s="2">
        <f>UPPER(TRIM(C42))</f>
        <v/>
      </c>
      <c r="U42" s="30">
        <f>IF(_xlfn.MAXIFS('6_3nf_branch_history'!$B$2:$B$50,'6_3nf_branch_history'!$A$2:$A$50,T42,'6_3nf_branch_history'!$B$2:$B$50,"&lt;="&amp;L42)=0,"NOT FOUND",_xlfn.MAXIFS('6_3nf_branch_history'!$B$2:$B$50,'6_3nf_branch_history'!$A$2:$A$50,T42,'6_3nf_branch_history'!$B$2:$B$50,"&lt;="&amp;L42))</f>
        <v/>
      </c>
      <c r="V42" s="2">
        <f>IF(U42="NOT FOUND","NOT FOUND",INDEX('6_3nf_branch_history'!$C:$C,SUMPRODUCT(('6_3nf_branch_history'!$A$2:$A$50=T42)*('6_3nf_branch_history'!$B$2:$B$50=U42)*ROW('6_3nf_branch_history'!$A$2:$A$50))))</f>
        <v/>
      </c>
      <c r="W42" s="2">
        <f>IF(U42="NOT FOUND","NOT FOUND",INDEX('6_3nf_branch_history'!$D:$D,SUMPRODUCT(('6_3nf_branch_history'!$A$2:$A$50=T42)*('6_3nf_branch_history'!$B$2:$B$50=U42)*ROW('6_3nf_branch_history'!$A$2:$A$50))))</f>
        <v/>
      </c>
      <c r="X42" s="2">
        <f>IF(U42="NOT FOUND","NOT FOUND",INDEX('6_3nf_branch_history'!$E:$E,SUMPRODUCT(('6_3nf_branch_history'!$A$2:$A$50=T42)*('6_3nf_branch_history'!$B$2:$B$50=U42)*ROW('6_3nf_branch_history'!$A$2:$A$50))))</f>
        <v/>
      </c>
      <c r="Y42" s="2">
        <f>UPPER(TRIM(D42))</f>
        <v/>
      </c>
      <c r="Z42" s="2">
        <f>IFERROR(INDEX('7_3nf_product'!$B:$B,MATCH(Y42,'7_3nf_product'!$A:$A,0)),"NOT FOUND")</f>
        <v/>
      </c>
      <c r="AA42" s="2">
        <f>IFERROR(INDEX('7_3nf_product'!$C:$C,MATCH(Y42,'7_3nf_product'!$A:$A,0)),"NOT FOUND")</f>
        <v/>
      </c>
      <c r="AB42" s="2">
        <f>IFERROR(INDEX('7_3nf_product'!$D:$D,MATCH(Y42,'7_3nf_product'!$A:$A,0)),"NOT FOUND")</f>
        <v/>
      </c>
      <c r="AC42" s="6">
        <f>IFERROR(INDEX('7_3nf_product'!$E:$E,MATCH(Y42,'7_3nf_product'!$A:$A,0)),"NOT FOUND")</f>
        <v/>
      </c>
      <c r="AD42" s="33">
        <f>IF(LEN(TRIM(E42))=10,TRIM(E42),IF(LEN(TRIM(E42))=8,"00"&amp;TRIM(E42),"CHECK"))</f>
        <v/>
      </c>
      <c r="AE42" s="2">
        <f>IFERROR(INDEX('8_3nf_customer'!$C:$C,MATCH(AD42,'8_3nf_customer'!$B:$B,0)),"NOT FOUND")</f>
        <v/>
      </c>
      <c r="AF42" s="30">
        <f>IFERROR(INDEX('8_3nf_customer'!$D:$D,MATCH(AD42,'8_3nf_customer'!$B:$B,0)),"NOT FOUND")</f>
        <v/>
      </c>
      <c r="AG42" s="4">
        <f>IF(ISNUMBER(AF42),DATEDIF(AF42,L42,"y"),"NOT FOUND")</f>
        <v/>
      </c>
      <c r="AH42" s="2">
        <f>IFERROR(INDEX('8_3nf_customer'!$E:$E,MATCH(AD42,'8_3nf_customer'!$B:$B,0)),"NOT FOUND")</f>
        <v/>
      </c>
      <c r="AI42" s="30">
        <f>IF(_xlfn.MAXIFS('9_3nf_customer_history'!$B$2:$B$500,'9_3nf_customer_history'!$A$2:$A$500,AD42,'9_3nf_customer_history'!$B$2:$B$500,"&lt;="&amp;L42)=0,"NOT FOUND",_xlfn.MAXIFS('9_3nf_customer_history'!$B$2:$B$500,'9_3nf_customer_history'!$A$2:$A$500,AD42,'9_3nf_customer_history'!$B$2:$B$500,"&lt;="&amp;L42))</f>
        <v/>
      </c>
      <c r="AJ42" s="2">
        <f>IF(AI42="NOT FOUND","NOT FOUND",INDEX('9_3nf_customer_history'!$C:$C,SUMPRODUCT(('9_3nf_customer_history'!$A$2:$A$500=AD42)*('9_3nf_customer_history'!$B$2:$B$500=AI42)*ROW('9_3nf_customer_history'!$A$2:$A$500))))</f>
        <v/>
      </c>
      <c r="AK42" s="2">
        <f>IF(AI42="NOT FOUND","NOT FOUND",INDEX('9_3nf_customer_history'!$D:$D,SUMPRODUCT(('9_3nf_customer_history'!$A$2:$A$500=AD42)*('9_3nf_customer_history'!$B$2:$B$500=AI42)*ROW('9_3nf_customer_history'!$A$2:$A$500))))</f>
        <v/>
      </c>
      <c r="AL42" s="2">
        <f>UPPER(TRIM(H42))</f>
        <v/>
      </c>
      <c r="AM42" s="30">
        <f>IF(_xlfn.MAXIFS('10_ref_fx_rate'!$B$2:$B$2000,'10_ref_fx_rate'!$A$2:$A$2000,AL42,'10_ref_fx_rate'!$B$2:$B$2000,"&lt;="&amp;L42)=0,"NOT FOUND",_xlfn.MAXIFS('10_ref_fx_rate'!$B$2:$B$2000,'10_ref_fx_rate'!$A$2:$A$2000,AL42,'10_ref_fx_rate'!$B$2:$B$2000,"&lt;="&amp;L42))</f>
        <v/>
      </c>
      <c r="AN42" s="8">
        <f>IF(AM42="NOT FOUND","NOT FOUND",SUMIFS('10_ref_fx_rate'!$D$2:$D$2000,'10_ref_fx_rate'!$A$2:$A$2000,AL42,'10_ref_fx_rate'!$B$2:$B$2000,AM42))</f>
        <v/>
      </c>
      <c r="AO42" s="37">
        <f>IF(ISNUMBER(AN42),I42*AN42,"NOT FOUND")</f>
        <v/>
      </c>
      <c r="AP42" s="2">
        <f>UPPER(TRIM(J42))</f>
        <v/>
      </c>
      <c r="AQ42" s="2">
        <f>IF(AP42="","SELF-DIRECTED",IF(ISNUMBER(MATCH(AP42,'11_3nf_sales_person'!$A:$A,0)),IF(EXACT(AP42,J42),"OK","OK (auto-fixed)"),IF(ISNA(MATCH($A42,'12_sales_person_confirmation'!$A:$A,0)),"CONFIRM (not logged)",IF(INDEX('12_sales_person_confirmation'!$I:$I,MATCH($A42,'12_sales_person_confirmation'!$A:$A,0))="CONFIRMED","CONFIRMED ("&amp;LOWER(INDEX('12_sales_person_confirmation'!$E:$E,MATCH($A42,'12_sales_person_confirmation'!$A:$A,0)))&amp;")","PENDING CONFIRM"))))</f>
        <v/>
      </c>
      <c r="AR42" s="2">
        <f>IF(OR(AQ42="OK",AQ42="OK (auto-fixed)"),AP42,IF(LEFT(AQ42,9)="CONFIRMED",INDEX('12_sales_person_confirmation'!$F:$F,MATCH($A42,'12_sales_person_confirmation'!$A:$A,0)),""))</f>
        <v/>
      </c>
      <c r="AS42" s="2">
        <f>IF(AR42="","",INDEX('11_3nf_sales_person'!$B:$B,MATCH(AR42,'11_3nf_sales_person'!$A:$A,0)))</f>
        <v/>
      </c>
    </row>
    <row r="43">
      <c r="A43" s="2">
        <f>IF(ISBLANK('1_raw_log'!A43),"",'1_raw_log'!A43)</f>
        <v/>
      </c>
      <c r="B43" s="3">
        <f>IF(ISBLANK('1_raw_log'!B43),"",'1_raw_log'!B43)</f>
        <v/>
      </c>
      <c r="C43" s="2">
        <f>IF(ISBLANK('1_raw_log'!C43),"",'1_raw_log'!C43)</f>
        <v/>
      </c>
      <c r="D43" s="2">
        <f>IF(ISBLANK('1_raw_log'!D43),"",'1_raw_log'!D43)</f>
        <v/>
      </c>
      <c r="E43" s="4">
        <f>IF(ISBLANK('1_raw_log'!E43),"",'1_raw_log'!E43)</f>
        <v/>
      </c>
      <c r="F43" s="2">
        <f>IF(ISBLANK('1_raw_log'!F43),"",'1_raw_log'!F43)</f>
        <v/>
      </c>
      <c r="G43" s="2">
        <f>IF(ISBLANK('1_raw_log'!G43),"",'1_raw_log'!G43)</f>
        <v/>
      </c>
      <c r="H43" s="2">
        <f>IF(ISBLANK('1_raw_log'!H43),"",'1_raw_log'!H43)</f>
        <v/>
      </c>
      <c r="I43" s="7">
        <f>IF(ISBLANK('1_raw_log'!I43),"",'1_raw_log'!I43)</f>
        <v/>
      </c>
      <c r="J43" s="2">
        <f>IF(ISBLANK('1_raw_log'!J43),"",'1_raw_log'!J43)</f>
        <v/>
      </c>
      <c r="K43" s="2">
        <f>IF(ISBLANK('1_raw_log'!K43),"",'1_raw_log'!K43)</f>
        <v/>
      </c>
      <c r="L43" s="30">
        <f>INT(B43)</f>
        <v/>
      </c>
      <c r="M43" s="20">
        <f>ROUND(MOD(B43,1)*1440,0)/1440</f>
        <v/>
      </c>
      <c r="N43" s="4">
        <f>IFERROR(INDEX('3_ref_date'!$B:$B,MATCH(L43,'3_ref_date'!$A:$A,0)),"NOT FOUND")</f>
        <v/>
      </c>
      <c r="O43" s="2">
        <f>IFERROR(INDEX('3_ref_date'!$C:$C,MATCH(L43,'3_ref_date'!$A:$A,0)),"NOT FOUND")</f>
        <v/>
      </c>
      <c r="P43" s="4">
        <f>IFERROR(INDEX('3_ref_date'!$D:$D,MATCH(L43,'3_ref_date'!$A:$A,0)),"NOT FOUND")</f>
        <v/>
      </c>
      <c r="Q43" s="4">
        <f>IFERROR(INDEX('3_ref_date'!$E:$E,MATCH(L43,'3_ref_date'!$A:$A,0)),"NOT FOUND")</f>
        <v/>
      </c>
      <c r="R43" s="2">
        <f>IFERROR(INDEX('3_ref_date'!$F:$F,MATCH(L43,'3_ref_date'!$A:$A,0)),"NOT FOUND")</f>
        <v/>
      </c>
      <c r="S43" s="2">
        <f>IFERROR(INDEX('4_ref_time'!$D:$D,MATCH(ROUND(M43*1440,0),'4_ref_time'!$A:$A,0)),"NOT FOUND")</f>
        <v/>
      </c>
      <c r="T43" s="2">
        <f>UPPER(TRIM(C43))</f>
        <v/>
      </c>
      <c r="U43" s="30">
        <f>IF(_xlfn.MAXIFS('6_3nf_branch_history'!$B$2:$B$50,'6_3nf_branch_history'!$A$2:$A$50,T43,'6_3nf_branch_history'!$B$2:$B$50,"&lt;="&amp;L43)=0,"NOT FOUND",_xlfn.MAXIFS('6_3nf_branch_history'!$B$2:$B$50,'6_3nf_branch_history'!$A$2:$A$50,T43,'6_3nf_branch_history'!$B$2:$B$50,"&lt;="&amp;L43))</f>
        <v/>
      </c>
      <c r="V43" s="2">
        <f>IF(U43="NOT FOUND","NOT FOUND",INDEX('6_3nf_branch_history'!$C:$C,SUMPRODUCT(('6_3nf_branch_history'!$A$2:$A$50=T43)*('6_3nf_branch_history'!$B$2:$B$50=U43)*ROW('6_3nf_branch_history'!$A$2:$A$50))))</f>
        <v/>
      </c>
      <c r="W43" s="2">
        <f>IF(U43="NOT FOUND","NOT FOUND",INDEX('6_3nf_branch_history'!$D:$D,SUMPRODUCT(('6_3nf_branch_history'!$A$2:$A$50=T43)*('6_3nf_branch_history'!$B$2:$B$50=U43)*ROW('6_3nf_branch_history'!$A$2:$A$50))))</f>
        <v/>
      </c>
      <c r="X43" s="2">
        <f>IF(U43="NOT FOUND","NOT FOUND",INDEX('6_3nf_branch_history'!$E:$E,SUMPRODUCT(('6_3nf_branch_history'!$A$2:$A$50=T43)*('6_3nf_branch_history'!$B$2:$B$50=U43)*ROW('6_3nf_branch_history'!$A$2:$A$50))))</f>
        <v/>
      </c>
      <c r="Y43" s="2">
        <f>UPPER(TRIM(D43))</f>
        <v/>
      </c>
      <c r="Z43" s="2">
        <f>IFERROR(INDEX('7_3nf_product'!$B:$B,MATCH(Y43,'7_3nf_product'!$A:$A,0)),"NOT FOUND")</f>
        <v/>
      </c>
      <c r="AA43" s="2">
        <f>IFERROR(INDEX('7_3nf_product'!$C:$C,MATCH(Y43,'7_3nf_product'!$A:$A,0)),"NOT FOUND")</f>
        <v/>
      </c>
      <c r="AB43" s="2">
        <f>IFERROR(INDEX('7_3nf_product'!$D:$D,MATCH(Y43,'7_3nf_product'!$A:$A,0)),"NOT FOUND")</f>
        <v/>
      </c>
      <c r="AC43" s="6">
        <f>IFERROR(INDEX('7_3nf_product'!$E:$E,MATCH(Y43,'7_3nf_product'!$A:$A,0)),"NOT FOUND")</f>
        <v/>
      </c>
      <c r="AD43" s="33">
        <f>IF(LEN(TRIM(E43))=10,TRIM(E43),IF(LEN(TRIM(E43))=8,"00"&amp;TRIM(E43),"CHECK"))</f>
        <v/>
      </c>
      <c r="AE43" s="2">
        <f>IFERROR(INDEX('8_3nf_customer'!$C:$C,MATCH(AD43,'8_3nf_customer'!$B:$B,0)),"NOT FOUND")</f>
        <v/>
      </c>
      <c r="AF43" s="30">
        <f>IFERROR(INDEX('8_3nf_customer'!$D:$D,MATCH(AD43,'8_3nf_customer'!$B:$B,0)),"NOT FOUND")</f>
        <v/>
      </c>
      <c r="AG43" s="4">
        <f>IF(ISNUMBER(AF43),DATEDIF(AF43,L43,"y"),"NOT FOUND")</f>
        <v/>
      </c>
      <c r="AH43" s="2">
        <f>IFERROR(INDEX('8_3nf_customer'!$E:$E,MATCH(AD43,'8_3nf_customer'!$B:$B,0)),"NOT FOUND")</f>
        <v/>
      </c>
      <c r="AI43" s="30">
        <f>IF(_xlfn.MAXIFS('9_3nf_customer_history'!$B$2:$B$500,'9_3nf_customer_history'!$A$2:$A$500,AD43,'9_3nf_customer_history'!$B$2:$B$500,"&lt;="&amp;L43)=0,"NOT FOUND",_xlfn.MAXIFS('9_3nf_customer_history'!$B$2:$B$500,'9_3nf_customer_history'!$A$2:$A$500,AD43,'9_3nf_customer_history'!$B$2:$B$500,"&lt;="&amp;L43))</f>
        <v/>
      </c>
      <c r="AJ43" s="2">
        <f>IF(AI43="NOT FOUND","NOT FOUND",INDEX('9_3nf_customer_history'!$C:$C,SUMPRODUCT(('9_3nf_customer_history'!$A$2:$A$500=AD43)*('9_3nf_customer_history'!$B$2:$B$500=AI43)*ROW('9_3nf_customer_history'!$A$2:$A$500))))</f>
        <v/>
      </c>
      <c r="AK43" s="2">
        <f>IF(AI43="NOT FOUND","NOT FOUND",INDEX('9_3nf_customer_history'!$D:$D,SUMPRODUCT(('9_3nf_customer_history'!$A$2:$A$500=AD43)*('9_3nf_customer_history'!$B$2:$B$500=AI43)*ROW('9_3nf_customer_history'!$A$2:$A$500))))</f>
        <v/>
      </c>
      <c r="AL43" s="2">
        <f>UPPER(TRIM(H43))</f>
        <v/>
      </c>
      <c r="AM43" s="30">
        <f>IF(_xlfn.MAXIFS('10_ref_fx_rate'!$B$2:$B$2000,'10_ref_fx_rate'!$A$2:$A$2000,AL43,'10_ref_fx_rate'!$B$2:$B$2000,"&lt;="&amp;L43)=0,"NOT FOUND",_xlfn.MAXIFS('10_ref_fx_rate'!$B$2:$B$2000,'10_ref_fx_rate'!$A$2:$A$2000,AL43,'10_ref_fx_rate'!$B$2:$B$2000,"&lt;="&amp;L43))</f>
        <v/>
      </c>
      <c r="AN43" s="8">
        <f>IF(AM43="NOT FOUND","NOT FOUND",SUMIFS('10_ref_fx_rate'!$D$2:$D$2000,'10_ref_fx_rate'!$A$2:$A$2000,AL43,'10_ref_fx_rate'!$B$2:$B$2000,AM43))</f>
        <v/>
      </c>
      <c r="AO43" s="37">
        <f>IF(ISNUMBER(AN43),I43*AN43,"NOT FOUND")</f>
        <v/>
      </c>
      <c r="AP43" s="2">
        <f>UPPER(TRIM(J43))</f>
        <v/>
      </c>
      <c r="AQ43" s="2">
        <f>IF(AP43="","SELF-DIRECTED",IF(ISNUMBER(MATCH(AP43,'11_3nf_sales_person'!$A:$A,0)),IF(EXACT(AP43,J43),"OK","OK (auto-fixed)"),IF(ISNA(MATCH($A43,'12_sales_person_confirmation'!$A:$A,0)),"CONFIRM (not logged)",IF(INDEX('12_sales_person_confirmation'!$I:$I,MATCH($A43,'12_sales_person_confirmation'!$A:$A,0))="CONFIRMED","CONFIRMED ("&amp;LOWER(INDEX('12_sales_person_confirmation'!$E:$E,MATCH($A43,'12_sales_person_confirmation'!$A:$A,0)))&amp;")","PENDING CONFIRM"))))</f>
        <v/>
      </c>
      <c r="AR43" s="2">
        <f>IF(OR(AQ43="OK",AQ43="OK (auto-fixed)"),AP43,IF(LEFT(AQ43,9)="CONFIRMED",INDEX('12_sales_person_confirmation'!$F:$F,MATCH($A43,'12_sales_person_confirmation'!$A:$A,0)),""))</f>
        <v/>
      </c>
      <c r="AS43" s="2">
        <f>IF(AR43="","",INDEX('11_3nf_sales_person'!$B:$B,MATCH(AR43,'11_3nf_sales_person'!$A:$A,0)))</f>
        <v/>
      </c>
    </row>
    <row r="44">
      <c r="A44" s="2">
        <f>IF(ISBLANK('1_raw_log'!A44),"",'1_raw_log'!A44)</f>
        <v/>
      </c>
      <c r="B44" s="3">
        <f>IF(ISBLANK('1_raw_log'!B44),"",'1_raw_log'!B44)</f>
        <v/>
      </c>
      <c r="C44" s="2">
        <f>IF(ISBLANK('1_raw_log'!C44),"",'1_raw_log'!C44)</f>
        <v/>
      </c>
      <c r="D44" s="2">
        <f>IF(ISBLANK('1_raw_log'!D44),"",'1_raw_log'!D44)</f>
        <v/>
      </c>
      <c r="E44" s="4">
        <f>IF(ISBLANK('1_raw_log'!E44),"",'1_raw_log'!E44)</f>
        <v/>
      </c>
      <c r="F44" s="2">
        <f>IF(ISBLANK('1_raw_log'!F44),"",'1_raw_log'!F44)</f>
        <v/>
      </c>
      <c r="G44" s="2">
        <f>IF(ISBLANK('1_raw_log'!G44),"",'1_raw_log'!G44)</f>
        <v/>
      </c>
      <c r="H44" s="2">
        <f>IF(ISBLANK('1_raw_log'!H44),"",'1_raw_log'!H44)</f>
        <v/>
      </c>
      <c r="I44" s="7">
        <f>IF(ISBLANK('1_raw_log'!I44),"",'1_raw_log'!I44)</f>
        <v/>
      </c>
      <c r="J44" s="2">
        <f>IF(ISBLANK('1_raw_log'!J44),"",'1_raw_log'!J44)</f>
        <v/>
      </c>
      <c r="K44" s="2">
        <f>IF(ISBLANK('1_raw_log'!K44),"",'1_raw_log'!K44)</f>
        <v/>
      </c>
      <c r="L44" s="30">
        <f>INT(B44)</f>
        <v/>
      </c>
      <c r="M44" s="20">
        <f>ROUND(MOD(B44,1)*1440,0)/1440</f>
        <v/>
      </c>
      <c r="N44" s="4">
        <f>IFERROR(INDEX('3_ref_date'!$B:$B,MATCH(L44,'3_ref_date'!$A:$A,0)),"NOT FOUND")</f>
        <v/>
      </c>
      <c r="O44" s="2">
        <f>IFERROR(INDEX('3_ref_date'!$C:$C,MATCH(L44,'3_ref_date'!$A:$A,0)),"NOT FOUND")</f>
        <v/>
      </c>
      <c r="P44" s="4">
        <f>IFERROR(INDEX('3_ref_date'!$D:$D,MATCH(L44,'3_ref_date'!$A:$A,0)),"NOT FOUND")</f>
        <v/>
      </c>
      <c r="Q44" s="4">
        <f>IFERROR(INDEX('3_ref_date'!$E:$E,MATCH(L44,'3_ref_date'!$A:$A,0)),"NOT FOUND")</f>
        <v/>
      </c>
      <c r="R44" s="2">
        <f>IFERROR(INDEX('3_ref_date'!$F:$F,MATCH(L44,'3_ref_date'!$A:$A,0)),"NOT FOUND")</f>
        <v/>
      </c>
      <c r="S44" s="2">
        <f>IFERROR(INDEX('4_ref_time'!$D:$D,MATCH(ROUND(M44*1440,0),'4_ref_time'!$A:$A,0)),"NOT FOUND")</f>
        <v/>
      </c>
      <c r="T44" s="2">
        <f>UPPER(TRIM(C44))</f>
        <v/>
      </c>
      <c r="U44" s="30">
        <f>IF(_xlfn.MAXIFS('6_3nf_branch_history'!$B$2:$B$50,'6_3nf_branch_history'!$A$2:$A$50,T44,'6_3nf_branch_history'!$B$2:$B$50,"&lt;="&amp;L44)=0,"NOT FOUND",_xlfn.MAXIFS('6_3nf_branch_history'!$B$2:$B$50,'6_3nf_branch_history'!$A$2:$A$50,T44,'6_3nf_branch_history'!$B$2:$B$50,"&lt;="&amp;L44))</f>
        <v/>
      </c>
      <c r="V44" s="2">
        <f>IF(U44="NOT FOUND","NOT FOUND",INDEX('6_3nf_branch_history'!$C:$C,SUMPRODUCT(('6_3nf_branch_history'!$A$2:$A$50=T44)*('6_3nf_branch_history'!$B$2:$B$50=U44)*ROW('6_3nf_branch_history'!$A$2:$A$50))))</f>
        <v/>
      </c>
      <c r="W44" s="2">
        <f>IF(U44="NOT FOUND","NOT FOUND",INDEX('6_3nf_branch_history'!$D:$D,SUMPRODUCT(('6_3nf_branch_history'!$A$2:$A$50=T44)*('6_3nf_branch_history'!$B$2:$B$50=U44)*ROW('6_3nf_branch_history'!$A$2:$A$50))))</f>
        <v/>
      </c>
      <c r="X44" s="2">
        <f>IF(U44="NOT FOUND","NOT FOUND",INDEX('6_3nf_branch_history'!$E:$E,SUMPRODUCT(('6_3nf_branch_history'!$A$2:$A$50=T44)*('6_3nf_branch_history'!$B$2:$B$50=U44)*ROW('6_3nf_branch_history'!$A$2:$A$50))))</f>
        <v/>
      </c>
      <c r="Y44" s="2">
        <f>UPPER(TRIM(D44))</f>
        <v/>
      </c>
      <c r="Z44" s="2">
        <f>IFERROR(INDEX('7_3nf_product'!$B:$B,MATCH(Y44,'7_3nf_product'!$A:$A,0)),"NOT FOUND")</f>
        <v/>
      </c>
      <c r="AA44" s="2">
        <f>IFERROR(INDEX('7_3nf_product'!$C:$C,MATCH(Y44,'7_3nf_product'!$A:$A,0)),"NOT FOUND")</f>
        <v/>
      </c>
      <c r="AB44" s="2">
        <f>IFERROR(INDEX('7_3nf_product'!$D:$D,MATCH(Y44,'7_3nf_product'!$A:$A,0)),"NOT FOUND")</f>
        <v/>
      </c>
      <c r="AC44" s="6">
        <f>IFERROR(INDEX('7_3nf_product'!$E:$E,MATCH(Y44,'7_3nf_product'!$A:$A,0)),"NOT FOUND")</f>
        <v/>
      </c>
      <c r="AD44" s="33">
        <f>IF(LEN(TRIM(E44))=10,TRIM(E44),IF(LEN(TRIM(E44))=8,"00"&amp;TRIM(E44),"CHECK"))</f>
        <v/>
      </c>
      <c r="AE44" s="2">
        <f>IFERROR(INDEX('8_3nf_customer'!$C:$C,MATCH(AD44,'8_3nf_customer'!$B:$B,0)),"NOT FOUND")</f>
        <v/>
      </c>
      <c r="AF44" s="30">
        <f>IFERROR(INDEX('8_3nf_customer'!$D:$D,MATCH(AD44,'8_3nf_customer'!$B:$B,0)),"NOT FOUND")</f>
        <v/>
      </c>
      <c r="AG44" s="4">
        <f>IF(ISNUMBER(AF44),DATEDIF(AF44,L44,"y"),"NOT FOUND")</f>
        <v/>
      </c>
      <c r="AH44" s="2">
        <f>IFERROR(INDEX('8_3nf_customer'!$E:$E,MATCH(AD44,'8_3nf_customer'!$B:$B,0)),"NOT FOUND")</f>
        <v/>
      </c>
      <c r="AI44" s="30">
        <f>IF(_xlfn.MAXIFS('9_3nf_customer_history'!$B$2:$B$500,'9_3nf_customer_history'!$A$2:$A$500,AD44,'9_3nf_customer_history'!$B$2:$B$500,"&lt;="&amp;L44)=0,"NOT FOUND",_xlfn.MAXIFS('9_3nf_customer_history'!$B$2:$B$500,'9_3nf_customer_history'!$A$2:$A$500,AD44,'9_3nf_customer_history'!$B$2:$B$500,"&lt;="&amp;L44))</f>
        <v/>
      </c>
      <c r="AJ44" s="2">
        <f>IF(AI44="NOT FOUND","NOT FOUND",INDEX('9_3nf_customer_history'!$C:$C,SUMPRODUCT(('9_3nf_customer_history'!$A$2:$A$500=AD44)*('9_3nf_customer_history'!$B$2:$B$500=AI44)*ROW('9_3nf_customer_history'!$A$2:$A$500))))</f>
        <v/>
      </c>
      <c r="AK44" s="2">
        <f>IF(AI44="NOT FOUND","NOT FOUND",INDEX('9_3nf_customer_history'!$D:$D,SUMPRODUCT(('9_3nf_customer_history'!$A$2:$A$500=AD44)*('9_3nf_customer_history'!$B$2:$B$500=AI44)*ROW('9_3nf_customer_history'!$A$2:$A$500))))</f>
        <v/>
      </c>
      <c r="AL44" s="2">
        <f>UPPER(TRIM(H44))</f>
        <v/>
      </c>
      <c r="AM44" s="30">
        <f>IF(_xlfn.MAXIFS('10_ref_fx_rate'!$B$2:$B$2000,'10_ref_fx_rate'!$A$2:$A$2000,AL44,'10_ref_fx_rate'!$B$2:$B$2000,"&lt;="&amp;L44)=0,"NOT FOUND",_xlfn.MAXIFS('10_ref_fx_rate'!$B$2:$B$2000,'10_ref_fx_rate'!$A$2:$A$2000,AL44,'10_ref_fx_rate'!$B$2:$B$2000,"&lt;="&amp;L44))</f>
        <v/>
      </c>
      <c r="AN44" s="8">
        <f>IF(AM44="NOT FOUND","NOT FOUND",SUMIFS('10_ref_fx_rate'!$D$2:$D$2000,'10_ref_fx_rate'!$A$2:$A$2000,AL44,'10_ref_fx_rate'!$B$2:$B$2000,AM44))</f>
        <v/>
      </c>
      <c r="AO44" s="37">
        <f>IF(ISNUMBER(AN44),I44*AN44,"NOT FOUND")</f>
        <v/>
      </c>
      <c r="AP44" s="2">
        <f>UPPER(TRIM(J44))</f>
        <v/>
      </c>
      <c r="AQ44" s="2">
        <f>IF(AP44="","SELF-DIRECTED",IF(ISNUMBER(MATCH(AP44,'11_3nf_sales_person'!$A:$A,0)),IF(EXACT(AP44,J44),"OK","OK (auto-fixed)"),IF(ISNA(MATCH($A44,'12_sales_person_confirmation'!$A:$A,0)),"CONFIRM (not logged)",IF(INDEX('12_sales_person_confirmation'!$I:$I,MATCH($A44,'12_sales_person_confirmation'!$A:$A,0))="CONFIRMED","CONFIRMED ("&amp;LOWER(INDEX('12_sales_person_confirmation'!$E:$E,MATCH($A44,'12_sales_person_confirmation'!$A:$A,0)))&amp;")","PENDING CONFIRM"))))</f>
        <v/>
      </c>
      <c r="AR44" s="2">
        <f>IF(OR(AQ44="OK",AQ44="OK (auto-fixed)"),AP44,IF(LEFT(AQ44,9)="CONFIRMED",INDEX('12_sales_person_confirmation'!$F:$F,MATCH($A44,'12_sales_person_confirmation'!$A:$A,0)),""))</f>
        <v/>
      </c>
      <c r="AS44" s="2">
        <f>IF(AR44="","",INDEX('11_3nf_sales_person'!$B:$B,MATCH(AR44,'11_3nf_sales_person'!$A:$A,0)))</f>
        <v/>
      </c>
    </row>
    <row r="45">
      <c r="A45" s="2">
        <f>IF(ISBLANK('1_raw_log'!A45),"",'1_raw_log'!A45)</f>
        <v/>
      </c>
      <c r="B45" s="3">
        <f>IF(ISBLANK('1_raw_log'!B45),"",'1_raw_log'!B45)</f>
        <v/>
      </c>
      <c r="C45" s="2">
        <f>IF(ISBLANK('1_raw_log'!C45),"",'1_raw_log'!C45)</f>
        <v/>
      </c>
      <c r="D45" s="2">
        <f>IF(ISBLANK('1_raw_log'!D45),"",'1_raw_log'!D45)</f>
        <v/>
      </c>
      <c r="E45" s="4">
        <f>IF(ISBLANK('1_raw_log'!E45),"",'1_raw_log'!E45)</f>
        <v/>
      </c>
      <c r="F45" s="2">
        <f>IF(ISBLANK('1_raw_log'!F45),"",'1_raw_log'!F45)</f>
        <v/>
      </c>
      <c r="G45" s="2">
        <f>IF(ISBLANK('1_raw_log'!G45),"",'1_raw_log'!G45)</f>
        <v/>
      </c>
      <c r="H45" s="2">
        <f>IF(ISBLANK('1_raw_log'!H45),"",'1_raw_log'!H45)</f>
        <v/>
      </c>
      <c r="I45" s="7">
        <f>IF(ISBLANK('1_raw_log'!I45),"",'1_raw_log'!I45)</f>
        <v/>
      </c>
      <c r="J45" s="2">
        <f>IF(ISBLANK('1_raw_log'!J45),"",'1_raw_log'!J45)</f>
        <v/>
      </c>
      <c r="K45" s="2">
        <f>IF(ISBLANK('1_raw_log'!K45),"",'1_raw_log'!K45)</f>
        <v/>
      </c>
      <c r="L45" s="30">
        <f>INT(B45)</f>
        <v/>
      </c>
      <c r="M45" s="20">
        <f>ROUND(MOD(B45,1)*1440,0)/1440</f>
        <v/>
      </c>
      <c r="N45" s="4">
        <f>IFERROR(INDEX('3_ref_date'!$B:$B,MATCH(L45,'3_ref_date'!$A:$A,0)),"NOT FOUND")</f>
        <v/>
      </c>
      <c r="O45" s="2">
        <f>IFERROR(INDEX('3_ref_date'!$C:$C,MATCH(L45,'3_ref_date'!$A:$A,0)),"NOT FOUND")</f>
        <v/>
      </c>
      <c r="P45" s="4">
        <f>IFERROR(INDEX('3_ref_date'!$D:$D,MATCH(L45,'3_ref_date'!$A:$A,0)),"NOT FOUND")</f>
        <v/>
      </c>
      <c r="Q45" s="4">
        <f>IFERROR(INDEX('3_ref_date'!$E:$E,MATCH(L45,'3_ref_date'!$A:$A,0)),"NOT FOUND")</f>
        <v/>
      </c>
      <c r="R45" s="2">
        <f>IFERROR(INDEX('3_ref_date'!$F:$F,MATCH(L45,'3_ref_date'!$A:$A,0)),"NOT FOUND")</f>
        <v/>
      </c>
      <c r="S45" s="2">
        <f>IFERROR(INDEX('4_ref_time'!$D:$D,MATCH(ROUND(M45*1440,0),'4_ref_time'!$A:$A,0)),"NOT FOUND")</f>
        <v/>
      </c>
      <c r="T45" s="2">
        <f>UPPER(TRIM(C45))</f>
        <v/>
      </c>
      <c r="U45" s="30">
        <f>IF(_xlfn.MAXIFS('6_3nf_branch_history'!$B$2:$B$50,'6_3nf_branch_history'!$A$2:$A$50,T45,'6_3nf_branch_history'!$B$2:$B$50,"&lt;="&amp;L45)=0,"NOT FOUND",_xlfn.MAXIFS('6_3nf_branch_history'!$B$2:$B$50,'6_3nf_branch_history'!$A$2:$A$50,T45,'6_3nf_branch_history'!$B$2:$B$50,"&lt;="&amp;L45))</f>
        <v/>
      </c>
      <c r="V45" s="2">
        <f>IF(U45="NOT FOUND","NOT FOUND",INDEX('6_3nf_branch_history'!$C:$C,SUMPRODUCT(('6_3nf_branch_history'!$A$2:$A$50=T45)*('6_3nf_branch_history'!$B$2:$B$50=U45)*ROW('6_3nf_branch_history'!$A$2:$A$50))))</f>
        <v/>
      </c>
      <c r="W45" s="2">
        <f>IF(U45="NOT FOUND","NOT FOUND",INDEX('6_3nf_branch_history'!$D:$D,SUMPRODUCT(('6_3nf_branch_history'!$A$2:$A$50=T45)*('6_3nf_branch_history'!$B$2:$B$50=U45)*ROW('6_3nf_branch_history'!$A$2:$A$50))))</f>
        <v/>
      </c>
      <c r="X45" s="2">
        <f>IF(U45="NOT FOUND","NOT FOUND",INDEX('6_3nf_branch_history'!$E:$E,SUMPRODUCT(('6_3nf_branch_history'!$A$2:$A$50=T45)*('6_3nf_branch_history'!$B$2:$B$50=U45)*ROW('6_3nf_branch_history'!$A$2:$A$50))))</f>
        <v/>
      </c>
      <c r="Y45" s="2">
        <f>UPPER(TRIM(D45))</f>
        <v/>
      </c>
      <c r="Z45" s="2">
        <f>IFERROR(INDEX('7_3nf_product'!$B:$B,MATCH(Y45,'7_3nf_product'!$A:$A,0)),"NOT FOUND")</f>
        <v/>
      </c>
      <c r="AA45" s="2">
        <f>IFERROR(INDEX('7_3nf_product'!$C:$C,MATCH(Y45,'7_3nf_product'!$A:$A,0)),"NOT FOUND")</f>
        <v/>
      </c>
      <c r="AB45" s="2">
        <f>IFERROR(INDEX('7_3nf_product'!$D:$D,MATCH(Y45,'7_3nf_product'!$A:$A,0)),"NOT FOUND")</f>
        <v/>
      </c>
      <c r="AC45" s="6">
        <f>IFERROR(INDEX('7_3nf_product'!$E:$E,MATCH(Y45,'7_3nf_product'!$A:$A,0)),"NOT FOUND")</f>
        <v/>
      </c>
      <c r="AD45" s="33">
        <f>IF(LEN(TRIM(E45))=10,TRIM(E45),IF(LEN(TRIM(E45))=8,"00"&amp;TRIM(E45),"CHECK"))</f>
        <v/>
      </c>
      <c r="AE45" s="2">
        <f>IFERROR(INDEX('8_3nf_customer'!$C:$C,MATCH(AD45,'8_3nf_customer'!$B:$B,0)),"NOT FOUND")</f>
        <v/>
      </c>
      <c r="AF45" s="30">
        <f>IFERROR(INDEX('8_3nf_customer'!$D:$D,MATCH(AD45,'8_3nf_customer'!$B:$B,0)),"NOT FOUND")</f>
        <v/>
      </c>
      <c r="AG45" s="4">
        <f>IF(ISNUMBER(AF45),DATEDIF(AF45,L45,"y"),"NOT FOUND")</f>
        <v/>
      </c>
      <c r="AH45" s="2">
        <f>IFERROR(INDEX('8_3nf_customer'!$E:$E,MATCH(AD45,'8_3nf_customer'!$B:$B,0)),"NOT FOUND")</f>
        <v/>
      </c>
      <c r="AI45" s="30">
        <f>IF(_xlfn.MAXIFS('9_3nf_customer_history'!$B$2:$B$500,'9_3nf_customer_history'!$A$2:$A$500,AD45,'9_3nf_customer_history'!$B$2:$B$500,"&lt;="&amp;L45)=0,"NOT FOUND",_xlfn.MAXIFS('9_3nf_customer_history'!$B$2:$B$500,'9_3nf_customer_history'!$A$2:$A$500,AD45,'9_3nf_customer_history'!$B$2:$B$500,"&lt;="&amp;L45))</f>
        <v/>
      </c>
      <c r="AJ45" s="2">
        <f>IF(AI45="NOT FOUND","NOT FOUND",INDEX('9_3nf_customer_history'!$C:$C,SUMPRODUCT(('9_3nf_customer_history'!$A$2:$A$500=AD45)*('9_3nf_customer_history'!$B$2:$B$500=AI45)*ROW('9_3nf_customer_history'!$A$2:$A$500))))</f>
        <v/>
      </c>
      <c r="AK45" s="2">
        <f>IF(AI45="NOT FOUND","NOT FOUND",INDEX('9_3nf_customer_history'!$D:$D,SUMPRODUCT(('9_3nf_customer_history'!$A$2:$A$500=AD45)*('9_3nf_customer_history'!$B$2:$B$500=AI45)*ROW('9_3nf_customer_history'!$A$2:$A$500))))</f>
        <v/>
      </c>
      <c r="AL45" s="2">
        <f>UPPER(TRIM(H45))</f>
        <v/>
      </c>
      <c r="AM45" s="30">
        <f>IF(_xlfn.MAXIFS('10_ref_fx_rate'!$B$2:$B$2000,'10_ref_fx_rate'!$A$2:$A$2000,AL45,'10_ref_fx_rate'!$B$2:$B$2000,"&lt;="&amp;L45)=0,"NOT FOUND",_xlfn.MAXIFS('10_ref_fx_rate'!$B$2:$B$2000,'10_ref_fx_rate'!$A$2:$A$2000,AL45,'10_ref_fx_rate'!$B$2:$B$2000,"&lt;="&amp;L45))</f>
        <v/>
      </c>
      <c r="AN45" s="8">
        <f>IF(AM45="NOT FOUND","NOT FOUND",SUMIFS('10_ref_fx_rate'!$D$2:$D$2000,'10_ref_fx_rate'!$A$2:$A$2000,AL45,'10_ref_fx_rate'!$B$2:$B$2000,AM45))</f>
        <v/>
      </c>
      <c r="AO45" s="37">
        <f>IF(ISNUMBER(AN45),I45*AN45,"NOT FOUND")</f>
        <v/>
      </c>
      <c r="AP45" s="2">
        <f>UPPER(TRIM(J45))</f>
        <v/>
      </c>
      <c r="AQ45" s="2">
        <f>IF(AP45="","SELF-DIRECTED",IF(ISNUMBER(MATCH(AP45,'11_3nf_sales_person'!$A:$A,0)),IF(EXACT(AP45,J45),"OK","OK (auto-fixed)"),IF(ISNA(MATCH($A45,'12_sales_person_confirmation'!$A:$A,0)),"CONFIRM (not logged)",IF(INDEX('12_sales_person_confirmation'!$I:$I,MATCH($A45,'12_sales_person_confirmation'!$A:$A,0))="CONFIRMED","CONFIRMED ("&amp;LOWER(INDEX('12_sales_person_confirmation'!$E:$E,MATCH($A45,'12_sales_person_confirmation'!$A:$A,0)))&amp;")","PENDING CONFIRM"))))</f>
        <v/>
      </c>
      <c r="AR45" s="2">
        <f>IF(OR(AQ45="OK",AQ45="OK (auto-fixed)"),AP45,IF(LEFT(AQ45,9)="CONFIRMED",INDEX('12_sales_person_confirmation'!$F:$F,MATCH($A45,'12_sales_person_confirmation'!$A:$A,0)),""))</f>
        <v/>
      </c>
      <c r="AS45" s="2">
        <f>IF(AR45="","",INDEX('11_3nf_sales_person'!$B:$B,MATCH(AR45,'11_3nf_sales_person'!$A:$A,0)))</f>
        <v/>
      </c>
    </row>
    <row r="46">
      <c r="A46" s="2">
        <f>IF(ISBLANK('1_raw_log'!A46),"",'1_raw_log'!A46)</f>
        <v/>
      </c>
      <c r="B46" s="3">
        <f>IF(ISBLANK('1_raw_log'!B46),"",'1_raw_log'!B46)</f>
        <v/>
      </c>
      <c r="C46" s="2">
        <f>IF(ISBLANK('1_raw_log'!C46),"",'1_raw_log'!C46)</f>
        <v/>
      </c>
      <c r="D46" s="2">
        <f>IF(ISBLANK('1_raw_log'!D46),"",'1_raw_log'!D46)</f>
        <v/>
      </c>
      <c r="E46" s="4">
        <f>IF(ISBLANK('1_raw_log'!E46),"",'1_raw_log'!E46)</f>
        <v/>
      </c>
      <c r="F46" s="2">
        <f>IF(ISBLANK('1_raw_log'!F46),"",'1_raw_log'!F46)</f>
        <v/>
      </c>
      <c r="G46" s="2">
        <f>IF(ISBLANK('1_raw_log'!G46),"",'1_raw_log'!G46)</f>
        <v/>
      </c>
      <c r="H46" s="2">
        <f>IF(ISBLANK('1_raw_log'!H46),"",'1_raw_log'!H46)</f>
        <v/>
      </c>
      <c r="I46" s="7">
        <f>IF(ISBLANK('1_raw_log'!I46),"",'1_raw_log'!I46)</f>
        <v/>
      </c>
      <c r="J46" s="2">
        <f>IF(ISBLANK('1_raw_log'!J46),"",'1_raw_log'!J46)</f>
        <v/>
      </c>
      <c r="K46" s="2">
        <f>IF(ISBLANK('1_raw_log'!K46),"",'1_raw_log'!K46)</f>
        <v/>
      </c>
      <c r="L46" s="30">
        <f>INT(B46)</f>
        <v/>
      </c>
      <c r="M46" s="20">
        <f>ROUND(MOD(B46,1)*1440,0)/1440</f>
        <v/>
      </c>
      <c r="N46" s="4">
        <f>IFERROR(INDEX('3_ref_date'!$B:$B,MATCH(L46,'3_ref_date'!$A:$A,0)),"NOT FOUND")</f>
        <v/>
      </c>
      <c r="O46" s="2">
        <f>IFERROR(INDEX('3_ref_date'!$C:$C,MATCH(L46,'3_ref_date'!$A:$A,0)),"NOT FOUND")</f>
        <v/>
      </c>
      <c r="P46" s="4">
        <f>IFERROR(INDEX('3_ref_date'!$D:$D,MATCH(L46,'3_ref_date'!$A:$A,0)),"NOT FOUND")</f>
        <v/>
      </c>
      <c r="Q46" s="4">
        <f>IFERROR(INDEX('3_ref_date'!$E:$E,MATCH(L46,'3_ref_date'!$A:$A,0)),"NOT FOUND")</f>
        <v/>
      </c>
      <c r="R46" s="2">
        <f>IFERROR(INDEX('3_ref_date'!$F:$F,MATCH(L46,'3_ref_date'!$A:$A,0)),"NOT FOUND")</f>
        <v/>
      </c>
      <c r="S46" s="2">
        <f>IFERROR(INDEX('4_ref_time'!$D:$D,MATCH(ROUND(M46*1440,0),'4_ref_time'!$A:$A,0)),"NOT FOUND")</f>
        <v/>
      </c>
      <c r="T46" s="2">
        <f>UPPER(TRIM(C46))</f>
        <v/>
      </c>
      <c r="U46" s="30">
        <f>IF(_xlfn.MAXIFS('6_3nf_branch_history'!$B$2:$B$50,'6_3nf_branch_history'!$A$2:$A$50,T46,'6_3nf_branch_history'!$B$2:$B$50,"&lt;="&amp;L46)=0,"NOT FOUND",_xlfn.MAXIFS('6_3nf_branch_history'!$B$2:$B$50,'6_3nf_branch_history'!$A$2:$A$50,T46,'6_3nf_branch_history'!$B$2:$B$50,"&lt;="&amp;L46))</f>
        <v/>
      </c>
      <c r="V46" s="2">
        <f>IF(U46="NOT FOUND","NOT FOUND",INDEX('6_3nf_branch_history'!$C:$C,SUMPRODUCT(('6_3nf_branch_history'!$A$2:$A$50=T46)*('6_3nf_branch_history'!$B$2:$B$50=U46)*ROW('6_3nf_branch_history'!$A$2:$A$50))))</f>
        <v/>
      </c>
      <c r="W46" s="2">
        <f>IF(U46="NOT FOUND","NOT FOUND",INDEX('6_3nf_branch_history'!$D:$D,SUMPRODUCT(('6_3nf_branch_history'!$A$2:$A$50=T46)*('6_3nf_branch_history'!$B$2:$B$50=U46)*ROW('6_3nf_branch_history'!$A$2:$A$50))))</f>
        <v/>
      </c>
      <c r="X46" s="2">
        <f>IF(U46="NOT FOUND","NOT FOUND",INDEX('6_3nf_branch_history'!$E:$E,SUMPRODUCT(('6_3nf_branch_history'!$A$2:$A$50=T46)*('6_3nf_branch_history'!$B$2:$B$50=U46)*ROW('6_3nf_branch_history'!$A$2:$A$50))))</f>
        <v/>
      </c>
      <c r="Y46" s="2">
        <f>UPPER(TRIM(D46))</f>
        <v/>
      </c>
      <c r="Z46" s="2">
        <f>IFERROR(INDEX('7_3nf_product'!$B:$B,MATCH(Y46,'7_3nf_product'!$A:$A,0)),"NOT FOUND")</f>
        <v/>
      </c>
      <c r="AA46" s="2">
        <f>IFERROR(INDEX('7_3nf_product'!$C:$C,MATCH(Y46,'7_3nf_product'!$A:$A,0)),"NOT FOUND")</f>
        <v/>
      </c>
      <c r="AB46" s="2">
        <f>IFERROR(INDEX('7_3nf_product'!$D:$D,MATCH(Y46,'7_3nf_product'!$A:$A,0)),"NOT FOUND")</f>
        <v/>
      </c>
      <c r="AC46" s="6">
        <f>IFERROR(INDEX('7_3nf_product'!$E:$E,MATCH(Y46,'7_3nf_product'!$A:$A,0)),"NOT FOUND")</f>
        <v/>
      </c>
      <c r="AD46" s="33">
        <f>IF(LEN(TRIM(E46))=10,TRIM(E46),IF(LEN(TRIM(E46))=8,"00"&amp;TRIM(E46),"CHECK"))</f>
        <v/>
      </c>
      <c r="AE46" s="2">
        <f>IFERROR(INDEX('8_3nf_customer'!$C:$C,MATCH(AD46,'8_3nf_customer'!$B:$B,0)),"NOT FOUND")</f>
        <v/>
      </c>
      <c r="AF46" s="30">
        <f>IFERROR(INDEX('8_3nf_customer'!$D:$D,MATCH(AD46,'8_3nf_customer'!$B:$B,0)),"NOT FOUND")</f>
        <v/>
      </c>
      <c r="AG46" s="4">
        <f>IF(ISNUMBER(AF46),DATEDIF(AF46,L46,"y"),"NOT FOUND")</f>
        <v/>
      </c>
      <c r="AH46" s="2">
        <f>IFERROR(INDEX('8_3nf_customer'!$E:$E,MATCH(AD46,'8_3nf_customer'!$B:$B,0)),"NOT FOUND")</f>
        <v/>
      </c>
      <c r="AI46" s="30">
        <f>IF(_xlfn.MAXIFS('9_3nf_customer_history'!$B$2:$B$500,'9_3nf_customer_history'!$A$2:$A$500,AD46,'9_3nf_customer_history'!$B$2:$B$500,"&lt;="&amp;L46)=0,"NOT FOUND",_xlfn.MAXIFS('9_3nf_customer_history'!$B$2:$B$500,'9_3nf_customer_history'!$A$2:$A$500,AD46,'9_3nf_customer_history'!$B$2:$B$500,"&lt;="&amp;L46))</f>
        <v/>
      </c>
      <c r="AJ46" s="2">
        <f>IF(AI46="NOT FOUND","NOT FOUND",INDEX('9_3nf_customer_history'!$C:$C,SUMPRODUCT(('9_3nf_customer_history'!$A$2:$A$500=AD46)*('9_3nf_customer_history'!$B$2:$B$500=AI46)*ROW('9_3nf_customer_history'!$A$2:$A$500))))</f>
        <v/>
      </c>
      <c r="AK46" s="2">
        <f>IF(AI46="NOT FOUND","NOT FOUND",INDEX('9_3nf_customer_history'!$D:$D,SUMPRODUCT(('9_3nf_customer_history'!$A$2:$A$500=AD46)*('9_3nf_customer_history'!$B$2:$B$500=AI46)*ROW('9_3nf_customer_history'!$A$2:$A$500))))</f>
        <v/>
      </c>
      <c r="AL46" s="2">
        <f>UPPER(TRIM(H46))</f>
        <v/>
      </c>
      <c r="AM46" s="30">
        <f>IF(_xlfn.MAXIFS('10_ref_fx_rate'!$B$2:$B$2000,'10_ref_fx_rate'!$A$2:$A$2000,AL46,'10_ref_fx_rate'!$B$2:$B$2000,"&lt;="&amp;L46)=0,"NOT FOUND",_xlfn.MAXIFS('10_ref_fx_rate'!$B$2:$B$2000,'10_ref_fx_rate'!$A$2:$A$2000,AL46,'10_ref_fx_rate'!$B$2:$B$2000,"&lt;="&amp;L46))</f>
        <v/>
      </c>
      <c r="AN46" s="8">
        <f>IF(AM46="NOT FOUND","NOT FOUND",SUMIFS('10_ref_fx_rate'!$D$2:$D$2000,'10_ref_fx_rate'!$A$2:$A$2000,AL46,'10_ref_fx_rate'!$B$2:$B$2000,AM46))</f>
        <v/>
      </c>
      <c r="AO46" s="37">
        <f>IF(ISNUMBER(AN46),I46*AN46,"NOT FOUND")</f>
        <v/>
      </c>
      <c r="AP46" s="2">
        <f>UPPER(TRIM(J46))</f>
        <v/>
      </c>
      <c r="AQ46" s="2">
        <f>IF(AP46="","SELF-DIRECTED",IF(ISNUMBER(MATCH(AP46,'11_3nf_sales_person'!$A:$A,0)),IF(EXACT(AP46,J46),"OK","OK (auto-fixed)"),IF(ISNA(MATCH($A46,'12_sales_person_confirmation'!$A:$A,0)),"CONFIRM (not logged)",IF(INDEX('12_sales_person_confirmation'!$I:$I,MATCH($A46,'12_sales_person_confirmation'!$A:$A,0))="CONFIRMED","CONFIRMED ("&amp;LOWER(INDEX('12_sales_person_confirmation'!$E:$E,MATCH($A46,'12_sales_person_confirmation'!$A:$A,0)))&amp;")","PENDING CONFIRM"))))</f>
        <v/>
      </c>
      <c r="AR46" s="2">
        <f>IF(OR(AQ46="OK",AQ46="OK (auto-fixed)"),AP46,IF(LEFT(AQ46,9)="CONFIRMED",INDEX('12_sales_person_confirmation'!$F:$F,MATCH($A46,'12_sales_person_confirmation'!$A:$A,0)),""))</f>
        <v/>
      </c>
      <c r="AS46" s="2">
        <f>IF(AR46="","",INDEX('11_3nf_sales_person'!$B:$B,MATCH(AR46,'11_3nf_sales_person'!$A:$A,0)))</f>
        <v/>
      </c>
    </row>
    <row r="47">
      <c r="A47" s="2">
        <f>IF(ISBLANK('1_raw_log'!A47),"",'1_raw_log'!A47)</f>
        <v/>
      </c>
      <c r="B47" s="3">
        <f>IF(ISBLANK('1_raw_log'!B47),"",'1_raw_log'!B47)</f>
        <v/>
      </c>
      <c r="C47" s="2">
        <f>IF(ISBLANK('1_raw_log'!C47),"",'1_raw_log'!C47)</f>
        <v/>
      </c>
      <c r="D47" s="2">
        <f>IF(ISBLANK('1_raw_log'!D47),"",'1_raw_log'!D47)</f>
        <v/>
      </c>
      <c r="E47" s="4">
        <f>IF(ISBLANK('1_raw_log'!E47),"",'1_raw_log'!E47)</f>
        <v/>
      </c>
      <c r="F47" s="2">
        <f>IF(ISBLANK('1_raw_log'!F47),"",'1_raw_log'!F47)</f>
        <v/>
      </c>
      <c r="G47" s="2">
        <f>IF(ISBLANK('1_raw_log'!G47),"",'1_raw_log'!G47)</f>
        <v/>
      </c>
      <c r="H47" s="2">
        <f>IF(ISBLANK('1_raw_log'!H47),"",'1_raw_log'!H47)</f>
        <v/>
      </c>
      <c r="I47" s="7">
        <f>IF(ISBLANK('1_raw_log'!I47),"",'1_raw_log'!I47)</f>
        <v/>
      </c>
      <c r="J47" s="2">
        <f>IF(ISBLANK('1_raw_log'!J47),"",'1_raw_log'!J47)</f>
        <v/>
      </c>
      <c r="K47" s="2">
        <f>IF(ISBLANK('1_raw_log'!K47),"",'1_raw_log'!K47)</f>
        <v/>
      </c>
      <c r="L47" s="30">
        <f>INT(B47)</f>
        <v/>
      </c>
      <c r="M47" s="20">
        <f>ROUND(MOD(B47,1)*1440,0)/1440</f>
        <v/>
      </c>
      <c r="N47" s="4">
        <f>IFERROR(INDEX('3_ref_date'!$B:$B,MATCH(L47,'3_ref_date'!$A:$A,0)),"NOT FOUND")</f>
        <v/>
      </c>
      <c r="O47" s="2">
        <f>IFERROR(INDEX('3_ref_date'!$C:$C,MATCH(L47,'3_ref_date'!$A:$A,0)),"NOT FOUND")</f>
        <v/>
      </c>
      <c r="P47" s="4">
        <f>IFERROR(INDEX('3_ref_date'!$D:$D,MATCH(L47,'3_ref_date'!$A:$A,0)),"NOT FOUND")</f>
        <v/>
      </c>
      <c r="Q47" s="4">
        <f>IFERROR(INDEX('3_ref_date'!$E:$E,MATCH(L47,'3_ref_date'!$A:$A,0)),"NOT FOUND")</f>
        <v/>
      </c>
      <c r="R47" s="2">
        <f>IFERROR(INDEX('3_ref_date'!$F:$F,MATCH(L47,'3_ref_date'!$A:$A,0)),"NOT FOUND")</f>
        <v/>
      </c>
      <c r="S47" s="2">
        <f>IFERROR(INDEX('4_ref_time'!$D:$D,MATCH(ROUND(M47*1440,0),'4_ref_time'!$A:$A,0)),"NOT FOUND")</f>
        <v/>
      </c>
      <c r="T47" s="2">
        <f>UPPER(TRIM(C47))</f>
        <v/>
      </c>
      <c r="U47" s="30">
        <f>IF(_xlfn.MAXIFS('6_3nf_branch_history'!$B$2:$B$50,'6_3nf_branch_history'!$A$2:$A$50,T47,'6_3nf_branch_history'!$B$2:$B$50,"&lt;="&amp;L47)=0,"NOT FOUND",_xlfn.MAXIFS('6_3nf_branch_history'!$B$2:$B$50,'6_3nf_branch_history'!$A$2:$A$50,T47,'6_3nf_branch_history'!$B$2:$B$50,"&lt;="&amp;L47))</f>
        <v/>
      </c>
      <c r="V47" s="2">
        <f>IF(U47="NOT FOUND","NOT FOUND",INDEX('6_3nf_branch_history'!$C:$C,SUMPRODUCT(('6_3nf_branch_history'!$A$2:$A$50=T47)*('6_3nf_branch_history'!$B$2:$B$50=U47)*ROW('6_3nf_branch_history'!$A$2:$A$50))))</f>
        <v/>
      </c>
      <c r="W47" s="2">
        <f>IF(U47="NOT FOUND","NOT FOUND",INDEX('6_3nf_branch_history'!$D:$D,SUMPRODUCT(('6_3nf_branch_history'!$A$2:$A$50=T47)*('6_3nf_branch_history'!$B$2:$B$50=U47)*ROW('6_3nf_branch_history'!$A$2:$A$50))))</f>
        <v/>
      </c>
      <c r="X47" s="2">
        <f>IF(U47="NOT FOUND","NOT FOUND",INDEX('6_3nf_branch_history'!$E:$E,SUMPRODUCT(('6_3nf_branch_history'!$A$2:$A$50=T47)*('6_3nf_branch_history'!$B$2:$B$50=U47)*ROW('6_3nf_branch_history'!$A$2:$A$50))))</f>
        <v/>
      </c>
      <c r="Y47" s="2">
        <f>UPPER(TRIM(D47))</f>
        <v/>
      </c>
      <c r="Z47" s="2">
        <f>IFERROR(INDEX('7_3nf_product'!$B:$B,MATCH(Y47,'7_3nf_product'!$A:$A,0)),"NOT FOUND")</f>
        <v/>
      </c>
      <c r="AA47" s="2">
        <f>IFERROR(INDEX('7_3nf_product'!$C:$C,MATCH(Y47,'7_3nf_product'!$A:$A,0)),"NOT FOUND")</f>
        <v/>
      </c>
      <c r="AB47" s="2">
        <f>IFERROR(INDEX('7_3nf_product'!$D:$D,MATCH(Y47,'7_3nf_product'!$A:$A,0)),"NOT FOUND")</f>
        <v/>
      </c>
      <c r="AC47" s="6">
        <f>IFERROR(INDEX('7_3nf_product'!$E:$E,MATCH(Y47,'7_3nf_product'!$A:$A,0)),"NOT FOUND")</f>
        <v/>
      </c>
      <c r="AD47" s="33">
        <f>IF(LEN(TRIM(E47))=10,TRIM(E47),IF(LEN(TRIM(E47))=8,"00"&amp;TRIM(E47),"CHECK"))</f>
        <v/>
      </c>
      <c r="AE47" s="2">
        <f>IFERROR(INDEX('8_3nf_customer'!$C:$C,MATCH(AD47,'8_3nf_customer'!$B:$B,0)),"NOT FOUND")</f>
        <v/>
      </c>
      <c r="AF47" s="30">
        <f>IFERROR(INDEX('8_3nf_customer'!$D:$D,MATCH(AD47,'8_3nf_customer'!$B:$B,0)),"NOT FOUND")</f>
        <v/>
      </c>
      <c r="AG47" s="4">
        <f>IF(ISNUMBER(AF47),DATEDIF(AF47,L47,"y"),"NOT FOUND")</f>
        <v/>
      </c>
      <c r="AH47" s="2">
        <f>IFERROR(INDEX('8_3nf_customer'!$E:$E,MATCH(AD47,'8_3nf_customer'!$B:$B,0)),"NOT FOUND")</f>
        <v/>
      </c>
      <c r="AI47" s="30">
        <f>IF(_xlfn.MAXIFS('9_3nf_customer_history'!$B$2:$B$500,'9_3nf_customer_history'!$A$2:$A$500,AD47,'9_3nf_customer_history'!$B$2:$B$500,"&lt;="&amp;L47)=0,"NOT FOUND",_xlfn.MAXIFS('9_3nf_customer_history'!$B$2:$B$500,'9_3nf_customer_history'!$A$2:$A$500,AD47,'9_3nf_customer_history'!$B$2:$B$500,"&lt;="&amp;L47))</f>
        <v/>
      </c>
      <c r="AJ47" s="2">
        <f>IF(AI47="NOT FOUND","NOT FOUND",INDEX('9_3nf_customer_history'!$C:$C,SUMPRODUCT(('9_3nf_customer_history'!$A$2:$A$500=AD47)*('9_3nf_customer_history'!$B$2:$B$500=AI47)*ROW('9_3nf_customer_history'!$A$2:$A$500))))</f>
        <v/>
      </c>
      <c r="AK47" s="2">
        <f>IF(AI47="NOT FOUND","NOT FOUND",INDEX('9_3nf_customer_history'!$D:$D,SUMPRODUCT(('9_3nf_customer_history'!$A$2:$A$500=AD47)*('9_3nf_customer_history'!$B$2:$B$500=AI47)*ROW('9_3nf_customer_history'!$A$2:$A$500))))</f>
        <v/>
      </c>
      <c r="AL47" s="2">
        <f>UPPER(TRIM(H47))</f>
        <v/>
      </c>
      <c r="AM47" s="30">
        <f>IF(_xlfn.MAXIFS('10_ref_fx_rate'!$B$2:$B$2000,'10_ref_fx_rate'!$A$2:$A$2000,AL47,'10_ref_fx_rate'!$B$2:$B$2000,"&lt;="&amp;L47)=0,"NOT FOUND",_xlfn.MAXIFS('10_ref_fx_rate'!$B$2:$B$2000,'10_ref_fx_rate'!$A$2:$A$2000,AL47,'10_ref_fx_rate'!$B$2:$B$2000,"&lt;="&amp;L47))</f>
        <v/>
      </c>
      <c r="AN47" s="8">
        <f>IF(AM47="NOT FOUND","NOT FOUND",SUMIFS('10_ref_fx_rate'!$D$2:$D$2000,'10_ref_fx_rate'!$A$2:$A$2000,AL47,'10_ref_fx_rate'!$B$2:$B$2000,AM47))</f>
        <v/>
      </c>
      <c r="AO47" s="37">
        <f>IF(ISNUMBER(AN47),I47*AN47,"NOT FOUND")</f>
        <v/>
      </c>
      <c r="AP47" s="2">
        <f>UPPER(TRIM(J47))</f>
        <v/>
      </c>
      <c r="AQ47" s="2">
        <f>IF(AP47="","SELF-DIRECTED",IF(ISNUMBER(MATCH(AP47,'11_3nf_sales_person'!$A:$A,0)),IF(EXACT(AP47,J47),"OK","OK (auto-fixed)"),IF(ISNA(MATCH($A47,'12_sales_person_confirmation'!$A:$A,0)),"CONFIRM (not logged)",IF(INDEX('12_sales_person_confirmation'!$I:$I,MATCH($A47,'12_sales_person_confirmation'!$A:$A,0))="CONFIRMED","CONFIRMED ("&amp;LOWER(INDEX('12_sales_person_confirmation'!$E:$E,MATCH($A47,'12_sales_person_confirmation'!$A:$A,0)))&amp;")","PENDING CONFIRM"))))</f>
        <v/>
      </c>
      <c r="AR47" s="2">
        <f>IF(OR(AQ47="OK",AQ47="OK (auto-fixed)"),AP47,IF(LEFT(AQ47,9)="CONFIRMED",INDEX('12_sales_person_confirmation'!$F:$F,MATCH($A47,'12_sales_person_confirmation'!$A:$A,0)),""))</f>
        <v/>
      </c>
      <c r="AS47" s="2">
        <f>IF(AR47="","",INDEX('11_3nf_sales_person'!$B:$B,MATCH(AR47,'11_3nf_sales_person'!$A:$A,0)))</f>
        <v/>
      </c>
    </row>
    <row r="48">
      <c r="A48" s="2">
        <f>IF(ISBLANK('1_raw_log'!A48),"",'1_raw_log'!A48)</f>
        <v/>
      </c>
      <c r="B48" s="3">
        <f>IF(ISBLANK('1_raw_log'!B48),"",'1_raw_log'!B48)</f>
        <v/>
      </c>
      <c r="C48" s="2">
        <f>IF(ISBLANK('1_raw_log'!C48),"",'1_raw_log'!C48)</f>
        <v/>
      </c>
      <c r="D48" s="2">
        <f>IF(ISBLANK('1_raw_log'!D48),"",'1_raw_log'!D48)</f>
        <v/>
      </c>
      <c r="E48" s="4">
        <f>IF(ISBLANK('1_raw_log'!E48),"",'1_raw_log'!E48)</f>
        <v/>
      </c>
      <c r="F48" s="2">
        <f>IF(ISBLANK('1_raw_log'!F48),"",'1_raw_log'!F48)</f>
        <v/>
      </c>
      <c r="G48" s="2">
        <f>IF(ISBLANK('1_raw_log'!G48),"",'1_raw_log'!G48)</f>
        <v/>
      </c>
      <c r="H48" s="2">
        <f>IF(ISBLANK('1_raw_log'!H48),"",'1_raw_log'!H48)</f>
        <v/>
      </c>
      <c r="I48" s="7">
        <f>IF(ISBLANK('1_raw_log'!I48),"",'1_raw_log'!I48)</f>
        <v/>
      </c>
      <c r="J48" s="2">
        <f>IF(ISBLANK('1_raw_log'!J48),"",'1_raw_log'!J48)</f>
        <v/>
      </c>
      <c r="K48" s="2">
        <f>IF(ISBLANK('1_raw_log'!K48),"",'1_raw_log'!K48)</f>
        <v/>
      </c>
      <c r="L48" s="30">
        <f>INT(B48)</f>
        <v/>
      </c>
      <c r="M48" s="20">
        <f>ROUND(MOD(B48,1)*1440,0)/1440</f>
        <v/>
      </c>
      <c r="N48" s="4">
        <f>IFERROR(INDEX('3_ref_date'!$B:$B,MATCH(L48,'3_ref_date'!$A:$A,0)),"NOT FOUND")</f>
        <v/>
      </c>
      <c r="O48" s="2">
        <f>IFERROR(INDEX('3_ref_date'!$C:$C,MATCH(L48,'3_ref_date'!$A:$A,0)),"NOT FOUND")</f>
        <v/>
      </c>
      <c r="P48" s="4">
        <f>IFERROR(INDEX('3_ref_date'!$D:$D,MATCH(L48,'3_ref_date'!$A:$A,0)),"NOT FOUND")</f>
        <v/>
      </c>
      <c r="Q48" s="4">
        <f>IFERROR(INDEX('3_ref_date'!$E:$E,MATCH(L48,'3_ref_date'!$A:$A,0)),"NOT FOUND")</f>
        <v/>
      </c>
      <c r="R48" s="2">
        <f>IFERROR(INDEX('3_ref_date'!$F:$F,MATCH(L48,'3_ref_date'!$A:$A,0)),"NOT FOUND")</f>
        <v/>
      </c>
      <c r="S48" s="2">
        <f>IFERROR(INDEX('4_ref_time'!$D:$D,MATCH(ROUND(M48*1440,0),'4_ref_time'!$A:$A,0)),"NOT FOUND")</f>
        <v/>
      </c>
      <c r="T48" s="2">
        <f>UPPER(TRIM(C48))</f>
        <v/>
      </c>
      <c r="U48" s="30">
        <f>IF(_xlfn.MAXIFS('6_3nf_branch_history'!$B$2:$B$50,'6_3nf_branch_history'!$A$2:$A$50,T48,'6_3nf_branch_history'!$B$2:$B$50,"&lt;="&amp;L48)=0,"NOT FOUND",_xlfn.MAXIFS('6_3nf_branch_history'!$B$2:$B$50,'6_3nf_branch_history'!$A$2:$A$50,T48,'6_3nf_branch_history'!$B$2:$B$50,"&lt;="&amp;L48))</f>
        <v/>
      </c>
      <c r="V48" s="2">
        <f>IF(U48="NOT FOUND","NOT FOUND",INDEX('6_3nf_branch_history'!$C:$C,SUMPRODUCT(('6_3nf_branch_history'!$A$2:$A$50=T48)*('6_3nf_branch_history'!$B$2:$B$50=U48)*ROW('6_3nf_branch_history'!$A$2:$A$50))))</f>
        <v/>
      </c>
      <c r="W48" s="2">
        <f>IF(U48="NOT FOUND","NOT FOUND",INDEX('6_3nf_branch_history'!$D:$D,SUMPRODUCT(('6_3nf_branch_history'!$A$2:$A$50=T48)*('6_3nf_branch_history'!$B$2:$B$50=U48)*ROW('6_3nf_branch_history'!$A$2:$A$50))))</f>
        <v/>
      </c>
      <c r="X48" s="2">
        <f>IF(U48="NOT FOUND","NOT FOUND",INDEX('6_3nf_branch_history'!$E:$E,SUMPRODUCT(('6_3nf_branch_history'!$A$2:$A$50=T48)*('6_3nf_branch_history'!$B$2:$B$50=U48)*ROW('6_3nf_branch_history'!$A$2:$A$50))))</f>
        <v/>
      </c>
      <c r="Y48" s="2">
        <f>UPPER(TRIM(D48))</f>
        <v/>
      </c>
      <c r="Z48" s="2">
        <f>IFERROR(INDEX('7_3nf_product'!$B:$B,MATCH(Y48,'7_3nf_product'!$A:$A,0)),"NOT FOUND")</f>
        <v/>
      </c>
      <c r="AA48" s="2">
        <f>IFERROR(INDEX('7_3nf_product'!$C:$C,MATCH(Y48,'7_3nf_product'!$A:$A,0)),"NOT FOUND")</f>
        <v/>
      </c>
      <c r="AB48" s="2">
        <f>IFERROR(INDEX('7_3nf_product'!$D:$D,MATCH(Y48,'7_3nf_product'!$A:$A,0)),"NOT FOUND")</f>
        <v/>
      </c>
      <c r="AC48" s="6">
        <f>IFERROR(INDEX('7_3nf_product'!$E:$E,MATCH(Y48,'7_3nf_product'!$A:$A,0)),"NOT FOUND")</f>
        <v/>
      </c>
      <c r="AD48" s="33">
        <f>IF(LEN(TRIM(E48))=10,TRIM(E48),IF(LEN(TRIM(E48))=8,"00"&amp;TRIM(E48),"CHECK"))</f>
        <v/>
      </c>
      <c r="AE48" s="2">
        <f>IFERROR(INDEX('8_3nf_customer'!$C:$C,MATCH(AD48,'8_3nf_customer'!$B:$B,0)),"NOT FOUND")</f>
        <v/>
      </c>
      <c r="AF48" s="30">
        <f>IFERROR(INDEX('8_3nf_customer'!$D:$D,MATCH(AD48,'8_3nf_customer'!$B:$B,0)),"NOT FOUND")</f>
        <v/>
      </c>
      <c r="AG48" s="4">
        <f>IF(ISNUMBER(AF48),DATEDIF(AF48,L48,"y"),"NOT FOUND")</f>
        <v/>
      </c>
      <c r="AH48" s="2">
        <f>IFERROR(INDEX('8_3nf_customer'!$E:$E,MATCH(AD48,'8_3nf_customer'!$B:$B,0)),"NOT FOUND")</f>
        <v/>
      </c>
      <c r="AI48" s="30">
        <f>IF(_xlfn.MAXIFS('9_3nf_customer_history'!$B$2:$B$500,'9_3nf_customer_history'!$A$2:$A$500,AD48,'9_3nf_customer_history'!$B$2:$B$500,"&lt;="&amp;L48)=0,"NOT FOUND",_xlfn.MAXIFS('9_3nf_customer_history'!$B$2:$B$500,'9_3nf_customer_history'!$A$2:$A$500,AD48,'9_3nf_customer_history'!$B$2:$B$500,"&lt;="&amp;L48))</f>
        <v/>
      </c>
      <c r="AJ48" s="2">
        <f>IF(AI48="NOT FOUND","NOT FOUND",INDEX('9_3nf_customer_history'!$C:$C,SUMPRODUCT(('9_3nf_customer_history'!$A$2:$A$500=AD48)*('9_3nf_customer_history'!$B$2:$B$500=AI48)*ROW('9_3nf_customer_history'!$A$2:$A$500))))</f>
        <v/>
      </c>
      <c r="AK48" s="2">
        <f>IF(AI48="NOT FOUND","NOT FOUND",INDEX('9_3nf_customer_history'!$D:$D,SUMPRODUCT(('9_3nf_customer_history'!$A$2:$A$500=AD48)*('9_3nf_customer_history'!$B$2:$B$500=AI48)*ROW('9_3nf_customer_history'!$A$2:$A$500))))</f>
        <v/>
      </c>
      <c r="AL48" s="2">
        <f>UPPER(TRIM(H48))</f>
        <v/>
      </c>
      <c r="AM48" s="30">
        <f>IF(_xlfn.MAXIFS('10_ref_fx_rate'!$B$2:$B$2000,'10_ref_fx_rate'!$A$2:$A$2000,AL48,'10_ref_fx_rate'!$B$2:$B$2000,"&lt;="&amp;L48)=0,"NOT FOUND",_xlfn.MAXIFS('10_ref_fx_rate'!$B$2:$B$2000,'10_ref_fx_rate'!$A$2:$A$2000,AL48,'10_ref_fx_rate'!$B$2:$B$2000,"&lt;="&amp;L48))</f>
        <v/>
      </c>
      <c r="AN48" s="8">
        <f>IF(AM48="NOT FOUND","NOT FOUND",SUMIFS('10_ref_fx_rate'!$D$2:$D$2000,'10_ref_fx_rate'!$A$2:$A$2000,AL48,'10_ref_fx_rate'!$B$2:$B$2000,AM48))</f>
        <v/>
      </c>
      <c r="AO48" s="37">
        <f>IF(ISNUMBER(AN48),I48*AN48,"NOT FOUND")</f>
        <v/>
      </c>
      <c r="AP48" s="2">
        <f>UPPER(TRIM(J48))</f>
        <v/>
      </c>
      <c r="AQ48" s="2">
        <f>IF(AP48="","SELF-DIRECTED",IF(ISNUMBER(MATCH(AP48,'11_3nf_sales_person'!$A:$A,0)),IF(EXACT(AP48,J48),"OK","OK (auto-fixed)"),IF(ISNA(MATCH($A48,'12_sales_person_confirmation'!$A:$A,0)),"CONFIRM (not logged)",IF(INDEX('12_sales_person_confirmation'!$I:$I,MATCH($A48,'12_sales_person_confirmation'!$A:$A,0))="CONFIRMED","CONFIRMED ("&amp;LOWER(INDEX('12_sales_person_confirmation'!$E:$E,MATCH($A48,'12_sales_person_confirmation'!$A:$A,0)))&amp;")","PENDING CONFIRM"))))</f>
        <v/>
      </c>
      <c r="AR48" s="2">
        <f>IF(OR(AQ48="OK",AQ48="OK (auto-fixed)"),AP48,IF(LEFT(AQ48,9)="CONFIRMED",INDEX('12_sales_person_confirmation'!$F:$F,MATCH($A48,'12_sales_person_confirmation'!$A:$A,0)),""))</f>
        <v/>
      </c>
      <c r="AS48" s="2">
        <f>IF(AR48="","",INDEX('11_3nf_sales_person'!$B:$B,MATCH(AR48,'11_3nf_sales_person'!$A:$A,0)))</f>
        <v/>
      </c>
    </row>
    <row r="49">
      <c r="A49" s="2">
        <f>IF(ISBLANK('1_raw_log'!A49),"",'1_raw_log'!A49)</f>
        <v/>
      </c>
      <c r="B49" s="3">
        <f>IF(ISBLANK('1_raw_log'!B49),"",'1_raw_log'!B49)</f>
        <v/>
      </c>
      <c r="C49" s="2">
        <f>IF(ISBLANK('1_raw_log'!C49),"",'1_raw_log'!C49)</f>
        <v/>
      </c>
      <c r="D49" s="2">
        <f>IF(ISBLANK('1_raw_log'!D49),"",'1_raw_log'!D49)</f>
        <v/>
      </c>
      <c r="E49" s="4">
        <f>IF(ISBLANK('1_raw_log'!E49),"",'1_raw_log'!E49)</f>
        <v/>
      </c>
      <c r="F49" s="2">
        <f>IF(ISBLANK('1_raw_log'!F49),"",'1_raw_log'!F49)</f>
        <v/>
      </c>
      <c r="G49" s="2">
        <f>IF(ISBLANK('1_raw_log'!G49),"",'1_raw_log'!G49)</f>
        <v/>
      </c>
      <c r="H49" s="2">
        <f>IF(ISBLANK('1_raw_log'!H49),"",'1_raw_log'!H49)</f>
        <v/>
      </c>
      <c r="I49" s="7">
        <f>IF(ISBLANK('1_raw_log'!I49),"",'1_raw_log'!I49)</f>
        <v/>
      </c>
      <c r="J49" s="2">
        <f>IF(ISBLANK('1_raw_log'!J49),"",'1_raw_log'!J49)</f>
        <v/>
      </c>
      <c r="K49" s="2">
        <f>IF(ISBLANK('1_raw_log'!K49),"",'1_raw_log'!K49)</f>
        <v/>
      </c>
      <c r="L49" s="30">
        <f>INT(B49)</f>
        <v/>
      </c>
      <c r="M49" s="20">
        <f>ROUND(MOD(B49,1)*1440,0)/1440</f>
        <v/>
      </c>
      <c r="N49" s="4">
        <f>IFERROR(INDEX('3_ref_date'!$B:$B,MATCH(L49,'3_ref_date'!$A:$A,0)),"NOT FOUND")</f>
        <v/>
      </c>
      <c r="O49" s="2">
        <f>IFERROR(INDEX('3_ref_date'!$C:$C,MATCH(L49,'3_ref_date'!$A:$A,0)),"NOT FOUND")</f>
        <v/>
      </c>
      <c r="P49" s="4">
        <f>IFERROR(INDEX('3_ref_date'!$D:$D,MATCH(L49,'3_ref_date'!$A:$A,0)),"NOT FOUND")</f>
        <v/>
      </c>
      <c r="Q49" s="4">
        <f>IFERROR(INDEX('3_ref_date'!$E:$E,MATCH(L49,'3_ref_date'!$A:$A,0)),"NOT FOUND")</f>
        <v/>
      </c>
      <c r="R49" s="2">
        <f>IFERROR(INDEX('3_ref_date'!$F:$F,MATCH(L49,'3_ref_date'!$A:$A,0)),"NOT FOUND")</f>
        <v/>
      </c>
      <c r="S49" s="2">
        <f>IFERROR(INDEX('4_ref_time'!$D:$D,MATCH(ROUND(M49*1440,0),'4_ref_time'!$A:$A,0)),"NOT FOUND")</f>
        <v/>
      </c>
      <c r="T49" s="2">
        <f>UPPER(TRIM(C49))</f>
        <v/>
      </c>
      <c r="U49" s="30">
        <f>IF(_xlfn.MAXIFS('6_3nf_branch_history'!$B$2:$B$50,'6_3nf_branch_history'!$A$2:$A$50,T49,'6_3nf_branch_history'!$B$2:$B$50,"&lt;="&amp;L49)=0,"NOT FOUND",_xlfn.MAXIFS('6_3nf_branch_history'!$B$2:$B$50,'6_3nf_branch_history'!$A$2:$A$50,T49,'6_3nf_branch_history'!$B$2:$B$50,"&lt;="&amp;L49))</f>
        <v/>
      </c>
      <c r="V49" s="2">
        <f>IF(U49="NOT FOUND","NOT FOUND",INDEX('6_3nf_branch_history'!$C:$C,SUMPRODUCT(('6_3nf_branch_history'!$A$2:$A$50=T49)*('6_3nf_branch_history'!$B$2:$B$50=U49)*ROW('6_3nf_branch_history'!$A$2:$A$50))))</f>
        <v/>
      </c>
      <c r="W49" s="2">
        <f>IF(U49="NOT FOUND","NOT FOUND",INDEX('6_3nf_branch_history'!$D:$D,SUMPRODUCT(('6_3nf_branch_history'!$A$2:$A$50=T49)*('6_3nf_branch_history'!$B$2:$B$50=U49)*ROW('6_3nf_branch_history'!$A$2:$A$50))))</f>
        <v/>
      </c>
      <c r="X49" s="2">
        <f>IF(U49="NOT FOUND","NOT FOUND",INDEX('6_3nf_branch_history'!$E:$E,SUMPRODUCT(('6_3nf_branch_history'!$A$2:$A$50=T49)*('6_3nf_branch_history'!$B$2:$B$50=U49)*ROW('6_3nf_branch_history'!$A$2:$A$50))))</f>
        <v/>
      </c>
      <c r="Y49" s="2">
        <f>UPPER(TRIM(D49))</f>
        <v/>
      </c>
      <c r="Z49" s="2">
        <f>IFERROR(INDEX('7_3nf_product'!$B:$B,MATCH(Y49,'7_3nf_product'!$A:$A,0)),"NOT FOUND")</f>
        <v/>
      </c>
      <c r="AA49" s="2">
        <f>IFERROR(INDEX('7_3nf_product'!$C:$C,MATCH(Y49,'7_3nf_product'!$A:$A,0)),"NOT FOUND")</f>
        <v/>
      </c>
      <c r="AB49" s="2">
        <f>IFERROR(INDEX('7_3nf_product'!$D:$D,MATCH(Y49,'7_3nf_product'!$A:$A,0)),"NOT FOUND")</f>
        <v/>
      </c>
      <c r="AC49" s="6">
        <f>IFERROR(INDEX('7_3nf_product'!$E:$E,MATCH(Y49,'7_3nf_product'!$A:$A,0)),"NOT FOUND")</f>
        <v/>
      </c>
      <c r="AD49" s="33">
        <f>IF(LEN(TRIM(E49))=10,TRIM(E49),IF(LEN(TRIM(E49))=8,"00"&amp;TRIM(E49),"CHECK"))</f>
        <v/>
      </c>
      <c r="AE49" s="2">
        <f>IFERROR(INDEX('8_3nf_customer'!$C:$C,MATCH(AD49,'8_3nf_customer'!$B:$B,0)),"NOT FOUND")</f>
        <v/>
      </c>
      <c r="AF49" s="30">
        <f>IFERROR(INDEX('8_3nf_customer'!$D:$D,MATCH(AD49,'8_3nf_customer'!$B:$B,0)),"NOT FOUND")</f>
        <v/>
      </c>
      <c r="AG49" s="4">
        <f>IF(ISNUMBER(AF49),DATEDIF(AF49,L49,"y"),"NOT FOUND")</f>
        <v/>
      </c>
      <c r="AH49" s="2">
        <f>IFERROR(INDEX('8_3nf_customer'!$E:$E,MATCH(AD49,'8_3nf_customer'!$B:$B,0)),"NOT FOUND")</f>
        <v/>
      </c>
      <c r="AI49" s="30">
        <f>IF(_xlfn.MAXIFS('9_3nf_customer_history'!$B$2:$B$500,'9_3nf_customer_history'!$A$2:$A$500,AD49,'9_3nf_customer_history'!$B$2:$B$500,"&lt;="&amp;L49)=0,"NOT FOUND",_xlfn.MAXIFS('9_3nf_customer_history'!$B$2:$B$500,'9_3nf_customer_history'!$A$2:$A$500,AD49,'9_3nf_customer_history'!$B$2:$B$500,"&lt;="&amp;L49))</f>
        <v/>
      </c>
      <c r="AJ49" s="2">
        <f>IF(AI49="NOT FOUND","NOT FOUND",INDEX('9_3nf_customer_history'!$C:$C,SUMPRODUCT(('9_3nf_customer_history'!$A$2:$A$500=AD49)*('9_3nf_customer_history'!$B$2:$B$500=AI49)*ROW('9_3nf_customer_history'!$A$2:$A$500))))</f>
        <v/>
      </c>
      <c r="AK49" s="2">
        <f>IF(AI49="NOT FOUND","NOT FOUND",INDEX('9_3nf_customer_history'!$D:$D,SUMPRODUCT(('9_3nf_customer_history'!$A$2:$A$500=AD49)*('9_3nf_customer_history'!$B$2:$B$500=AI49)*ROW('9_3nf_customer_history'!$A$2:$A$500))))</f>
        <v/>
      </c>
      <c r="AL49" s="2">
        <f>UPPER(TRIM(H49))</f>
        <v/>
      </c>
      <c r="AM49" s="30">
        <f>IF(_xlfn.MAXIFS('10_ref_fx_rate'!$B$2:$B$2000,'10_ref_fx_rate'!$A$2:$A$2000,AL49,'10_ref_fx_rate'!$B$2:$B$2000,"&lt;="&amp;L49)=0,"NOT FOUND",_xlfn.MAXIFS('10_ref_fx_rate'!$B$2:$B$2000,'10_ref_fx_rate'!$A$2:$A$2000,AL49,'10_ref_fx_rate'!$B$2:$B$2000,"&lt;="&amp;L49))</f>
        <v/>
      </c>
      <c r="AN49" s="8">
        <f>IF(AM49="NOT FOUND","NOT FOUND",SUMIFS('10_ref_fx_rate'!$D$2:$D$2000,'10_ref_fx_rate'!$A$2:$A$2000,AL49,'10_ref_fx_rate'!$B$2:$B$2000,AM49))</f>
        <v/>
      </c>
      <c r="AO49" s="37">
        <f>IF(ISNUMBER(AN49),I49*AN49,"NOT FOUND")</f>
        <v/>
      </c>
      <c r="AP49" s="2">
        <f>UPPER(TRIM(J49))</f>
        <v/>
      </c>
      <c r="AQ49" s="2">
        <f>IF(AP49="","SELF-DIRECTED",IF(ISNUMBER(MATCH(AP49,'11_3nf_sales_person'!$A:$A,0)),IF(EXACT(AP49,J49),"OK","OK (auto-fixed)"),IF(ISNA(MATCH($A49,'12_sales_person_confirmation'!$A:$A,0)),"CONFIRM (not logged)",IF(INDEX('12_sales_person_confirmation'!$I:$I,MATCH($A49,'12_sales_person_confirmation'!$A:$A,0))="CONFIRMED","CONFIRMED ("&amp;LOWER(INDEX('12_sales_person_confirmation'!$E:$E,MATCH($A49,'12_sales_person_confirmation'!$A:$A,0)))&amp;")","PENDING CONFIRM"))))</f>
        <v/>
      </c>
      <c r="AR49" s="2">
        <f>IF(OR(AQ49="OK",AQ49="OK (auto-fixed)"),AP49,IF(LEFT(AQ49,9)="CONFIRMED",INDEX('12_sales_person_confirmation'!$F:$F,MATCH($A49,'12_sales_person_confirmation'!$A:$A,0)),""))</f>
        <v/>
      </c>
      <c r="AS49" s="2">
        <f>IF(AR49="","",INDEX('11_3nf_sales_person'!$B:$B,MATCH(AR49,'11_3nf_sales_person'!$A:$A,0)))</f>
        <v/>
      </c>
    </row>
    <row r="50">
      <c r="A50" s="2">
        <f>IF(ISBLANK('1_raw_log'!A50),"",'1_raw_log'!A50)</f>
        <v/>
      </c>
      <c r="B50" s="3">
        <f>IF(ISBLANK('1_raw_log'!B50),"",'1_raw_log'!B50)</f>
        <v/>
      </c>
      <c r="C50" s="2">
        <f>IF(ISBLANK('1_raw_log'!C50),"",'1_raw_log'!C50)</f>
        <v/>
      </c>
      <c r="D50" s="2">
        <f>IF(ISBLANK('1_raw_log'!D50),"",'1_raw_log'!D50)</f>
        <v/>
      </c>
      <c r="E50" s="4">
        <f>IF(ISBLANK('1_raw_log'!E50),"",'1_raw_log'!E50)</f>
        <v/>
      </c>
      <c r="F50" s="2">
        <f>IF(ISBLANK('1_raw_log'!F50),"",'1_raw_log'!F50)</f>
        <v/>
      </c>
      <c r="G50" s="2">
        <f>IF(ISBLANK('1_raw_log'!G50),"",'1_raw_log'!G50)</f>
        <v/>
      </c>
      <c r="H50" s="2">
        <f>IF(ISBLANK('1_raw_log'!H50),"",'1_raw_log'!H50)</f>
        <v/>
      </c>
      <c r="I50" s="7">
        <f>IF(ISBLANK('1_raw_log'!I50),"",'1_raw_log'!I50)</f>
        <v/>
      </c>
      <c r="J50" s="2">
        <f>IF(ISBLANK('1_raw_log'!J50),"",'1_raw_log'!J50)</f>
        <v/>
      </c>
      <c r="K50" s="2">
        <f>IF(ISBLANK('1_raw_log'!K50),"",'1_raw_log'!K50)</f>
        <v/>
      </c>
      <c r="L50" s="30">
        <f>INT(B50)</f>
        <v/>
      </c>
      <c r="M50" s="20">
        <f>ROUND(MOD(B50,1)*1440,0)/1440</f>
        <v/>
      </c>
      <c r="N50" s="4">
        <f>IFERROR(INDEX('3_ref_date'!$B:$B,MATCH(L50,'3_ref_date'!$A:$A,0)),"NOT FOUND")</f>
        <v/>
      </c>
      <c r="O50" s="2">
        <f>IFERROR(INDEX('3_ref_date'!$C:$C,MATCH(L50,'3_ref_date'!$A:$A,0)),"NOT FOUND")</f>
        <v/>
      </c>
      <c r="P50" s="4">
        <f>IFERROR(INDEX('3_ref_date'!$D:$D,MATCH(L50,'3_ref_date'!$A:$A,0)),"NOT FOUND")</f>
        <v/>
      </c>
      <c r="Q50" s="4">
        <f>IFERROR(INDEX('3_ref_date'!$E:$E,MATCH(L50,'3_ref_date'!$A:$A,0)),"NOT FOUND")</f>
        <v/>
      </c>
      <c r="R50" s="2">
        <f>IFERROR(INDEX('3_ref_date'!$F:$F,MATCH(L50,'3_ref_date'!$A:$A,0)),"NOT FOUND")</f>
        <v/>
      </c>
      <c r="S50" s="2">
        <f>IFERROR(INDEX('4_ref_time'!$D:$D,MATCH(ROUND(M50*1440,0),'4_ref_time'!$A:$A,0)),"NOT FOUND")</f>
        <v/>
      </c>
      <c r="T50" s="2">
        <f>UPPER(TRIM(C50))</f>
        <v/>
      </c>
      <c r="U50" s="30">
        <f>IF(_xlfn.MAXIFS('6_3nf_branch_history'!$B$2:$B$50,'6_3nf_branch_history'!$A$2:$A$50,T50,'6_3nf_branch_history'!$B$2:$B$50,"&lt;="&amp;L50)=0,"NOT FOUND",_xlfn.MAXIFS('6_3nf_branch_history'!$B$2:$B$50,'6_3nf_branch_history'!$A$2:$A$50,T50,'6_3nf_branch_history'!$B$2:$B$50,"&lt;="&amp;L50))</f>
        <v/>
      </c>
      <c r="V50" s="2">
        <f>IF(U50="NOT FOUND","NOT FOUND",INDEX('6_3nf_branch_history'!$C:$C,SUMPRODUCT(('6_3nf_branch_history'!$A$2:$A$50=T50)*('6_3nf_branch_history'!$B$2:$B$50=U50)*ROW('6_3nf_branch_history'!$A$2:$A$50))))</f>
        <v/>
      </c>
      <c r="W50" s="2">
        <f>IF(U50="NOT FOUND","NOT FOUND",INDEX('6_3nf_branch_history'!$D:$D,SUMPRODUCT(('6_3nf_branch_history'!$A$2:$A$50=T50)*('6_3nf_branch_history'!$B$2:$B$50=U50)*ROW('6_3nf_branch_history'!$A$2:$A$50))))</f>
        <v/>
      </c>
      <c r="X50" s="2">
        <f>IF(U50="NOT FOUND","NOT FOUND",INDEX('6_3nf_branch_history'!$E:$E,SUMPRODUCT(('6_3nf_branch_history'!$A$2:$A$50=T50)*('6_3nf_branch_history'!$B$2:$B$50=U50)*ROW('6_3nf_branch_history'!$A$2:$A$50))))</f>
        <v/>
      </c>
      <c r="Y50" s="2">
        <f>UPPER(TRIM(D50))</f>
        <v/>
      </c>
      <c r="Z50" s="2">
        <f>IFERROR(INDEX('7_3nf_product'!$B:$B,MATCH(Y50,'7_3nf_product'!$A:$A,0)),"NOT FOUND")</f>
        <v/>
      </c>
      <c r="AA50" s="2">
        <f>IFERROR(INDEX('7_3nf_product'!$C:$C,MATCH(Y50,'7_3nf_product'!$A:$A,0)),"NOT FOUND")</f>
        <v/>
      </c>
      <c r="AB50" s="2">
        <f>IFERROR(INDEX('7_3nf_product'!$D:$D,MATCH(Y50,'7_3nf_product'!$A:$A,0)),"NOT FOUND")</f>
        <v/>
      </c>
      <c r="AC50" s="6">
        <f>IFERROR(INDEX('7_3nf_product'!$E:$E,MATCH(Y50,'7_3nf_product'!$A:$A,0)),"NOT FOUND")</f>
        <v/>
      </c>
      <c r="AD50" s="33">
        <f>IF(LEN(TRIM(E50))=10,TRIM(E50),IF(LEN(TRIM(E50))=8,"00"&amp;TRIM(E50),"CHECK"))</f>
        <v/>
      </c>
      <c r="AE50" s="2">
        <f>IFERROR(INDEX('8_3nf_customer'!$C:$C,MATCH(AD50,'8_3nf_customer'!$B:$B,0)),"NOT FOUND")</f>
        <v/>
      </c>
      <c r="AF50" s="30">
        <f>IFERROR(INDEX('8_3nf_customer'!$D:$D,MATCH(AD50,'8_3nf_customer'!$B:$B,0)),"NOT FOUND")</f>
        <v/>
      </c>
      <c r="AG50" s="4">
        <f>IF(ISNUMBER(AF50),DATEDIF(AF50,L50,"y"),"NOT FOUND")</f>
        <v/>
      </c>
      <c r="AH50" s="2">
        <f>IFERROR(INDEX('8_3nf_customer'!$E:$E,MATCH(AD50,'8_3nf_customer'!$B:$B,0)),"NOT FOUND")</f>
        <v/>
      </c>
      <c r="AI50" s="30">
        <f>IF(_xlfn.MAXIFS('9_3nf_customer_history'!$B$2:$B$500,'9_3nf_customer_history'!$A$2:$A$500,AD50,'9_3nf_customer_history'!$B$2:$B$500,"&lt;="&amp;L50)=0,"NOT FOUND",_xlfn.MAXIFS('9_3nf_customer_history'!$B$2:$B$500,'9_3nf_customer_history'!$A$2:$A$500,AD50,'9_3nf_customer_history'!$B$2:$B$500,"&lt;="&amp;L50))</f>
        <v/>
      </c>
      <c r="AJ50" s="2">
        <f>IF(AI50="NOT FOUND","NOT FOUND",INDEX('9_3nf_customer_history'!$C:$C,SUMPRODUCT(('9_3nf_customer_history'!$A$2:$A$500=AD50)*('9_3nf_customer_history'!$B$2:$B$500=AI50)*ROW('9_3nf_customer_history'!$A$2:$A$500))))</f>
        <v/>
      </c>
      <c r="AK50" s="2">
        <f>IF(AI50="NOT FOUND","NOT FOUND",INDEX('9_3nf_customer_history'!$D:$D,SUMPRODUCT(('9_3nf_customer_history'!$A$2:$A$500=AD50)*('9_3nf_customer_history'!$B$2:$B$500=AI50)*ROW('9_3nf_customer_history'!$A$2:$A$500))))</f>
        <v/>
      </c>
      <c r="AL50" s="2">
        <f>UPPER(TRIM(H50))</f>
        <v/>
      </c>
      <c r="AM50" s="30">
        <f>IF(_xlfn.MAXIFS('10_ref_fx_rate'!$B$2:$B$2000,'10_ref_fx_rate'!$A$2:$A$2000,AL50,'10_ref_fx_rate'!$B$2:$B$2000,"&lt;="&amp;L50)=0,"NOT FOUND",_xlfn.MAXIFS('10_ref_fx_rate'!$B$2:$B$2000,'10_ref_fx_rate'!$A$2:$A$2000,AL50,'10_ref_fx_rate'!$B$2:$B$2000,"&lt;="&amp;L50))</f>
        <v/>
      </c>
      <c r="AN50" s="8">
        <f>IF(AM50="NOT FOUND","NOT FOUND",SUMIFS('10_ref_fx_rate'!$D$2:$D$2000,'10_ref_fx_rate'!$A$2:$A$2000,AL50,'10_ref_fx_rate'!$B$2:$B$2000,AM50))</f>
        <v/>
      </c>
      <c r="AO50" s="37">
        <f>IF(ISNUMBER(AN50),I50*AN50,"NOT FOUND")</f>
        <v/>
      </c>
      <c r="AP50" s="2">
        <f>UPPER(TRIM(J50))</f>
        <v/>
      </c>
      <c r="AQ50" s="2">
        <f>IF(AP50="","SELF-DIRECTED",IF(ISNUMBER(MATCH(AP50,'11_3nf_sales_person'!$A:$A,0)),IF(EXACT(AP50,J50),"OK","OK (auto-fixed)"),IF(ISNA(MATCH($A50,'12_sales_person_confirmation'!$A:$A,0)),"CONFIRM (not logged)",IF(INDEX('12_sales_person_confirmation'!$I:$I,MATCH($A50,'12_sales_person_confirmation'!$A:$A,0))="CONFIRMED","CONFIRMED ("&amp;LOWER(INDEX('12_sales_person_confirmation'!$E:$E,MATCH($A50,'12_sales_person_confirmation'!$A:$A,0)))&amp;")","PENDING CONFIRM"))))</f>
        <v/>
      </c>
      <c r="AR50" s="2">
        <f>IF(OR(AQ50="OK",AQ50="OK (auto-fixed)"),AP50,IF(LEFT(AQ50,9)="CONFIRMED",INDEX('12_sales_person_confirmation'!$F:$F,MATCH($A50,'12_sales_person_confirmation'!$A:$A,0)),""))</f>
        <v/>
      </c>
      <c r="AS50" s="2">
        <f>IF(AR50="","",INDEX('11_3nf_sales_person'!$B:$B,MATCH(AR50,'11_3nf_sales_person'!$A:$A,0)))</f>
        <v/>
      </c>
    </row>
    <row r="51">
      <c r="A51" s="2">
        <f>IF(ISBLANK('1_raw_log'!A51),"",'1_raw_log'!A51)</f>
        <v/>
      </c>
      <c r="B51" s="3">
        <f>IF(ISBLANK('1_raw_log'!B51),"",'1_raw_log'!B51)</f>
        <v/>
      </c>
      <c r="C51" s="2">
        <f>IF(ISBLANK('1_raw_log'!C51),"",'1_raw_log'!C51)</f>
        <v/>
      </c>
      <c r="D51" s="2">
        <f>IF(ISBLANK('1_raw_log'!D51),"",'1_raw_log'!D51)</f>
        <v/>
      </c>
      <c r="E51" s="4">
        <f>IF(ISBLANK('1_raw_log'!E51),"",'1_raw_log'!E51)</f>
        <v/>
      </c>
      <c r="F51" s="2">
        <f>IF(ISBLANK('1_raw_log'!F51),"",'1_raw_log'!F51)</f>
        <v/>
      </c>
      <c r="G51" s="2">
        <f>IF(ISBLANK('1_raw_log'!G51),"",'1_raw_log'!G51)</f>
        <v/>
      </c>
      <c r="H51" s="2">
        <f>IF(ISBLANK('1_raw_log'!H51),"",'1_raw_log'!H51)</f>
        <v/>
      </c>
      <c r="I51" s="7">
        <f>IF(ISBLANK('1_raw_log'!I51),"",'1_raw_log'!I51)</f>
        <v/>
      </c>
      <c r="J51" s="2">
        <f>IF(ISBLANK('1_raw_log'!J51),"",'1_raw_log'!J51)</f>
        <v/>
      </c>
      <c r="K51" s="2">
        <f>IF(ISBLANK('1_raw_log'!K51),"",'1_raw_log'!K51)</f>
        <v/>
      </c>
      <c r="L51" s="30">
        <f>INT(B51)</f>
        <v/>
      </c>
      <c r="M51" s="20">
        <f>ROUND(MOD(B51,1)*1440,0)/1440</f>
        <v/>
      </c>
      <c r="N51" s="4">
        <f>IFERROR(INDEX('3_ref_date'!$B:$B,MATCH(L51,'3_ref_date'!$A:$A,0)),"NOT FOUND")</f>
        <v/>
      </c>
      <c r="O51" s="2">
        <f>IFERROR(INDEX('3_ref_date'!$C:$C,MATCH(L51,'3_ref_date'!$A:$A,0)),"NOT FOUND")</f>
        <v/>
      </c>
      <c r="P51" s="4">
        <f>IFERROR(INDEX('3_ref_date'!$D:$D,MATCH(L51,'3_ref_date'!$A:$A,0)),"NOT FOUND")</f>
        <v/>
      </c>
      <c r="Q51" s="4">
        <f>IFERROR(INDEX('3_ref_date'!$E:$E,MATCH(L51,'3_ref_date'!$A:$A,0)),"NOT FOUND")</f>
        <v/>
      </c>
      <c r="R51" s="2">
        <f>IFERROR(INDEX('3_ref_date'!$F:$F,MATCH(L51,'3_ref_date'!$A:$A,0)),"NOT FOUND")</f>
        <v/>
      </c>
      <c r="S51" s="2">
        <f>IFERROR(INDEX('4_ref_time'!$D:$D,MATCH(ROUND(M51*1440,0),'4_ref_time'!$A:$A,0)),"NOT FOUND")</f>
        <v/>
      </c>
      <c r="T51" s="2">
        <f>UPPER(TRIM(C51))</f>
        <v/>
      </c>
      <c r="U51" s="30">
        <f>IF(_xlfn.MAXIFS('6_3nf_branch_history'!$B$2:$B$50,'6_3nf_branch_history'!$A$2:$A$50,T51,'6_3nf_branch_history'!$B$2:$B$50,"&lt;="&amp;L51)=0,"NOT FOUND",_xlfn.MAXIFS('6_3nf_branch_history'!$B$2:$B$50,'6_3nf_branch_history'!$A$2:$A$50,T51,'6_3nf_branch_history'!$B$2:$B$50,"&lt;="&amp;L51))</f>
        <v/>
      </c>
      <c r="V51" s="2">
        <f>IF(U51="NOT FOUND","NOT FOUND",INDEX('6_3nf_branch_history'!$C:$C,SUMPRODUCT(('6_3nf_branch_history'!$A$2:$A$50=T51)*('6_3nf_branch_history'!$B$2:$B$50=U51)*ROW('6_3nf_branch_history'!$A$2:$A$50))))</f>
        <v/>
      </c>
      <c r="W51" s="2">
        <f>IF(U51="NOT FOUND","NOT FOUND",INDEX('6_3nf_branch_history'!$D:$D,SUMPRODUCT(('6_3nf_branch_history'!$A$2:$A$50=T51)*('6_3nf_branch_history'!$B$2:$B$50=U51)*ROW('6_3nf_branch_history'!$A$2:$A$50))))</f>
        <v/>
      </c>
      <c r="X51" s="2">
        <f>IF(U51="NOT FOUND","NOT FOUND",INDEX('6_3nf_branch_history'!$E:$E,SUMPRODUCT(('6_3nf_branch_history'!$A$2:$A$50=T51)*('6_3nf_branch_history'!$B$2:$B$50=U51)*ROW('6_3nf_branch_history'!$A$2:$A$50))))</f>
        <v/>
      </c>
      <c r="Y51" s="2">
        <f>UPPER(TRIM(D51))</f>
        <v/>
      </c>
      <c r="Z51" s="2">
        <f>IFERROR(INDEX('7_3nf_product'!$B:$B,MATCH(Y51,'7_3nf_product'!$A:$A,0)),"NOT FOUND")</f>
        <v/>
      </c>
      <c r="AA51" s="2">
        <f>IFERROR(INDEX('7_3nf_product'!$C:$C,MATCH(Y51,'7_3nf_product'!$A:$A,0)),"NOT FOUND")</f>
        <v/>
      </c>
      <c r="AB51" s="2">
        <f>IFERROR(INDEX('7_3nf_product'!$D:$D,MATCH(Y51,'7_3nf_product'!$A:$A,0)),"NOT FOUND")</f>
        <v/>
      </c>
      <c r="AC51" s="6">
        <f>IFERROR(INDEX('7_3nf_product'!$E:$E,MATCH(Y51,'7_3nf_product'!$A:$A,0)),"NOT FOUND")</f>
        <v/>
      </c>
      <c r="AD51" s="33">
        <f>IF(LEN(TRIM(E51))=10,TRIM(E51),IF(LEN(TRIM(E51))=8,"00"&amp;TRIM(E51),"CHECK"))</f>
        <v/>
      </c>
      <c r="AE51" s="2">
        <f>IFERROR(INDEX('8_3nf_customer'!$C:$C,MATCH(AD51,'8_3nf_customer'!$B:$B,0)),"NOT FOUND")</f>
        <v/>
      </c>
      <c r="AF51" s="30">
        <f>IFERROR(INDEX('8_3nf_customer'!$D:$D,MATCH(AD51,'8_3nf_customer'!$B:$B,0)),"NOT FOUND")</f>
        <v/>
      </c>
      <c r="AG51" s="4">
        <f>IF(ISNUMBER(AF51),DATEDIF(AF51,L51,"y"),"NOT FOUND")</f>
        <v/>
      </c>
      <c r="AH51" s="2">
        <f>IFERROR(INDEX('8_3nf_customer'!$E:$E,MATCH(AD51,'8_3nf_customer'!$B:$B,0)),"NOT FOUND")</f>
        <v/>
      </c>
      <c r="AI51" s="30">
        <f>IF(_xlfn.MAXIFS('9_3nf_customer_history'!$B$2:$B$500,'9_3nf_customer_history'!$A$2:$A$500,AD51,'9_3nf_customer_history'!$B$2:$B$500,"&lt;="&amp;L51)=0,"NOT FOUND",_xlfn.MAXIFS('9_3nf_customer_history'!$B$2:$B$500,'9_3nf_customer_history'!$A$2:$A$500,AD51,'9_3nf_customer_history'!$B$2:$B$500,"&lt;="&amp;L51))</f>
        <v/>
      </c>
      <c r="AJ51" s="2">
        <f>IF(AI51="NOT FOUND","NOT FOUND",INDEX('9_3nf_customer_history'!$C:$C,SUMPRODUCT(('9_3nf_customer_history'!$A$2:$A$500=AD51)*('9_3nf_customer_history'!$B$2:$B$500=AI51)*ROW('9_3nf_customer_history'!$A$2:$A$500))))</f>
        <v/>
      </c>
      <c r="AK51" s="2">
        <f>IF(AI51="NOT FOUND","NOT FOUND",INDEX('9_3nf_customer_history'!$D:$D,SUMPRODUCT(('9_3nf_customer_history'!$A$2:$A$500=AD51)*('9_3nf_customer_history'!$B$2:$B$500=AI51)*ROW('9_3nf_customer_history'!$A$2:$A$500))))</f>
        <v/>
      </c>
      <c r="AL51" s="2">
        <f>UPPER(TRIM(H51))</f>
        <v/>
      </c>
      <c r="AM51" s="30">
        <f>IF(_xlfn.MAXIFS('10_ref_fx_rate'!$B$2:$B$2000,'10_ref_fx_rate'!$A$2:$A$2000,AL51,'10_ref_fx_rate'!$B$2:$B$2000,"&lt;="&amp;L51)=0,"NOT FOUND",_xlfn.MAXIFS('10_ref_fx_rate'!$B$2:$B$2000,'10_ref_fx_rate'!$A$2:$A$2000,AL51,'10_ref_fx_rate'!$B$2:$B$2000,"&lt;="&amp;L51))</f>
        <v/>
      </c>
      <c r="AN51" s="8">
        <f>IF(AM51="NOT FOUND","NOT FOUND",SUMIFS('10_ref_fx_rate'!$D$2:$D$2000,'10_ref_fx_rate'!$A$2:$A$2000,AL51,'10_ref_fx_rate'!$B$2:$B$2000,AM51))</f>
        <v/>
      </c>
      <c r="AO51" s="37">
        <f>IF(ISNUMBER(AN51),I51*AN51,"NOT FOUND")</f>
        <v/>
      </c>
      <c r="AP51" s="2">
        <f>UPPER(TRIM(J51))</f>
        <v/>
      </c>
      <c r="AQ51" s="2">
        <f>IF(AP51="","SELF-DIRECTED",IF(ISNUMBER(MATCH(AP51,'11_3nf_sales_person'!$A:$A,0)),IF(EXACT(AP51,J51),"OK","OK (auto-fixed)"),IF(ISNA(MATCH($A51,'12_sales_person_confirmation'!$A:$A,0)),"CONFIRM (not logged)",IF(INDEX('12_sales_person_confirmation'!$I:$I,MATCH($A51,'12_sales_person_confirmation'!$A:$A,0))="CONFIRMED","CONFIRMED ("&amp;LOWER(INDEX('12_sales_person_confirmation'!$E:$E,MATCH($A51,'12_sales_person_confirmation'!$A:$A,0)))&amp;")","PENDING CONFIRM"))))</f>
        <v/>
      </c>
      <c r="AR51" s="2">
        <f>IF(OR(AQ51="OK",AQ51="OK (auto-fixed)"),AP51,IF(LEFT(AQ51,9)="CONFIRMED",INDEX('12_sales_person_confirmation'!$F:$F,MATCH($A51,'12_sales_person_confirmation'!$A:$A,0)),""))</f>
        <v/>
      </c>
      <c r="AS51" s="2">
        <f>IF(AR51="","",INDEX('11_3nf_sales_person'!$B:$B,MATCH(AR51,'11_3nf_sales_person'!$A:$A,0)))</f>
        <v/>
      </c>
    </row>
    <row r="52">
      <c r="A52" s="2">
        <f>IF(ISBLANK('1_raw_log'!A52),"",'1_raw_log'!A52)</f>
        <v/>
      </c>
      <c r="B52" s="3">
        <f>IF(ISBLANK('1_raw_log'!B52),"",'1_raw_log'!B52)</f>
        <v/>
      </c>
      <c r="C52" s="2">
        <f>IF(ISBLANK('1_raw_log'!C52),"",'1_raw_log'!C52)</f>
        <v/>
      </c>
      <c r="D52" s="2">
        <f>IF(ISBLANK('1_raw_log'!D52),"",'1_raw_log'!D52)</f>
        <v/>
      </c>
      <c r="E52" s="4">
        <f>IF(ISBLANK('1_raw_log'!E52),"",'1_raw_log'!E52)</f>
        <v/>
      </c>
      <c r="F52" s="2">
        <f>IF(ISBLANK('1_raw_log'!F52),"",'1_raw_log'!F52)</f>
        <v/>
      </c>
      <c r="G52" s="2">
        <f>IF(ISBLANK('1_raw_log'!G52),"",'1_raw_log'!G52)</f>
        <v/>
      </c>
      <c r="H52" s="2">
        <f>IF(ISBLANK('1_raw_log'!H52),"",'1_raw_log'!H52)</f>
        <v/>
      </c>
      <c r="I52" s="7">
        <f>IF(ISBLANK('1_raw_log'!I52),"",'1_raw_log'!I52)</f>
        <v/>
      </c>
      <c r="J52" s="2">
        <f>IF(ISBLANK('1_raw_log'!J52),"",'1_raw_log'!J52)</f>
        <v/>
      </c>
      <c r="K52" s="2">
        <f>IF(ISBLANK('1_raw_log'!K52),"",'1_raw_log'!K52)</f>
        <v/>
      </c>
      <c r="L52" s="30">
        <f>INT(B52)</f>
        <v/>
      </c>
      <c r="M52" s="20">
        <f>ROUND(MOD(B52,1)*1440,0)/1440</f>
        <v/>
      </c>
      <c r="N52" s="4">
        <f>IFERROR(INDEX('3_ref_date'!$B:$B,MATCH(L52,'3_ref_date'!$A:$A,0)),"NOT FOUND")</f>
        <v/>
      </c>
      <c r="O52" s="2">
        <f>IFERROR(INDEX('3_ref_date'!$C:$C,MATCH(L52,'3_ref_date'!$A:$A,0)),"NOT FOUND")</f>
        <v/>
      </c>
      <c r="P52" s="4">
        <f>IFERROR(INDEX('3_ref_date'!$D:$D,MATCH(L52,'3_ref_date'!$A:$A,0)),"NOT FOUND")</f>
        <v/>
      </c>
      <c r="Q52" s="4">
        <f>IFERROR(INDEX('3_ref_date'!$E:$E,MATCH(L52,'3_ref_date'!$A:$A,0)),"NOT FOUND")</f>
        <v/>
      </c>
      <c r="R52" s="2">
        <f>IFERROR(INDEX('3_ref_date'!$F:$F,MATCH(L52,'3_ref_date'!$A:$A,0)),"NOT FOUND")</f>
        <v/>
      </c>
      <c r="S52" s="2">
        <f>IFERROR(INDEX('4_ref_time'!$D:$D,MATCH(ROUND(M52*1440,0),'4_ref_time'!$A:$A,0)),"NOT FOUND")</f>
        <v/>
      </c>
      <c r="T52" s="2">
        <f>UPPER(TRIM(C52))</f>
        <v/>
      </c>
      <c r="U52" s="30">
        <f>IF(_xlfn.MAXIFS('6_3nf_branch_history'!$B$2:$B$50,'6_3nf_branch_history'!$A$2:$A$50,T52,'6_3nf_branch_history'!$B$2:$B$50,"&lt;="&amp;L52)=0,"NOT FOUND",_xlfn.MAXIFS('6_3nf_branch_history'!$B$2:$B$50,'6_3nf_branch_history'!$A$2:$A$50,T52,'6_3nf_branch_history'!$B$2:$B$50,"&lt;="&amp;L52))</f>
        <v/>
      </c>
      <c r="V52" s="2">
        <f>IF(U52="NOT FOUND","NOT FOUND",INDEX('6_3nf_branch_history'!$C:$C,SUMPRODUCT(('6_3nf_branch_history'!$A$2:$A$50=T52)*('6_3nf_branch_history'!$B$2:$B$50=U52)*ROW('6_3nf_branch_history'!$A$2:$A$50))))</f>
        <v/>
      </c>
      <c r="W52" s="2">
        <f>IF(U52="NOT FOUND","NOT FOUND",INDEX('6_3nf_branch_history'!$D:$D,SUMPRODUCT(('6_3nf_branch_history'!$A$2:$A$50=T52)*('6_3nf_branch_history'!$B$2:$B$50=U52)*ROW('6_3nf_branch_history'!$A$2:$A$50))))</f>
        <v/>
      </c>
      <c r="X52" s="2">
        <f>IF(U52="NOT FOUND","NOT FOUND",INDEX('6_3nf_branch_history'!$E:$E,SUMPRODUCT(('6_3nf_branch_history'!$A$2:$A$50=T52)*('6_3nf_branch_history'!$B$2:$B$50=U52)*ROW('6_3nf_branch_history'!$A$2:$A$50))))</f>
        <v/>
      </c>
      <c r="Y52" s="2">
        <f>UPPER(TRIM(D52))</f>
        <v/>
      </c>
      <c r="Z52" s="2">
        <f>IFERROR(INDEX('7_3nf_product'!$B:$B,MATCH(Y52,'7_3nf_product'!$A:$A,0)),"NOT FOUND")</f>
        <v/>
      </c>
      <c r="AA52" s="2">
        <f>IFERROR(INDEX('7_3nf_product'!$C:$C,MATCH(Y52,'7_3nf_product'!$A:$A,0)),"NOT FOUND")</f>
        <v/>
      </c>
      <c r="AB52" s="2">
        <f>IFERROR(INDEX('7_3nf_product'!$D:$D,MATCH(Y52,'7_3nf_product'!$A:$A,0)),"NOT FOUND")</f>
        <v/>
      </c>
      <c r="AC52" s="6">
        <f>IFERROR(INDEX('7_3nf_product'!$E:$E,MATCH(Y52,'7_3nf_product'!$A:$A,0)),"NOT FOUND")</f>
        <v/>
      </c>
      <c r="AD52" s="33">
        <f>IF(LEN(TRIM(E52))=10,TRIM(E52),IF(LEN(TRIM(E52))=8,"00"&amp;TRIM(E52),"CHECK"))</f>
        <v/>
      </c>
      <c r="AE52" s="2">
        <f>IFERROR(INDEX('8_3nf_customer'!$C:$C,MATCH(AD52,'8_3nf_customer'!$B:$B,0)),"NOT FOUND")</f>
        <v/>
      </c>
      <c r="AF52" s="30">
        <f>IFERROR(INDEX('8_3nf_customer'!$D:$D,MATCH(AD52,'8_3nf_customer'!$B:$B,0)),"NOT FOUND")</f>
        <v/>
      </c>
      <c r="AG52" s="4">
        <f>IF(ISNUMBER(AF52),DATEDIF(AF52,L52,"y"),"NOT FOUND")</f>
        <v/>
      </c>
      <c r="AH52" s="2">
        <f>IFERROR(INDEX('8_3nf_customer'!$E:$E,MATCH(AD52,'8_3nf_customer'!$B:$B,0)),"NOT FOUND")</f>
        <v/>
      </c>
      <c r="AI52" s="30">
        <f>IF(_xlfn.MAXIFS('9_3nf_customer_history'!$B$2:$B$500,'9_3nf_customer_history'!$A$2:$A$500,AD52,'9_3nf_customer_history'!$B$2:$B$500,"&lt;="&amp;L52)=0,"NOT FOUND",_xlfn.MAXIFS('9_3nf_customer_history'!$B$2:$B$500,'9_3nf_customer_history'!$A$2:$A$500,AD52,'9_3nf_customer_history'!$B$2:$B$500,"&lt;="&amp;L52))</f>
        <v/>
      </c>
      <c r="AJ52" s="2">
        <f>IF(AI52="NOT FOUND","NOT FOUND",INDEX('9_3nf_customer_history'!$C:$C,SUMPRODUCT(('9_3nf_customer_history'!$A$2:$A$500=AD52)*('9_3nf_customer_history'!$B$2:$B$500=AI52)*ROW('9_3nf_customer_history'!$A$2:$A$500))))</f>
        <v/>
      </c>
      <c r="AK52" s="2">
        <f>IF(AI52="NOT FOUND","NOT FOUND",INDEX('9_3nf_customer_history'!$D:$D,SUMPRODUCT(('9_3nf_customer_history'!$A$2:$A$500=AD52)*('9_3nf_customer_history'!$B$2:$B$500=AI52)*ROW('9_3nf_customer_history'!$A$2:$A$500))))</f>
        <v/>
      </c>
      <c r="AL52" s="2">
        <f>UPPER(TRIM(H52))</f>
        <v/>
      </c>
      <c r="AM52" s="30">
        <f>IF(_xlfn.MAXIFS('10_ref_fx_rate'!$B$2:$B$2000,'10_ref_fx_rate'!$A$2:$A$2000,AL52,'10_ref_fx_rate'!$B$2:$B$2000,"&lt;="&amp;L52)=0,"NOT FOUND",_xlfn.MAXIFS('10_ref_fx_rate'!$B$2:$B$2000,'10_ref_fx_rate'!$A$2:$A$2000,AL52,'10_ref_fx_rate'!$B$2:$B$2000,"&lt;="&amp;L52))</f>
        <v/>
      </c>
      <c r="AN52" s="8">
        <f>IF(AM52="NOT FOUND","NOT FOUND",SUMIFS('10_ref_fx_rate'!$D$2:$D$2000,'10_ref_fx_rate'!$A$2:$A$2000,AL52,'10_ref_fx_rate'!$B$2:$B$2000,AM52))</f>
        <v/>
      </c>
      <c r="AO52" s="37">
        <f>IF(ISNUMBER(AN52),I52*AN52,"NOT FOUND")</f>
        <v/>
      </c>
      <c r="AP52" s="2">
        <f>UPPER(TRIM(J52))</f>
        <v/>
      </c>
      <c r="AQ52" s="2">
        <f>IF(AP52="","SELF-DIRECTED",IF(ISNUMBER(MATCH(AP52,'11_3nf_sales_person'!$A:$A,0)),IF(EXACT(AP52,J52),"OK","OK (auto-fixed)"),IF(ISNA(MATCH($A52,'12_sales_person_confirmation'!$A:$A,0)),"CONFIRM (not logged)",IF(INDEX('12_sales_person_confirmation'!$I:$I,MATCH($A52,'12_sales_person_confirmation'!$A:$A,0))="CONFIRMED","CONFIRMED ("&amp;LOWER(INDEX('12_sales_person_confirmation'!$E:$E,MATCH($A52,'12_sales_person_confirmation'!$A:$A,0)))&amp;")","PENDING CONFIRM"))))</f>
        <v/>
      </c>
      <c r="AR52" s="2">
        <f>IF(OR(AQ52="OK",AQ52="OK (auto-fixed)"),AP52,IF(LEFT(AQ52,9)="CONFIRMED",INDEX('12_sales_person_confirmation'!$F:$F,MATCH($A52,'12_sales_person_confirmation'!$A:$A,0)),""))</f>
        <v/>
      </c>
      <c r="AS52" s="2">
        <f>IF(AR52="","",INDEX('11_3nf_sales_person'!$B:$B,MATCH(AR52,'11_3nf_sales_person'!$A:$A,0)))</f>
        <v/>
      </c>
    </row>
    <row r="53">
      <c r="A53" s="2">
        <f>IF(ISBLANK('1_raw_log'!A53),"",'1_raw_log'!A53)</f>
        <v/>
      </c>
      <c r="B53" s="3">
        <f>IF(ISBLANK('1_raw_log'!B53),"",'1_raw_log'!B53)</f>
        <v/>
      </c>
      <c r="C53" s="2">
        <f>IF(ISBLANK('1_raw_log'!C53),"",'1_raw_log'!C53)</f>
        <v/>
      </c>
      <c r="D53" s="2">
        <f>IF(ISBLANK('1_raw_log'!D53),"",'1_raw_log'!D53)</f>
        <v/>
      </c>
      <c r="E53" s="4">
        <f>IF(ISBLANK('1_raw_log'!E53),"",'1_raw_log'!E53)</f>
        <v/>
      </c>
      <c r="F53" s="2">
        <f>IF(ISBLANK('1_raw_log'!F53),"",'1_raw_log'!F53)</f>
        <v/>
      </c>
      <c r="G53" s="2">
        <f>IF(ISBLANK('1_raw_log'!G53),"",'1_raw_log'!G53)</f>
        <v/>
      </c>
      <c r="H53" s="2">
        <f>IF(ISBLANK('1_raw_log'!H53),"",'1_raw_log'!H53)</f>
        <v/>
      </c>
      <c r="I53" s="7">
        <f>IF(ISBLANK('1_raw_log'!I53),"",'1_raw_log'!I53)</f>
        <v/>
      </c>
      <c r="J53" s="2">
        <f>IF(ISBLANK('1_raw_log'!J53),"",'1_raw_log'!J53)</f>
        <v/>
      </c>
      <c r="K53" s="2">
        <f>IF(ISBLANK('1_raw_log'!K53),"",'1_raw_log'!K53)</f>
        <v/>
      </c>
      <c r="L53" s="30">
        <f>INT(B53)</f>
        <v/>
      </c>
      <c r="M53" s="20">
        <f>ROUND(MOD(B53,1)*1440,0)/1440</f>
        <v/>
      </c>
      <c r="N53" s="4">
        <f>IFERROR(INDEX('3_ref_date'!$B:$B,MATCH(L53,'3_ref_date'!$A:$A,0)),"NOT FOUND")</f>
        <v/>
      </c>
      <c r="O53" s="2">
        <f>IFERROR(INDEX('3_ref_date'!$C:$C,MATCH(L53,'3_ref_date'!$A:$A,0)),"NOT FOUND")</f>
        <v/>
      </c>
      <c r="P53" s="4">
        <f>IFERROR(INDEX('3_ref_date'!$D:$D,MATCH(L53,'3_ref_date'!$A:$A,0)),"NOT FOUND")</f>
        <v/>
      </c>
      <c r="Q53" s="4">
        <f>IFERROR(INDEX('3_ref_date'!$E:$E,MATCH(L53,'3_ref_date'!$A:$A,0)),"NOT FOUND")</f>
        <v/>
      </c>
      <c r="R53" s="2">
        <f>IFERROR(INDEX('3_ref_date'!$F:$F,MATCH(L53,'3_ref_date'!$A:$A,0)),"NOT FOUND")</f>
        <v/>
      </c>
      <c r="S53" s="2">
        <f>IFERROR(INDEX('4_ref_time'!$D:$D,MATCH(ROUND(M53*1440,0),'4_ref_time'!$A:$A,0)),"NOT FOUND")</f>
        <v/>
      </c>
      <c r="T53" s="2">
        <f>UPPER(TRIM(C53))</f>
        <v/>
      </c>
      <c r="U53" s="30">
        <f>IF(_xlfn.MAXIFS('6_3nf_branch_history'!$B$2:$B$50,'6_3nf_branch_history'!$A$2:$A$50,T53,'6_3nf_branch_history'!$B$2:$B$50,"&lt;="&amp;L53)=0,"NOT FOUND",_xlfn.MAXIFS('6_3nf_branch_history'!$B$2:$B$50,'6_3nf_branch_history'!$A$2:$A$50,T53,'6_3nf_branch_history'!$B$2:$B$50,"&lt;="&amp;L53))</f>
        <v/>
      </c>
      <c r="V53" s="2">
        <f>IF(U53="NOT FOUND","NOT FOUND",INDEX('6_3nf_branch_history'!$C:$C,SUMPRODUCT(('6_3nf_branch_history'!$A$2:$A$50=T53)*('6_3nf_branch_history'!$B$2:$B$50=U53)*ROW('6_3nf_branch_history'!$A$2:$A$50))))</f>
        <v/>
      </c>
      <c r="W53" s="2">
        <f>IF(U53="NOT FOUND","NOT FOUND",INDEX('6_3nf_branch_history'!$D:$D,SUMPRODUCT(('6_3nf_branch_history'!$A$2:$A$50=T53)*('6_3nf_branch_history'!$B$2:$B$50=U53)*ROW('6_3nf_branch_history'!$A$2:$A$50))))</f>
        <v/>
      </c>
      <c r="X53" s="2">
        <f>IF(U53="NOT FOUND","NOT FOUND",INDEX('6_3nf_branch_history'!$E:$E,SUMPRODUCT(('6_3nf_branch_history'!$A$2:$A$50=T53)*('6_3nf_branch_history'!$B$2:$B$50=U53)*ROW('6_3nf_branch_history'!$A$2:$A$50))))</f>
        <v/>
      </c>
      <c r="Y53" s="2">
        <f>UPPER(TRIM(D53))</f>
        <v/>
      </c>
      <c r="Z53" s="2">
        <f>IFERROR(INDEX('7_3nf_product'!$B:$B,MATCH(Y53,'7_3nf_product'!$A:$A,0)),"NOT FOUND")</f>
        <v/>
      </c>
      <c r="AA53" s="2">
        <f>IFERROR(INDEX('7_3nf_product'!$C:$C,MATCH(Y53,'7_3nf_product'!$A:$A,0)),"NOT FOUND")</f>
        <v/>
      </c>
      <c r="AB53" s="2">
        <f>IFERROR(INDEX('7_3nf_product'!$D:$D,MATCH(Y53,'7_3nf_product'!$A:$A,0)),"NOT FOUND")</f>
        <v/>
      </c>
      <c r="AC53" s="6">
        <f>IFERROR(INDEX('7_3nf_product'!$E:$E,MATCH(Y53,'7_3nf_product'!$A:$A,0)),"NOT FOUND")</f>
        <v/>
      </c>
      <c r="AD53" s="33">
        <f>IF(LEN(TRIM(E53))=10,TRIM(E53),IF(LEN(TRIM(E53))=8,"00"&amp;TRIM(E53),"CHECK"))</f>
        <v/>
      </c>
      <c r="AE53" s="2">
        <f>IFERROR(INDEX('8_3nf_customer'!$C:$C,MATCH(AD53,'8_3nf_customer'!$B:$B,0)),"NOT FOUND")</f>
        <v/>
      </c>
      <c r="AF53" s="30">
        <f>IFERROR(INDEX('8_3nf_customer'!$D:$D,MATCH(AD53,'8_3nf_customer'!$B:$B,0)),"NOT FOUND")</f>
        <v/>
      </c>
      <c r="AG53" s="4">
        <f>IF(ISNUMBER(AF53),DATEDIF(AF53,L53,"y"),"NOT FOUND")</f>
        <v/>
      </c>
      <c r="AH53" s="2">
        <f>IFERROR(INDEX('8_3nf_customer'!$E:$E,MATCH(AD53,'8_3nf_customer'!$B:$B,0)),"NOT FOUND")</f>
        <v/>
      </c>
      <c r="AI53" s="30">
        <f>IF(_xlfn.MAXIFS('9_3nf_customer_history'!$B$2:$B$500,'9_3nf_customer_history'!$A$2:$A$500,AD53,'9_3nf_customer_history'!$B$2:$B$500,"&lt;="&amp;L53)=0,"NOT FOUND",_xlfn.MAXIFS('9_3nf_customer_history'!$B$2:$B$500,'9_3nf_customer_history'!$A$2:$A$500,AD53,'9_3nf_customer_history'!$B$2:$B$500,"&lt;="&amp;L53))</f>
        <v/>
      </c>
      <c r="AJ53" s="2">
        <f>IF(AI53="NOT FOUND","NOT FOUND",INDEX('9_3nf_customer_history'!$C:$C,SUMPRODUCT(('9_3nf_customer_history'!$A$2:$A$500=AD53)*('9_3nf_customer_history'!$B$2:$B$500=AI53)*ROW('9_3nf_customer_history'!$A$2:$A$500))))</f>
        <v/>
      </c>
      <c r="AK53" s="2">
        <f>IF(AI53="NOT FOUND","NOT FOUND",INDEX('9_3nf_customer_history'!$D:$D,SUMPRODUCT(('9_3nf_customer_history'!$A$2:$A$500=AD53)*('9_3nf_customer_history'!$B$2:$B$500=AI53)*ROW('9_3nf_customer_history'!$A$2:$A$500))))</f>
        <v/>
      </c>
      <c r="AL53" s="2">
        <f>UPPER(TRIM(H53))</f>
        <v/>
      </c>
      <c r="AM53" s="30">
        <f>IF(_xlfn.MAXIFS('10_ref_fx_rate'!$B$2:$B$2000,'10_ref_fx_rate'!$A$2:$A$2000,AL53,'10_ref_fx_rate'!$B$2:$B$2000,"&lt;="&amp;L53)=0,"NOT FOUND",_xlfn.MAXIFS('10_ref_fx_rate'!$B$2:$B$2000,'10_ref_fx_rate'!$A$2:$A$2000,AL53,'10_ref_fx_rate'!$B$2:$B$2000,"&lt;="&amp;L53))</f>
        <v/>
      </c>
      <c r="AN53" s="8">
        <f>IF(AM53="NOT FOUND","NOT FOUND",SUMIFS('10_ref_fx_rate'!$D$2:$D$2000,'10_ref_fx_rate'!$A$2:$A$2000,AL53,'10_ref_fx_rate'!$B$2:$B$2000,AM53))</f>
        <v/>
      </c>
      <c r="AO53" s="37">
        <f>IF(ISNUMBER(AN53),I53*AN53,"NOT FOUND")</f>
        <v/>
      </c>
      <c r="AP53" s="2">
        <f>UPPER(TRIM(J53))</f>
        <v/>
      </c>
      <c r="AQ53" s="2">
        <f>IF(AP53="","SELF-DIRECTED",IF(ISNUMBER(MATCH(AP53,'11_3nf_sales_person'!$A:$A,0)),IF(EXACT(AP53,J53),"OK","OK (auto-fixed)"),IF(ISNA(MATCH($A53,'12_sales_person_confirmation'!$A:$A,0)),"CONFIRM (not logged)",IF(INDEX('12_sales_person_confirmation'!$I:$I,MATCH($A53,'12_sales_person_confirmation'!$A:$A,0))="CONFIRMED","CONFIRMED ("&amp;LOWER(INDEX('12_sales_person_confirmation'!$E:$E,MATCH($A53,'12_sales_person_confirmation'!$A:$A,0)))&amp;")","PENDING CONFIRM"))))</f>
        <v/>
      </c>
      <c r="AR53" s="2">
        <f>IF(OR(AQ53="OK",AQ53="OK (auto-fixed)"),AP53,IF(LEFT(AQ53,9)="CONFIRMED",INDEX('12_sales_person_confirmation'!$F:$F,MATCH($A53,'12_sales_person_confirmation'!$A:$A,0)),""))</f>
        <v/>
      </c>
      <c r="AS53" s="2">
        <f>IF(AR53="","",INDEX('11_3nf_sales_person'!$B:$B,MATCH(AR53,'11_3nf_sales_person'!$A:$A,0)))</f>
        <v/>
      </c>
    </row>
    <row r="54">
      <c r="A54" s="2">
        <f>IF(ISBLANK('1_raw_log'!A54),"",'1_raw_log'!A54)</f>
        <v/>
      </c>
      <c r="B54" s="3">
        <f>IF(ISBLANK('1_raw_log'!B54),"",'1_raw_log'!B54)</f>
        <v/>
      </c>
      <c r="C54" s="2">
        <f>IF(ISBLANK('1_raw_log'!C54),"",'1_raw_log'!C54)</f>
        <v/>
      </c>
      <c r="D54" s="2">
        <f>IF(ISBLANK('1_raw_log'!D54),"",'1_raw_log'!D54)</f>
        <v/>
      </c>
      <c r="E54" s="4">
        <f>IF(ISBLANK('1_raw_log'!E54),"",'1_raw_log'!E54)</f>
        <v/>
      </c>
      <c r="F54" s="2">
        <f>IF(ISBLANK('1_raw_log'!F54),"",'1_raw_log'!F54)</f>
        <v/>
      </c>
      <c r="G54" s="2">
        <f>IF(ISBLANK('1_raw_log'!G54),"",'1_raw_log'!G54)</f>
        <v/>
      </c>
      <c r="H54" s="2">
        <f>IF(ISBLANK('1_raw_log'!H54),"",'1_raw_log'!H54)</f>
        <v/>
      </c>
      <c r="I54" s="7">
        <f>IF(ISBLANK('1_raw_log'!I54),"",'1_raw_log'!I54)</f>
        <v/>
      </c>
      <c r="J54" s="2">
        <f>IF(ISBLANK('1_raw_log'!J54),"",'1_raw_log'!J54)</f>
        <v/>
      </c>
      <c r="K54" s="2">
        <f>IF(ISBLANK('1_raw_log'!K54),"",'1_raw_log'!K54)</f>
        <v/>
      </c>
      <c r="L54" s="30">
        <f>INT(B54)</f>
        <v/>
      </c>
      <c r="M54" s="20">
        <f>ROUND(MOD(B54,1)*1440,0)/1440</f>
        <v/>
      </c>
      <c r="N54" s="4">
        <f>IFERROR(INDEX('3_ref_date'!$B:$B,MATCH(L54,'3_ref_date'!$A:$A,0)),"NOT FOUND")</f>
        <v/>
      </c>
      <c r="O54" s="2">
        <f>IFERROR(INDEX('3_ref_date'!$C:$C,MATCH(L54,'3_ref_date'!$A:$A,0)),"NOT FOUND")</f>
        <v/>
      </c>
      <c r="P54" s="4">
        <f>IFERROR(INDEX('3_ref_date'!$D:$D,MATCH(L54,'3_ref_date'!$A:$A,0)),"NOT FOUND")</f>
        <v/>
      </c>
      <c r="Q54" s="4">
        <f>IFERROR(INDEX('3_ref_date'!$E:$E,MATCH(L54,'3_ref_date'!$A:$A,0)),"NOT FOUND")</f>
        <v/>
      </c>
      <c r="R54" s="2">
        <f>IFERROR(INDEX('3_ref_date'!$F:$F,MATCH(L54,'3_ref_date'!$A:$A,0)),"NOT FOUND")</f>
        <v/>
      </c>
      <c r="S54" s="2">
        <f>IFERROR(INDEX('4_ref_time'!$D:$D,MATCH(ROUND(M54*1440,0),'4_ref_time'!$A:$A,0)),"NOT FOUND")</f>
        <v/>
      </c>
      <c r="T54" s="2">
        <f>UPPER(TRIM(C54))</f>
        <v/>
      </c>
      <c r="U54" s="30">
        <f>IF(_xlfn.MAXIFS('6_3nf_branch_history'!$B$2:$B$50,'6_3nf_branch_history'!$A$2:$A$50,T54,'6_3nf_branch_history'!$B$2:$B$50,"&lt;="&amp;L54)=0,"NOT FOUND",_xlfn.MAXIFS('6_3nf_branch_history'!$B$2:$B$50,'6_3nf_branch_history'!$A$2:$A$50,T54,'6_3nf_branch_history'!$B$2:$B$50,"&lt;="&amp;L54))</f>
        <v/>
      </c>
      <c r="V54" s="2">
        <f>IF(U54="NOT FOUND","NOT FOUND",INDEX('6_3nf_branch_history'!$C:$C,SUMPRODUCT(('6_3nf_branch_history'!$A$2:$A$50=T54)*('6_3nf_branch_history'!$B$2:$B$50=U54)*ROW('6_3nf_branch_history'!$A$2:$A$50))))</f>
        <v/>
      </c>
      <c r="W54" s="2">
        <f>IF(U54="NOT FOUND","NOT FOUND",INDEX('6_3nf_branch_history'!$D:$D,SUMPRODUCT(('6_3nf_branch_history'!$A$2:$A$50=T54)*('6_3nf_branch_history'!$B$2:$B$50=U54)*ROW('6_3nf_branch_history'!$A$2:$A$50))))</f>
        <v/>
      </c>
      <c r="X54" s="2">
        <f>IF(U54="NOT FOUND","NOT FOUND",INDEX('6_3nf_branch_history'!$E:$E,SUMPRODUCT(('6_3nf_branch_history'!$A$2:$A$50=T54)*('6_3nf_branch_history'!$B$2:$B$50=U54)*ROW('6_3nf_branch_history'!$A$2:$A$50))))</f>
        <v/>
      </c>
      <c r="Y54" s="2">
        <f>UPPER(TRIM(D54))</f>
        <v/>
      </c>
      <c r="Z54" s="2">
        <f>IFERROR(INDEX('7_3nf_product'!$B:$B,MATCH(Y54,'7_3nf_product'!$A:$A,0)),"NOT FOUND")</f>
        <v/>
      </c>
      <c r="AA54" s="2">
        <f>IFERROR(INDEX('7_3nf_product'!$C:$C,MATCH(Y54,'7_3nf_product'!$A:$A,0)),"NOT FOUND")</f>
        <v/>
      </c>
      <c r="AB54" s="2">
        <f>IFERROR(INDEX('7_3nf_product'!$D:$D,MATCH(Y54,'7_3nf_product'!$A:$A,0)),"NOT FOUND")</f>
        <v/>
      </c>
      <c r="AC54" s="6">
        <f>IFERROR(INDEX('7_3nf_product'!$E:$E,MATCH(Y54,'7_3nf_product'!$A:$A,0)),"NOT FOUND")</f>
        <v/>
      </c>
      <c r="AD54" s="33">
        <f>IF(LEN(TRIM(E54))=10,TRIM(E54),IF(LEN(TRIM(E54))=8,"00"&amp;TRIM(E54),"CHECK"))</f>
        <v/>
      </c>
      <c r="AE54" s="2">
        <f>IFERROR(INDEX('8_3nf_customer'!$C:$C,MATCH(AD54,'8_3nf_customer'!$B:$B,0)),"NOT FOUND")</f>
        <v/>
      </c>
      <c r="AF54" s="30">
        <f>IFERROR(INDEX('8_3nf_customer'!$D:$D,MATCH(AD54,'8_3nf_customer'!$B:$B,0)),"NOT FOUND")</f>
        <v/>
      </c>
      <c r="AG54" s="4">
        <f>IF(ISNUMBER(AF54),DATEDIF(AF54,L54,"y"),"NOT FOUND")</f>
        <v/>
      </c>
      <c r="AH54" s="2">
        <f>IFERROR(INDEX('8_3nf_customer'!$E:$E,MATCH(AD54,'8_3nf_customer'!$B:$B,0)),"NOT FOUND")</f>
        <v/>
      </c>
      <c r="AI54" s="30">
        <f>IF(_xlfn.MAXIFS('9_3nf_customer_history'!$B$2:$B$500,'9_3nf_customer_history'!$A$2:$A$500,AD54,'9_3nf_customer_history'!$B$2:$B$500,"&lt;="&amp;L54)=0,"NOT FOUND",_xlfn.MAXIFS('9_3nf_customer_history'!$B$2:$B$500,'9_3nf_customer_history'!$A$2:$A$500,AD54,'9_3nf_customer_history'!$B$2:$B$500,"&lt;="&amp;L54))</f>
        <v/>
      </c>
      <c r="AJ54" s="2">
        <f>IF(AI54="NOT FOUND","NOT FOUND",INDEX('9_3nf_customer_history'!$C:$C,SUMPRODUCT(('9_3nf_customer_history'!$A$2:$A$500=AD54)*('9_3nf_customer_history'!$B$2:$B$500=AI54)*ROW('9_3nf_customer_history'!$A$2:$A$500))))</f>
        <v/>
      </c>
      <c r="AK54" s="2">
        <f>IF(AI54="NOT FOUND","NOT FOUND",INDEX('9_3nf_customer_history'!$D:$D,SUMPRODUCT(('9_3nf_customer_history'!$A$2:$A$500=AD54)*('9_3nf_customer_history'!$B$2:$B$500=AI54)*ROW('9_3nf_customer_history'!$A$2:$A$500))))</f>
        <v/>
      </c>
      <c r="AL54" s="2">
        <f>UPPER(TRIM(H54))</f>
        <v/>
      </c>
      <c r="AM54" s="30">
        <f>IF(_xlfn.MAXIFS('10_ref_fx_rate'!$B$2:$B$2000,'10_ref_fx_rate'!$A$2:$A$2000,AL54,'10_ref_fx_rate'!$B$2:$B$2000,"&lt;="&amp;L54)=0,"NOT FOUND",_xlfn.MAXIFS('10_ref_fx_rate'!$B$2:$B$2000,'10_ref_fx_rate'!$A$2:$A$2000,AL54,'10_ref_fx_rate'!$B$2:$B$2000,"&lt;="&amp;L54))</f>
        <v/>
      </c>
      <c r="AN54" s="8">
        <f>IF(AM54="NOT FOUND","NOT FOUND",SUMIFS('10_ref_fx_rate'!$D$2:$D$2000,'10_ref_fx_rate'!$A$2:$A$2000,AL54,'10_ref_fx_rate'!$B$2:$B$2000,AM54))</f>
        <v/>
      </c>
      <c r="AO54" s="37">
        <f>IF(ISNUMBER(AN54),I54*AN54,"NOT FOUND")</f>
        <v/>
      </c>
      <c r="AP54" s="2">
        <f>UPPER(TRIM(J54))</f>
        <v/>
      </c>
      <c r="AQ54" s="2">
        <f>IF(AP54="","SELF-DIRECTED",IF(ISNUMBER(MATCH(AP54,'11_3nf_sales_person'!$A:$A,0)),IF(EXACT(AP54,J54),"OK","OK (auto-fixed)"),IF(ISNA(MATCH($A54,'12_sales_person_confirmation'!$A:$A,0)),"CONFIRM (not logged)",IF(INDEX('12_sales_person_confirmation'!$I:$I,MATCH($A54,'12_sales_person_confirmation'!$A:$A,0))="CONFIRMED","CONFIRMED ("&amp;LOWER(INDEX('12_sales_person_confirmation'!$E:$E,MATCH($A54,'12_sales_person_confirmation'!$A:$A,0)))&amp;")","PENDING CONFIRM"))))</f>
        <v/>
      </c>
      <c r="AR54" s="2">
        <f>IF(OR(AQ54="OK",AQ54="OK (auto-fixed)"),AP54,IF(LEFT(AQ54,9)="CONFIRMED",INDEX('12_sales_person_confirmation'!$F:$F,MATCH($A54,'12_sales_person_confirmation'!$A:$A,0)),""))</f>
        <v/>
      </c>
      <c r="AS54" s="2">
        <f>IF(AR54="","",INDEX('11_3nf_sales_person'!$B:$B,MATCH(AR54,'11_3nf_sales_person'!$A:$A,0)))</f>
        <v/>
      </c>
    </row>
    <row r="55">
      <c r="A55" s="2">
        <f>IF(ISBLANK('1_raw_log'!A55),"",'1_raw_log'!A55)</f>
        <v/>
      </c>
      <c r="B55" s="3">
        <f>IF(ISBLANK('1_raw_log'!B55),"",'1_raw_log'!B55)</f>
        <v/>
      </c>
      <c r="C55" s="2">
        <f>IF(ISBLANK('1_raw_log'!C55),"",'1_raw_log'!C55)</f>
        <v/>
      </c>
      <c r="D55" s="2">
        <f>IF(ISBLANK('1_raw_log'!D55),"",'1_raw_log'!D55)</f>
        <v/>
      </c>
      <c r="E55" s="4">
        <f>IF(ISBLANK('1_raw_log'!E55),"",'1_raw_log'!E55)</f>
        <v/>
      </c>
      <c r="F55" s="2">
        <f>IF(ISBLANK('1_raw_log'!F55),"",'1_raw_log'!F55)</f>
        <v/>
      </c>
      <c r="G55" s="2">
        <f>IF(ISBLANK('1_raw_log'!G55),"",'1_raw_log'!G55)</f>
        <v/>
      </c>
      <c r="H55" s="2">
        <f>IF(ISBLANK('1_raw_log'!H55),"",'1_raw_log'!H55)</f>
        <v/>
      </c>
      <c r="I55" s="7">
        <f>IF(ISBLANK('1_raw_log'!I55),"",'1_raw_log'!I55)</f>
        <v/>
      </c>
      <c r="J55" s="2">
        <f>IF(ISBLANK('1_raw_log'!J55),"",'1_raw_log'!J55)</f>
        <v/>
      </c>
      <c r="K55" s="2">
        <f>IF(ISBLANK('1_raw_log'!K55),"",'1_raw_log'!K55)</f>
        <v/>
      </c>
      <c r="L55" s="30">
        <f>INT(B55)</f>
        <v/>
      </c>
      <c r="M55" s="20">
        <f>ROUND(MOD(B55,1)*1440,0)/1440</f>
        <v/>
      </c>
      <c r="N55" s="4">
        <f>IFERROR(INDEX('3_ref_date'!$B:$B,MATCH(L55,'3_ref_date'!$A:$A,0)),"NOT FOUND")</f>
        <v/>
      </c>
      <c r="O55" s="2">
        <f>IFERROR(INDEX('3_ref_date'!$C:$C,MATCH(L55,'3_ref_date'!$A:$A,0)),"NOT FOUND")</f>
        <v/>
      </c>
      <c r="P55" s="4">
        <f>IFERROR(INDEX('3_ref_date'!$D:$D,MATCH(L55,'3_ref_date'!$A:$A,0)),"NOT FOUND")</f>
        <v/>
      </c>
      <c r="Q55" s="4">
        <f>IFERROR(INDEX('3_ref_date'!$E:$E,MATCH(L55,'3_ref_date'!$A:$A,0)),"NOT FOUND")</f>
        <v/>
      </c>
      <c r="R55" s="2">
        <f>IFERROR(INDEX('3_ref_date'!$F:$F,MATCH(L55,'3_ref_date'!$A:$A,0)),"NOT FOUND")</f>
        <v/>
      </c>
      <c r="S55" s="2">
        <f>IFERROR(INDEX('4_ref_time'!$D:$D,MATCH(ROUND(M55*1440,0),'4_ref_time'!$A:$A,0)),"NOT FOUND")</f>
        <v/>
      </c>
      <c r="T55" s="2">
        <f>UPPER(TRIM(C55))</f>
        <v/>
      </c>
      <c r="U55" s="30">
        <f>IF(_xlfn.MAXIFS('6_3nf_branch_history'!$B$2:$B$50,'6_3nf_branch_history'!$A$2:$A$50,T55,'6_3nf_branch_history'!$B$2:$B$50,"&lt;="&amp;L55)=0,"NOT FOUND",_xlfn.MAXIFS('6_3nf_branch_history'!$B$2:$B$50,'6_3nf_branch_history'!$A$2:$A$50,T55,'6_3nf_branch_history'!$B$2:$B$50,"&lt;="&amp;L55))</f>
        <v/>
      </c>
      <c r="V55" s="2">
        <f>IF(U55="NOT FOUND","NOT FOUND",INDEX('6_3nf_branch_history'!$C:$C,SUMPRODUCT(('6_3nf_branch_history'!$A$2:$A$50=T55)*('6_3nf_branch_history'!$B$2:$B$50=U55)*ROW('6_3nf_branch_history'!$A$2:$A$50))))</f>
        <v/>
      </c>
      <c r="W55" s="2">
        <f>IF(U55="NOT FOUND","NOT FOUND",INDEX('6_3nf_branch_history'!$D:$D,SUMPRODUCT(('6_3nf_branch_history'!$A$2:$A$50=T55)*('6_3nf_branch_history'!$B$2:$B$50=U55)*ROW('6_3nf_branch_history'!$A$2:$A$50))))</f>
        <v/>
      </c>
      <c r="X55" s="2">
        <f>IF(U55="NOT FOUND","NOT FOUND",INDEX('6_3nf_branch_history'!$E:$E,SUMPRODUCT(('6_3nf_branch_history'!$A$2:$A$50=T55)*('6_3nf_branch_history'!$B$2:$B$50=U55)*ROW('6_3nf_branch_history'!$A$2:$A$50))))</f>
        <v/>
      </c>
      <c r="Y55" s="2">
        <f>UPPER(TRIM(D55))</f>
        <v/>
      </c>
      <c r="Z55" s="2">
        <f>IFERROR(INDEX('7_3nf_product'!$B:$B,MATCH(Y55,'7_3nf_product'!$A:$A,0)),"NOT FOUND")</f>
        <v/>
      </c>
      <c r="AA55" s="2">
        <f>IFERROR(INDEX('7_3nf_product'!$C:$C,MATCH(Y55,'7_3nf_product'!$A:$A,0)),"NOT FOUND")</f>
        <v/>
      </c>
      <c r="AB55" s="2">
        <f>IFERROR(INDEX('7_3nf_product'!$D:$D,MATCH(Y55,'7_3nf_product'!$A:$A,0)),"NOT FOUND")</f>
        <v/>
      </c>
      <c r="AC55" s="6">
        <f>IFERROR(INDEX('7_3nf_product'!$E:$E,MATCH(Y55,'7_3nf_product'!$A:$A,0)),"NOT FOUND")</f>
        <v/>
      </c>
      <c r="AD55" s="33">
        <f>IF(LEN(TRIM(E55))=10,TRIM(E55),IF(LEN(TRIM(E55))=8,"00"&amp;TRIM(E55),"CHECK"))</f>
        <v/>
      </c>
      <c r="AE55" s="2">
        <f>IFERROR(INDEX('8_3nf_customer'!$C:$C,MATCH(AD55,'8_3nf_customer'!$B:$B,0)),"NOT FOUND")</f>
        <v/>
      </c>
      <c r="AF55" s="30">
        <f>IFERROR(INDEX('8_3nf_customer'!$D:$D,MATCH(AD55,'8_3nf_customer'!$B:$B,0)),"NOT FOUND")</f>
        <v/>
      </c>
      <c r="AG55" s="4">
        <f>IF(ISNUMBER(AF55),DATEDIF(AF55,L55,"y"),"NOT FOUND")</f>
        <v/>
      </c>
      <c r="AH55" s="2">
        <f>IFERROR(INDEX('8_3nf_customer'!$E:$E,MATCH(AD55,'8_3nf_customer'!$B:$B,0)),"NOT FOUND")</f>
        <v/>
      </c>
      <c r="AI55" s="30">
        <f>IF(_xlfn.MAXIFS('9_3nf_customer_history'!$B$2:$B$500,'9_3nf_customer_history'!$A$2:$A$500,AD55,'9_3nf_customer_history'!$B$2:$B$500,"&lt;="&amp;L55)=0,"NOT FOUND",_xlfn.MAXIFS('9_3nf_customer_history'!$B$2:$B$500,'9_3nf_customer_history'!$A$2:$A$500,AD55,'9_3nf_customer_history'!$B$2:$B$500,"&lt;="&amp;L55))</f>
        <v/>
      </c>
      <c r="AJ55" s="2">
        <f>IF(AI55="NOT FOUND","NOT FOUND",INDEX('9_3nf_customer_history'!$C:$C,SUMPRODUCT(('9_3nf_customer_history'!$A$2:$A$500=AD55)*('9_3nf_customer_history'!$B$2:$B$500=AI55)*ROW('9_3nf_customer_history'!$A$2:$A$500))))</f>
        <v/>
      </c>
      <c r="AK55" s="2">
        <f>IF(AI55="NOT FOUND","NOT FOUND",INDEX('9_3nf_customer_history'!$D:$D,SUMPRODUCT(('9_3nf_customer_history'!$A$2:$A$500=AD55)*('9_3nf_customer_history'!$B$2:$B$500=AI55)*ROW('9_3nf_customer_history'!$A$2:$A$500))))</f>
        <v/>
      </c>
      <c r="AL55" s="2">
        <f>UPPER(TRIM(H55))</f>
        <v/>
      </c>
      <c r="AM55" s="30">
        <f>IF(_xlfn.MAXIFS('10_ref_fx_rate'!$B$2:$B$2000,'10_ref_fx_rate'!$A$2:$A$2000,AL55,'10_ref_fx_rate'!$B$2:$B$2000,"&lt;="&amp;L55)=0,"NOT FOUND",_xlfn.MAXIFS('10_ref_fx_rate'!$B$2:$B$2000,'10_ref_fx_rate'!$A$2:$A$2000,AL55,'10_ref_fx_rate'!$B$2:$B$2000,"&lt;="&amp;L55))</f>
        <v/>
      </c>
      <c r="AN55" s="8">
        <f>IF(AM55="NOT FOUND","NOT FOUND",SUMIFS('10_ref_fx_rate'!$D$2:$D$2000,'10_ref_fx_rate'!$A$2:$A$2000,AL55,'10_ref_fx_rate'!$B$2:$B$2000,AM55))</f>
        <v/>
      </c>
      <c r="AO55" s="37">
        <f>IF(ISNUMBER(AN55),I55*AN55,"NOT FOUND")</f>
        <v/>
      </c>
      <c r="AP55" s="2">
        <f>UPPER(TRIM(J55))</f>
        <v/>
      </c>
      <c r="AQ55" s="2">
        <f>IF(AP55="","SELF-DIRECTED",IF(ISNUMBER(MATCH(AP55,'11_3nf_sales_person'!$A:$A,0)),IF(EXACT(AP55,J55),"OK","OK (auto-fixed)"),IF(ISNA(MATCH($A55,'12_sales_person_confirmation'!$A:$A,0)),"CONFIRM (not logged)",IF(INDEX('12_sales_person_confirmation'!$I:$I,MATCH($A55,'12_sales_person_confirmation'!$A:$A,0))="CONFIRMED","CONFIRMED ("&amp;LOWER(INDEX('12_sales_person_confirmation'!$E:$E,MATCH($A55,'12_sales_person_confirmation'!$A:$A,0)))&amp;")","PENDING CONFIRM"))))</f>
        <v/>
      </c>
      <c r="AR55" s="2">
        <f>IF(OR(AQ55="OK",AQ55="OK (auto-fixed)"),AP55,IF(LEFT(AQ55,9)="CONFIRMED",INDEX('12_sales_person_confirmation'!$F:$F,MATCH($A55,'12_sales_person_confirmation'!$A:$A,0)),""))</f>
        <v/>
      </c>
      <c r="AS55" s="2">
        <f>IF(AR55="","",INDEX('11_3nf_sales_person'!$B:$B,MATCH(AR55,'11_3nf_sales_person'!$A:$A,0)))</f>
        <v/>
      </c>
    </row>
    <row r="56">
      <c r="A56" s="2">
        <f>IF(ISBLANK('1_raw_log'!A56),"",'1_raw_log'!A56)</f>
        <v/>
      </c>
      <c r="B56" s="3">
        <f>IF(ISBLANK('1_raw_log'!B56),"",'1_raw_log'!B56)</f>
        <v/>
      </c>
      <c r="C56" s="2">
        <f>IF(ISBLANK('1_raw_log'!C56),"",'1_raw_log'!C56)</f>
        <v/>
      </c>
      <c r="D56" s="2">
        <f>IF(ISBLANK('1_raw_log'!D56),"",'1_raw_log'!D56)</f>
        <v/>
      </c>
      <c r="E56" s="4">
        <f>IF(ISBLANK('1_raw_log'!E56),"",'1_raw_log'!E56)</f>
        <v/>
      </c>
      <c r="F56" s="2">
        <f>IF(ISBLANK('1_raw_log'!F56),"",'1_raw_log'!F56)</f>
        <v/>
      </c>
      <c r="G56" s="2">
        <f>IF(ISBLANK('1_raw_log'!G56),"",'1_raw_log'!G56)</f>
        <v/>
      </c>
      <c r="H56" s="2">
        <f>IF(ISBLANK('1_raw_log'!H56),"",'1_raw_log'!H56)</f>
        <v/>
      </c>
      <c r="I56" s="7">
        <f>IF(ISBLANK('1_raw_log'!I56),"",'1_raw_log'!I56)</f>
        <v/>
      </c>
      <c r="J56" s="2">
        <f>IF(ISBLANK('1_raw_log'!J56),"",'1_raw_log'!J56)</f>
        <v/>
      </c>
      <c r="K56" s="2">
        <f>IF(ISBLANK('1_raw_log'!K56),"",'1_raw_log'!K56)</f>
        <v/>
      </c>
      <c r="L56" s="30">
        <f>INT(B56)</f>
        <v/>
      </c>
      <c r="M56" s="20">
        <f>ROUND(MOD(B56,1)*1440,0)/1440</f>
        <v/>
      </c>
      <c r="N56" s="4">
        <f>IFERROR(INDEX('3_ref_date'!$B:$B,MATCH(L56,'3_ref_date'!$A:$A,0)),"NOT FOUND")</f>
        <v/>
      </c>
      <c r="O56" s="2">
        <f>IFERROR(INDEX('3_ref_date'!$C:$C,MATCH(L56,'3_ref_date'!$A:$A,0)),"NOT FOUND")</f>
        <v/>
      </c>
      <c r="P56" s="4">
        <f>IFERROR(INDEX('3_ref_date'!$D:$D,MATCH(L56,'3_ref_date'!$A:$A,0)),"NOT FOUND")</f>
        <v/>
      </c>
      <c r="Q56" s="4">
        <f>IFERROR(INDEX('3_ref_date'!$E:$E,MATCH(L56,'3_ref_date'!$A:$A,0)),"NOT FOUND")</f>
        <v/>
      </c>
      <c r="R56" s="2">
        <f>IFERROR(INDEX('3_ref_date'!$F:$F,MATCH(L56,'3_ref_date'!$A:$A,0)),"NOT FOUND")</f>
        <v/>
      </c>
      <c r="S56" s="2">
        <f>IFERROR(INDEX('4_ref_time'!$D:$D,MATCH(ROUND(M56*1440,0),'4_ref_time'!$A:$A,0)),"NOT FOUND")</f>
        <v/>
      </c>
      <c r="T56" s="2">
        <f>UPPER(TRIM(C56))</f>
        <v/>
      </c>
      <c r="U56" s="30">
        <f>IF(_xlfn.MAXIFS('6_3nf_branch_history'!$B$2:$B$50,'6_3nf_branch_history'!$A$2:$A$50,T56,'6_3nf_branch_history'!$B$2:$B$50,"&lt;="&amp;L56)=0,"NOT FOUND",_xlfn.MAXIFS('6_3nf_branch_history'!$B$2:$B$50,'6_3nf_branch_history'!$A$2:$A$50,T56,'6_3nf_branch_history'!$B$2:$B$50,"&lt;="&amp;L56))</f>
        <v/>
      </c>
      <c r="V56" s="2">
        <f>IF(U56="NOT FOUND","NOT FOUND",INDEX('6_3nf_branch_history'!$C:$C,SUMPRODUCT(('6_3nf_branch_history'!$A$2:$A$50=T56)*('6_3nf_branch_history'!$B$2:$B$50=U56)*ROW('6_3nf_branch_history'!$A$2:$A$50))))</f>
        <v/>
      </c>
      <c r="W56" s="2">
        <f>IF(U56="NOT FOUND","NOT FOUND",INDEX('6_3nf_branch_history'!$D:$D,SUMPRODUCT(('6_3nf_branch_history'!$A$2:$A$50=T56)*('6_3nf_branch_history'!$B$2:$B$50=U56)*ROW('6_3nf_branch_history'!$A$2:$A$50))))</f>
        <v/>
      </c>
      <c r="X56" s="2">
        <f>IF(U56="NOT FOUND","NOT FOUND",INDEX('6_3nf_branch_history'!$E:$E,SUMPRODUCT(('6_3nf_branch_history'!$A$2:$A$50=T56)*('6_3nf_branch_history'!$B$2:$B$50=U56)*ROW('6_3nf_branch_history'!$A$2:$A$50))))</f>
        <v/>
      </c>
      <c r="Y56" s="2">
        <f>UPPER(TRIM(D56))</f>
        <v/>
      </c>
      <c r="Z56" s="2">
        <f>IFERROR(INDEX('7_3nf_product'!$B:$B,MATCH(Y56,'7_3nf_product'!$A:$A,0)),"NOT FOUND")</f>
        <v/>
      </c>
      <c r="AA56" s="2">
        <f>IFERROR(INDEX('7_3nf_product'!$C:$C,MATCH(Y56,'7_3nf_product'!$A:$A,0)),"NOT FOUND")</f>
        <v/>
      </c>
      <c r="AB56" s="2">
        <f>IFERROR(INDEX('7_3nf_product'!$D:$D,MATCH(Y56,'7_3nf_product'!$A:$A,0)),"NOT FOUND")</f>
        <v/>
      </c>
      <c r="AC56" s="6">
        <f>IFERROR(INDEX('7_3nf_product'!$E:$E,MATCH(Y56,'7_3nf_product'!$A:$A,0)),"NOT FOUND")</f>
        <v/>
      </c>
      <c r="AD56" s="33">
        <f>IF(LEN(TRIM(E56))=10,TRIM(E56),IF(LEN(TRIM(E56))=8,"00"&amp;TRIM(E56),"CHECK"))</f>
        <v/>
      </c>
      <c r="AE56" s="2">
        <f>IFERROR(INDEX('8_3nf_customer'!$C:$C,MATCH(AD56,'8_3nf_customer'!$B:$B,0)),"NOT FOUND")</f>
        <v/>
      </c>
      <c r="AF56" s="30">
        <f>IFERROR(INDEX('8_3nf_customer'!$D:$D,MATCH(AD56,'8_3nf_customer'!$B:$B,0)),"NOT FOUND")</f>
        <v/>
      </c>
      <c r="AG56" s="4">
        <f>IF(ISNUMBER(AF56),DATEDIF(AF56,L56,"y"),"NOT FOUND")</f>
        <v/>
      </c>
      <c r="AH56" s="2">
        <f>IFERROR(INDEX('8_3nf_customer'!$E:$E,MATCH(AD56,'8_3nf_customer'!$B:$B,0)),"NOT FOUND")</f>
        <v/>
      </c>
      <c r="AI56" s="30">
        <f>IF(_xlfn.MAXIFS('9_3nf_customer_history'!$B$2:$B$500,'9_3nf_customer_history'!$A$2:$A$500,AD56,'9_3nf_customer_history'!$B$2:$B$500,"&lt;="&amp;L56)=0,"NOT FOUND",_xlfn.MAXIFS('9_3nf_customer_history'!$B$2:$B$500,'9_3nf_customer_history'!$A$2:$A$500,AD56,'9_3nf_customer_history'!$B$2:$B$500,"&lt;="&amp;L56))</f>
        <v/>
      </c>
      <c r="AJ56" s="2">
        <f>IF(AI56="NOT FOUND","NOT FOUND",INDEX('9_3nf_customer_history'!$C:$C,SUMPRODUCT(('9_3nf_customer_history'!$A$2:$A$500=AD56)*('9_3nf_customer_history'!$B$2:$B$500=AI56)*ROW('9_3nf_customer_history'!$A$2:$A$500))))</f>
        <v/>
      </c>
      <c r="AK56" s="2">
        <f>IF(AI56="NOT FOUND","NOT FOUND",INDEX('9_3nf_customer_history'!$D:$D,SUMPRODUCT(('9_3nf_customer_history'!$A$2:$A$500=AD56)*('9_3nf_customer_history'!$B$2:$B$500=AI56)*ROW('9_3nf_customer_history'!$A$2:$A$500))))</f>
        <v/>
      </c>
      <c r="AL56" s="2">
        <f>UPPER(TRIM(H56))</f>
        <v/>
      </c>
      <c r="AM56" s="30">
        <f>IF(_xlfn.MAXIFS('10_ref_fx_rate'!$B$2:$B$2000,'10_ref_fx_rate'!$A$2:$A$2000,AL56,'10_ref_fx_rate'!$B$2:$B$2000,"&lt;="&amp;L56)=0,"NOT FOUND",_xlfn.MAXIFS('10_ref_fx_rate'!$B$2:$B$2000,'10_ref_fx_rate'!$A$2:$A$2000,AL56,'10_ref_fx_rate'!$B$2:$B$2000,"&lt;="&amp;L56))</f>
        <v/>
      </c>
      <c r="AN56" s="8">
        <f>IF(AM56="NOT FOUND","NOT FOUND",SUMIFS('10_ref_fx_rate'!$D$2:$D$2000,'10_ref_fx_rate'!$A$2:$A$2000,AL56,'10_ref_fx_rate'!$B$2:$B$2000,AM56))</f>
        <v/>
      </c>
      <c r="AO56" s="37">
        <f>IF(ISNUMBER(AN56),I56*AN56,"NOT FOUND")</f>
        <v/>
      </c>
      <c r="AP56" s="2">
        <f>UPPER(TRIM(J56))</f>
        <v/>
      </c>
      <c r="AQ56" s="2">
        <f>IF(AP56="","SELF-DIRECTED",IF(ISNUMBER(MATCH(AP56,'11_3nf_sales_person'!$A:$A,0)),IF(EXACT(AP56,J56),"OK","OK (auto-fixed)"),IF(ISNA(MATCH($A56,'12_sales_person_confirmation'!$A:$A,0)),"CONFIRM (not logged)",IF(INDEX('12_sales_person_confirmation'!$I:$I,MATCH($A56,'12_sales_person_confirmation'!$A:$A,0))="CONFIRMED","CONFIRMED ("&amp;LOWER(INDEX('12_sales_person_confirmation'!$E:$E,MATCH($A56,'12_sales_person_confirmation'!$A:$A,0)))&amp;")","PENDING CONFIRM"))))</f>
        <v/>
      </c>
      <c r="AR56" s="2">
        <f>IF(OR(AQ56="OK",AQ56="OK (auto-fixed)"),AP56,IF(LEFT(AQ56,9)="CONFIRMED",INDEX('12_sales_person_confirmation'!$F:$F,MATCH($A56,'12_sales_person_confirmation'!$A:$A,0)),""))</f>
        <v/>
      </c>
      <c r="AS56" s="2">
        <f>IF(AR56="","",INDEX('11_3nf_sales_person'!$B:$B,MATCH(AR56,'11_3nf_sales_person'!$A:$A,0)))</f>
        <v/>
      </c>
    </row>
    <row r="57">
      <c r="A57" s="2">
        <f>IF(ISBLANK('1_raw_log'!A57),"",'1_raw_log'!A57)</f>
        <v/>
      </c>
      <c r="B57" s="3">
        <f>IF(ISBLANK('1_raw_log'!B57),"",'1_raw_log'!B57)</f>
        <v/>
      </c>
      <c r="C57" s="2">
        <f>IF(ISBLANK('1_raw_log'!C57),"",'1_raw_log'!C57)</f>
        <v/>
      </c>
      <c r="D57" s="2">
        <f>IF(ISBLANK('1_raw_log'!D57),"",'1_raw_log'!D57)</f>
        <v/>
      </c>
      <c r="E57" s="4">
        <f>IF(ISBLANK('1_raw_log'!E57),"",'1_raw_log'!E57)</f>
        <v/>
      </c>
      <c r="F57" s="2">
        <f>IF(ISBLANK('1_raw_log'!F57),"",'1_raw_log'!F57)</f>
        <v/>
      </c>
      <c r="G57" s="2">
        <f>IF(ISBLANK('1_raw_log'!G57),"",'1_raw_log'!G57)</f>
        <v/>
      </c>
      <c r="H57" s="2">
        <f>IF(ISBLANK('1_raw_log'!H57),"",'1_raw_log'!H57)</f>
        <v/>
      </c>
      <c r="I57" s="7">
        <f>IF(ISBLANK('1_raw_log'!I57),"",'1_raw_log'!I57)</f>
        <v/>
      </c>
      <c r="J57" s="2">
        <f>IF(ISBLANK('1_raw_log'!J57),"",'1_raw_log'!J57)</f>
        <v/>
      </c>
      <c r="K57" s="2">
        <f>IF(ISBLANK('1_raw_log'!K57),"",'1_raw_log'!K57)</f>
        <v/>
      </c>
      <c r="L57" s="30">
        <f>INT(B57)</f>
        <v/>
      </c>
      <c r="M57" s="20">
        <f>ROUND(MOD(B57,1)*1440,0)/1440</f>
        <v/>
      </c>
      <c r="N57" s="4">
        <f>IFERROR(INDEX('3_ref_date'!$B:$B,MATCH(L57,'3_ref_date'!$A:$A,0)),"NOT FOUND")</f>
        <v/>
      </c>
      <c r="O57" s="2">
        <f>IFERROR(INDEX('3_ref_date'!$C:$C,MATCH(L57,'3_ref_date'!$A:$A,0)),"NOT FOUND")</f>
        <v/>
      </c>
      <c r="P57" s="4">
        <f>IFERROR(INDEX('3_ref_date'!$D:$D,MATCH(L57,'3_ref_date'!$A:$A,0)),"NOT FOUND")</f>
        <v/>
      </c>
      <c r="Q57" s="4">
        <f>IFERROR(INDEX('3_ref_date'!$E:$E,MATCH(L57,'3_ref_date'!$A:$A,0)),"NOT FOUND")</f>
        <v/>
      </c>
      <c r="R57" s="2">
        <f>IFERROR(INDEX('3_ref_date'!$F:$F,MATCH(L57,'3_ref_date'!$A:$A,0)),"NOT FOUND")</f>
        <v/>
      </c>
      <c r="S57" s="2">
        <f>IFERROR(INDEX('4_ref_time'!$D:$D,MATCH(ROUND(M57*1440,0),'4_ref_time'!$A:$A,0)),"NOT FOUND")</f>
        <v/>
      </c>
      <c r="T57" s="2">
        <f>UPPER(TRIM(C57))</f>
        <v/>
      </c>
      <c r="U57" s="30">
        <f>IF(_xlfn.MAXIFS('6_3nf_branch_history'!$B$2:$B$50,'6_3nf_branch_history'!$A$2:$A$50,T57,'6_3nf_branch_history'!$B$2:$B$50,"&lt;="&amp;L57)=0,"NOT FOUND",_xlfn.MAXIFS('6_3nf_branch_history'!$B$2:$B$50,'6_3nf_branch_history'!$A$2:$A$50,T57,'6_3nf_branch_history'!$B$2:$B$50,"&lt;="&amp;L57))</f>
        <v/>
      </c>
      <c r="V57" s="2">
        <f>IF(U57="NOT FOUND","NOT FOUND",INDEX('6_3nf_branch_history'!$C:$C,SUMPRODUCT(('6_3nf_branch_history'!$A$2:$A$50=T57)*('6_3nf_branch_history'!$B$2:$B$50=U57)*ROW('6_3nf_branch_history'!$A$2:$A$50))))</f>
        <v/>
      </c>
      <c r="W57" s="2">
        <f>IF(U57="NOT FOUND","NOT FOUND",INDEX('6_3nf_branch_history'!$D:$D,SUMPRODUCT(('6_3nf_branch_history'!$A$2:$A$50=T57)*('6_3nf_branch_history'!$B$2:$B$50=U57)*ROW('6_3nf_branch_history'!$A$2:$A$50))))</f>
        <v/>
      </c>
      <c r="X57" s="2">
        <f>IF(U57="NOT FOUND","NOT FOUND",INDEX('6_3nf_branch_history'!$E:$E,SUMPRODUCT(('6_3nf_branch_history'!$A$2:$A$50=T57)*('6_3nf_branch_history'!$B$2:$B$50=U57)*ROW('6_3nf_branch_history'!$A$2:$A$50))))</f>
        <v/>
      </c>
      <c r="Y57" s="2">
        <f>UPPER(TRIM(D57))</f>
        <v/>
      </c>
      <c r="Z57" s="2">
        <f>IFERROR(INDEX('7_3nf_product'!$B:$B,MATCH(Y57,'7_3nf_product'!$A:$A,0)),"NOT FOUND")</f>
        <v/>
      </c>
      <c r="AA57" s="2">
        <f>IFERROR(INDEX('7_3nf_product'!$C:$C,MATCH(Y57,'7_3nf_product'!$A:$A,0)),"NOT FOUND")</f>
        <v/>
      </c>
      <c r="AB57" s="2">
        <f>IFERROR(INDEX('7_3nf_product'!$D:$D,MATCH(Y57,'7_3nf_product'!$A:$A,0)),"NOT FOUND")</f>
        <v/>
      </c>
      <c r="AC57" s="6">
        <f>IFERROR(INDEX('7_3nf_product'!$E:$E,MATCH(Y57,'7_3nf_product'!$A:$A,0)),"NOT FOUND")</f>
        <v/>
      </c>
      <c r="AD57" s="33">
        <f>IF(LEN(TRIM(E57))=10,TRIM(E57),IF(LEN(TRIM(E57))=8,"00"&amp;TRIM(E57),"CHECK"))</f>
        <v/>
      </c>
      <c r="AE57" s="2">
        <f>IFERROR(INDEX('8_3nf_customer'!$C:$C,MATCH(AD57,'8_3nf_customer'!$B:$B,0)),"NOT FOUND")</f>
        <v/>
      </c>
      <c r="AF57" s="30">
        <f>IFERROR(INDEX('8_3nf_customer'!$D:$D,MATCH(AD57,'8_3nf_customer'!$B:$B,0)),"NOT FOUND")</f>
        <v/>
      </c>
      <c r="AG57" s="4">
        <f>IF(ISNUMBER(AF57),DATEDIF(AF57,L57,"y"),"NOT FOUND")</f>
        <v/>
      </c>
      <c r="AH57" s="2">
        <f>IFERROR(INDEX('8_3nf_customer'!$E:$E,MATCH(AD57,'8_3nf_customer'!$B:$B,0)),"NOT FOUND")</f>
        <v/>
      </c>
      <c r="AI57" s="30">
        <f>IF(_xlfn.MAXIFS('9_3nf_customer_history'!$B$2:$B$500,'9_3nf_customer_history'!$A$2:$A$500,AD57,'9_3nf_customer_history'!$B$2:$B$500,"&lt;="&amp;L57)=0,"NOT FOUND",_xlfn.MAXIFS('9_3nf_customer_history'!$B$2:$B$500,'9_3nf_customer_history'!$A$2:$A$500,AD57,'9_3nf_customer_history'!$B$2:$B$500,"&lt;="&amp;L57))</f>
        <v/>
      </c>
      <c r="AJ57" s="2">
        <f>IF(AI57="NOT FOUND","NOT FOUND",INDEX('9_3nf_customer_history'!$C:$C,SUMPRODUCT(('9_3nf_customer_history'!$A$2:$A$500=AD57)*('9_3nf_customer_history'!$B$2:$B$500=AI57)*ROW('9_3nf_customer_history'!$A$2:$A$500))))</f>
        <v/>
      </c>
      <c r="AK57" s="2">
        <f>IF(AI57="NOT FOUND","NOT FOUND",INDEX('9_3nf_customer_history'!$D:$D,SUMPRODUCT(('9_3nf_customer_history'!$A$2:$A$500=AD57)*('9_3nf_customer_history'!$B$2:$B$500=AI57)*ROW('9_3nf_customer_history'!$A$2:$A$500))))</f>
        <v/>
      </c>
      <c r="AL57" s="2">
        <f>UPPER(TRIM(H57))</f>
        <v/>
      </c>
      <c r="AM57" s="30">
        <f>IF(_xlfn.MAXIFS('10_ref_fx_rate'!$B$2:$B$2000,'10_ref_fx_rate'!$A$2:$A$2000,AL57,'10_ref_fx_rate'!$B$2:$B$2000,"&lt;="&amp;L57)=0,"NOT FOUND",_xlfn.MAXIFS('10_ref_fx_rate'!$B$2:$B$2000,'10_ref_fx_rate'!$A$2:$A$2000,AL57,'10_ref_fx_rate'!$B$2:$B$2000,"&lt;="&amp;L57))</f>
        <v/>
      </c>
      <c r="AN57" s="8">
        <f>IF(AM57="NOT FOUND","NOT FOUND",SUMIFS('10_ref_fx_rate'!$D$2:$D$2000,'10_ref_fx_rate'!$A$2:$A$2000,AL57,'10_ref_fx_rate'!$B$2:$B$2000,AM57))</f>
        <v/>
      </c>
      <c r="AO57" s="37">
        <f>IF(ISNUMBER(AN57),I57*AN57,"NOT FOUND")</f>
        <v/>
      </c>
      <c r="AP57" s="2">
        <f>UPPER(TRIM(J57))</f>
        <v/>
      </c>
      <c r="AQ57" s="2">
        <f>IF(AP57="","SELF-DIRECTED",IF(ISNUMBER(MATCH(AP57,'11_3nf_sales_person'!$A:$A,0)),IF(EXACT(AP57,J57),"OK","OK (auto-fixed)"),IF(ISNA(MATCH($A57,'12_sales_person_confirmation'!$A:$A,0)),"CONFIRM (not logged)",IF(INDEX('12_sales_person_confirmation'!$I:$I,MATCH($A57,'12_sales_person_confirmation'!$A:$A,0))="CONFIRMED","CONFIRMED ("&amp;LOWER(INDEX('12_sales_person_confirmation'!$E:$E,MATCH($A57,'12_sales_person_confirmation'!$A:$A,0)))&amp;")","PENDING CONFIRM"))))</f>
        <v/>
      </c>
      <c r="AR57" s="2">
        <f>IF(OR(AQ57="OK",AQ57="OK (auto-fixed)"),AP57,IF(LEFT(AQ57,9)="CONFIRMED",INDEX('12_sales_person_confirmation'!$F:$F,MATCH($A57,'12_sales_person_confirmation'!$A:$A,0)),""))</f>
        <v/>
      </c>
      <c r="AS57" s="2">
        <f>IF(AR57="","",INDEX('11_3nf_sales_person'!$B:$B,MATCH(AR57,'11_3nf_sales_person'!$A:$A,0)))</f>
        <v/>
      </c>
    </row>
    <row r="58">
      <c r="A58" s="2">
        <f>IF(ISBLANK('1_raw_log'!A58),"",'1_raw_log'!A58)</f>
        <v/>
      </c>
      <c r="B58" s="3">
        <f>IF(ISBLANK('1_raw_log'!B58),"",'1_raw_log'!B58)</f>
        <v/>
      </c>
      <c r="C58" s="2">
        <f>IF(ISBLANK('1_raw_log'!C58),"",'1_raw_log'!C58)</f>
        <v/>
      </c>
      <c r="D58" s="2">
        <f>IF(ISBLANK('1_raw_log'!D58),"",'1_raw_log'!D58)</f>
        <v/>
      </c>
      <c r="E58" s="4">
        <f>IF(ISBLANK('1_raw_log'!E58),"",'1_raw_log'!E58)</f>
        <v/>
      </c>
      <c r="F58" s="2">
        <f>IF(ISBLANK('1_raw_log'!F58),"",'1_raw_log'!F58)</f>
        <v/>
      </c>
      <c r="G58" s="2">
        <f>IF(ISBLANK('1_raw_log'!G58),"",'1_raw_log'!G58)</f>
        <v/>
      </c>
      <c r="H58" s="2">
        <f>IF(ISBLANK('1_raw_log'!H58),"",'1_raw_log'!H58)</f>
        <v/>
      </c>
      <c r="I58" s="7">
        <f>IF(ISBLANK('1_raw_log'!I58),"",'1_raw_log'!I58)</f>
        <v/>
      </c>
      <c r="J58" s="2">
        <f>IF(ISBLANK('1_raw_log'!J58),"",'1_raw_log'!J58)</f>
        <v/>
      </c>
      <c r="K58" s="2">
        <f>IF(ISBLANK('1_raw_log'!K58),"",'1_raw_log'!K58)</f>
        <v/>
      </c>
      <c r="L58" s="30">
        <f>INT(B58)</f>
        <v/>
      </c>
      <c r="M58" s="20">
        <f>ROUND(MOD(B58,1)*1440,0)/1440</f>
        <v/>
      </c>
      <c r="N58" s="4">
        <f>IFERROR(INDEX('3_ref_date'!$B:$B,MATCH(L58,'3_ref_date'!$A:$A,0)),"NOT FOUND")</f>
        <v/>
      </c>
      <c r="O58" s="2">
        <f>IFERROR(INDEX('3_ref_date'!$C:$C,MATCH(L58,'3_ref_date'!$A:$A,0)),"NOT FOUND")</f>
        <v/>
      </c>
      <c r="P58" s="4">
        <f>IFERROR(INDEX('3_ref_date'!$D:$D,MATCH(L58,'3_ref_date'!$A:$A,0)),"NOT FOUND")</f>
        <v/>
      </c>
      <c r="Q58" s="4">
        <f>IFERROR(INDEX('3_ref_date'!$E:$E,MATCH(L58,'3_ref_date'!$A:$A,0)),"NOT FOUND")</f>
        <v/>
      </c>
      <c r="R58" s="2">
        <f>IFERROR(INDEX('3_ref_date'!$F:$F,MATCH(L58,'3_ref_date'!$A:$A,0)),"NOT FOUND")</f>
        <v/>
      </c>
      <c r="S58" s="2">
        <f>IFERROR(INDEX('4_ref_time'!$D:$D,MATCH(ROUND(M58*1440,0),'4_ref_time'!$A:$A,0)),"NOT FOUND")</f>
        <v/>
      </c>
      <c r="T58" s="2">
        <f>UPPER(TRIM(C58))</f>
        <v/>
      </c>
      <c r="U58" s="30">
        <f>IF(_xlfn.MAXIFS('6_3nf_branch_history'!$B$2:$B$50,'6_3nf_branch_history'!$A$2:$A$50,T58,'6_3nf_branch_history'!$B$2:$B$50,"&lt;="&amp;L58)=0,"NOT FOUND",_xlfn.MAXIFS('6_3nf_branch_history'!$B$2:$B$50,'6_3nf_branch_history'!$A$2:$A$50,T58,'6_3nf_branch_history'!$B$2:$B$50,"&lt;="&amp;L58))</f>
        <v/>
      </c>
      <c r="V58" s="2">
        <f>IF(U58="NOT FOUND","NOT FOUND",INDEX('6_3nf_branch_history'!$C:$C,SUMPRODUCT(('6_3nf_branch_history'!$A$2:$A$50=T58)*('6_3nf_branch_history'!$B$2:$B$50=U58)*ROW('6_3nf_branch_history'!$A$2:$A$50))))</f>
        <v/>
      </c>
      <c r="W58" s="2">
        <f>IF(U58="NOT FOUND","NOT FOUND",INDEX('6_3nf_branch_history'!$D:$D,SUMPRODUCT(('6_3nf_branch_history'!$A$2:$A$50=T58)*('6_3nf_branch_history'!$B$2:$B$50=U58)*ROW('6_3nf_branch_history'!$A$2:$A$50))))</f>
        <v/>
      </c>
      <c r="X58" s="2">
        <f>IF(U58="NOT FOUND","NOT FOUND",INDEX('6_3nf_branch_history'!$E:$E,SUMPRODUCT(('6_3nf_branch_history'!$A$2:$A$50=T58)*('6_3nf_branch_history'!$B$2:$B$50=U58)*ROW('6_3nf_branch_history'!$A$2:$A$50))))</f>
        <v/>
      </c>
      <c r="Y58" s="2">
        <f>UPPER(TRIM(D58))</f>
        <v/>
      </c>
      <c r="Z58" s="2">
        <f>IFERROR(INDEX('7_3nf_product'!$B:$B,MATCH(Y58,'7_3nf_product'!$A:$A,0)),"NOT FOUND")</f>
        <v/>
      </c>
      <c r="AA58" s="2">
        <f>IFERROR(INDEX('7_3nf_product'!$C:$C,MATCH(Y58,'7_3nf_product'!$A:$A,0)),"NOT FOUND")</f>
        <v/>
      </c>
      <c r="AB58" s="2">
        <f>IFERROR(INDEX('7_3nf_product'!$D:$D,MATCH(Y58,'7_3nf_product'!$A:$A,0)),"NOT FOUND")</f>
        <v/>
      </c>
      <c r="AC58" s="6">
        <f>IFERROR(INDEX('7_3nf_product'!$E:$E,MATCH(Y58,'7_3nf_product'!$A:$A,0)),"NOT FOUND")</f>
        <v/>
      </c>
      <c r="AD58" s="33">
        <f>IF(LEN(TRIM(E58))=10,TRIM(E58),IF(LEN(TRIM(E58))=8,"00"&amp;TRIM(E58),"CHECK"))</f>
        <v/>
      </c>
      <c r="AE58" s="2">
        <f>IFERROR(INDEX('8_3nf_customer'!$C:$C,MATCH(AD58,'8_3nf_customer'!$B:$B,0)),"NOT FOUND")</f>
        <v/>
      </c>
      <c r="AF58" s="30">
        <f>IFERROR(INDEX('8_3nf_customer'!$D:$D,MATCH(AD58,'8_3nf_customer'!$B:$B,0)),"NOT FOUND")</f>
        <v/>
      </c>
      <c r="AG58" s="4">
        <f>IF(ISNUMBER(AF58),DATEDIF(AF58,L58,"y"),"NOT FOUND")</f>
        <v/>
      </c>
      <c r="AH58" s="2">
        <f>IFERROR(INDEX('8_3nf_customer'!$E:$E,MATCH(AD58,'8_3nf_customer'!$B:$B,0)),"NOT FOUND")</f>
        <v/>
      </c>
      <c r="AI58" s="30">
        <f>IF(_xlfn.MAXIFS('9_3nf_customer_history'!$B$2:$B$500,'9_3nf_customer_history'!$A$2:$A$500,AD58,'9_3nf_customer_history'!$B$2:$B$500,"&lt;="&amp;L58)=0,"NOT FOUND",_xlfn.MAXIFS('9_3nf_customer_history'!$B$2:$B$500,'9_3nf_customer_history'!$A$2:$A$500,AD58,'9_3nf_customer_history'!$B$2:$B$500,"&lt;="&amp;L58))</f>
        <v/>
      </c>
      <c r="AJ58" s="2">
        <f>IF(AI58="NOT FOUND","NOT FOUND",INDEX('9_3nf_customer_history'!$C:$C,SUMPRODUCT(('9_3nf_customer_history'!$A$2:$A$500=AD58)*('9_3nf_customer_history'!$B$2:$B$500=AI58)*ROW('9_3nf_customer_history'!$A$2:$A$500))))</f>
        <v/>
      </c>
      <c r="AK58" s="2">
        <f>IF(AI58="NOT FOUND","NOT FOUND",INDEX('9_3nf_customer_history'!$D:$D,SUMPRODUCT(('9_3nf_customer_history'!$A$2:$A$500=AD58)*('9_3nf_customer_history'!$B$2:$B$500=AI58)*ROW('9_3nf_customer_history'!$A$2:$A$500))))</f>
        <v/>
      </c>
      <c r="AL58" s="2">
        <f>UPPER(TRIM(H58))</f>
        <v/>
      </c>
      <c r="AM58" s="30">
        <f>IF(_xlfn.MAXIFS('10_ref_fx_rate'!$B$2:$B$2000,'10_ref_fx_rate'!$A$2:$A$2000,AL58,'10_ref_fx_rate'!$B$2:$B$2000,"&lt;="&amp;L58)=0,"NOT FOUND",_xlfn.MAXIFS('10_ref_fx_rate'!$B$2:$B$2000,'10_ref_fx_rate'!$A$2:$A$2000,AL58,'10_ref_fx_rate'!$B$2:$B$2000,"&lt;="&amp;L58))</f>
        <v/>
      </c>
      <c r="AN58" s="8">
        <f>IF(AM58="NOT FOUND","NOT FOUND",SUMIFS('10_ref_fx_rate'!$D$2:$D$2000,'10_ref_fx_rate'!$A$2:$A$2000,AL58,'10_ref_fx_rate'!$B$2:$B$2000,AM58))</f>
        <v/>
      </c>
      <c r="AO58" s="37">
        <f>IF(ISNUMBER(AN58),I58*AN58,"NOT FOUND")</f>
        <v/>
      </c>
      <c r="AP58" s="2">
        <f>UPPER(TRIM(J58))</f>
        <v/>
      </c>
      <c r="AQ58" s="2">
        <f>IF(AP58="","SELF-DIRECTED",IF(ISNUMBER(MATCH(AP58,'11_3nf_sales_person'!$A:$A,0)),IF(EXACT(AP58,J58),"OK","OK (auto-fixed)"),IF(ISNA(MATCH($A58,'12_sales_person_confirmation'!$A:$A,0)),"CONFIRM (not logged)",IF(INDEX('12_sales_person_confirmation'!$I:$I,MATCH($A58,'12_sales_person_confirmation'!$A:$A,0))="CONFIRMED","CONFIRMED ("&amp;LOWER(INDEX('12_sales_person_confirmation'!$E:$E,MATCH($A58,'12_sales_person_confirmation'!$A:$A,0)))&amp;")","PENDING CONFIRM"))))</f>
        <v/>
      </c>
      <c r="AR58" s="2">
        <f>IF(OR(AQ58="OK",AQ58="OK (auto-fixed)"),AP58,IF(LEFT(AQ58,9)="CONFIRMED",INDEX('12_sales_person_confirmation'!$F:$F,MATCH($A58,'12_sales_person_confirmation'!$A:$A,0)),""))</f>
        <v/>
      </c>
      <c r="AS58" s="2">
        <f>IF(AR58="","",INDEX('11_3nf_sales_person'!$B:$B,MATCH(AR58,'11_3nf_sales_person'!$A:$A,0)))</f>
        <v/>
      </c>
    </row>
    <row r="59">
      <c r="A59" s="2">
        <f>IF(ISBLANK('1_raw_log'!A59),"",'1_raw_log'!A59)</f>
        <v/>
      </c>
      <c r="B59" s="3">
        <f>IF(ISBLANK('1_raw_log'!B59),"",'1_raw_log'!B59)</f>
        <v/>
      </c>
      <c r="C59" s="2">
        <f>IF(ISBLANK('1_raw_log'!C59),"",'1_raw_log'!C59)</f>
        <v/>
      </c>
      <c r="D59" s="2">
        <f>IF(ISBLANK('1_raw_log'!D59),"",'1_raw_log'!D59)</f>
        <v/>
      </c>
      <c r="E59" s="4">
        <f>IF(ISBLANK('1_raw_log'!E59),"",'1_raw_log'!E59)</f>
        <v/>
      </c>
      <c r="F59" s="2">
        <f>IF(ISBLANK('1_raw_log'!F59),"",'1_raw_log'!F59)</f>
        <v/>
      </c>
      <c r="G59" s="2">
        <f>IF(ISBLANK('1_raw_log'!G59),"",'1_raw_log'!G59)</f>
        <v/>
      </c>
      <c r="H59" s="2">
        <f>IF(ISBLANK('1_raw_log'!H59),"",'1_raw_log'!H59)</f>
        <v/>
      </c>
      <c r="I59" s="7">
        <f>IF(ISBLANK('1_raw_log'!I59),"",'1_raw_log'!I59)</f>
        <v/>
      </c>
      <c r="J59" s="2">
        <f>IF(ISBLANK('1_raw_log'!J59),"",'1_raw_log'!J59)</f>
        <v/>
      </c>
      <c r="K59" s="2">
        <f>IF(ISBLANK('1_raw_log'!K59),"",'1_raw_log'!K59)</f>
        <v/>
      </c>
      <c r="L59" s="30">
        <f>INT(B59)</f>
        <v/>
      </c>
      <c r="M59" s="20">
        <f>ROUND(MOD(B59,1)*1440,0)/1440</f>
        <v/>
      </c>
      <c r="N59" s="4">
        <f>IFERROR(INDEX('3_ref_date'!$B:$B,MATCH(L59,'3_ref_date'!$A:$A,0)),"NOT FOUND")</f>
        <v/>
      </c>
      <c r="O59" s="2">
        <f>IFERROR(INDEX('3_ref_date'!$C:$C,MATCH(L59,'3_ref_date'!$A:$A,0)),"NOT FOUND")</f>
        <v/>
      </c>
      <c r="P59" s="4">
        <f>IFERROR(INDEX('3_ref_date'!$D:$D,MATCH(L59,'3_ref_date'!$A:$A,0)),"NOT FOUND")</f>
        <v/>
      </c>
      <c r="Q59" s="4">
        <f>IFERROR(INDEX('3_ref_date'!$E:$E,MATCH(L59,'3_ref_date'!$A:$A,0)),"NOT FOUND")</f>
        <v/>
      </c>
      <c r="R59" s="2">
        <f>IFERROR(INDEX('3_ref_date'!$F:$F,MATCH(L59,'3_ref_date'!$A:$A,0)),"NOT FOUND")</f>
        <v/>
      </c>
      <c r="S59" s="2">
        <f>IFERROR(INDEX('4_ref_time'!$D:$D,MATCH(ROUND(M59*1440,0),'4_ref_time'!$A:$A,0)),"NOT FOUND")</f>
        <v/>
      </c>
      <c r="T59" s="2">
        <f>UPPER(TRIM(C59))</f>
        <v/>
      </c>
      <c r="U59" s="30">
        <f>IF(_xlfn.MAXIFS('6_3nf_branch_history'!$B$2:$B$50,'6_3nf_branch_history'!$A$2:$A$50,T59,'6_3nf_branch_history'!$B$2:$B$50,"&lt;="&amp;L59)=0,"NOT FOUND",_xlfn.MAXIFS('6_3nf_branch_history'!$B$2:$B$50,'6_3nf_branch_history'!$A$2:$A$50,T59,'6_3nf_branch_history'!$B$2:$B$50,"&lt;="&amp;L59))</f>
        <v/>
      </c>
      <c r="V59" s="2">
        <f>IF(U59="NOT FOUND","NOT FOUND",INDEX('6_3nf_branch_history'!$C:$C,SUMPRODUCT(('6_3nf_branch_history'!$A$2:$A$50=T59)*('6_3nf_branch_history'!$B$2:$B$50=U59)*ROW('6_3nf_branch_history'!$A$2:$A$50))))</f>
        <v/>
      </c>
      <c r="W59" s="2">
        <f>IF(U59="NOT FOUND","NOT FOUND",INDEX('6_3nf_branch_history'!$D:$D,SUMPRODUCT(('6_3nf_branch_history'!$A$2:$A$50=T59)*('6_3nf_branch_history'!$B$2:$B$50=U59)*ROW('6_3nf_branch_history'!$A$2:$A$50))))</f>
        <v/>
      </c>
      <c r="X59" s="2">
        <f>IF(U59="NOT FOUND","NOT FOUND",INDEX('6_3nf_branch_history'!$E:$E,SUMPRODUCT(('6_3nf_branch_history'!$A$2:$A$50=T59)*('6_3nf_branch_history'!$B$2:$B$50=U59)*ROW('6_3nf_branch_history'!$A$2:$A$50))))</f>
        <v/>
      </c>
      <c r="Y59" s="2">
        <f>UPPER(TRIM(D59))</f>
        <v/>
      </c>
      <c r="Z59" s="2">
        <f>IFERROR(INDEX('7_3nf_product'!$B:$B,MATCH(Y59,'7_3nf_product'!$A:$A,0)),"NOT FOUND")</f>
        <v/>
      </c>
      <c r="AA59" s="2">
        <f>IFERROR(INDEX('7_3nf_product'!$C:$C,MATCH(Y59,'7_3nf_product'!$A:$A,0)),"NOT FOUND")</f>
        <v/>
      </c>
      <c r="AB59" s="2">
        <f>IFERROR(INDEX('7_3nf_product'!$D:$D,MATCH(Y59,'7_3nf_product'!$A:$A,0)),"NOT FOUND")</f>
        <v/>
      </c>
      <c r="AC59" s="6">
        <f>IFERROR(INDEX('7_3nf_product'!$E:$E,MATCH(Y59,'7_3nf_product'!$A:$A,0)),"NOT FOUND")</f>
        <v/>
      </c>
      <c r="AD59" s="33">
        <f>IF(LEN(TRIM(E59))=10,TRIM(E59),IF(LEN(TRIM(E59))=8,"00"&amp;TRIM(E59),"CHECK"))</f>
        <v/>
      </c>
      <c r="AE59" s="2">
        <f>IFERROR(INDEX('8_3nf_customer'!$C:$C,MATCH(AD59,'8_3nf_customer'!$B:$B,0)),"NOT FOUND")</f>
        <v/>
      </c>
      <c r="AF59" s="30">
        <f>IFERROR(INDEX('8_3nf_customer'!$D:$D,MATCH(AD59,'8_3nf_customer'!$B:$B,0)),"NOT FOUND")</f>
        <v/>
      </c>
      <c r="AG59" s="4">
        <f>IF(ISNUMBER(AF59),DATEDIF(AF59,L59,"y"),"NOT FOUND")</f>
        <v/>
      </c>
      <c r="AH59" s="2">
        <f>IFERROR(INDEX('8_3nf_customer'!$E:$E,MATCH(AD59,'8_3nf_customer'!$B:$B,0)),"NOT FOUND")</f>
        <v/>
      </c>
      <c r="AI59" s="30">
        <f>IF(_xlfn.MAXIFS('9_3nf_customer_history'!$B$2:$B$500,'9_3nf_customer_history'!$A$2:$A$500,AD59,'9_3nf_customer_history'!$B$2:$B$500,"&lt;="&amp;L59)=0,"NOT FOUND",_xlfn.MAXIFS('9_3nf_customer_history'!$B$2:$B$500,'9_3nf_customer_history'!$A$2:$A$500,AD59,'9_3nf_customer_history'!$B$2:$B$500,"&lt;="&amp;L59))</f>
        <v/>
      </c>
      <c r="AJ59" s="2">
        <f>IF(AI59="NOT FOUND","NOT FOUND",INDEX('9_3nf_customer_history'!$C:$C,SUMPRODUCT(('9_3nf_customer_history'!$A$2:$A$500=AD59)*('9_3nf_customer_history'!$B$2:$B$500=AI59)*ROW('9_3nf_customer_history'!$A$2:$A$500))))</f>
        <v/>
      </c>
      <c r="AK59" s="2">
        <f>IF(AI59="NOT FOUND","NOT FOUND",INDEX('9_3nf_customer_history'!$D:$D,SUMPRODUCT(('9_3nf_customer_history'!$A$2:$A$500=AD59)*('9_3nf_customer_history'!$B$2:$B$500=AI59)*ROW('9_3nf_customer_history'!$A$2:$A$500))))</f>
        <v/>
      </c>
      <c r="AL59" s="2">
        <f>UPPER(TRIM(H59))</f>
        <v/>
      </c>
      <c r="AM59" s="30">
        <f>IF(_xlfn.MAXIFS('10_ref_fx_rate'!$B$2:$B$2000,'10_ref_fx_rate'!$A$2:$A$2000,AL59,'10_ref_fx_rate'!$B$2:$B$2000,"&lt;="&amp;L59)=0,"NOT FOUND",_xlfn.MAXIFS('10_ref_fx_rate'!$B$2:$B$2000,'10_ref_fx_rate'!$A$2:$A$2000,AL59,'10_ref_fx_rate'!$B$2:$B$2000,"&lt;="&amp;L59))</f>
        <v/>
      </c>
      <c r="AN59" s="8">
        <f>IF(AM59="NOT FOUND","NOT FOUND",SUMIFS('10_ref_fx_rate'!$D$2:$D$2000,'10_ref_fx_rate'!$A$2:$A$2000,AL59,'10_ref_fx_rate'!$B$2:$B$2000,AM59))</f>
        <v/>
      </c>
      <c r="AO59" s="37">
        <f>IF(ISNUMBER(AN59),I59*AN59,"NOT FOUND")</f>
        <v/>
      </c>
      <c r="AP59" s="2">
        <f>UPPER(TRIM(J59))</f>
        <v/>
      </c>
      <c r="AQ59" s="2">
        <f>IF(AP59="","SELF-DIRECTED",IF(ISNUMBER(MATCH(AP59,'11_3nf_sales_person'!$A:$A,0)),IF(EXACT(AP59,J59),"OK","OK (auto-fixed)"),IF(ISNA(MATCH($A59,'12_sales_person_confirmation'!$A:$A,0)),"CONFIRM (not logged)",IF(INDEX('12_sales_person_confirmation'!$I:$I,MATCH($A59,'12_sales_person_confirmation'!$A:$A,0))="CONFIRMED","CONFIRMED ("&amp;LOWER(INDEX('12_sales_person_confirmation'!$E:$E,MATCH($A59,'12_sales_person_confirmation'!$A:$A,0)))&amp;")","PENDING CONFIRM"))))</f>
        <v/>
      </c>
      <c r="AR59" s="2">
        <f>IF(OR(AQ59="OK",AQ59="OK (auto-fixed)"),AP59,IF(LEFT(AQ59,9)="CONFIRMED",INDEX('12_sales_person_confirmation'!$F:$F,MATCH($A59,'12_sales_person_confirmation'!$A:$A,0)),""))</f>
        <v/>
      </c>
      <c r="AS59" s="2">
        <f>IF(AR59="","",INDEX('11_3nf_sales_person'!$B:$B,MATCH(AR59,'11_3nf_sales_person'!$A:$A,0)))</f>
        <v/>
      </c>
    </row>
    <row r="60">
      <c r="A60" s="2">
        <f>IF(ISBLANK('1_raw_log'!A60),"",'1_raw_log'!A60)</f>
        <v/>
      </c>
      <c r="B60" s="3">
        <f>IF(ISBLANK('1_raw_log'!B60),"",'1_raw_log'!B60)</f>
        <v/>
      </c>
      <c r="C60" s="2">
        <f>IF(ISBLANK('1_raw_log'!C60),"",'1_raw_log'!C60)</f>
        <v/>
      </c>
      <c r="D60" s="2">
        <f>IF(ISBLANK('1_raw_log'!D60),"",'1_raw_log'!D60)</f>
        <v/>
      </c>
      <c r="E60" s="4">
        <f>IF(ISBLANK('1_raw_log'!E60),"",'1_raw_log'!E60)</f>
        <v/>
      </c>
      <c r="F60" s="2">
        <f>IF(ISBLANK('1_raw_log'!F60),"",'1_raw_log'!F60)</f>
        <v/>
      </c>
      <c r="G60" s="2">
        <f>IF(ISBLANK('1_raw_log'!G60),"",'1_raw_log'!G60)</f>
        <v/>
      </c>
      <c r="H60" s="2">
        <f>IF(ISBLANK('1_raw_log'!H60),"",'1_raw_log'!H60)</f>
        <v/>
      </c>
      <c r="I60" s="7">
        <f>IF(ISBLANK('1_raw_log'!I60),"",'1_raw_log'!I60)</f>
        <v/>
      </c>
      <c r="J60" s="2">
        <f>IF(ISBLANK('1_raw_log'!J60),"",'1_raw_log'!J60)</f>
        <v/>
      </c>
      <c r="K60" s="2">
        <f>IF(ISBLANK('1_raw_log'!K60),"",'1_raw_log'!K60)</f>
        <v/>
      </c>
      <c r="L60" s="30">
        <f>INT(B60)</f>
        <v/>
      </c>
      <c r="M60" s="20">
        <f>ROUND(MOD(B60,1)*1440,0)/1440</f>
        <v/>
      </c>
      <c r="N60" s="4">
        <f>IFERROR(INDEX('3_ref_date'!$B:$B,MATCH(L60,'3_ref_date'!$A:$A,0)),"NOT FOUND")</f>
        <v/>
      </c>
      <c r="O60" s="2">
        <f>IFERROR(INDEX('3_ref_date'!$C:$C,MATCH(L60,'3_ref_date'!$A:$A,0)),"NOT FOUND")</f>
        <v/>
      </c>
      <c r="P60" s="4">
        <f>IFERROR(INDEX('3_ref_date'!$D:$D,MATCH(L60,'3_ref_date'!$A:$A,0)),"NOT FOUND")</f>
        <v/>
      </c>
      <c r="Q60" s="4">
        <f>IFERROR(INDEX('3_ref_date'!$E:$E,MATCH(L60,'3_ref_date'!$A:$A,0)),"NOT FOUND")</f>
        <v/>
      </c>
      <c r="R60" s="2">
        <f>IFERROR(INDEX('3_ref_date'!$F:$F,MATCH(L60,'3_ref_date'!$A:$A,0)),"NOT FOUND")</f>
        <v/>
      </c>
      <c r="S60" s="2">
        <f>IFERROR(INDEX('4_ref_time'!$D:$D,MATCH(ROUND(M60*1440,0),'4_ref_time'!$A:$A,0)),"NOT FOUND")</f>
        <v/>
      </c>
      <c r="T60" s="2">
        <f>UPPER(TRIM(C60))</f>
        <v/>
      </c>
      <c r="U60" s="30">
        <f>IF(_xlfn.MAXIFS('6_3nf_branch_history'!$B$2:$B$50,'6_3nf_branch_history'!$A$2:$A$50,T60,'6_3nf_branch_history'!$B$2:$B$50,"&lt;="&amp;L60)=0,"NOT FOUND",_xlfn.MAXIFS('6_3nf_branch_history'!$B$2:$B$50,'6_3nf_branch_history'!$A$2:$A$50,T60,'6_3nf_branch_history'!$B$2:$B$50,"&lt;="&amp;L60))</f>
        <v/>
      </c>
      <c r="V60" s="2">
        <f>IF(U60="NOT FOUND","NOT FOUND",INDEX('6_3nf_branch_history'!$C:$C,SUMPRODUCT(('6_3nf_branch_history'!$A$2:$A$50=T60)*('6_3nf_branch_history'!$B$2:$B$50=U60)*ROW('6_3nf_branch_history'!$A$2:$A$50))))</f>
        <v/>
      </c>
      <c r="W60" s="2">
        <f>IF(U60="NOT FOUND","NOT FOUND",INDEX('6_3nf_branch_history'!$D:$D,SUMPRODUCT(('6_3nf_branch_history'!$A$2:$A$50=T60)*('6_3nf_branch_history'!$B$2:$B$50=U60)*ROW('6_3nf_branch_history'!$A$2:$A$50))))</f>
        <v/>
      </c>
      <c r="X60" s="2">
        <f>IF(U60="NOT FOUND","NOT FOUND",INDEX('6_3nf_branch_history'!$E:$E,SUMPRODUCT(('6_3nf_branch_history'!$A$2:$A$50=T60)*('6_3nf_branch_history'!$B$2:$B$50=U60)*ROW('6_3nf_branch_history'!$A$2:$A$50))))</f>
        <v/>
      </c>
      <c r="Y60" s="2">
        <f>UPPER(TRIM(D60))</f>
        <v/>
      </c>
      <c r="Z60" s="2">
        <f>IFERROR(INDEX('7_3nf_product'!$B:$B,MATCH(Y60,'7_3nf_product'!$A:$A,0)),"NOT FOUND")</f>
        <v/>
      </c>
      <c r="AA60" s="2">
        <f>IFERROR(INDEX('7_3nf_product'!$C:$C,MATCH(Y60,'7_3nf_product'!$A:$A,0)),"NOT FOUND")</f>
        <v/>
      </c>
      <c r="AB60" s="2">
        <f>IFERROR(INDEX('7_3nf_product'!$D:$D,MATCH(Y60,'7_3nf_product'!$A:$A,0)),"NOT FOUND")</f>
        <v/>
      </c>
      <c r="AC60" s="6">
        <f>IFERROR(INDEX('7_3nf_product'!$E:$E,MATCH(Y60,'7_3nf_product'!$A:$A,0)),"NOT FOUND")</f>
        <v/>
      </c>
      <c r="AD60" s="33">
        <f>IF(LEN(TRIM(E60))=10,TRIM(E60),IF(LEN(TRIM(E60))=8,"00"&amp;TRIM(E60),"CHECK"))</f>
        <v/>
      </c>
      <c r="AE60" s="2">
        <f>IFERROR(INDEX('8_3nf_customer'!$C:$C,MATCH(AD60,'8_3nf_customer'!$B:$B,0)),"NOT FOUND")</f>
        <v/>
      </c>
      <c r="AF60" s="30">
        <f>IFERROR(INDEX('8_3nf_customer'!$D:$D,MATCH(AD60,'8_3nf_customer'!$B:$B,0)),"NOT FOUND")</f>
        <v/>
      </c>
      <c r="AG60" s="4">
        <f>IF(ISNUMBER(AF60),DATEDIF(AF60,L60,"y"),"NOT FOUND")</f>
        <v/>
      </c>
      <c r="AH60" s="2">
        <f>IFERROR(INDEX('8_3nf_customer'!$E:$E,MATCH(AD60,'8_3nf_customer'!$B:$B,0)),"NOT FOUND")</f>
        <v/>
      </c>
      <c r="AI60" s="30">
        <f>IF(_xlfn.MAXIFS('9_3nf_customer_history'!$B$2:$B$500,'9_3nf_customer_history'!$A$2:$A$500,AD60,'9_3nf_customer_history'!$B$2:$B$500,"&lt;="&amp;L60)=0,"NOT FOUND",_xlfn.MAXIFS('9_3nf_customer_history'!$B$2:$B$500,'9_3nf_customer_history'!$A$2:$A$500,AD60,'9_3nf_customer_history'!$B$2:$B$500,"&lt;="&amp;L60))</f>
        <v/>
      </c>
      <c r="AJ60" s="2">
        <f>IF(AI60="NOT FOUND","NOT FOUND",INDEX('9_3nf_customer_history'!$C:$C,SUMPRODUCT(('9_3nf_customer_history'!$A$2:$A$500=AD60)*('9_3nf_customer_history'!$B$2:$B$500=AI60)*ROW('9_3nf_customer_history'!$A$2:$A$500))))</f>
        <v/>
      </c>
      <c r="AK60" s="2">
        <f>IF(AI60="NOT FOUND","NOT FOUND",INDEX('9_3nf_customer_history'!$D:$D,SUMPRODUCT(('9_3nf_customer_history'!$A$2:$A$500=AD60)*('9_3nf_customer_history'!$B$2:$B$500=AI60)*ROW('9_3nf_customer_history'!$A$2:$A$500))))</f>
        <v/>
      </c>
      <c r="AL60" s="2">
        <f>UPPER(TRIM(H60))</f>
        <v/>
      </c>
      <c r="AM60" s="30">
        <f>IF(_xlfn.MAXIFS('10_ref_fx_rate'!$B$2:$B$2000,'10_ref_fx_rate'!$A$2:$A$2000,AL60,'10_ref_fx_rate'!$B$2:$B$2000,"&lt;="&amp;L60)=0,"NOT FOUND",_xlfn.MAXIFS('10_ref_fx_rate'!$B$2:$B$2000,'10_ref_fx_rate'!$A$2:$A$2000,AL60,'10_ref_fx_rate'!$B$2:$B$2000,"&lt;="&amp;L60))</f>
        <v/>
      </c>
      <c r="AN60" s="8">
        <f>IF(AM60="NOT FOUND","NOT FOUND",SUMIFS('10_ref_fx_rate'!$D$2:$D$2000,'10_ref_fx_rate'!$A$2:$A$2000,AL60,'10_ref_fx_rate'!$B$2:$B$2000,AM60))</f>
        <v/>
      </c>
      <c r="AO60" s="37">
        <f>IF(ISNUMBER(AN60),I60*AN60,"NOT FOUND")</f>
        <v/>
      </c>
      <c r="AP60" s="2">
        <f>UPPER(TRIM(J60))</f>
        <v/>
      </c>
      <c r="AQ60" s="2">
        <f>IF(AP60="","SELF-DIRECTED",IF(ISNUMBER(MATCH(AP60,'11_3nf_sales_person'!$A:$A,0)),IF(EXACT(AP60,J60),"OK","OK (auto-fixed)"),IF(ISNA(MATCH($A60,'12_sales_person_confirmation'!$A:$A,0)),"CONFIRM (not logged)",IF(INDEX('12_sales_person_confirmation'!$I:$I,MATCH($A60,'12_sales_person_confirmation'!$A:$A,0))="CONFIRMED","CONFIRMED ("&amp;LOWER(INDEX('12_sales_person_confirmation'!$E:$E,MATCH($A60,'12_sales_person_confirmation'!$A:$A,0)))&amp;")","PENDING CONFIRM"))))</f>
        <v/>
      </c>
      <c r="AR60" s="2">
        <f>IF(OR(AQ60="OK",AQ60="OK (auto-fixed)"),AP60,IF(LEFT(AQ60,9)="CONFIRMED",INDEX('12_sales_person_confirmation'!$F:$F,MATCH($A60,'12_sales_person_confirmation'!$A:$A,0)),""))</f>
        <v/>
      </c>
      <c r="AS60" s="2">
        <f>IF(AR60="","",INDEX('11_3nf_sales_person'!$B:$B,MATCH(AR60,'11_3nf_sales_person'!$A:$A,0)))</f>
        <v/>
      </c>
    </row>
    <row r="61">
      <c r="A61" s="2">
        <f>IF(ISBLANK('1_raw_log'!A61),"",'1_raw_log'!A61)</f>
        <v/>
      </c>
      <c r="B61" s="3">
        <f>IF(ISBLANK('1_raw_log'!B61),"",'1_raw_log'!B61)</f>
        <v/>
      </c>
      <c r="C61" s="2">
        <f>IF(ISBLANK('1_raw_log'!C61),"",'1_raw_log'!C61)</f>
        <v/>
      </c>
      <c r="D61" s="2">
        <f>IF(ISBLANK('1_raw_log'!D61),"",'1_raw_log'!D61)</f>
        <v/>
      </c>
      <c r="E61" s="4">
        <f>IF(ISBLANK('1_raw_log'!E61),"",'1_raw_log'!E61)</f>
        <v/>
      </c>
      <c r="F61" s="2">
        <f>IF(ISBLANK('1_raw_log'!F61),"",'1_raw_log'!F61)</f>
        <v/>
      </c>
      <c r="G61" s="2">
        <f>IF(ISBLANK('1_raw_log'!G61),"",'1_raw_log'!G61)</f>
        <v/>
      </c>
      <c r="H61" s="2">
        <f>IF(ISBLANK('1_raw_log'!H61),"",'1_raw_log'!H61)</f>
        <v/>
      </c>
      <c r="I61" s="7">
        <f>IF(ISBLANK('1_raw_log'!I61),"",'1_raw_log'!I61)</f>
        <v/>
      </c>
      <c r="J61" s="2">
        <f>IF(ISBLANK('1_raw_log'!J61),"",'1_raw_log'!J61)</f>
        <v/>
      </c>
      <c r="K61" s="2">
        <f>IF(ISBLANK('1_raw_log'!K61),"",'1_raw_log'!K61)</f>
        <v/>
      </c>
      <c r="L61" s="30">
        <f>INT(B61)</f>
        <v/>
      </c>
      <c r="M61" s="20">
        <f>ROUND(MOD(B61,1)*1440,0)/1440</f>
        <v/>
      </c>
      <c r="N61" s="4">
        <f>IFERROR(INDEX('3_ref_date'!$B:$B,MATCH(L61,'3_ref_date'!$A:$A,0)),"NOT FOUND")</f>
        <v/>
      </c>
      <c r="O61" s="2">
        <f>IFERROR(INDEX('3_ref_date'!$C:$C,MATCH(L61,'3_ref_date'!$A:$A,0)),"NOT FOUND")</f>
        <v/>
      </c>
      <c r="P61" s="4">
        <f>IFERROR(INDEX('3_ref_date'!$D:$D,MATCH(L61,'3_ref_date'!$A:$A,0)),"NOT FOUND")</f>
        <v/>
      </c>
      <c r="Q61" s="4">
        <f>IFERROR(INDEX('3_ref_date'!$E:$E,MATCH(L61,'3_ref_date'!$A:$A,0)),"NOT FOUND")</f>
        <v/>
      </c>
      <c r="R61" s="2">
        <f>IFERROR(INDEX('3_ref_date'!$F:$F,MATCH(L61,'3_ref_date'!$A:$A,0)),"NOT FOUND")</f>
        <v/>
      </c>
      <c r="S61" s="2">
        <f>IFERROR(INDEX('4_ref_time'!$D:$D,MATCH(ROUND(M61*1440,0),'4_ref_time'!$A:$A,0)),"NOT FOUND")</f>
        <v/>
      </c>
      <c r="T61" s="2">
        <f>UPPER(TRIM(C61))</f>
        <v/>
      </c>
      <c r="U61" s="30">
        <f>IF(_xlfn.MAXIFS('6_3nf_branch_history'!$B$2:$B$50,'6_3nf_branch_history'!$A$2:$A$50,T61,'6_3nf_branch_history'!$B$2:$B$50,"&lt;="&amp;L61)=0,"NOT FOUND",_xlfn.MAXIFS('6_3nf_branch_history'!$B$2:$B$50,'6_3nf_branch_history'!$A$2:$A$50,T61,'6_3nf_branch_history'!$B$2:$B$50,"&lt;="&amp;L61))</f>
        <v/>
      </c>
      <c r="V61" s="2">
        <f>IF(U61="NOT FOUND","NOT FOUND",INDEX('6_3nf_branch_history'!$C:$C,SUMPRODUCT(('6_3nf_branch_history'!$A$2:$A$50=T61)*('6_3nf_branch_history'!$B$2:$B$50=U61)*ROW('6_3nf_branch_history'!$A$2:$A$50))))</f>
        <v/>
      </c>
      <c r="W61" s="2">
        <f>IF(U61="NOT FOUND","NOT FOUND",INDEX('6_3nf_branch_history'!$D:$D,SUMPRODUCT(('6_3nf_branch_history'!$A$2:$A$50=T61)*('6_3nf_branch_history'!$B$2:$B$50=U61)*ROW('6_3nf_branch_history'!$A$2:$A$50))))</f>
        <v/>
      </c>
      <c r="X61" s="2">
        <f>IF(U61="NOT FOUND","NOT FOUND",INDEX('6_3nf_branch_history'!$E:$E,SUMPRODUCT(('6_3nf_branch_history'!$A$2:$A$50=T61)*('6_3nf_branch_history'!$B$2:$B$50=U61)*ROW('6_3nf_branch_history'!$A$2:$A$50))))</f>
        <v/>
      </c>
      <c r="Y61" s="2">
        <f>UPPER(TRIM(D61))</f>
        <v/>
      </c>
      <c r="Z61" s="2">
        <f>IFERROR(INDEX('7_3nf_product'!$B:$B,MATCH(Y61,'7_3nf_product'!$A:$A,0)),"NOT FOUND")</f>
        <v/>
      </c>
      <c r="AA61" s="2">
        <f>IFERROR(INDEX('7_3nf_product'!$C:$C,MATCH(Y61,'7_3nf_product'!$A:$A,0)),"NOT FOUND")</f>
        <v/>
      </c>
      <c r="AB61" s="2">
        <f>IFERROR(INDEX('7_3nf_product'!$D:$D,MATCH(Y61,'7_3nf_product'!$A:$A,0)),"NOT FOUND")</f>
        <v/>
      </c>
      <c r="AC61" s="6">
        <f>IFERROR(INDEX('7_3nf_product'!$E:$E,MATCH(Y61,'7_3nf_product'!$A:$A,0)),"NOT FOUND")</f>
        <v/>
      </c>
      <c r="AD61" s="33">
        <f>IF(LEN(TRIM(E61))=10,TRIM(E61),IF(LEN(TRIM(E61))=8,"00"&amp;TRIM(E61),"CHECK"))</f>
        <v/>
      </c>
      <c r="AE61" s="2">
        <f>IFERROR(INDEX('8_3nf_customer'!$C:$C,MATCH(AD61,'8_3nf_customer'!$B:$B,0)),"NOT FOUND")</f>
        <v/>
      </c>
      <c r="AF61" s="30">
        <f>IFERROR(INDEX('8_3nf_customer'!$D:$D,MATCH(AD61,'8_3nf_customer'!$B:$B,0)),"NOT FOUND")</f>
        <v/>
      </c>
      <c r="AG61" s="4">
        <f>IF(ISNUMBER(AF61),DATEDIF(AF61,L61,"y"),"NOT FOUND")</f>
        <v/>
      </c>
      <c r="AH61" s="2">
        <f>IFERROR(INDEX('8_3nf_customer'!$E:$E,MATCH(AD61,'8_3nf_customer'!$B:$B,0)),"NOT FOUND")</f>
        <v/>
      </c>
      <c r="AI61" s="30">
        <f>IF(_xlfn.MAXIFS('9_3nf_customer_history'!$B$2:$B$500,'9_3nf_customer_history'!$A$2:$A$500,AD61,'9_3nf_customer_history'!$B$2:$B$500,"&lt;="&amp;L61)=0,"NOT FOUND",_xlfn.MAXIFS('9_3nf_customer_history'!$B$2:$B$500,'9_3nf_customer_history'!$A$2:$A$500,AD61,'9_3nf_customer_history'!$B$2:$B$500,"&lt;="&amp;L61))</f>
        <v/>
      </c>
      <c r="AJ61" s="2">
        <f>IF(AI61="NOT FOUND","NOT FOUND",INDEX('9_3nf_customer_history'!$C:$C,SUMPRODUCT(('9_3nf_customer_history'!$A$2:$A$500=AD61)*('9_3nf_customer_history'!$B$2:$B$500=AI61)*ROW('9_3nf_customer_history'!$A$2:$A$500))))</f>
        <v/>
      </c>
      <c r="AK61" s="2">
        <f>IF(AI61="NOT FOUND","NOT FOUND",INDEX('9_3nf_customer_history'!$D:$D,SUMPRODUCT(('9_3nf_customer_history'!$A$2:$A$500=AD61)*('9_3nf_customer_history'!$B$2:$B$500=AI61)*ROW('9_3nf_customer_history'!$A$2:$A$500))))</f>
        <v/>
      </c>
      <c r="AL61" s="2">
        <f>UPPER(TRIM(H61))</f>
        <v/>
      </c>
      <c r="AM61" s="30">
        <f>IF(_xlfn.MAXIFS('10_ref_fx_rate'!$B$2:$B$2000,'10_ref_fx_rate'!$A$2:$A$2000,AL61,'10_ref_fx_rate'!$B$2:$B$2000,"&lt;="&amp;L61)=0,"NOT FOUND",_xlfn.MAXIFS('10_ref_fx_rate'!$B$2:$B$2000,'10_ref_fx_rate'!$A$2:$A$2000,AL61,'10_ref_fx_rate'!$B$2:$B$2000,"&lt;="&amp;L61))</f>
        <v/>
      </c>
      <c r="AN61" s="8">
        <f>IF(AM61="NOT FOUND","NOT FOUND",SUMIFS('10_ref_fx_rate'!$D$2:$D$2000,'10_ref_fx_rate'!$A$2:$A$2000,AL61,'10_ref_fx_rate'!$B$2:$B$2000,AM61))</f>
        <v/>
      </c>
      <c r="AO61" s="37">
        <f>IF(ISNUMBER(AN61),I61*AN61,"NOT FOUND")</f>
        <v/>
      </c>
      <c r="AP61" s="2">
        <f>UPPER(TRIM(J61))</f>
        <v/>
      </c>
      <c r="AQ61" s="2">
        <f>IF(AP61="","SELF-DIRECTED",IF(ISNUMBER(MATCH(AP61,'11_3nf_sales_person'!$A:$A,0)),IF(EXACT(AP61,J61),"OK","OK (auto-fixed)"),IF(ISNA(MATCH($A61,'12_sales_person_confirmation'!$A:$A,0)),"CONFIRM (not logged)",IF(INDEX('12_sales_person_confirmation'!$I:$I,MATCH($A61,'12_sales_person_confirmation'!$A:$A,0))="CONFIRMED","CONFIRMED ("&amp;LOWER(INDEX('12_sales_person_confirmation'!$E:$E,MATCH($A61,'12_sales_person_confirmation'!$A:$A,0)))&amp;")","PENDING CONFIRM"))))</f>
        <v/>
      </c>
      <c r="AR61" s="2">
        <f>IF(OR(AQ61="OK",AQ61="OK (auto-fixed)"),AP61,IF(LEFT(AQ61,9)="CONFIRMED",INDEX('12_sales_person_confirmation'!$F:$F,MATCH($A61,'12_sales_person_confirmation'!$A:$A,0)),""))</f>
        <v/>
      </c>
      <c r="AS61" s="2">
        <f>IF(AR61="","",INDEX('11_3nf_sales_person'!$B:$B,MATCH(AR61,'11_3nf_sales_person'!$A:$A,0)))</f>
        <v/>
      </c>
    </row>
    <row r="62">
      <c r="A62" s="2">
        <f>IF(ISBLANK('1_raw_log'!A62),"",'1_raw_log'!A62)</f>
        <v/>
      </c>
      <c r="B62" s="3">
        <f>IF(ISBLANK('1_raw_log'!B62),"",'1_raw_log'!B62)</f>
        <v/>
      </c>
      <c r="C62" s="2">
        <f>IF(ISBLANK('1_raw_log'!C62),"",'1_raw_log'!C62)</f>
        <v/>
      </c>
      <c r="D62" s="2">
        <f>IF(ISBLANK('1_raw_log'!D62),"",'1_raw_log'!D62)</f>
        <v/>
      </c>
      <c r="E62" s="4">
        <f>IF(ISBLANK('1_raw_log'!E62),"",'1_raw_log'!E62)</f>
        <v/>
      </c>
      <c r="F62" s="2">
        <f>IF(ISBLANK('1_raw_log'!F62),"",'1_raw_log'!F62)</f>
        <v/>
      </c>
      <c r="G62" s="2">
        <f>IF(ISBLANK('1_raw_log'!G62),"",'1_raw_log'!G62)</f>
        <v/>
      </c>
      <c r="H62" s="2">
        <f>IF(ISBLANK('1_raw_log'!H62),"",'1_raw_log'!H62)</f>
        <v/>
      </c>
      <c r="I62" s="7">
        <f>IF(ISBLANK('1_raw_log'!I62),"",'1_raw_log'!I62)</f>
        <v/>
      </c>
      <c r="J62" s="2">
        <f>IF(ISBLANK('1_raw_log'!J62),"",'1_raw_log'!J62)</f>
        <v/>
      </c>
      <c r="K62" s="2">
        <f>IF(ISBLANK('1_raw_log'!K62),"",'1_raw_log'!K62)</f>
        <v/>
      </c>
      <c r="L62" s="30">
        <f>INT(B62)</f>
        <v/>
      </c>
      <c r="M62" s="20">
        <f>ROUND(MOD(B62,1)*1440,0)/1440</f>
        <v/>
      </c>
      <c r="N62" s="4">
        <f>IFERROR(INDEX('3_ref_date'!$B:$B,MATCH(L62,'3_ref_date'!$A:$A,0)),"NOT FOUND")</f>
        <v/>
      </c>
      <c r="O62" s="2">
        <f>IFERROR(INDEX('3_ref_date'!$C:$C,MATCH(L62,'3_ref_date'!$A:$A,0)),"NOT FOUND")</f>
        <v/>
      </c>
      <c r="P62" s="4">
        <f>IFERROR(INDEX('3_ref_date'!$D:$D,MATCH(L62,'3_ref_date'!$A:$A,0)),"NOT FOUND")</f>
        <v/>
      </c>
      <c r="Q62" s="4">
        <f>IFERROR(INDEX('3_ref_date'!$E:$E,MATCH(L62,'3_ref_date'!$A:$A,0)),"NOT FOUND")</f>
        <v/>
      </c>
      <c r="R62" s="2">
        <f>IFERROR(INDEX('3_ref_date'!$F:$F,MATCH(L62,'3_ref_date'!$A:$A,0)),"NOT FOUND")</f>
        <v/>
      </c>
      <c r="S62" s="2">
        <f>IFERROR(INDEX('4_ref_time'!$D:$D,MATCH(ROUND(M62*1440,0),'4_ref_time'!$A:$A,0)),"NOT FOUND")</f>
        <v/>
      </c>
      <c r="T62" s="2">
        <f>UPPER(TRIM(C62))</f>
        <v/>
      </c>
      <c r="U62" s="30">
        <f>IF(_xlfn.MAXIFS('6_3nf_branch_history'!$B$2:$B$50,'6_3nf_branch_history'!$A$2:$A$50,T62,'6_3nf_branch_history'!$B$2:$B$50,"&lt;="&amp;L62)=0,"NOT FOUND",_xlfn.MAXIFS('6_3nf_branch_history'!$B$2:$B$50,'6_3nf_branch_history'!$A$2:$A$50,T62,'6_3nf_branch_history'!$B$2:$B$50,"&lt;="&amp;L62))</f>
        <v/>
      </c>
      <c r="V62" s="2">
        <f>IF(U62="NOT FOUND","NOT FOUND",INDEX('6_3nf_branch_history'!$C:$C,SUMPRODUCT(('6_3nf_branch_history'!$A$2:$A$50=T62)*('6_3nf_branch_history'!$B$2:$B$50=U62)*ROW('6_3nf_branch_history'!$A$2:$A$50))))</f>
        <v/>
      </c>
      <c r="W62" s="2">
        <f>IF(U62="NOT FOUND","NOT FOUND",INDEX('6_3nf_branch_history'!$D:$D,SUMPRODUCT(('6_3nf_branch_history'!$A$2:$A$50=T62)*('6_3nf_branch_history'!$B$2:$B$50=U62)*ROW('6_3nf_branch_history'!$A$2:$A$50))))</f>
        <v/>
      </c>
      <c r="X62" s="2">
        <f>IF(U62="NOT FOUND","NOT FOUND",INDEX('6_3nf_branch_history'!$E:$E,SUMPRODUCT(('6_3nf_branch_history'!$A$2:$A$50=T62)*('6_3nf_branch_history'!$B$2:$B$50=U62)*ROW('6_3nf_branch_history'!$A$2:$A$50))))</f>
        <v/>
      </c>
      <c r="Y62" s="2">
        <f>UPPER(TRIM(D62))</f>
        <v/>
      </c>
      <c r="Z62" s="2">
        <f>IFERROR(INDEX('7_3nf_product'!$B:$B,MATCH(Y62,'7_3nf_product'!$A:$A,0)),"NOT FOUND")</f>
        <v/>
      </c>
      <c r="AA62" s="2">
        <f>IFERROR(INDEX('7_3nf_product'!$C:$C,MATCH(Y62,'7_3nf_product'!$A:$A,0)),"NOT FOUND")</f>
        <v/>
      </c>
      <c r="AB62" s="2">
        <f>IFERROR(INDEX('7_3nf_product'!$D:$D,MATCH(Y62,'7_3nf_product'!$A:$A,0)),"NOT FOUND")</f>
        <v/>
      </c>
      <c r="AC62" s="6">
        <f>IFERROR(INDEX('7_3nf_product'!$E:$E,MATCH(Y62,'7_3nf_product'!$A:$A,0)),"NOT FOUND")</f>
        <v/>
      </c>
      <c r="AD62" s="33">
        <f>IF(LEN(TRIM(E62))=10,TRIM(E62),IF(LEN(TRIM(E62))=8,"00"&amp;TRIM(E62),"CHECK"))</f>
        <v/>
      </c>
      <c r="AE62" s="2">
        <f>IFERROR(INDEX('8_3nf_customer'!$C:$C,MATCH(AD62,'8_3nf_customer'!$B:$B,0)),"NOT FOUND")</f>
        <v/>
      </c>
      <c r="AF62" s="30">
        <f>IFERROR(INDEX('8_3nf_customer'!$D:$D,MATCH(AD62,'8_3nf_customer'!$B:$B,0)),"NOT FOUND")</f>
        <v/>
      </c>
      <c r="AG62" s="4">
        <f>IF(ISNUMBER(AF62),DATEDIF(AF62,L62,"y"),"NOT FOUND")</f>
        <v/>
      </c>
      <c r="AH62" s="2">
        <f>IFERROR(INDEX('8_3nf_customer'!$E:$E,MATCH(AD62,'8_3nf_customer'!$B:$B,0)),"NOT FOUND")</f>
        <v/>
      </c>
      <c r="AI62" s="30">
        <f>IF(_xlfn.MAXIFS('9_3nf_customer_history'!$B$2:$B$500,'9_3nf_customer_history'!$A$2:$A$500,AD62,'9_3nf_customer_history'!$B$2:$B$500,"&lt;="&amp;L62)=0,"NOT FOUND",_xlfn.MAXIFS('9_3nf_customer_history'!$B$2:$B$500,'9_3nf_customer_history'!$A$2:$A$500,AD62,'9_3nf_customer_history'!$B$2:$B$500,"&lt;="&amp;L62))</f>
        <v/>
      </c>
      <c r="AJ62" s="2">
        <f>IF(AI62="NOT FOUND","NOT FOUND",INDEX('9_3nf_customer_history'!$C:$C,SUMPRODUCT(('9_3nf_customer_history'!$A$2:$A$500=AD62)*('9_3nf_customer_history'!$B$2:$B$500=AI62)*ROW('9_3nf_customer_history'!$A$2:$A$500))))</f>
        <v/>
      </c>
      <c r="AK62" s="2">
        <f>IF(AI62="NOT FOUND","NOT FOUND",INDEX('9_3nf_customer_history'!$D:$D,SUMPRODUCT(('9_3nf_customer_history'!$A$2:$A$500=AD62)*('9_3nf_customer_history'!$B$2:$B$500=AI62)*ROW('9_3nf_customer_history'!$A$2:$A$500))))</f>
        <v/>
      </c>
      <c r="AL62" s="2">
        <f>UPPER(TRIM(H62))</f>
        <v/>
      </c>
      <c r="AM62" s="30">
        <f>IF(_xlfn.MAXIFS('10_ref_fx_rate'!$B$2:$B$2000,'10_ref_fx_rate'!$A$2:$A$2000,AL62,'10_ref_fx_rate'!$B$2:$B$2000,"&lt;="&amp;L62)=0,"NOT FOUND",_xlfn.MAXIFS('10_ref_fx_rate'!$B$2:$B$2000,'10_ref_fx_rate'!$A$2:$A$2000,AL62,'10_ref_fx_rate'!$B$2:$B$2000,"&lt;="&amp;L62))</f>
        <v/>
      </c>
      <c r="AN62" s="8">
        <f>IF(AM62="NOT FOUND","NOT FOUND",SUMIFS('10_ref_fx_rate'!$D$2:$D$2000,'10_ref_fx_rate'!$A$2:$A$2000,AL62,'10_ref_fx_rate'!$B$2:$B$2000,AM62))</f>
        <v/>
      </c>
      <c r="AO62" s="37">
        <f>IF(ISNUMBER(AN62),I62*AN62,"NOT FOUND")</f>
        <v/>
      </c>
      <c r="AP62" s="2">
        <f>UPPER(TRIM(J62))</f>
        <v/>
      </c>
      <c r="AQ62" s="2">
        <f>IF(AP62="","SELF-DIRECTED",IF(ISNUMBER(MATCH(AP62,'11_3nf_sales_person'!$A:$A,0)),IF(EXACT(AP62,J62),"OK","OK (auto-fixed)"),IF(ISNA(MATCH($A62,'12_sales_person_confirmation'!$A:$A,0)),"CONFIRM (not logged)",IF(INDEX('12_sales_person_confirmation'!$I:$I,MATCH($A62,'12_sales_person_confirmation'!$A:$A,0))="CONFIRMED","CONFIRMED ("&amp;LOWER(INDEX('12_sales_person_confirmation'!$E:$E,MATCH($A62,'12_sales_person_confirmation'!$A:$A,0)))&amp;")","PENDING CONFIRM"))))</f>
        <v/>
      </c>
      <c r="AR62" s="2">
        <f>IF(OR(AQ62="OK",AQ62="OK (auto-fixed)"),AP62,IF(LEFT(AQ62,9)="CONFIRMED",INDEX('12_sales_person_confirmation'!$F:$F,MATCH($A62,'12_sales_person_confirmation'!$A:$A,0)),""))</f>
        <v/>
      </c>
      <c r="AS62" s="2">
        <f>IF(AR62="","",INDEX('11_3nf_sales_person'!$B:$B,MATCH(AR62,'11_3nf_sales_person'!$A:$A,0)))</f>
        <v/>
      </c>
    </row>
    <row r="63">
      <c r="A63" s="2">
        <f>IF(ISBLANK('1_raw_log'!A63),"",'1_raw_log'!A63)</f>
        <v/>
      </c>
      <c r="B63" s="3">
        <f>IF(ISBLANK('1_raw_log'!B63),"",'1_raw_log'!B63)</f>
        <v/>
      </c>
      <c r="C63" s="2">
        <f>IF(ISBLANK('1_raw_log'!C63),"",'1_raw_log'!C63)</f>
        <v/>
      </c>
      <c r="D63" s="2">
        <f>IF(ISBLANK('1_raw_log'!D63),"",'1_raw_log'!D63)</f>
        <v/>
      </c>
      <c r="E63" s="4">
        <f>IF(ISBLANK('1_raw_log'!E63),"",'1_raw_log'!E63)</f>
        <v/>
      </c>
      <c r="F63" s="2">
        <f>IF(ISBLANK('1_raw_log'!F63),"",'1_raw_log'!F63)</f>
        <v/>
      </c>
      <c r="G63" s="2">
        <f>IF(ISBLANK('1_raw_log'!G63),"",'1_raw_log'!G63)</f>
        <v/>
      </c>
      <c r="H63" s="2">
        <f>IF(ISBLANK('1_raw_log'!H63),"",'1_raw_log'!H63)</f>
        <v/>
      </c>
      <c r="I63" s="7">
        <f>IF(ISBLANK('1_raw_log'!I63),"",'1_raw_log'!I63)</f>
        <v/>
      </c>
      <c r="J63" s="2">
        <f>IF(ISBLANK('1_raw_log'!J63),"",'1_raw_log'!J63)</f>
        <v/>
      </c>
      <c r="K63" s="2">
        <f>IF(ISBLANK('1_raw_log'!K63),"",'1_raw_log'!K63)</f>
        <v/>
      </c>
      <c r="L63" s="30">
        <f>INT(B63)</f>
        <v/>
      </c>
      <c r="M63" s="20">
        <f>ROUND(MOD(B63,1)*1440,0)/1440</f>
        <v/>
      </c>
      <c r="N63" s="4">
        <f>IFERROR(INDEX('3_ref_date'!$B:$B,MATCH(L63,'3_ref_date'!$A:$A,0)),"NOT FOUND")</f>
        <v/>
      </c>
      <c r="O63" s="2">
        <f>IFERROR(INDEX('3_ref_date'!$C:$C,MATCH(L63,'3_ref_date'!$A:$A,0)),"NOT FOUND")</f>
        <v/>
      </c>
      <c r="P63" s="4">
        <f>IFERROR(INDEX('3_ref_date'!$D:$D,MATCH(L63,'3_ref_date'!$A:$A,0)),"NOT FOUND")</f>
        <v/>
      </c>
      <c r="Q63" s="4">
        <f>IFERROR(INDEX('3_ref_date'!$E:$E,MATCH(L63,'3_ref_date'!$A:$A,0)),"NOT FOUND")</f>
        <v/>
      </c>
      <c r="R63" s="2">
        <f>IFERROR(INDEX('3_ref_date'!$F:$F,MATCH(L63,'3_ref_date'!$A:$A,0)),"NOT FOUND")</f>
        <v/>
      </c>
      <c r="S63" s="2">
        <f>IFERROR(INDEX('4_ref_time'!$D:$D,MATCH(ROUND(M63*1440,0),'4_ref_time'!$A:$A,0)),"NOT FOUND")</f>
        <v/>
      </c>
      <c r="T63" s="2">
        <f>UPPER(TRIM(C63))</f>
        <v/>
      </c>
      <c r="U63" s="30">
        <f>IF(_xlfn.MAXIFS('6_3nf_branch_history'!$B$2:$B$50,'6_3nf_branch_history'!$A$2:$A$50,T63,'6_3nf_branch_history'!$B$2:$B$50,"&lt;="&amp;L63)=0,"NOT FOUND",_xlfn.MAXIFS('6_3nf_branch_history'!$B$2:$B$50,'6_3nf_branch_history'!$A$2:$A$50,T63,'6_3nf_branch_history'!$B$2:$B$50,"&lt;="&amp;L63))</f>
        <v/>
      </c>
      <c r="V63" s="2">
        <f>IF(U63="NOT FOUND","NOT FOUND",INDEX('6_3nf_branch_history'!$C:$C,SUMPRODUCT(('6_3nf_branch_history'!$A$2:$A$50=T63)*('6_3nf_branch_history'!$B$2:$B$50=U63)*ROW('6_3nf_branch_history'!$A$2:$A$50))))</f>
        <v/>
      </c>
      <c r="W63" s="2">
        <f>IF(U63="NOT FOUND","NOT FOUND",INDEX('6_3nf_branch_history'!$D:$D,SUMPRODUCT(('6_3nf_branch_history'!$A$2:$A$50=T63)*('6_3nf_branch_history'!$B$2:$B$50=U63)*ROW('6_3nf_branch_history'!$A$2:$A$50))))</f>
        <v/>
      </c>
      <c r="X63" s="2">
        <f>IF(U63="NOT FOUND","NOT FOUND",INDEX('6_3nf_branch_history'!$E:$E,SUMPRODUCT(('6_3nf_branch_history'!$A$2:$A$50=T63)*('6_3nf_branch_history'!$B$2:$B$50=U63)*ROW('6_3nf_branch_history'!$A$2:$A$50))))</f>
        <v/>
      </c>
      <c r="Y63" s="2">
        <f>UPPER(TRIM(D63))</f>
        <v/>
      </c>
      <c r="Z63" s="2">
        <f>IFERROR(INDEX('7_3nf_product'!$B:$B,MATCH(Y63,'7_3nf_product'!$A:$A,0)),"NOT FOUND")</f>
        <v/>
      </c>
      <c r="AA63" s="2">
        <f>IFERROR(INDEX('7_3nf_product'!$C:$C,MATCH(Y63,'7_3nf_product'!$A:$A,0)),"NOT FOUND")</f>
        <v/>
      </c>
      <c r="AB63" s="2">
        <f>IFERROR(INDEX('7_3nf_product'!$D:$D,MATCH(Y63,'7_3nf_product'!$A:$A,0)),"NOT FOUND")</f>
        <v/>
      </c>
      <c r="AC63" s="6">
        <f>IFERROR(INDEX('7_3nf_product'!$E:$E,MATCH(Y63,'7_3nf_product'!$A:$A,0)),"NOT FOUND")</f>
        <v/>
      </c>
      <c r="AD63" s="33">
        <f>IF(LEN(TRIM(E63))=10,TRIM(E63),IF(LEN(TRIM(E63))=8,"00"&amp;TRIM(E63),"CHECK"))</f>
        <v/>
      </c>
      <c r="AE63" s="2">
        <f>IFERROR(INDEX('8_3nf_customer'!$C:$C,MATCH(AD63,'8_3nf_customer'!$B:$B,0)),"NOT FOUND")</f>
        <v/>
      </c>
      <c r="AF63" s="30">
        <f>IFERROR(INDEX('8_3nf_customer'!$D:$D,MATCH(AD63,'8_3nf_customer'!$B:$B,0)),"NOT FOUND")</f>
        <v/>
      </c>
      <c r="AG63" s="4">
        <f>IF(ISNUMBER(AF63),DATEDIF(AF63,L63,"y"),"NOT FOUND")</f>
        <v/>
      </c>
      <c r="AH63" s="2">
        <f>IFERROR(INDEX('8_3nf_customer'!$E:$E,MATCH(AD63,'8_3nf_customer'!$B:$B,0)),"NOT FOUND")</f>
        <v/>
      </c>
      <c r="AI63" s="30">
        <f>IF(_xlfn.MAXIFS('9_3nf_customer_history'!$B$2:$B$500,'9_3nf_customer_history'!$A$2:$A$500,AD63,'9_3nf_customer_history'!$B$2:$B$500,"&lt;="&amp;L63)=0,"NOT FOUND",_xlfn.MAXIFS('9_3nf_customer_history'!$B$2:$B$500,'9_3nf_customer_history'!$A$2:$A$500,AD63,'9_3nf_customer_history'!$B$2:$B$500,"&lt;="&amp;L63))</f>
        <v/>
      </c>
      <c r="AJ63" s="2">
        <f>IF(AI63="NOT FOUND","NOT FOUND",INDEX('9_3nf_customer_history'!$C:$C,SUMPRODUCT(('9_3nf_customer_history'!$A$2:$A$500=AD63)*('9_3nf_customer_history'!$B$2:$B$500=AI63)*ROW('9_3nf_customer_history'!$A$2:$A$500))))</f>
        <v/>
      </c>
      <c r="AK63" s="2">
        <f>IF(AI63="NOT FOUND","NOT FOUND",INDEX('9_3nf_customer_history'!$D:$D,SUMPRODUCT(('9_3nf_customer_history'!$A$2:$A$500=AD63)*('9_3nf_customer_history'!$B$2:$B$500=AI63)*ROW('9_3nf_customer_history'!$A$2:$A$500))))</f>
        <v/>
      </c>
      <c r="AL63" s="2">
        <f>UPPER(TRIM(H63))</f>
        <v/>
      </c>
      <c r="AM63" s="30">
        <f>IF(_xlfn.MAXIFS('10_ref_fx_rate'!$B$2:$B$2000,'10_ref_fx_rate'!$A$2:$A$2000,AL63,'10_ref_fx_rate'!$B$2:$B$2000,"&lt;="&amp;L63)=0,"NOT FOUND",_xlfn.MAXIFS('10_ref_fx_rate'!$B$2:$B$2000,'10_ref_fx_rate'!$A$2:$A$2000,AL63,'10_ref_fx_rate'!$B$2:$B$2000,"&lt;="&amp;L63))</f>
        <v/>
      </c>
      <c r="AN63" s="8">
        <f>IF(AM63="NOT FOUND","NOT FOUND",SUMIFS('10_ref_fx_rate'!$D$2:$D$2000,'10_ref_fx_rate'!$A$2:$A$2000,AL63,'10_ref_fx_rate'!$B$2:$B$2000,AM63))</f>
        <v/>
      </c>
      <c r="AO63" s="37">
        <f>IF(ISNUMBER(AN63),I63*AN63,"NOT FOUND")</f>
        <v/>
      </c>
      <c r="AP63" s="2">
        <f>UPPER(TRIM(J63))</f>
        <v/>
      </c>
      <c r="AQ63" s="2">
        <f>IF(AP63="","SELF-DIRECTED",IF(ISNUMBER(MATCH(AP63,'11_3nf_sales_person'!$A:$A,0)),IF(EXACT(AP63,J63),"OK","OK (auto-fixed)"),IF(ISNA(MATCH($A63,'12_sales_person_confirmation'!$A:$A,0)),"CONFIRM (not logged)",IF(INDEX('12_sales_person_confirmation'!$I:$I,MATCH($A63,'12_sales_person_confirmation'!$A:$A,0))="CONFIRMED","CONFIRMED ("&amp;LOWER(INDEX('12_sales_person_confirmation'!$E:$E,MATCH($A63,'12_sales_person_confirmation'!$A:$A,0)))&amp;")","PENDING CONFIRM"))))</f>
        <v/>
      </c>
      <c r="AR63" s="2">
        <f>IF(OR(AQ63="OK",AQ63="OK (auto-fixed)"),AP63,IF(LEFT(AQ63,9)="CONFIRMED",INDEX('12_sales_person_confirmation'!$F:$F,MATCH($A63,'12_sales_person_confirmation'!$A:$A,0)),""))</f>
        <v/>
      </c>
      <c r="AS63" s="2">
        <f>IF(AR63="","",INDEX('11_3nf_sales_person'!$B:$B,MATCH(AR63,'11_3nf_sales_person'!$A:$A,0)))</f>
        <v/>
      </c>
    </row>
    <row r="64">
      <c r="A64" s="2">
        <f>IF(ISBLANK('1_raw_log'!A64),"",'1_raw_log'!A64)</f>
        <v/>
      </c>
      <c r="B64" s="3">
        <f>IF(ISBLANK('1_raw_log'!B64),"",'1_raw_log'!B64)</f>
        <v/>
      </c>
      <c r="C64" s="2">
        <f>IF(ISBLANK('1_raw_log'!C64),"",'1_raw_log'!C64)</f>
        <v/>
      </c>
      <c r="D64" s="2">
        <f>IF(ISBLANK('1_raw_log'!D64),"",'1_raw_log'!D64)</f>
        <v/>
      </c>
      <c r="E64" s="4">
        <f>IF(ISBLANK('1_raw_log'!E64),"",'1_raw_log'!E64)</f>
        <v/>
      </c>
      <c r="F64" s="2">
        <f>IF(ISBLANK('1_raw_log'!F64),"",'1_raw_log'!F64)</f>
        <v/>
      </c>
      <c r="G64" s="2">
        <f>IF(ISBLANK('1_raw_log'!G64),"",'1_raw_log'!G64)</f>
        <v/>
      </c>
      <c r="H64" s="2">
        <f>IF(ISBLANK('1_raw_log'!H64),"",'1_raw_log'!H64)</f>
        <v/>
      </c>
      <c r="I64" s="7">
        <f>IF(ISBLANK('1_raw_log'!I64),"",'1_raw_log'!I64)</f>
        <v/>
      </c>
      <c r="J64" s="2">
        <f>IF(ISBLANK('1_raw_log'!J64),"",'1_raw_log'!J64)</f>
        <v/>
      </c>
      <c r="K64" s="2">
        <f>IF(ISBLANK('1_raw_log'!K64),"",'1_raw_log'!K64)</f>
        <v/>
      </c>
      <c r="L64" s="30">
        <f>INT(B64)</f>
        <v/>
      </c>
      <c r="M64" s="20">
        <f>ROUND(MOD(B64,1)*1440,0)/1440</f>
        <v/>
      </c>
      <c r="N64" s="4">
        <f>IFERROR(INDEX('3_ref_date'!$B:$B,MATCH(L64,'3_ref_date'!$A:$A,0)),"NOT FOUND")</f>
        <v/>
      </c>
      <c r="O64" s="2">
        <f>IFERROR(INDEX('3_ref_date'!$C:$C,MATCH(L64,'3_ref_date'!$A:$A,0)),"NOT FOUND")</f>
        <v/>
      </c>
      <c r="P64" s="4">
        <f>IFERROR(INDEX('3_ref_date'!$D:$D,MATCH(L64,'3_ref_date'!$A:$A,0)),"NOT FOUND")</f>
        <v/>
      </c>
      <c r="Q64" s="4">
        <f>IFERROR(INDEX('3_ref_date'!$E:$E,MATCH(L64,'3_ref_date'!$A:$A,0)),"NOT FOUND")</f>
        <v/>
      </c>
      <c r="R64" s="2">
        <f>IFERROR(INDEX('3_ref_date'!$F:$F,MATCH(L64,'3_ref_date'!$A:$A,0)),"NOT FOUND")</f>
        <v/>
      </c>
      <c r="S64" s="2">
        <f>IFERROR(INDEX('4_ref_time'!$D:$D,MATCH(ROUND(M64*1440,0),'4_ref_time'!$A:$A,0)),"NOT FOUND")</f>
        <v/>
      </c>
      <c r="T64" s="2">
        <f>UPPER(TRIM(C64))</f>
        <v/>
      </c>
      <c r="U64" s="30">
        <f>IF(_xlfn.MAXIFS('6_3nf_branch_history'!$B$2:$B$50,'6_3nf_branch_history'!$A$2:$A$50,T64,'6_3nf_branch_history'!$B$2:$B$50,"&lt;="&amp;L64)=0,"NOT FOUND",_xlfn.MAXIFS('6_3nf_branch_history'!$B$2:$B$50,'6_3nf_branch_history'!$A$2:$A$50,T64,'6_3nf_branch_history'!$B$2:$B$50,"&lt;="&amp;L64))</f>
        <v/>
      </c>
      <c r="V64" s="2">
        <f>IF(U64="NOT FOUND","NOT FOUND",INDEX('6_3nf_branch_history'!$C:$C,SUMPRODUCT(('6_3nf_branch_history'!$A$2:$A$50=T64)*('6_3nf_branch_history'!$B$2:$B$50=U64)*ROW('6_3nf_branch_history'!$A$2:$A$50))))</f>
        <v/>
      </c>
      <c r="W64" s="2">
        <f>IF(U64="NOT FOUND","NOT FOUND",INDEX('6_3nf_branch_history'!$D:$D,SUMPRODUCT(('6_3nf_branch_history'!$A$2:$A$50=T64)*('6_3nf_branch_history'!$B$2:$B$50=U64)*ROW('6_3nf_branch_history'!$A$2:$A$50))))</f>
        <v/>
      </c>
      <c r="X64" s="2">
        <f>IF(U64="NOT FOUND","NOT FOUND",INDEX('6_3nf_branch_history'!$E:$E,SUMPRODUCT(('6_3nf_branch_history'!$A$2:$A$50=T64)*('6_3nf_branch_history'!$B$2:$B$50=U64)*ROW('6_3nf_branch_history'!$A$2:$A$50))))</f>
        <v/>
      </c>
      <c r="Y64" s="2">
        <f>UPPER(TRIM(D64))</f>
        <v/>
      </c>
      <c r="Z64" s="2">
        <f>IFERROR(INDEX('7_3nf_product'!$B:$B,MATCH(Y64,'7_3nf_product'!$A:$A,0)),"NOT FOUND")</f>
        <v/>
      </c>
      <c r="AA64" s="2">
        <f>IFERROR(INDEX('7_3nf_product'!$C:$C,MATCH(Y64,'7_3nf_product'!$A:$A,0)),"NOT FOUND")</f>
        <v/>
      </c>
      <c r="AB64" s="2">
        <f>IFERROR(INDEX('7_3nf_product'!$D:$D,MATCH(Y64,'7_3nf_product'!$A:$A,0)),"NOT FOUND")</f>
        <v/>
      </c>
      <c r="AC64" s="6">
        <f>IFERROR(INDEX('7_3nf_product'!$E:$E,MATCH(Y64,'7_3nf_product'!$A:$A,0)),"NOT FOUND")</f>
        <v/>
      </c>
      <c r="AD64" s="33">
        <f>IF(LEN(TRIM(E64))=10,TRIM(E64),IF(LEN(TRIM(E64))=8,"00"&amp;TRIM(E64),"CHECK"))</f>
        <v/>
      </c>
      <c r="AE64" s="2">
        <f>IFERROR(INDEX('8_3nf_customer'!$C:$C,MATCH(AD64,'8_3nf_customer'!$B:$B,0)),"NOT FOUND")</f>
        <v/>
      </c>
      <c r="AF64" s="30">
        <f>IFERROR(INDEX('8_3nf_customer'!$D:$D,MATCH(AD64,'8_3nf_customer'!$B:$B,0)),"NOT FOUND")</f>
        <v/>
      </c>
      <c r="AG64" s="4">
        <f>IF(ISNUMBER(AF64),DATEDIF(AF64,L64,"y"),"NOT FOUND")</f>
        <v/>
      </c>
      <c r="AH64" s="2">
        <f>IFERROR(INDEX('8_3nf_customer'!$E:$E,MATCH(AD64,'8_3nf_customer'!$B:$B,0)),"NOT FOUND")</f>
        <v/>
      </c>
      <c r="AI64" s="30">
        <f>IF(_xlfn.MAXIFS('9_3nf_customer_history'!$B$2:$B$500,'9_3nf_customer_history'!$A$2:$A$500,AD64,'9_3nf_customer_history'!$B$2:$B$500,"&lt;="&amp;L64)=0,"NOT FOUND",_xlfn.MAXIFS('9_3nf_customer_history'!$B$2:$B$500,'9_3nf_customer_history'!$A$2:$A$500,AD64,'9_3nf_customer_history'!$B$2:$B$500,"&lt;="&amp;L64))</f>
        <v/>
      </c>
      <c r="AJ64" s="2">
        <f>IF(AI64="NOT FOUND","NOT FOUND",INDEX('9_3nf_customer_history'!$C:$C,SUMPRODUCT(('9_3nf_customer_history'!$A$2:$A$500=AD64)*('9_3nf_customer_history'!$B$2:$B$500=AI64)*ROW('9_3nf_customer_history'!$A$2:$A$500))))</f>
        <v/>
      </c>
      <c r="AK64" s="2">
        <f>IF(AI64="NOT FOUND","NOT FOUND",INDEX('9_3nf_customer_history'!$D:$D,SUMPRODUCT(('9_3nf_customer_history'!$A$2:$A$500=AD64)*('9_3nf_customer_history'!$B$2:$B$500=AI64)*ROW('9_3nf_customer_history'!$A$2:$A$500))))</f>
        <v/>
      </c>
      <c r="AL64" s="2">
        <f>UPPER(TRIM(H64))</f>
        <v/>
      </c>
      <c r="AM64" s="30">
        <f>IF(_xlfn.MAXIFS('10_ref_fx_rate'!$B$2:$B$2000,'10_ref_fx_rate'!$A$2:$A$2000,AL64,'10_ref_fx_rate'!$B$2:$B$2000,"&lt;="&amp;L64)=0,"NOT FOUND",_xlfn.MAXIFS('10_ref_fx_rate'!$B$2:$B$2000,'10_ref_fx_rate'!$A$2:$A$2000,AL64,'10_ref_fx_rate'!$B$2:$B$2000,"&lt;="&amp;L64))</f>
        <v/>
      </c>
      <c r="AN64" s="8">
        <f>IF(AM64="NOT FOUND","NOT FOUND",SUMIFS('10_ref_fx_rate'!$D$2:$D$2000,'10_ref_fx_rate'!$A$2:$A$2000,AL64,'10_ref_fx_rate'!$B$2:$B$2000,AM64))</f>
        <v/>
      </c>
      <c r="AO64" s="37">
        <f>IF(ISNUMBER(AN64),I64*AN64,"NOT FOUND")</f>
        <v/>
      </c>
      <c r="AP64" s="2">
        <f>UPPER(TRIM(J64))</f>
        <v/>
      </c>
      <c r="AQ64" s="2">
        <f>IF(AP64="","SELF-DIRECTED",IF(ISNUMBER(MATCH(AP64,'11_3nf_sales_person'!$A:$A,0)),IF(EXACT(AP64,J64),"OK","OK (auto-fixed)"),IF(ISNA(MATCH($A64,'12_sales_person_confirmation'!$A:$A,0)),"CONFIRM (not logged)",IF(INDEX('12_sales_person_confirmation'!$I:$I,MATCH($A64,'12_sales_person_confirmation'!$A:$A,0))="CONFIRMED","CONFIRMED ("&amp;LOWER(INDEX('12_sales_person_confirmation'!$E:$E,MATCH($A64,'12_sales_person_confirmation'!$A:$A,0)))&amp;")","PENDING CONFIRM"))))</f>
        <v/>
      </c>
      <c r="AR64" s="2">
        <f>IF(OR(AQ64="OK",AQ64="OK (auto-fixed)"),AP64,IF(LEFT(AQ64,9)="CONFIRMED",INDEX('12_sales_person_confirmation'!$F:$F,MATCH($A64,'12_sales_person_confirmation'!$A:$A,0)),""))</f>
        <v/>
      </c>
      <c r="AS64" s="2">
        <f>IF(AR64="","",INDEX('11_3nf_sales_person'!$B:$B,MATCH(AR64,'11_3nf_sales_person'!$A:$A,0)))</f>
        <v/>
      </c>
    </row>
    <row r="65">
      <c r="A65" s="2">
        <f>IF(ISBLANK('1_raw_log'!A65),"",'1_raw_log'!A65)</f>
        <v/>
      </c>
      <c r="B65" s="3">
        <f>IF(ISBLANK('1_raw_log'!B65),"",'1_raw_log'!B65)</f>
        <v/>
      </c>
      <c r="C65" s="2">
        <f>IF(ISBLANK('1_raw_log'!C65),"",'1_raw_log'!C65)</f>
        <v/>
      </c>
      <c r="D65" s="2">
        <f>IF(ISBLANK('1_raw_log'!D65),"",'1_raw_log'!D65)</f>
        <v/>
      </c>
      <c r="E65" s="4">
        <f>IF(ISBLANK('1_raw_log'!E65),"",'1_raw_log'!E65)</f>
        <v/>
      </c>
      <c r="F65" s="2">
        <f>IF(ISBLANK('1_raw_log'!F65),"",'1_raw_log'!F65)</f>
        <v/>
      </c>
      <c r="G65" s="2">
        <f>IF(ISBLANK('1_raw_log'!G65),"",'1_raw_log'!G65)</f>
        <v/>
      </c>
      <c r="H65" s="2">
        <f>IF(ISBLANK('1_raw_log'!H65),"",'1_raw_log'!H65)</f>
        <v/>
      </c>
      <c r="I65" s="7">
        <f>IF(ISBLANK('1_raw_log'!I65),"",'1_raw_log'!I65)</f>
        <v/>
      </c>
      <c r="J65" s="2">
        <f>IF(ISBLANK('1_raw_log'!J65),"",'1_raw_log'!J65)</f>
        <v/>
      </c>
      <c r="K65" s="2">
        <f>IF(ISBLANK('1_raw_log'!K65),"",'1_raw_log'!K65)</f>
        <v/>
      </c>
      <c r="L65" s="30">
        <f>INT(B65)</f>
        <v/>
      </c>
      <c r="M65" s="20">
        <f>ROUND(MOD(B65,1)*1440,0)/1440</f>
        <v/>
      </c>
      <c r="N65" s="4">
        <f>IFERROR(INDEX('3_ref_date'!$B:$B,MATCH(L65,'3_ref_date'!$A:$A,0)),"NOT FOUND")</f>
        <v/>
      </c>
      <c r="O65" s="2">
        <f>IFERROR(INDEX('3_ref_date'!$C:$C,MATCH(L65,'3_ref_date'!$A:$A,0)),"NOT FOUND")</f>
        <v/>
      </c>
      <c r="P65" s="4">
        <f>IFERROR(INDEX('3_ref_date'!$D:$D,MATCH(L65,'3_ref_date'!$A:$A,0)),"NOT FOUND")</f>
        <v/>
      </c>
      <c r="Q65" s="4">
        <f>IFERROR(INDEX('3_ref_date'!$E:$E,MATCH(L65,'3_ref_date'!$A:$A,0)),"NOT FOUND")</f>
        <v/>
      </c>
      <c r="R65" s="2">
        <f>IFERROR(INDEX('3_ref_date'!$F:$F,MATCH(L65,'3_ref_date'!$A:$A,0)),"NOT FOUND")</f>
        <v/>
      </c>
      <c r="S65" s="2">
        <f>IFERROR(INDEX('4_ref_time'!$D:$D,MATCH(ROUND(M65*1440,0),'4_ref_time'!$A:$A,0)),"NOT FOUND")</f>
        <v/>
      </c>
      <c r="T65" s="2">
        <f>UPPER(TRIM(C65))</f>
        <v/>
      </c>
      <c r="U65" s="30">
        <f>IF(_xlfn.MAXIFS('6_3nf_branch_history'!$B$2:$B$50,'6_3nf_branch_history'!$A$2:$A$50,T65,'6_3nf_branch_history'!$B$2:$B$50,"&lt;="&amp;L65)=0,"NOT FOUND",_xlfn.MAXIFS('6_3nf_branch_history'!$B$2:$B$50,'6_3nf_branch_history'!$A$2:$A$50,T65,'6_3nf_branch_history'!$B$2:$B$50,"&lt;="&amp;L65))</f>
        <v/>
      </c>
      <c r="V65" s="2">
        <f>IF(U65="NOT FOUND","NOT FOUND",INDEX('6_3nf_branch_history'!$C:$C,SUMPRODUCT(('6_3nf_branch_history'!$A$2:$A$50=T65)*('6_3nf_branch_history'!$B$2:$B$50=U65)*ROW('6_3nf_branch_history'!$A$2:$A$50))))</f>
        <v/>
      </c>
      <c r="W65" s="2">
        <f>IF(U65="NOT FOUND","NOT FOUND",INDEX('6_3nf_branch_history'!$D:$D,SUMPRODUCT(('6_3nf_branch_history'!$A$2:$A$50=T65)*('6_3nf_branch_history'!$B$2:$B$50=U65)*ROW('6_3nf_branch_history'!$A$2:$A$50))))</f>
        <v/>
      </c>
      <c r="X65" s="2">
        <f>IF(U65="NOT FOUND","NOT FOUND",INDEX('6_3nf_branch_history'!$E:$E,SUMPRODUCT(('6_3nf_branch_history'!$A$2:$A$50=T65)*('6_3nf_branch_history'!$B$2:$B$50=U65)*ROW('6_3nf_branch_history'!$A$2:$A$50))))</f>
        <v/>
      </c>
      <c r="Y65" s="2">
        <f>UPPER(TRIM(D65))</f>
        <v/>
      </c>
      <c r="Z65" s="2">
        <f>IFERROR(INDEX('7_3nf_product'!$B:$B,MATCH(Y65,'7_3nf_product'!$A:$A,0)),"NOT FOUND")</f>
        <v/>
      </c>
      <c r="AA65" s="2">
        <f>IFERROR(INDEX('7_3nf_product'!$C:$C,MATCH(Y65,'7_3nf_product'!$A:$A,0)),"NOT FOUND")</f>
        <v/>
      </c>
      <c r="AB65" s="2">
        <f>IFERROR(INDEX('7_3nf_product'!$D:$D,MATCH(Y65,'7_3nf_product'!$A:$A,0)),"NOT FOUND")</f>
        <v/>
      </c>
      <c r="AC65" s="6">
        <f>IFERROR(INDEX('7_3nf_product'!$E:$E,MATCH(Y65,'7_3nf_product'!$A:$A,0)),"NOT FOUND")</f>
        <v/>
      </c>
      <c r="AD65" s="33">
        <f>IF(LEN(TRIM(E65))=10,TRIM(E65),IF(LEN(TRIM(E65))=8,"00"&amp;TRIM(E65),"CHECK"))</f>
        <v/>
      </c>
      <c r="AE65" s="2">
        <f>IFERROR(INDEX('8_3nf_customer'!$C:$C,MATCH(AD65,'8_3nf_customer'!$B:$B,0)),"NOT FOUND")</f>
        <v/>
      </c>
      <c r="AF65" s="30">
        <f>IFERROR(INDEX('8_3nf_customer'!$D:$D,MATCH(AD65,'8_3nf_customer'!$B:$B,0)),"NOT FOUND")</f>
        <v/>
      </c>
      <c r="AG65" s="4">
        <f>IF(ISNUMBER(AF65),DATEDIF(AF65,L65,"y"),"NOT FOUND")</f>
        <v/>
      </c>
      <c r="AH65" s="2">
        <f>IFERROR(INDEX('8_3nf_customer'!$E:$E,MATCH(AD65,'8_3nf_customer'!$B:$B,0)),"NOT FOUND")</f>
        <v/>
      </c>
      <c r="AI65" s="30">
        <f>IF(_xlfn.MAXIFS('9_3nf_customer_history'!$B$2:$B$500,'9_3nf_customer_history'!$A$2:$A$500,AD65,'9_3nf_customer_history'!$B$2:$B$500,"&lt;="&amp;L65)=0,"NOT FOUND",_xlfn.MAXIFS('9_3nf_customer_history'!$B$2:$B$500,'9_3nf_customer_history'!$A$2:$A$500,AD65,'9_3nf_customer_history'!$B$2:$B$500,"&lt;="&amp;L65))</f>
        <v/>
      </c>
      <c r="AJ65" s="2">
        <f>IF(AI65="NOT FOUND","NOT FOUND",INDEX('9_3nf_customer_history'!$C:$C,SUMPRODUCT(('9_3nf_customer_history'!$A$2:$A$500=AD65)*('9_3nf_customer_history'!$B$2:$B$500=AI65)*ROW('9_3nf_customer_history'!$A$2:$A$500))))</f>
        <v/>
      </c>
      <c r="AK65" s="2">
        <f>IF(AI65="NOT FOUND","NOT FOUND",INDEX('9_3nf_customer_history'!$D:$D,SUMPRODUCT(('9_3nf_customer_history'!$A$2:$A$500=AD65)*('9_3nf_customer_history'!$B$2:$B$500=AI65)*ROW('9_3nf_customer_history'!$A$2:$A$500))))</f>
        <v/>
      </c>
      <c r="AL65" s="2">
        <f>UPPER(TRIM(H65))</f>
        <v/>
      </c>
      <c r="AM65" s="30">
        <f>IF(_xlfn.MAXIFS('10_ref_fx_rate'!$B$2:$B$2000,'10_ref_fx_rate'!$A$2:$A$2000,AL65,'10_ref_fx_rate'!$B$2:$B$2000,"&lt;="&amp;L65)=0,"NOT FOUND",_xlfn.MAXIFS('10_ref_fx_rate'!$B$2:$B$2000,'10_ref_fx_rate'!$A$2:$A$2000,AL65,'10_ref_fx_rate'!$B$2:$B$2000,"&lt;="&amp;L65))</f>
        <v/>
      </c>
      <c r="AN65" s="8">
        <f>IF(AM65="NOT FOUND","NOT FOUND",SUMIFS('10_ref_fx_rate'!$D$2:$D$2000,'10_ref_fx_rate'!$A$2:$A$2000,AL65,'10_ref_fx_rate'!$B$2:$B$2000,AM65))</f>
        <v/>
      </c>
      <c r="AO65" s="37">
        <f>IF(ISNUMBER(AN65),I65*AN65,"NOT FOUND")</f>
        <v/>
      </c>
      <c r="AP65" s="2">
        <f>UPPER(TRIM(J65))</f>
        <v/>
      </c>
      <c r="AQ65" s="2">
        <f>IF(AP65="","SELF-DIRECTED",IF(ISNUMBER(MATCH(AP65,'11_3nf_sales_person'!$A:$A,0)),IF(EXACT(AP65,J65),"OK","OK (auto-fixed)"),IF(ISNA(MATCH($A65,'12_sales_person_confirmation'!$A:$A,0)),"CONFIRM (not logged)",IF(INDEX('12_sales_person_confirmation'!$I:$I,MATCH($A65,'12_sales_person_confirmation'!$A:$A,0))="CONFIRMED","CONFIRMED ("&amp;LOWER(INDEX('12_sales_person_confirmation'!$E:$E,MATCH($A65,'12_sales_person_confirmation'!$A:$A,0)))&amp;")","PENDING CONFIRM"))))</f>
        <v/>
      </c>
      <c r="AR65" s="2">
        <f>IF(OR(AQ65="OK",AQ65="OK (auto-fixed)"),AP65,IF(LEFT(AQ65,9)="CONFIRMED",INDEX('12_sales_person_confirmation'!$F:$F,MATCH($A65,'12_sales_person_confirmation'!$A:$A,0)),""))</f>
        <v/>
      </c>
      <c r="AS65" s="2">
        <f>IF(AR65="","",INDEX('11_3nf_sales_person'!$B:$B,MATCH(AR65,'11_3nf_sales_person'!$A:$A,0)))</f>
        <v/>
      </c>
    </row>
    <row r="66">
      <c r="A66" s="2">
        <f>IF(ISBLANK('1_raw_log'!A66),"",'1_raw_log'!A66)</f>
        <v/>
      </c>
      <c r="B66" s="3">
        <f>IF(ISBLANK('1_raw_log'!B66),"",'1_raw_log'!B66)</f>
        <v/>
      </c>
      <c r="C66" s="2">
        <f>IF(ISBLANK('1_raw_log'!C66),"",'1_raw_log'!C66)</f>
        <v/>
      </c>
      <c r="D66" s="2">
        <f>IF(ISBLANK('1_raw_log'!D66),"",'1_raw_log'!D66)</f>
        <v/>
      </c>
      <c r="E66" s="4">
        <f>IF(ISBLANK('1_raw_log'!E66),"",'1_raw_log'!E66)</f>
        <v/>
      </c>
      <c r="F66" s="2">
        <f>IF(ISBLANK('1_raw_log'!F66),"",'1_raw_log'!F66)</f>
        <v/>
      </c>
      <c r="G66" s="2">
        <f>IF(ISBLANK('1_raw_log'!G66),"",'1_raw_log'!G66)</f>
        <v/>
      </c>
      <c r="H66" s="2">
        <f>IF(ISBLANK('1_raw_log'!H66),"",'1_raw_log'!H66)</f>
        <v/>
      </c>
      <c r="I66" s="7">
        <f>IF(ISBLANK('1_raw_log'!I66),"",'1_raw_log'!I66)</f>
        <v/>
      </c>
      <c r="J66" s="2">
        <f>IF(ISBLANK('1_raw_log'!J66),"",'1_raw_log'!J66)</f>
        <v/>
      </c>
      <c r="K66" s="2">
        <f>IF(ISBLANK('1_raw_log'!K66),"",'1_raw_log'!K66)</f>
        <v/>
      </c>
      <c r="L66" s="30">
        <f>INT(B66)</f>
        <v/>
      </c>
      <c r="M66" s="20">
        <f>ROUND(MOD(B66,1)*1440,0)/1440</f>
        <v/>
      </c>
      <c r="N66" s="4">
        <f>IFERROR(INDEX('3_ref_date'!$B:$B,MATCH(L66,'3_ref_date'!$A:$A,0)),"NOT FOUND")</f>
        <v/>
      </c>
      <c r="O66" s="2">
        <f>IFERROR(INDEX('3_ref_date'!$C:$C,MATCH(L66,'3_ref_date'!$A:$A,0)),"NOT FOUND")</f>
        <v/>
      </c>
      <c r="P66" s="4">
        <f>IFERROR(INDEX('3_ref_date'!$D:$D,MATCH(L66,'3_ref_date'!$A:$A,0)),"NOT FOUND")</f>
        <v/>
      </c>
      <c r="Q66" s="4">
        <f>IFERROR(INDEX('3_ref_date'!$E:$E,MATCH(L66,'3_ref_date'!$A:$A,0)),"NOT FOUND")</f>
        <v/>
      </c>
      <c r="R66" s="2">
        <f>IFERROR(INDEX('3_ref_date'!$F:$F,MATCH(L66,'3_ref_date'!$A:$A,0)),"NOT FOUND")</f>
        <v/>
      </c>
      <c r="S66" s="2">
        <f>IFERROR(INDEX('4_ref_time'!$D:$D,MATCH(ROUND(M66*1440,0),'4_ref_time'!$A:$A,0)),"NOT FOUND")</f>
        <v/>
      </c>
      <c r="T66" s="2">
        <f>UPPER(TRIM(C66))</f>
        <v/>
      </c>
      <c r="U66" s="30">
        <f>IF(_xlfn.MAXIFS('6_3nf_branch_history'!$B$2:$B$50,'6_3nf_branch_history'!$A$2:$A$50,T66,'6_3nf_branch_history'!$B$2:$B$50,"&lt;="&amp;L66)=0,"NOT FOUND",_xlfn.MAXIFS('6_3nf_branch_history'!$B$2:$B$50,'6_3nf_branch_history'!$A$2:$A$50,T66,'6_3nf_branch_history'!$B$2:$B$50,"&lt;="&amp;L66))</f>
        <v/>
      </c>
      <c r="V66" s="2">
        <f>IF(U66="NOT FOUND","NOT FOUND",INDEX('6_3nf_branch_history'!$C:$C,SUMPRODUCT(('6_3nf_branch_history'!$A$2:$A$50=T66)*('6_3nf_branch_history'!$B$2:$B$50=U66)*ROW('6_3nf_branch_history'!$A$2:$A$50))))</f>
        <v/>
      </c>
      <c r="W66" s="2">
        <f>IF(U66="NOT FOUND","NOT FOUND",INDEX('6_3nf_branch_history'!$D:$D,SUMPRODUCT(('6_3nf_branch_history'!$A$2:$A$50=T66)*('6_3nf_branch_history'!$B$2:$B$50=U66)*ROW('6_3nf_branch_history'!$A$2:$A$50))))</f>
        <v/>
      </c>
      <c r="X66" s="2">
        <f>IF(U66="NOT FOUND","NOT FOUND",INDEX('6_3nf_branch_history'!$E:$E,SUMPRODUCT(('6_3nf_branch_history'!$A$2:$A$50=T66)*('6_3nf_branch_history'!$B$2:$B$50=U66)*ROW('6_3nf_branch_history'!$A$2:$A$50))))</f>
        <v/>
      </c>
      <c r="Y66" s="2">
        <f>UPPER(TRIM(D66))</f>
        <v/>
      </c>
      <c r="Z66" s="2">
        <f>IFERROR(INDEX('7_3nf_product'!$B:$B,MATCH(Y66,'7_3nf_product'!$A:$A,0)),"NOT FOUND")</f>
        <v/>
      </c>
      <c r="AA66" s="2">
        <f>IFERROR(INDEX('7_3nf_product'!$C:$C,MATCH(Y66,'7_3nf_product'!$A:$A,0)),"NOT FOUND")</f>
        <v/>
      </c>
      <c r="AB66" s="2">
        <f>IFERROR(INDEX('7_3nf_product'!$D:$D,MATCH(Y66,'7_3nf_product'!$A:$A,0)),"NOT FOUND")</f>
        <v/>
      </c>
      <c r="AC66" s="6">
        <f>IFERROR(INDEX('7_3nf_product'!$E:$E,MATCH(Y66,'7_3nf_product'!$A:$A,0)),"NOT FOUND")</f>
        <v/>
      </c>
      <c r="AD66" s="33">
        <f>IF(LEN(TRIM(E66))=10,TRIM(E66),IF(LEN(TRIM(E66))=8,"00"&amp;TRIM(E66),"CHECK"))</f>
        <v/>
      </c>
      <c r="AE66" s="2">
        <f>IFERROR(INDEX('8_3nf_customer'!$C:$C,MATCH(AD66,'8_3nf_customer'!$B:$B,0)),"NOT FOUND")</f>
        <v/>
      </c>
      <c r="AF66" s="30">
        <f>IFERROR(INDEX('8_3nf_customer'!$D:$D,MATCH(AD66,'8_3nf_customer'!$B:$B,0)),"NOT FOUND")</f>
        <v/>
      </c>
      <c r="AG66" s="4">
        <f>IF(ISNUMBER(AF66),DATEDIF(AF66,L66,"y"),"NOT FOUND")</f>
        <v/>
      </c>
      <c r="AH66" s="2">
        <f>IFERROR(INDEX('8_3nf_customer'!$E:$E,MATCH(AD66,'8_3nf_customer'!$B:$B,0)),"NOT FOUND")</f>
        <v/>
      </c>
      <c r="AI66" s="30">
        <f>IF(_xlfn.MAXIFS('9_3nf_customer_history'!$B$2:$B$500,'9_3nf_customer_history'!$A$2:$A$500,AD66,'9_3nf_customer_history'!$B$2:$B$500,"&lt;="&amp;L66)=0,"NOT FOUND",_xlfn.MAXIFS('9_3nf_customer_history'!$B$2:$B$500,'9_3nf_customer_history'!$A$2:$A$500,AD66,'9_3nf_customer_history'!$B$2:$B$500,"&lt;="&amp;L66))</f>
        <v/>
      </c>
      <c r="AJ66" s="2">
        <f>IF(AI66="NOT FOUND","NOT FOUND",INDEX('9_3nf_customer_history'!$C:$C,SUMPRODUCT(('9_3nf_customer_history'!$A$2:$A$500=AD66)*('9_3nf_customer_history'!$B$2:$B$500=AI66)*ROW('9_3nf_customer_history'!$A$2:$A$500))))</f>
        <v/>
      </c>
      <c r="AK66" s="2">
        <f>IF(AI66="NOT FOUND","NOT FOUND",INDEX('9_3nf_customer_history'!$D:$D,SUMPRODUCT(('9_3nf_customer_history'!$A$2:$A$500=AD66)*('9_3nf_customer_history'!$B$2:$B$500=AI66)*ROW('9_3nf_customer_history'!$A$2:$A$500))))</f>
        <v/>
      </c>
      <c r="AL66" s="2">
        <f>UPPER(TRIM(H66))</f>
        <v/>
      </c>
      <c r="AM66" s="30">
        <f>IF(_xlfn.MAXIFS('10_ref_fx_rate'!$B$2:$B$2000,'10_ref_fx_rate'!$A$2:$A$2000,AL66,'10_ref_fx_rate'!$B$2:$B$2000,"&lt;="&amp;L66)=0,"NOT FOUND",_xlfn.MAXIFS('10_ref_fx_rate'!$B$2:$B$2000,'10_ref_fx_rate'!$A$2:$A$2000,AL66,'10_ref_fx_rate'!$B$2:$B$2000,"&lt;="&amp;L66))</f>
        <v/>
      </c>
      <c r="AN66" s="8">
        <f>IF(AM66="NOT FOUND","NOT FOUND",SUMIFS('10_ref_fx_rate'!$D$2:$D$2000,'10_ref_fx_rate'!$A$2:$A$2000,AL66,'10_ref_fx_rate'!$B$2:$B$2000,AM66))</f>
        <v/>
      </c>
      <c r="AO66" s="37">
        <f>IF(ISNUMBER(AN66),I66*AN66,"NOT FOUND")</f>
        <v/>
      </c>
      <c r="AP66" s="2">
        <f>UPPER(TRIM(J66))</f>
        <v/>
      </c>
      <c r="AQ66" s="2">
        <f>IF(AP66="","SELF-DIRECTED",IF(ISNUMBER(MATCH(AP66,'11_3nf_sales_person'!$A:$A,0)),IF(EXACT(AP66,J66),"OK","OK (auto-fixed)"),IF(ISNA(MATCH($A66,'12_sales_person_confirmation'!$A:$A,0)),"CONFIRM (not logged)",IF(INDEX('12_sales_person_confirmation'!$I:$I,MATCH($A66,'12_sales_person_confirmation'!$A:$A,0))="CONFIRMED","CONFIRMED ("&amp;LOWER(INDEX('12_sales_person_confirmation'!$E:$E,MATCH($A66,'12_sales_person_confirmation'!$A:$A,0)))&amp;")","PENDING CONFIRM"))))</f>
        <v/>
      </c>
      <c r="AR66" s="2">
        <f>IF(OR(AQ66="OK",AQ66="OK (auto-fixed)"),AP66,IF(LEFT(AQ66,9)="CONFIRMED",INDEX('12_sales_person_confirmation'!$F:$F,MATCH($A66,'12_sales_person_confirmation'!$A:$A,0)),""))</f>
        <v/>
      </c>
      <c r="AS66" s="2">
        <f>IF(AR66="","",INDEX('11_3nf_sales_person'!$B:$B,MATCH(AR66,'11_3nf_sales_person'!$A:$A,0)))</f>
        <v/>
      </c>
    </row>
    <row r="67">
      <c r="A67" s="2">
        <f>IF(ISBLANK('1_raw_log'!A67),"",'1_raw_log'!A67)</f>
        <v/>
      </c>
      <c r="B67" s="3">
        <f>IF(ISBLANK('1_raw_log'!B67),"",'1_raw_log'!B67)</f>
        <v/>
      </c>
      <c r="C67" s="2">
        <f>IF(ISBLANK('1_raw_log'!C67),"",'1_raw_log'!C67)</f>
        <v/>
      </c>
      <c r="D67" s="2">
        <f>IF(ISBLANK('1_raw_log'!D67),"",'1_raw_log'!D67)</f>
        <v/>
      </c>
      <c r="E67" s="4">
        <f>IF(ISBLANK('1_raw_log'!E67),"",'1_raw_log'!E67)</f>
        <v/>
      </c>
      <c r="F67" s="2">
        <f>IF(ISBLANK('1_raw_log'!F67),"",'1_raw_log'!F67)</f>
        <v/>
      </c>
      <c r="G67" s="2">
        <f>IF(ISBLANK('1_raw_log'!G67),"",'1_raw_log'!G67)</f>
        <v/>
      </c>
      <c r="H67" s="2">
        <f>IF(ISBLANK('1_raw_log'!H67),"",'1_raw_log'!H67)</f>
        <v/>
      </c>
      <c r="I67" s="7">
        <f>IF(ISBLANK('1_raw_log'!I67),"",'1_raw_log'!I67)</f>
        <v/>
      </c>
      <c r="J67" s="2">
        <f>IF(ISBLANK('1_raw_log'!J67),"",'1_raw_log'!J67)</f>
        <v/>
      </c>
      <c r="K67" s="2">
        <f>IF(ISBLANK('1_raw_log'!K67),"",'1_raw_log'!K67)</f>
        <v/>
      </c>
      <c r="L67" s="30">
        <f>INT(B67)</f>
        <v/>
      </c>
      <c r="M67" s="20">
        <f>ROUND(MOD(B67,1)*1440,0)/1440</f>
        <v/>
      </c>
      <c r="N67" s="4">
        <f>IFERROR(INDEX('3_ref_date'!$B:$B,MATCH(L67,'3_ref_date'!$A:$A,0)),"NOT FOUND")</f>
        <v/>
      </c>
      <c r="O67" s="2">
        <f>IFERROR(INDEX('3_ref_date'!$C:$C,MATCH(L67,'3_ref_date'!$A:$A,0)),"NOT FOUND")</f>
        <v/>
      </c>
      <c r="P67" s="4">
        <f>IFERROR(INDEX('3_ref_date'!$D:$D,MATCH(L67,'3_ref_date'!$A:$A,0)),"NOT FOUND")</f>
        <v/>
      </c>
      <c r="Q67" s="4">
        <f>IFERROR(INDEX('3_ref_date'!$E:$E,MATCH(L67,'3_ref_date'!$A:$A,0)),"NOT FOUND")</f>
        <v/>
      </c>
      <c r="R67" s="2">
        <f>IFERROR(INDEX('3_ref_date'!$F:$F,MATCH(L67,'3_ref_date'!$A:$A,0)),"NOT FOUND")</f>
        <v/>
      </c>
      <c r="S67" s="2">
        <f>IFERROR(INDEX('4_ref_time'!$D:$D,MATCH(ROUND(M67*1440,0),'4_ref_time'!$A:$A,0)),"NOT FOUND")</f>
        <v/>
      </c>
      <c r="T67" s="2">
        <f>UPPER(TRIM(C67))</f>
        <v/>
      </c>
      <c r="U67" s="30">
        <f>IF(_xlfn.MAXIFS('6_3nf_branch_history'!$B$2:$B$50,'6_3nf_branch_history'!$A$2:$A$50,T67,'6_3nf_branch_history'!$B$2:$B$50,"&lt;="&amp;L67)=0,"NOT FOUND",_xlfn.MAXIFS('6_3nf_branch_history'!$B$2:$B$50,'6_3nf_branch_history'!$A$2:$A$50,T67,'6_3nf_branch_history'!$B$2:$B$50,"&lt;="&amp;L67))</f>
        <v/>
      </c>
      <c r="V67" s="2">
        <f>IF(U67="NOT FOUND","NOT FOUND",INDEX('6_3nf_branch_history'!$C:$C,SUMPRODUCT(('6_3nf_branch_history'!$A$2:$A$50=T67)*('6_3nf_branch_history'!$B$2:$B$50=U67)*ROW('6_3nf_branch_history'!$A$2:$A$50))))</f>
        <v/>
      </c>
      <c r="W67" s="2">
        <f>IF(U67="NOT FOUND","NOT FOUND",INDEX('6_3nf_branch_history'!$D:$D,SUMPRODUCT(('6_3nf_branch_history'!$A$2:$A$50=T67)*('6_3nf_branch_history'!$B$2:$B$50=U67)*ROW('6_3nf_branch_history'!$A$2:$A$50))))</f>
        <v/>
      </c>
      <c r="X67" s="2">
        <f>IF(U67="NOT FOUND","NOT FOUND",INDEX('6_3nf_branch_history'!$E:$E,SUMPRODUCT(('6_3nf_branch_history'!$A$2:$A$50=T67)*('6_3nf_branch_history'!$B$2:$B$50=U67)*ROW('6_3nf_branch_history'!$A$2:$A$50))))</f>
        <v/>
      </c>
      <c r="Y67" s="2">
        <f>UPPER(TRIM(D67))</f>
        <v/>
      </c>
      <c r="Z67" s="2">
        <f>IFERROR(INDEX('7_3nf_product'!$B:$B,MATCH(Y67,'7_3nf_product'!$A:$A,0)),"NOT FOUND")</f>
        <v/>
      </c>
      <c r="AA67" s="2">
        <f>IFERROR(INDEX('7_3nf_product'!$C:$C,MATCH(Y67,'7_3nf_product'!$A:$A,0)),"NOT FOUND")</f>
        <v/>
      </c>
      <c r="AB67" s="2">
        <f>IFERROR(INDEX('7_3nf_product'!$D:$D,MATCH(Y67,'7_3nf_product'!$A:$A,0)),"NOT FOUND")</f>
        <v/>
      </c>
      <c r="AC67" s="6">
        <f>IFERROR(INDEX('7_3nf_product'!$E:$E,MATCH(Y67,'7_3nf_product'!$A:$A,0)),"NOT FOUND")</f>
        <v/>
      </c>
      <c r="AD67" s="33">
        <f>IF(LEN(TRIM(E67))=10,TRIM(E67),IF(LEN(TRIM(E67))=8,"00"&amp;TRIM(E67),"CHECK"))</f>
        <v/>
      </c>
      <c r="AE67" s="2">
        <f>IFERROR(INDEX('8_3nf_customer'!$C:$C,MATCH(AD67,'8_3nf_customer'!$B:$B,0)),"NOT FOUND")</f>
        <v/>
      </c>
      <c r="AF67" s="30">
        <f>IFERROR(INDEX('8_3nf_customer'!$D:$D,MATCH(AD67,'8_3nf_customer'!$B:$B,0)),"NOT FOUND")</f>
        <v/>
      </c>
      <c r="AG67" s="4">
        <f>IF(ISNUMBER(AF67),DATEDIF(AF67,L67,"y"),"NOT FOUND")</f>
        <v/>
      </c>
      <c r="AH67" s="2">
        <f>IFERROR(INDEX('8_3nf_customer'!$E:$E,MATCH(AD67,'8_3nf_customer'!$B:$B,0)),"NOT FOUND")</f>
        <v/>
      </c>
      <c r="AI67" s="30">
        <f>IF(_xlfn.MAXIFS('9_3nf_customer_history'!$B$2:$B$500,'9_3nf_customer_history'!$A$2:$A$500,AD67,'9_3nf_customer_history'!$B$2:$B$500,"&lt;="&amp;L67)=0,"NOT FOUND",_xlfn.MAXIFS('9_3nf_customer_history'!$B$2:$B$500,'9_3nf_customer_history'!$A$2:$A$500,AD67,'9_3nf_customer_history'!$B$2:$B$500,"&lt;="&amp;L67))</f>
        <v/>
      </c>
      <c r="AJ67" s="2">
        <f>IF(AI67="NOT FOUND","NOT FOUND",INDEX('9_3nf_customer_history'!$C:$C,SUMPRODUCT(('9_3nf_customer_history'!$A$2:$A$500=AD67)*('9_3nf_customer_history'!$B$2:$B$500=AI67)*ROW('9_3nf_customer_history'!$A$2:$A$500))))</f>
        <v/>
      </c>
      <c r="AK67" s="2">
        <f>IF(AI67="NOT FOUND","NOT FOUND",INDEX('9_3nf_customer_history'!$D:$D,SUMPRODUCT(('9_3nf_customer_history'!$A$2:$A$500=AD67)*('9_3nf_customer_history'!$B$2:$B$500=AI67)*ROW('9_3nf_customer_history'!$A$2:$A$500))))</f>
        <v/>
      </c>
      <c r="AL67" s="2">
        <f>UPPER(TRIM(H67))</f>
        <v/>
      </c>
      <c r="AM67" s="30">
        <f>IF(_xlfn.MAXIFS('10_ref_fx_rate'!$B$2:$B$2000,'10_ref_fx_rate'!$A$2:$A$2000,AL67,'10_ref_fx_rate'!$B$2:$B$2000,"&lt;="&amp;L67)=0,"NOT FOUND",_xlfn.MAXIFS('10_ref_fx_rate'!$B$2:$B$2000,'10_ref_fx_rate'!$A$2:$A$2000,AL67,'10_ref_fx_rate'!$B$2:$B$2000,"&lt;="&amp;L67))</f>
        <v/>
      </c>
      <c r="AN67" s="8">
        <f>IF(AM67="NOT FOUND","NOT FOUND",SUMIFS('10_ref_fx_rate'!$D$2:$D$2000,'10_ref_fx_rate'!$A$2:$A$2000,AL67,'10_ref_fx_rate'!$B$2:$B$2000,AM67))</f>
        <v/>
      </c>
      <c r="AO67" s="37">
        <f>IF(ISNUMBER(AN67),I67*AN67,"NOT FOUND")</f>
        <v/>
      </c>
      <c r="AP67" s="2">
        <f>UPPER(TRIM(J67))</f>
        <v/>
      </c>
      <c r="AQ67" s="2">
        <f>IF(AP67="","SELF-DIRECTED",IF(ISNUMBER(MATCH(AP67,'11_3nf_sales_person'!$A:$A,0)),IF(EXACT(AP67,J67),"OK","OK (auto-fixed)"),IF(ISNA(MATCH($A67,'12_sales_person_confirmation'!$A:$A,0)),"CONFIRM (not logged)",IF(INDEX('12_sales_person_confirmation'!$I:$I,MATCH($A67,'12_sales_person_confirmation'!$A:$A,0))="CONFIRMED","CONFIRMED ("&amp;LOWER(INDEX('12_sales_person_confirmation'!$E:$E,MATCH($A67,'12_sales_person_confirmation'!$A:$A,0)))&amp;")","PENDING CONFIRM"))))</f>
        <v/>
      </c>
      <c r="AR67" s="2">
        <f>IF(OR(AQ67="OK",AQ67="OK (auto-fixed)"),AP67,IF(LEFT(AQ67,9)="CONFIRMED",INDEX('12_sales_person_confirmation'!$F:$F,MATCH($A67,'12_sales_person_confirmation'!$A:$A,0)),""))</f>
        <v/>
      </c>
      <c r="AS67" s="2">
        <f>IF(AR67="","",INDEX('11_3nf_sales_person'!$B:$B,MATCH(AR67,'11_3nf_sales_person'!$A:$A,0)))</f>
        <v/>
      </c>
    </row>
    <row r="68">
      <c r="A68" s="2">
        <f>IF(ISBLANK('1_raw_log'!A68),"",'1_raw_log'!A68)</f>
        <v/>
      </c>
      <c r="B68" s="3">
        <f>IF(ISBLANK('1_raw_log'!B68),"",'1_raw_log'!B68)</f>
        <v/>
      </c>
      <c r="C68" s="2">
        <f>IF(ISBLANK('1_raw_log'!C68),"",'1_raw_log'!C68)</f>
        <v/>
      </c>
      <c r="D68" s="2">
        <f>IF(ISBLANK('1_raw_log'!D68),"",'1_raw_log'!D68)</f>
        <v/>
      </c>
      <c r="E68" s="4">
        <f>IF(ISBLANK('1_raw_log'!E68),"",'1_raw_log'!E68)</f>
        <v/>
      </c>
      <c r="F68" s="2">
        <f>IF(ISBLANK('1_raw_log'!F68),"",'1_raw_log'!F68)</f>
        <v/>
      </c>
      <c r="G68" s="2">
        <f>IF(ISBLANK('1_raw_log'!G68),"",'1_raw_log'!G68)</f>
        <v/>
      </c>
      <c r="H68" s="2">
        <f>IF(ISBLANK('1_raw_log'!H68),"",'1_raw_log'!H68)</f>
        <v/>
      </c>
      <c r="I68" s="7">
        <f>IF(ISBLANK('1_raw_log'!I68),"",'1_raw_log'!I68)</f>
        <v/>
      </c>
      <c r="J68" s="2">
        <f>IF(ISBLANK('1_raw_log'!J68),"",'1_raw_log'!J68)</f>
        <v/>
      </c>
      <c r="K68" s="2">
        <f>IF(ISBLANK('1_raw_log'!K68),"",'1_raw_log'!K68)</f>
        <v/>
      </c>
      <c r="L68" s="30">
        <f>INT(B68)</f>
        <v/>
      </c>
      <c r="M68" s="20">
        <f>ROUND(MOD(B68,1)*1440,0)/1440</f>
        <v/>
      </c>
      <c r="N68" s="4">
        <f>IFERROR(INDEX('3_ref_date'!$B:$B,MATCH(L68,'3_ref_date'!$A:$A,0)),"NOT FOUND")</f>
        <v/>
      </c>
      <c r="O68" s="2">
        <f>IFERROR(INDEX('3_ref_date'!$C:$C,MATCH(L68,'3_ref_date'!$A:$A,0)),"NOT FOUND")</f>
        <v/>
      </c>
      <c r="P68" s="4">
        <f>IFERROR(INDEX('3_ref_date'!$D:$D,MATCH(L68,'3_ref_date'!$A:$A,0)),"NOT FOUND")</f>
        <v/>
      </c>
      <c r="Q68" s="4">
        <f>IFERROR(INDEX('3_ref_date'!$E:$E,MATCH(L68,'3_ref_date'!$A:$A,0)),"NOT FOUND")</f>
        <v/>
      </c>
      <c r="R68" s="2">
        <f>IFERROR(INDEX('3_ref_date'!$F:$F,MATCH(L68,'3_ref_date'!$A:$A,0)),"NOT FOUND")</f>
        <v/>
      </c>
      <c r="S68" s="2">
        <f>IFERROR(INDEX('4_ref_time'!$D:$D,MATCH(ROUND(M68*1440,0),'4_ref_time'!$A:$A,0)),"NOT FOUND")</f>
        <v/>
      </c>
      <c r="T68" s="2">
        <f>UPPER(TRIM(C68))</f>
        <v/>
      </c>
      <c r="U68" s="30">
        <f>IF(_xlfn.MAXIFS('6_3nf_branch_history'!$B$2:$B$50,'6_3nf_branch_history'!$A$2:$A$50,T68,'6_3nf_branch_history'!$B$2:$B$50,"&lt;="&amp;L68)=0,"NOT FOUND",_xlfn.MAXIFS('6_3nf_branch_history'!$B$2:$B$50,'6_3nf_branch_history'!$A$2:$A$50,T68,'6_3nf_branch_history'!$B$2:$B$50,"&lt;="&amp;L68))</f>
        <v/>
      </c>
      <c r="V68" s="2">
        <f>IF(U68="NOT FOUND","NOT FOUND",INDEX('6_3nf_branch_history'!$C:$C,SUMPRODUCT(('6_3nf_branch_history'!$A$2:$A$50=T68)*('6_3nf_branch_history'!$B$2:$B$50=U68)*ROW('6_3nf_branch_history'!$A$2:$A$50))))</f>
        <v/>
      </c>
      <c r="W68" s="2">
        <f>IF(U68="NOT FOUND","NOT FOUND",INDEX('6_3nf_branch_history'!$D:$D,SUMPRODUCT(('6_3nf_branch_history'!$A$2:$A$50=T68)*('6_3nf_branch_history'!$B$2:$B$50=U68)*ROW('6_3nf_branch_history'!$A$2:$A$50))))</f>
        <v/>
      </c>
      <c r="X68" s="2">
        <f>IF(U68="NOT FOUND","NOT FOUND",INDEX('6_3nf_branch_history'!$E:$E,SUMPRODUCT(('6_3nf_branch_history'!$A$2:$A$50=T68)*('6_3nf_branch_history'!$B$2:$B$50=U68)*ROW('6_3nf_branch_history'!$A$2:$A$50))))</f>
        <v/>
      </c>
      <c r="Y68" s="2">
        <f>UPPER(TRIM(D68))</f>
        <v/>
      </c>
      <c r="Z68" s="2">
        <f>IFERROR(INDEX('7_3nf_product'!$B:$B,MATCH(Y68,'7_3nf_product'!$A:$A,0)),"NOT FOUND")</f>
        <v/>
      </c>
      <c r="AA68" s="2">
        <f>IFERROR(INDEX('7_3nf_product'!$C:$C,MATCH(Y68,'7_3nf_product'!$A:$A,0)),"NOT FOUND")</f>
        <v/>
      </c>
      <c r="AB68" s="2">
        <f>IFERROR(INDEX('7_3nf_product'!$D:$D,MATCH(Y68,'7_3nf_product'!$A:$A,0)),"NOT FOUND")</f>
        <v/>
      </c>
      <c r="AC68" s="6">
        <f>IFERROR(INDEX('7_3nf_product'!$E:$E,MATCH(Y68,'7_3nf_product'!$A:$A,0)),"NOT FOUND")</f>
        <v/>
      </c>
      <c r="AD68" s="33">
        <f>IF(LEN(TRIM(E68))=10,TRIM(E68),IF(LEN(TRIM(E68))=8,"00"&amp;TRIM(E68),"CHECK"))</f>
        <v/>
      </c>
      <c r="AE68" s="2">
        <f>IFERROR(INDEX('8_3nf_customer'!$C:$C,MATCH(AD68,'8_3nf_customer'!$B:$B,0)),"NOT FOUND")</f>
        <v/>
      </c>
      <c r="AF68" s="30">
        <f>IFERROR(INDEX('8_3nf_customer'!$D:$D,MATCH(AD68,'8_3nf_customer'!$B:$B,0)),"NOT FOUND")</f>
        <v/>
      </c>
      <c r="AG68" s="4">
        <f>IF(ISNUMBER(AF68),DATEDIF(AF68,L68,"y"),"NOT FOUND")</f>
        <v/>
      </c>
      <c r="AH68" s="2">
        <f>IFERROR(INDEX('8_3nf_customer'!$E:$E,MATCH(AD68,'8_3nf_customer'!$B:$B,0)),"NOT FOUND")</f>
        <v/>
      </c>
      <c r="AI68" s="30">
        <f>IF(_xlfn.MAXIFS('9_3nf_customer_history'!$B$2:$B$500,'9_3nf_customer_history'!$A$2:$A$500,AD68,'9_3nf_customer_history'!$B$2:$B$500,"&lt;="&amp;L68)=0,"NOT FOUND",_xlfn.MAXIFS('9_3nf_customer_history'!$B$2:$B$500,'9_3nf_customer_history'!$A$2:$A$500,AD68,'9_3nf_customer_history'!$B$2:$B$500,"&lt;="&amp;L68))</f>
        <v/>
      </c>
      <c r="AJ68" s="2">
        <f>IF(AI68="NOT FOUND","NOT FOUND",INDEX('9_3nf_customer_history'!$C:$C,SUMPRODUCT(('9_3nf_customer_history'!$A$2:$A$500=AD68)*('9_3nf_customer_history'!$B$2:$B$500=AI68)*ROW('9_3nf_customer_history'!$A$2:$A$500))))</f>
        <v/>
      </c>
      <c r="AK68" s="2">
        <f>IF(AI68="NOT FOUND","NOT FOUND",INDEX('9_3nf_customer_history'!$D:$D,SUMPRODUCT(('9_3nf_customer_history'!$A$2:$A$500=AD68)*('9_3nf_customer_history'!$B$2:$B$500=AI68)*ROW('9_3nf_customer_history'!$A$2:$A$500))))</f>
        <v/>
      </c>
      <c r="AL68" s="2">
        <f>UPPER(TRIM(H68))</f>
        <v/>
      </c>
      <c r="AM68" s="30">
        <f>IF(_xlfn.MAXIFS('10_ref_fx_rate'!$B$2:$B$2000,'10_ref_fx_rate'!$A$2:$A$2000,AL68,'10_ref_fx_rate'!$B$2:$B$2000,"&lt;="&amp;L68)=0,"NOT FOUND",_xlfn.MAXIFS('10_ref_fx_rate'!$B$2:$B$2000,'10_ref_fx_rate'!$A$2:$A$2000,AL68,'10_ref_fx_rate'!$B$2:$B$2000,"&lt;="&amp;L68))</f>
        <v/>
      </c>
      <c r="AN68" s="8">
        <f>IF(AM68="NOT FOUND","NOT FOUND",SUMIFS('10_ref_fx_rate'!$D$2:$D$2000,'10_ref_fx_rate'!$A$2:$A$2000,AL68,'10_ref_fx_rate'!$B$2:$B$2000,AM68))</f>
        <v/>
      </c>
      <c r="AO68" s="37">
        <f>IF(ISNUMBER(AN68),I68*AN68,"NOT FOUND")</f>
        <v/>
      </c>
      <c r="AP68" s="2">
        <f>UPPER(TRIM(J68))</f>
        <v/>
      </c>
      <c r="AQ68" s="2">
        <f>IF(AP68="","SELF-DIRECTED",IF(ISNUMBER(MATCH(AP68,'11_3nf_sales_person'!$A:$A,0)),IF(EXACT(AP68,J68),"OK","OK (auto-fixed)"),IF(ISNA(MATCH($A68,'12_sales_person_confirmation'!$A:$A,0)),"CONFIRM (not logged)",IF(INDEX('12_sales_person_confirmation'!$I:$I,MATCH($A68,'12_sales_person_confirmation'!$A:$A,0))="CONFIRMED","CONFIRMED ("&amp;LOWER(INDEX('12_sales_person_confirmation'!$E:$E,MATCH($A68,'12_sales_person_confirmation'!$A:$A,0)))&amp;")","PENDING CONFIRM"))))</f>
        <v/>
      </c>
      <c r="AR68" s="2">
        <f>IF(OR(AQ68="OK",AQ68="OK (auto-fixed)"),AP68,IF(LEFT(AQ68,9)="CONFIRMED",INDEX('12_sales_person_confirmation'!$F:$F,MATCH($A68,'12_sales_person_confirmation'!$A:$A,0)),""))</f>
        <v/>
      </c>
      <c r="AS68" s="2">
        <f>IF(AR68="","",INDEX('11_3nf_sales_person'!$B:$B,MATCH(AR68,'11_3nf_sales_person'!$A:$A,0)))</f>
        <v/>
      </c>
    </row>
    <row r="69">
      <c r="A69" s="2">
        <f>IF(ISBLANK('1_raw_log'!A69),"",'1_raw_log'!A69)</f>
        <v/>
      </c>
      <c r="B69" s="3">
        <f>IF(ISBLANK('1_raw_log'!B69),"",'1_raw_log'!B69)</f>
        <v/>
      </c>
      <c r="C69" s="2">
        <f>IF(ISBLANK('1_raw_log'!C69),"",'1_raw_log'!C69)</f>
        <v/>
      </c>
      <c r="D69" s="2">
        <f>IF(ISBLANK('1_raw_log'!D69),"",'1_raw_log'!D69)</f>
        <v/>
      </c>
      <c r="E69" s="4">
        <f>IF(ISBLANK('1_raw_log'!E69),"",'1_raw_log'!E69)</f>
        <v/>
      </c>
      <c r="F69" s="2">
        <f>IF(ISBLANK('1_raw_log'!F69),"",'1_raw_log'!F69)</f>
        <v/>
      </c>
      <c r="G69" s="2">
        <f>IF(ISBLANK('1_raw_log'!G69),"",'1_raw_log'!G69)</f>
        <v/>
      </c>
      <c r="H69" s="2">
        <f>IF(ISBLANK('1_raw_log'!H69),"",'1_raw_log'!H69)</f>
        <v/>
      </c>
      <c r="I69" s="7">
        <f>IF(ISBLANK('1_raw_log'!I69),"",'1_raw_log'!I69)</f>
        <v/>
      </c>
      <c r="J69" s="2">
        <f>IF(ISBLANK('1_raw_log'!J69),"",'1_raw_log'!J69)</f>
        <v/>
      </c>
      <c r="K69" s="2">
        <f>IF(ISBLANK('1_raw_log'!K69),"",'1_raw_log'!K69)</f>
        <v/>
      </c>
      <c r="L69" s="30">
        <f>INT(B69)</f>
        <v/>
      </c>
      <c r="M69" s="20">
        <f>ROUND(MOD(B69,1)*1440,0)/1440</f>
        <v/>
      </c>
      <c r="N69" s="4">
        <f>IFERROR(INDEX('3_ref_date'!$B:$B,MATCH(L69,'3_ref_date'!$A:$A,0)),"NOT FOUND")</f>
        <v/>
      </c>
      <c r="O69" s="2">
        <f>IFERROR(INDEX('3_ref_date'!$C:$C,MATCH(L69,'3_ref_date'!$A:$A,0)),"NOT FOUND")</f>
        <v/>
      </c>
      <c r="P69" s="4">
        <f>IFERROR(INDEX('3_ref_date'!$D:$D,MATCH(L69,'3_ref_date'!$A:$A,0)),"NOT FOUND")</f>
        <v/>
      </c>
      <c r="Q69" s="4">
        <f>IFERROR(INDEX('3_ref_date'!$E:$E,MATCH(L69,'3_ref_date'!$A:$A,0)),"NOT FOUND")</f>
        <v/>
      </c>
      <c r="R69" s="2">
        <f>IFERROR(INDEX('3_ref_date'!$F:$F,MATCH(L69,'3_ref_date'!$A:$A,0)),"NOT FOUND")</f>
        <v/>
      </c>
      <c r="S69" s="2">
        <f>IFERROR(INDEX('4_ref_time'!$D:$D,MATCH(ROUND(M69*1440,0),'4_ref_time'!$A:$A,0)),"NOT FOUND")</f>
        <v/>
      </c>
      <c r="T69" s="2">
        <f>UPPER(TRIM(C69))</f>
        <v/>
      </c>
      <c r="U69" s="30">
        <f>IF(_xlfn.MAXIFS('6_3nf_branch_history'!$B$2:$B$50,'6_3nf_branch_history'!$A$2:$A$50,T69,'6_3nf_branch_history'!$B$2:$B$50,"&lt;="&amp;L69)=0,"NOT FOUND",_xlfn.MAXIFS('6_3nf_branch_history'!$B$2:$B$50,'6_3nf_branch_history'!$A$2:$A$50,T69,'6_3nf_branch_history'!$B$2:$B$50,"&lt;="&amp;L69))</f>
        <v/>
      </c>
      <c r="V69" s="2">
        <f>IF(U69="NOT FOUND","NOT FOUND",INDEX('6_3nf_branch_history'!$C:$C,SUMPRODUCT(('6_3nf_branch_history'!$A$2:$A$50=T69)*('6_3nf_branch_history'!$B$2:$B$50=U69)*ROW('6_3nf_branch_history'!$A$2:$A$50))))</f>
        <v/>
      </c>
      <c r="W69" s="2">
        <f>IF(U69="NOT FOUND","NOT FOUND",INDEX('6_3nf_branch_history'!$D:$D,SUMPRODUCT(('6_3nf_branch_history'!$A$2:$A$50=T69)*('6_3nf_branch_history'!$B$2:$B$50=U69)*ROW('6_3nf_branch_history'!$A$2:$A$50))))</f>
        <v/>
      </c>
      <c r="X69" s="2">
        <f>IF(U69="NOT FOUND","NOT FOUND",INDEX('6_3nf_branch_history'!$E:$E,SUMPRODUCT(('6_3nf_branch_history'!$A$2:$A$50=T69)*('6_3nf_branch_history'!$B$2:$B$50=U69)*ROW('6_3nf_branch_history'!$A$2:$A$50))))</f>
        <v/>
      </c>
      <c r="Y69" s="2">
        <f>UPPER(TRIM(D69))</f>
        <v/>
      </c>
      <c r="Z69" s="2">
        <f>IFERROR(INDEX('7_3nf_product'!$B:$B,MATCH(Y69,'7_3nf_product'!$A:$A,0)),"NOT FOUND")</f>
        <v/>
      </c>
      <c r="AA69" s="2">
        <f>IFERROR(INDEX('7_3nf_product'!$C:$C,MATCH(Y69,'7_3nf_product'!$A:$A,0)),"NOT FOUND")</f>
        <v/>
      </c>
      <c r="AB69" s="2">
        <f>IFERROR(INDEX('7_3nf_product'!$D:$D,MATCH(Y69,'7_3nf_product'!$A:$A,0)),"NOT FOUND")</f>
        <v/>
      </c>
      <c r="AC69" s="6">
        <f>IFERROR(INDEX('7_3nf_product'!$E:$E,MATCH(Y69,'7_3nf_product'!$A:$A,0)),"NOT FOUND")</f>
        <v/>
      </c>
      <c r="AD69" s="33">
        <f>IF(LEN(TRIM(E69))=10,TRIM(E69),IF(LEN(TRIM(E69))=8,"00"&amp;TRIM(E69),"CHECK"))</f>
        <v/>
      </c>
      <c r="AE69" s="2">
        <f>IFERROR(INDEX('8_3nf_customer'!$C:$C,MATCH(AD69,'8_3nf_customer'!$B:$B,0)),"NOT FOUND")</f>
        <v/>
      </c>
      <c r="AF69" s="30">
        <f>IFERROR(INDEX('8_3nf_customer'!$D:$D,MATCH(AD69,'8_3nf_customer'!$B:$B,0)),"NOT FOUND")</f>
        <v/>
      </c>
      <c r="AG69" s="4">
        <f>IF(ISNUMBER(AF69),DATEDIF(AF69,L69,"y"),"NOT FOUND")</f>
        <v/>
      </c>
      <c r="AH69" s="2">
        <f>IFERROR(INDEX('8_3nf_customer'!$E:$E,MATCH(AD69,'8_3nf_customer'!$B:$B,0)),"NOT FOUND")</f>
        <v/>
      </c>
      <c r="AI69" s="30">
        <f>IF(_xlfn.MAXIFS('9_3nf_customer_history'!$B$2:$B$500,'9_3nf_customer_history'!$A$2:$A$500,AD69,'9_3nf_customer_history'!$B$2:$B$500,"&lt;="&amp;L69)=0,"NOT FOUND",_xlfn.MAXIFS('9_3nf_customer_history'!$B$2:$B$500,'9_3nf_customer_history'!$A$2:$A$500,AD69,'9_3nf_customer_history'!$B$2:$B$500,"&lt;="&amp;L69))</f>
        <v/>
      </c>
      <c r="AJ69" s="2">
        <f>IF(AI69="NOT FOUND","NOT FOUND",INDEX('9_3nf_customer_history'!$C:$C,SUMPRODUCT(('9_3nf_customer_history'!$A$2:$A$500=AD69)*('9_3nf_customer_history'!$B$2:$B$500=AI69)*ROW('9_3nf_customer_history'!$A$2:$A$500))))</f>
        <v/>
      </c>
      <c r="AK69" s="2">
        <f>IF(AI69="NOT FOUND","NOT FOUND",INDEX('9_3nf_customer_history'!$D:$D,SUMPRODUCT(('9_3nf_customer_history'!$A$2:$A$500=AD69)*('9_3nf_customer_history'!$B$2:$B$500=AI69)*ROW('9_3nf_customer_history'!$A$2:$A$500))))</f>
        <v/>
      </c>
      <c r="AL69" s="2">
        <f>UPPER(TRIM(H69))</f>
        <v/>
      </c>
      <c r="AM69" s="30">
        <f>IF(_xlfn.MAXIFS('10_ref_fx_rate'!$B$2:$B$2000,'10_ref_fx_rate'!$A$2:$A$2000,AL69,'10_ref_fx_rate'!$B$2:$B$2000,"&lt;="&amp;L69)=0,"NOT FOUND",_xlfn.MAXIFS('10_ref_fx_rate'!$B$2:$B$2000,'10_ref_fx_rate'!$A$2:$A$2000,AL69,'10_ref_fx_rate'!$B$2:$B$2000,"&lt;="&amp;L69))</f>
        <v/>
      </c>
      <c r="AN69" s="8">
        <f>IF(AM69="NOT FOUND","NOT FOUND",SUMIFS('10_ref_fx_rate'!$D$2:$D$2000,'10_ref_fx_rate'!$A$2:$A$2000,AL69,'10_ref_fx_rate'!$B$2:$B$2000,AM69))</f>
        <v/>
      </c>
      <c r="AO69" s="37">
        <f>IF(ISNUMBER(AN69),I69*AN69,"NOT FOUND")</f>
        <v/>
      </c>
      <c r="AP69" s="2">
        <f>UPPER(TRIM(J69))</f>
        <v/>
      </c>
      <c r="AQ69" s="2">
        <f>IF(AP69="","SELF-DIRECTED",IF(ISNUMBER(MATCH(AP69,'11_3nf_sales_person'!$A:$A,0)),IF(EXACT(AP69,J69),"OK","OK (auto-fixed)"),IF(ISNA(MATCH($A69,'12_sales_person_confirmation'!$A:$A,0)),"CONFIRM (not logged)",IF(INDEX('12_sales_person_confirmation'!$I:$I,MATCH($A69,'12_sales_person_confirmation'!$A:$A,0))="CONFIRMED","CONFIRMED ("&amp;LOWER(INDEX('12_sales_person_confirmation'!$E:$E,MATCH($A69,'12_sales_person_confirmation'!$A:$A,0)))&amp;")","PENDING CONFIRM"))))</f>
        <v/>
      </c>
      <c r="AR69" s="2">
        <f>IF(OR(AQ69="OK",AQ69="OK (auto-fixed)"),AP69,IF(LEFT(AQ69,9)="CONFIRMED",INDEX('12_sales_person_confirmation'!$F:$F,MATCH($A69,'12_sales_person_confirmation'!$A:$A,0)),""))</f>
        <v/>
      </c>
      <c r="AS69" s="2">
        <f>IF(AR69="","",INDEX('11_3nf_sales_person'!$B:$B,MATCH(AR69,'11_3nf_sales_person'!$A:$A,0)))</f>
        <v/>
      </c>
    </row>
    <row r="70">
      <c r="A70" s="2">
        <f>IF(ISBLANK('1_raw_log'!A70),"",'1_raw_log'!A70)</f>
        <v/>
      </c>
      <c r="B70" s="3">
        <f>IF(ISBLANK('1_raw_log'!B70),"",'1_raw_log'!B70)</f>
        <v/>
      </c>
      <c r="C70" s="2">
        <f>IF(ISBLANK('1_raw_log'!C70),"",'1_raw_log'!C70)</f>
        <v/>
      </c>
      <c r="D70" s="2">
        <f>IF(ISBLANK('1_raw_log'!D70),"",'1_raw_log'!D70)</f>
        <v/>
      </c>
      <c r="E70" s="4">
        <f>IF(ISBLANK('1_raw_log'!E70),"",'1_raw_log'!E70)</f>
        <v/>
      </c>
      <c r="F70" s="2">
        <f>IF(ISBLANK('1_raw_log'!F70),"",'1_raw_log'!F70)</f>
        <v/>
      </c>
      <c r="G70" s="2">
        <f>IF(ISBLANK('1_raw_log'!G70),"",'1_raw_log'!G70)</f>
        <v/>
      </c>
      <c r="H70" s="2">
        <f>IF(ISBLANK('1_raw_log'!H70),"",'1_raw_log'!H70)</f>
        <v/>
      </c>
      <c r="I70" s="7">
        <f>IF(ISBLANK('1_raw_log'!I70),"",'1_raw_log'!I70)</f>
        <v/>
      </c>
      <c r="J70" s="2">
        <f>IF(ISBLANK('1_raw_log'!J70),"",'1_raw_log'!J70)</f>
        <v/>
      </c>
      <c r="K70" s="2">
        <f>IF(ISBLANK('1_raw_log'!K70),"",'1_raw_log'!K70)</f>
        <v/>
      </c>
      <c r="L70" s="30">
        <f>INT(B70)</f>
        <v/>
      </c>
      <c r="M70" s="20">
        <f>ROUND(MOD(B70,1)*1440,0)/1440</f>
        <v/>
      </c>
      <c r="N70" s="4">
        <f>IFERROR(INDEX('3_ref_date'!$B:$B,MATCH(L70,'3_ref_date'!$A:$A,0)),"NOT FOUND")</f>
        <v/>
      </c>
      <c r="O70" s="2">
        <f>IFERROR(INDEX('3_ref_date'!$C:$C,MATCH(L70,'3_ref_date'!$A:$A,0)),"NOT FOUND")</f>
        <v/>
      </c>
      <c r="P70" s="4">
        <f>IFERROR(INDEX('3_ref_date'!$D:$D,MATCH(L70,'3_ref_date'!$A:$A,0)),"NOT FOUND")</f>
        <v/>
      </c>
      <c r="Q70" s="4">
        <f>IFERROR(INDEX('3_ref_date'!$E:$E,MATCH(L70,'3_ref_date'!$A:$A,0)),"NOT FOUND")</f>
        <v/>
      </c>
      <c r="R70" s="2">
        <f>IFERROR(INDEX('3_ref_date'!$F:$F,MATCH(L70,'3_ref_date'!$A:$A,0)),"NOT FOUND")</f>
        <v/>
      </c>
      <c r="S70" s="2">
        <f>IFERROR(INDEX('4_ref_time'!$D:$D,MATCH(ROUND(M70*1440,0),'4_ref_time'!$A:$A,0)),"NOT FOUND")</f>
        <v/>
      </c>
      <c r="T70" s="2">
        <f>UPPER(TRIM(C70))</f>
        <v/>
      </c>
      <c r="U70" s="30">
        <f>IF(_xlfn.MAXIFS('6_3nf_branch_history'!$B$2:$B$50,'6_3nf_branch_history'!$A$2:$A$50,T70,'6_3nf_branch_history'!$B$2:$B$50,"&lt;="&amp;L70)=0,"NOT FOUND",_xlfn.MAXIFS('6_3nf_branch_history'!$B$2:$B$50,'6_3nf_branch_history'!$A$2:$A$50,T70,'6_3nf_branch_history'!$B$2:$B$50,"&lt;="&amp;L70))</f>
        <v/>
      </c>
      <c r="V70" s="2">
        <f>IF(U70="NOT FOUND","NOT FOUND",INDEX('6_3nf_branch_history'!$C:$C,SUMPRODUCT(('6_3nf_branch_history'!$A$2:$A$50=T70)*('6_3nf_branch_history'!$B$2:$B$50=U70)*ROW('6_3nf_branch_history'!$A$2:$A$50))))</f>
        <v/>
      </c>
      <c r="W70" s="2">
        <f>IF(U70="NOT FOUND","NOT FOUND",INDEX('6_3nf_branch_history'!$D:$D,SUMPRODUCT(('6_3nf_branch_history'!$A$2:$A$50=T70)*('6_3nf_branch_history'!$B$2:$B$50=U70)*ROW('6_3nf_branch_history'!$A$2:$A$50))))</f>
        <v/>
      </c>
      <c r="X70" s="2">
        <f>IF(U70="NOT FOUND","NOT FOUND",INDEX('6_3nf_branch_history'!$E:$E,SUMPRODUCT(('6_3nf_branch_history'!$A$2:$A$50=T70)*('6_3nf_branch_history'!$B$2:$B$50=U70)*ROW('6_3nf_branch_history'!$A$2:$A$50))))</f>
        <v/>
      </c>
      <c r="Y70" s="2">
        <f>UPPER(TRIM(D70))</f>
        <v/>
      </c>
      <c r="Z70" s="2">
        <f>IFERROR(INDEX('7_3nf_product'!$B:$B,MATCH(Y70,'7_3nf_product'!$A:$A,0)),"NOT FOUND")</f>
        <v/>
      </c>
      <c r="AA70" s="2">
        <f>IFERROR(INDEX('7_3nf_product'!$C:$C,MATCH(Y70,'7_3nf_product'!$A:$A,0)),"NOT FOUND")</f>
        <v/>
      </c>
      <c r="AB70" s="2">
        <f>IFERROR(INDEX('7_3nf_product'!$D:$D,MATCH(Y70,'7_3nf_product'!$A:$A,0)),"NOT FOUND")</f>
        <v/>
      </c>
      <c r="AC70" s="6">
        <f>IFERROR(INDEX('7_3nf_product'!$E:$E,MATCH(Y70,'7_3nf_product'!$A:$A,0)),"NOT FOUND")</f>
        <v/>
      </c>
      <c r="AD70" s="33">
        <f>IF(LEN(TRIM(E70))=10,TRIM(E70),IF(LEN(TRIM(E70))=8,"00"&amp;TRIM(E70),"CHECK"))</f>
        <v/>
      </c>
      <c r="AE70" s="2">
        <f>IFERROR(INDEX('8_3nf_customer'!$C:$C,MATCH(AD70,'8_3nf_customer'!$B:$B,0)),"NOT FOUND")</f>
        <v/>
      </c>
      <c r="AF70" s="30">
        <f>IFERROR(INDEX('8_3nf_customer'!$D:$D,MATCH(AD70,'8_3nf_customer'!$B:$B,0)),"NOT FOUND")</f>
        <v/>
      </c>
      <c r="AG70" s="4">
        <f>IF(ISNUMBER(AF70),DATEDIF(AF70,L70,"y"),"NOT FOUND")</f>
        <v/>
      </c>
      <c r="AH70" s="2">
        <f>IFERROR(INDEX('8_3nf_customer'!$E:$E,MATCH(AD70,'8_3nf_customer'!$B:$B,0)),"NOT FOUND")</f>
        <v/>
      </c>
      <c r="AI70" s="30">
        <f>IF(_xlfn.MAXIFS('9_3nf_customer_history'!$B$2:$B$500,'9_3nf_customer_history'!$A$2:$A$500,AD70,'9_3nf_customer_history'!$B$2:$B$500,"&lt;="&amp;L70)=0,"NOT FOUND",_xlfn.MAXIFS('9_3nf_customer_history'!$B$2:$B$500,'9_3nf_customer_history'!$A$2:$A$500,AD70,'9_3nf_customer_history'!$B$2:$B$500,"&lt;="&amp;L70))</f>
        <v/>
      </c>
      <c r="AJ70" s="2">
        <f>IF(AI70="NOT FOUND","NOT FOUND",INDEX('9_3nf_customer_history'!$C:$C,SUMPRODUCT(('9_3nf_customer_history'!$A$2:$A$500=AD70)*('9_3nf_customer_history'!$B$2:$B$500=AI70)*ROW('9_3nf_customer_history'!$A$2:$A$500))))</f>
        <v/>
      </c>
      <c r="AK70" s="2">
        <f>IF(AI70="NOT FOUND","NOT FOUND",INDEX('9_3nf_customer_history'!$D:$D,SUMPRODUCT(('9_3nf_customer_history'!$A$2:$A$500=AD70)*('9_3nf_customer_history'!$B$2:$B$500=AI70)*ROW('9_3nf_customer_history'!$A$2:$A$500))))</f>
        <v/>
      </c>
      <c r="AL70" s="2">
        <f>UPPER(TRIM(H70))</f>
        <v/>
      </c>
      <c r="AM70" s="30">
        <f>IF(_xlfn.MAXIFS('10_ref_fx_rate'!$B$2:$B$2000,'10_ref_fx_rate'!$A$2:$A$2000,AL70,'10_ref_fx_rate'!$B$2:$B$2000,"&lt;="&amp;L70)=0,"NOT FOUND",_xlfn.MAXIFS('10_ref_fx_rate'!$B$2:$B$2000,'10_ref_fx_rate'!$A$2:$A$2000,AL70,'10_ref_fx_rate'!$B$2:$B$2000,"&lt;="&amp;L70))</f>
        <v/>
      </c>
      <c r="AN70" s="8">
        <f>IF(AM70="NOT FOUND","NOT FOUND",SUMIFS('10_ref_fx_rate'!$D$2:$D$2000,'10_ref_fx_rate'!$A$2:$A$2000,AL70,'10_ref_fx_rate'!$B$2:$B$2000,AM70))</f>
        <v/>
      </c>
      <c r="AO70" s="37">
        <f>IF(ISNUMBER(AN70),I70*AN70,"NOT FOUND")</f>
        <v/>
      </c>
      <c r="AP70" s="2">
        <f>UPPER(TRIM(J70))</f>
        <v/>
      </c>
      <c r="AQ70" s="2">
        <f>IF(AP70="","SELF-DIRECTED",IF(ISNUMBER(MATCH(AP70,'11_3nf_sales_person'!$A:$A,0)),IF(EXACT(AP70,J70),"OK","OK (auto-fixed)"),IF(ISNA(MATCH($A70,'12_sales_person_confirmation'!$A:$A,0)),"CONFIRM (not logged)",IF(INDEX('12_sales_person_confirmation'!$I:$I,MATCH($A70,'12_sales_person_confirmation'!$A:$A,0))="CONFIRMED","CONFIRMED ("&amp;LOWER(INDEX('12_sales_person_confirmation'!$E:$E,MATCH($A70,'12_sales_person_confirmation'!$A:$A,0)))&amp;")","PENDING CONFIRM"))))</f>
        <v/>
      </c>
      <c r="AR70" s="2">
        <f>IF(OR(AQ70="OK",AQ70="OK (auto-fixed)"),AP70,IF(LEFT(AQ70,9)="CONFIRMED",INDEX('12_sales_person_confirmation'!$F:$F,MATCH($A70,'12_sales_person_confirmation'!$A:$A,0)),""))</f>
        <v/>
      </c>
      <c r="AS70" s="2">
        <f>IF(AR70="","",INDEX('11_3nf_sales_person'!$B:$B,MATCH(AR70,'11_3nf_sales_person'!$A:$A,0)))</f>
        <v/>
      </c>
    </row>
    <row r="71">
      <c r="A71" s="2">
        <f>IF(ISBLANK('1_raw_log'!A71),"",'1_raw_log'!A71)</f>
        <v/>
      </c>
      <c r="B71" s="3">
        <f>IF(ISBLANK('1_raw_log'!B71),"",'1_raw_log'!B71)</f>
        <v/>
      </c>
      <c r="C71" s="2">
        <f>IF(ISBLANK('1_raw_log'!C71),"",'1_raw_log'!C71)</f>
        <v/>
      </c>
      <c r="D71" s="2">
        <f>IF(ISBLANK('1_raw_log'!D71),"",'1_raw_log'!D71)</f>
        <v/>
      </c>
      <c r="E71" s="4">
        <f>IF(ISBLANK('1_raw_log'!E71),"",'1_raw_log'!E71)</f>
        <v/>
      </c>
      <c r="F71" s="2">
        <f>IF(ISBLANK('1_raw_log'!F71),"",'1_raw_log'!F71)</f>
        <v/>
      </c>
      <c r="G71" s="2">
        <f>IF(ISBLANK('1_raw_log'!G71),"",'1_raw_log'!G71)</f>
        <v/>
      </c>
      <c r="H71" s="2">
        <f>IF(ISBLANK('1_raw_log'!H71),"",'1_raw_log'!H71)</f>
        <v/>
      </c>
      <c r="I71" s="7">
        <f>IF(ISBLANK('1_raw_log'!I71),"",'1_raw_log'!I71)</f>
        <v/>
      </c>
      <c r="J71" s="2">
        <f>IF(ISBLANK('1_raw_log'!J71),"",'1_raw_log'!J71)</f>
        <v/>
      </c>
      <c r="K71" s="2">
        <f>IF(ISBLANK('1_raw_log'!K71),"",'1_raw_log'!K71)</f>
        <v/>
      </c>
      <c r="L71" s="30">
        <f>INT(B71)</f>
        <v/>
      </c>
      <c r="M71" s="20">
        <f>ROUND(MOD(B71,1)*1440,0)/1440</f>
        <v/>
      </c>
      <c r="N71" s="4">
        <f>IFERROR(INDEX('3_ref_date'!$B:$B,MATCH(L71,'3_ref_date'!$A:$A,0)),"NOT FOUND")</f>
        <v/>
      </c>
      <c r="O71" s="2">
        <f>IFERROR(INDEX('3_ref_date'!$C:$C,MATCH(L71,'3_ref_date'!$A:$A,0)),"NOT FOUND")</f>
        <v/>
      </c>
      <c r="P71" s="4">
        <f>IFERROR(INDEX('3_ref_date'!$D:$D,MATCH(L71,'3_ref_date'!$A:$A,0)),"NOT FOUND")</f>
        <v/>
      </c>
      <c r="Q71" s="4">
        <f>IFERROR(INDEX('3_ref_date'!$E:$E,MATCH(L71,'3_ref_date'!$A:$A,0)),"NOT FOUND")</f>
        <v/>
      </c>
      <c r="R71" s="2">
        <f>IFERROR(INDEX('3_ref_date'!$F:$F,MATCH(L71,'3_ref_date'!$A:$A,0)),"NOT FOUND")</f>
        <v/>
      </c>
      <c r="S71" s="2">
        <f>IFERROR(INDEX('4_ref_time'!$D:$D,MATCH(ROUND(M71*1440,0),'4_ref_time'!$A:$A,0)),"NOT FOUND")</f>
        <v/>
      </c>
      <c r="T71" s="2">
        <f>UPPER(TRIM(C71))</f>
        <v/>
      </c>
      <c r="U71" s="30">
        <f>IF(_xlfn.MAXIFS('6_3nf_branch_history'!$B$2:$B$50,'6_3nf_branch_history'!$A$2:$A$50,T71,'6_3nf_branch_history'!$B$2:$B$50,"&lt;="&amp;L71)=0,"NOT FOUND",_xlfn.MAXIFS('6_3nf_branch_history'!$B$2:$B$50,'6_3nf_branch_history'!$A$2:$A$50,T71,'6_3nf_branch_history'!$B$2:$B$50,"&lt;="&amp;L71))</f>
        <v/>
      </c>
      <c r="V71" s="2">
        <f>IF(U71="NOT FOUND","NOT FOUND",INDEX('6_3nf_branch_history'!$C:$C,SUMPRODUCT(('6_3nf_branch_history'!$A$2:$A$50=T71)*('6_3nf_branch_history'!$B$2:$B$50=U71)*ROW('6_3nf_branch_history'!$A$2:$A$50))))</f>
        <v/>
      </c>
      <c r="W71" s="2">
        <f>IF(U71="NOT FOUND","NOT FOUND",INDEX('6_3nf_branch_history'!$D:$D,SUMPRODUCT(('6_3nf_branch_history'!$A$2:$A$50=T71)*('6_3nf_branch_history'!$B$2:$B$50=U71)*ROW('6_3nf_branch_history'!$A$2:$A$50))))</f>
        <v/>
      </c>
      <c r="X71" s="2">
        <f>IF(U71="NOT FOUND","NOT FOUND",INDEX('6_3nf_branch_history'!$E:$E,SUMPRODUCT(('6_3nf_branch_history'!$A$2:$A$50=T71)*('6_3nf_branch_history'!$B$2:$B$50=U71)*ROW('6_3nf_branch_history'!$A$2:$A$50))))</f>
        <v/>
      </c>
      <c r="Y71" s="2">
        <f>UPPER(TRIM(D71))</f>
        <v/>
      </c>
      <c r="Z71" s="2">
        <f>IFERROR(INDEX('7_3nf_product'!$B:$B,MATCH(Y71,'7_3nf_product'!$A:$A,0)),"NOT FOUND")</f>
        <v/>
      </c>
      <c r="AA71" s="2">
        <f>IFERROR(INDEX('7_3nf_product'!$C:$C,MATCH(Y71,'7_3nf_product'!$A:$A,0)),"NOT FOUND")</f>
        <v/>
      </c>
      <c r="AB71" s="2">
        <f>IFERROR(INDEX('7_3nf_product'!$D:$D,MATCH(Y71,'7_3nf_product'!$A:$A,0)),"NOT FOUND")</f>
        <v/>
      </c>
      <c r="AC71" s="6">
        <f>IFERROR(INDEX('7_3nf_product'!$E:$E,MATCH(Y71,'7_3nf_product'!$A:$A,0)),"NOT FOUND")</f>
        <v/>
      </c>
      <c r="AD71" s="33">
        <f>IF(LEN(TRIM(E71))=10,TRIM(E71),IF(LEN(TRIM(E71))=8,"00"&amp;TRIM(E71),"CHECK"))</f>
        <v/>
      </c>
      <c r="AE71" s="2">
        <f>IFERROR(INDEX('8_3nf_customer'!$C:$C,MATCH(AD71,'8_3nf_customer'!$B:$B,0)),"NOT FOUND")</f>
        <v/>
      </c>
      <c r="AF71" s="30">
        <f>IFERROR(INDEX('8_3nf_customer'!$D:$D,MATCH(AD71,'8_3nf_customer'!$B:$B,0)),"NOT FOUND")</f>
        <v/>
      </c>
      <c r="AG71" s="4">
        <f>IF(ISNUMBER(AF71),DATEDIF(AF71,L71,"y"),"NOT FOUND")</f>
        <v/>
      </c>
      <c r="AH71" s="2">
        <f>IFERROR(INDEX('8_3nf_customer'!$E:$E,MATCH(AD71,'8_3nf_customer'!$B:$B,0)),"NOT FOUND")</f>
        <v/>
      </c>
      <c r="AI71" s="30">
        <f>IF(_xlfn.MAXIFS('9_3nf_customer_history'!$B$2:$B$500,'9_3nf_customer_history'!$A$2:$A$500,AD71,'9_3nf_customer_history'!$B$2:$B$500,"&lt;="&amp;L71)=0,"NOT FOUND",_xlfn.MAXIFS('9_3nf_customer_history'!$B$2:$B$500,'9_3nf_customer_history'!$A$2:$A$500,AD71,'9_3nf_customer_history'!$B$2:$B$500,"&lt;="&amp;L71))</f>
        <v/>
      </c>
      <c r="AJ71" s="2">
        <f>IF(AI71="NOT FOUND","NOT FOUND",INDEX('9_3nf_customer_history'!$C:$C,SUMPRODUCT(('9_3nf_customer_history'!$A$2:$A$500=AD71)*('9_3nf_customer_history'!$B$2:$B$500=AI71)*ROW('9_3nf_customer_history'!$A$2:$A$500))))</f>
        <v/>
      </c>
      <c r="AK71" s="2">
        <f>IF(AI71="NOT FOUND","NOT FOUND",INDEX('9_3nf_customer_history'!$D:$D,SUMPRODUCT(('9_3nf_customer_history'!$A$2:$A$500=AD71)*('9_3nf_customer_history'!$B$2:$B$500=AI71)*ROW('9_3nf_customer_history'!$A$2:$A$500))))</f>
        <v/>
      </c>
      <c r="AL71" s="2">
        <f>UPPER(TRIM(H71))</f>
        <v/>
      </c>
      <c r="AM71" s="30">
        <f>IF(_xlfn.MAXIFS('10_ref_fx_rate'!$B$2:$B$2000,'10_ref_fx_rate'!$A$2:$A$2000,AL71,'10_ref_fx_rate'!$B$2:$B$2000,"&lt;="&amp;L71)=0,"NOT FOUND",_xlfn.MAXIFS('10_ref_fx_rate'!$B$2:$B$2000,'10_ref_fx_rate'!$A$2:$A$2000,AL71,'10_ref_fx_rate'!$B$2:$B$2000,"&lt;="&amp;L71))</f>
        <v/>
      </c>
      <c r="AN71" s="8">
        <f>IF(AM71="NOT FOUND","NOT FOUND",SUMIFS('10_ref_fx_rate'!$D$2:$D$2000,'10_ref_fx_rate'!$A$2:$A$2000,AL71,'10_ref_fx_rate'!$B$2:$B$2000,AM71))</f>
        <v/>
      </c>
      <c r="AO71" s="37">
        <f>IF(ISNUMBER(AN71),I71*AN71,"NOT FOUND")</f>
        <v/>
      </c>
      <c r="AP71" s="2">
        <f>UPPER(TRIM(J71))</f>
        <v/>
      </c>
      <c r="AQ71" s="2">
        <f>IF(AP71="","SELF-DIRECTED",IF(ISNUMBER(MATCH(AP71,'11_3nf_sales_person'!$A:$A,0)),IF(EXACT(AP71,J71),"OK","OK (auto-fixed)"),IF(ISNA(MATCH($A71,'12_sales_person_confirmation'!$A:$A,0)),"CONFIRM (not logged)",IF(INDEX('12_sales_person_confirmation'!$I:$I,MATCH($A71,'12_sales_person_confirmation'!$A:$A,0))="CONFIRMED","CONFIRMED ("&amp;LOWER(INDEX('12_sales_person_confirmation'!$E:$E,MATCH($A71,'12_sales_person_confirmation'!$A:$A,0)))&amp;")","PENDING CONFIRM"))))</f>
        <v/>
      </c>
      <c r="AR71" s="2">
        <f>IF(OR(AQ71="OK",AQ71="OK (auto-fixed)"),AP71,IF(LEFT(AQ71,9)="CONFIRMED",INDEX('12_sales_person_confirmation'!$F:$F,MATCH($A71,'12_sales_person_confirmation'!$A:$A,0)),""))</f>
        <v/>
      </c>
      <c r="AS71" s="2">
        <f>IF(AR71="","",INDEX('11_3nf_sales_person'!$B:$B,MATCH(AR71,'11_3nf_sales_person'!$A:$A,0)))</f>
        <v/>
      </c>
    </row>
    <row r="72">
      <c r="A72" s="2">
        <f>IF(ISBLANK('1_raw_log'!A72),"",'1_raw_log'!A72)</f>
        <v/>
      </c>
      <c r="B72" s="3">
        <f>IF(ISBLANK('1_raw_log'!B72),"",'1_raw_log'!B72)</f>
        <v/>
      </c>
      <c r="C72" s="2">
        <f>IF(ISBLANK('1_raw_log'!C72),"",'1_raw_log'!C72)</f>
        <v/>
      </c>
      <c r="D72" s="2">
        <f>IF(ISBLANK('1_raw_log'!D72),"",'1_raw_log'!D72)</f>
        <v/>
      </c>
      <c r="E72" s="4">
        <f>IF(ISBLANK('1_raw_log'!E72),"",'1_raw_log'!E72)</f>
        <v/>
      </c>
      <c r="F72" s="2">
        <f>IF(ISBLANK('1_raw_log'!F72),"",'1_raw_log'!F72)</f>
        <v/>
      </c>
      <c r="G72" s="2">
        <f>IF(ISBLANK('1_raw_log'!G72),"",'1_raw_log'!G72)</f>
        <v/>
      </c>
      <c r="H72" s="2">
        <f>IF(ISBLANK('1_raw_log'!H72),"",'1_raw_log'!H72)</f>
        <v/>
      </c>
      <c r="I72" s="7">
        <f>IF(ISBLANK('1_raw_log'!I72),"",'1_raw_log'!I72)</f>
        <v/>
      </c>
      <c r="J72" s="2">
        <f>IF(ISBLANK('1_raw_log'!J72),"",'1_raw_log'!J72)</f>
        <v/>
      </c>
      <c r="K72" s="2">
        <f>IF(ISBLANK('1_raw_log'!K72),"",'1_raw_log'!K72)</f>
        <v/>
      </c>
      <c r="L72" s="30">
        <f>INT(B72)</f>
        <v/>
      </c>
      <c r="M72" s="20">
        <f>ROUND(MOD(B72,1)*1440,0)/1440</f>
        <v/>
      </c>
      <c r="N72" s="4">
        <f>IFERROR(INDEX('3_ref_date'!$B:$B,MATCH(L72,'3_ref_date'!$A:$A,0)),"NOT FOUND")</f>
        <v/>
      </c>
      <c r="O72" s="2">
        <f>IFERROR(INDEX('3_ref_date'!$C:$C,MATCH(L72,'3_ref_date'!$A:$A,0)),"NOT FOUND")</f>
        <v/>
      </c>
      <c r="P72" s="4">
        <f>IFERROR(INDEX('3_ref_date'!$D:$D,MATCH(L72,'3_ref_date'!$A:$A,0)),"NOT FOUND")</f>
        <v/>
      </c>
      <c r="Q72" s="4">
        <f>IFERROR(INDEX('3_ref_date'!$E:$E,MATCH(L72,'3_ref_date'!$A:$A,0)),"NOT FOUND")</f>
        <v/>
      </c>
      <c r="R72" s="2">
        <f>IFERROR(INDEX('3_ref_date'!$F:$F,MATCH(L72,'3_ref_date'!$A:$A,0)),"NOT FOUND")</f>
        <v/>
      </c>
      <c r="S72" s="2">
        <f>IFERROR(INDEX('4_ref_time'!$D:$D,MATCH(ROUND(M72*1440,0),'4_ref_time'!$A:$A,0)),"NOT FOUND")</f>
        <v/>
      </c>
      <c r="T72" s="2">
        <f>UPPER(TRIM(C72))</f>
        <v/>
      </c>
      <c r="U72" s="30">
        <f>IF(_xlfn.MAXIFS('6_3nf_branch_history'!$B$2:$B$50,'6_3nf_branch_history'!$A$2:$A$50,T72,'6_3nf_branch_history'!$B$2:$B$50,"&lt;="&amp;L72)=0,"NOT FOUND",_xlfn.MAXIFS('6_3nf_branch_history'!$B$2:$B$50,'6_3nf_branch_history'!$A$2:$A$50,T72,'6_3nf_branch_history'!$B$2:$B$50,"&lt;="&amp;L72))</f>
        <v/>
      </c>
      <c r="V72" s="2">
        <f>IF(U72="NOT FOUND","NOT FOUND",INDEX('6_3nf_branch_history'!$C:$C,SUMPRODUCT(('6_3nf_branch_history'!$A$2:$A$50=T72)*('6_3nf_branch_history'!$B$2:$B$50=U72)*ROW('6_3nf_branch_history'!$A$2:$A$50))))</f>
        <v/>
      </c>
      <c r="W72" s="2">
        <f>IF(U72="NOT FOUND","NOT FOUND",INDEX('6_3nf_branch_history'!$D:$D,SUMPRODUCT(('6_3nf_branch_history'!$A$2:$A$50=T72)*('6_3nf_branch_history'!$B$2:$B$50=U72)*ROW('6_3nf_branch_history'!$A$2:$A$50))))</f>
        <v/>
      </c>
      <c r="X72" s="2">
        <f>IF(U72="NOT FOUND","NOT FOUND",INDEX('6_3nf_branch_history'!$E:$E,SUMPRODUCT(('6_3nf_branch_history'!$A$2:$A$50=T72)*('6_3nf_branch_history'!$B$2:$B$50=U72)*ROW('6_3nf_branch_history'!$A$2:$A$50))))</f>
        <v/>
      </c>
      <c r="Y72" s="2">
        <f>UPPER(TRIM(D72))</f>
        <v/>
      </c>
      <c r="Z72" s="2">
        <f>IFERROR(INDEX('7_3nf_product'!$B:$B,MATCH(Y72,'7_3nf_product'!$A:$A,0)),"NOT FOUND")</f>
        <v/>
      </c>
      <c r="AA72" s="2">
        <f>IFERROR(INDEX('7_3nf_product'!$C:$C,MATCH(Y72,'7_3nf_product'!$A:$A,0)),"NOT FOUND")</f>
        <v/>
      </c>
      <c r="AB72" s="2">
        <f>IFERROR(INDEX('7_3nf_product'!$D:$D,MATCH(Y72,'7_3nf_product'!$A:$A,0)),"NOT FOUND")</f>
        <v/>
      </c>
      <c r="AC72" s="6">
        <f>IFERROR(INDEX('7_3nf_product'!$E:$E,MATCH(Y72,'7_3nf_product'!$A:$A,0)),"NOT FOUND")</f>
        <v/>
      </c>
      <c r="AD72" s="33">
        <f>IF(LEN(TRIM(E72))=10,TRIM(E72),IF(LEN(TRIM(E72))=8,"00"&amp;TRIM(E72),"CHECK"))</f>
        <v/>
      </c>
      <c r="AE72" s="2">
        <f>IFERROR(INDEX('8_3nf_customer'!$C:$C,MATCH(AD72,'8_3nf_customer'!$B:$B,0)),"NOT FOUND")</f>
        <v/>
      </c>
      <c r="AF72" s="30">
        <f>IFERROR(INDEX('8_3nf_customer'!$D:$D,MATCH(AD72,'8_3nf_customer'!$B:$B,0)),"NOT FOUND")</f>
        <v/>
      </c>
      <c r="AG72" s="4">
        <f>IF(ISNUMBER(AF72),DATEDIF(AF72,L72,"y"),"NOT FOUND")</f>
        <v/>
      </c>
      <c r="AH72" s="2">
        <f>IFERROR(INDEX('8_3nf_customer'!$E:$E,MATCH(AD72,'8_3nf_customer'!$B:$B,0)),"NOT FOUND")</f>
        <v/>
      </c>
      <c r="AI72" s="30">
        <f>IF(_xlfn.MAXIFS('9_3nf_customer_history'!$B$2:$B$500,'9_3nf_customer_history'!$A$2:$A$500,AD72,'9_3nf_customer_history'!$B$2:$B$500,"&lt;="&amp;L72)=0,"NOT FOUND",_xlfn.MAXIFS('9_3nf_customer_history'!$B$2:$B$500,'9_3nf_customer_history'!$A$2:$A$500,AD72,'9_3nf_customer_history'!$B$2:$B$500,"&lt;="&amp;L72))</f>
        <v/>
      </c>
      <c r="AJ72" s="2">
        <f>IF(AI72="NOT FOUND","NOT FOUND",INDEX('9_3nf_customer_history'!$C:$C,SUMPRODUCT(('9_3nf_customer_history'!$A$2:$A$500=AD72)*('9_3nf_customer_history'!$B$2:$B$500=AI72)*ROW('9_3nf_customer_history'!$A$2:$A$500))))</f>
        <v/>
      </c>
      <c r="AK72" s="2">
        <f>IF(AI72="NOT FOUND","NOT FOUND",INDEX('9_3nf_customer_history'!$D:$D,SUMPRODUCT(('9_3nf_customer_history'!$A$2:$A$500=AD72)*('9_3nf_customer_history'!$B$2:$B$500=AI72)*ROW('9_3nf_customer_history'!$A$2:$A$500))))</f>
        <v/>
      </c>
      <c r="AL72" s="2">
        <f>UPPER(TRIM(H72))</f>
        <v/>
      </c>
      <c r="AM72" s="30">
        <f>IF(_xlfn.MAXIFS('10_ref_fx_rate'!$B$2:$B$2000,'10_ref_fx_rate'!$A$2:$A$2000,AL72,'10_ref_fx_rate'!$B$2:$B$2000,"&lt;="&amp;L72)=0,"NOT FOUND",_xlfn.MAXIFS('10_ref_fx_rate'!$B$2:$B$2000,'10_ref_fx_rate'!$A$2:$A$2000,AL72,'10_ref_fx_rate'!$B$2:$B$2000,"&lt;="&amp;L72))</f>
        <v/>
      </c>
      <c r="AN72" s="8">
        <f>IF(AM72="NOT FOUND","NOT FOUND",SUMIFS('10_ref_fx_rate'!$D$2:$D$2000,'10_ref_fx_rate'!$A$2:$A$2000,AL72,'10_ref_fx_rate'!$B$2:$B$2000,AM72))</f>
        <v/>
      </c>
      <c r="AO72" s="37">
        <f>IF(ISNUMBER(AN72),I72*AN72,"NOT FOUND")</f>
        <v/>
      </c>
      <c r="AP72" s="2">
        <f>UPPER(TRIM(J72))</f>
        <v/>
      </c>
      <c r="AQ72" s="2">
        <f>IF(AP72="","SELF-DIRECTED",IF(ISNUMBER(MATCH(AP72,'11_3nf_sales_person'!$A:$A,0)),IF(EXACT(AP72,J72),"OK","OK (auto-fixed)"),IF(ISNA(MATCH($A72,'12_sales_person_confirmation'!$A:$A,0)),"CONFIRM (not logged)",IF(INDEX('12_sales_person_confirmation'!$I:$I,MATCH($A72,'12_sales_person_confirmation'!$A:$A,0))="CONFIRMED","CONFIRMED ("&amp;LOWER(INDEX('12_sales_person_confirmation'!$E:$E,MATCH($A72,'12_sales_person_confirmation'!$A:$A,0)))&amp;")","PENDING CONFIRM"))))</f>
        <v/>
      </c>
      <c r="AR72" s="2">
        <f>IF(OR(AQ72="OK",AQ72="OK (auto-fixed)"),AP72,IF(LEFT(AQ72,9)="CONFIRMED",INDEX('12_sales_person_confirmation'!$F:$F,MATCH($A72,'12_sales_person_confirmation'!$A:$A,0)),""))</f>
        <v/>
      </c>
      <c r="AS72" s="2">
        <f>IF(AR72="","",INDEX('11_3nf_sales_person'!$B:$B,MATCH(AR72,'11_3nf_sales_person'!$A:$A,0)))</f>
        <v/>
      </c>
    </row>
    <row r="73">
      <c r="A73" s="2">
        <f>IF(ISBLANK('1_raw_log'!A73),"",'1_raw_log'!A73)</f>
        <v/>
      </c>
      <c r="B73" s="3">
        <f>IF(ISBLANK('1_raw_log'!B73),"",'1_raw_log'!B73)</f>
        <v/>
      </c>
      <c r="C73" s="2">
        <f>IF(ISBLANK('1_raw_log'!C73),"",'1_raw_log'!C73)</f>
        <v/>
      </c>
      <c r="D73" s="2">
        <f>IF(ISBLANK('1_raw_log'!D73),"",'1_raw_log'!D73)</f>
        <v/>
      </c>
      <c r="E73" s="4">
        <f>IF(ISBLANK('1_raw_log'!E73),"",'1_raw_log'!E73)</f>
        <v/>
      </c>
      <c r="F73" s="2">
        <f>IF(ISBLANK('1_raw_log'!F73),"",'1_raw_log'!F73)</f>
        <v/>
      </c>
      <c r="G73" s="2">
        <f>IF(ISBLANK('1_raw_log'!G73),"",'1_raw_log'!G73)</f>
        <v/>
      </c>
      <c r="H73" s="2">
        <f>IF(ISBLANK('1_raw_log'!H73),"",'1_raw_log'!H73)</f>
        <v/>
      </c>
      <c r="I73" s="7">
        <f>IF(ISBLANK('1_raw_log'!I73),"",'1_raw_log'!I73)</f>
        <v/>
      </c>
      <c r="J73" s="2">
        <f>IF(ISBLANK('1_raw_log'!J73),"",'1_raw_log'!J73)</f>
        <v/>
      </c>
      <c r="K73" s="2">
        <f>IF(ISBLANK('1_raw_log'!K73),"",'1_raw_log'!K73)</f>
        <v/>
      </c>
      <c r="L73" s="30">
        <f>INT(B73)</f>
        <v/>
      </c>
      <c r="M73" s="20">
        <f>ROUND(MOD(B73,1)*1440,0)/1440</f>
        <v/>
      </c>
      <c r="N73" s="4">
        <f>IFERROR(INDEX('3_ref_date'!$B:$B,MATCH(L73,'3_ref_date'!$A:$A,0)),"NOT FOUND")</f>
        <v/>
      </c>
      <c r="O73" s="2">
        <f>IFERROR(INDEX('3_ref_date'!$C:$C,MATCH(L73,'3_ref_date'!$A:$A,0)),"NOT FOUND")</f>
        <v/>
      </c>
      <c r="P73" s="4">
        <f>IFERROR(INDEX('3_ref_date'!$D:$D,MATCH(L73,'3_ref_date'!$A:$A,0)),"NOT FOUND")</f>
        <v/>
      </c>
      <c r="Q73" s="4">
        <f>IFERROR(INDEX('3_ref_date'!$E:$E,MATCH(L73,'3_ref_date'!$A:$A,0)),"NOT FOUND")</f>
        <v/>
      </c>
      <c r="R73" s="2">
        <f>IFERROR(INDEX('3_ref_date'!$F:$F,MATCH(L73,'3_ref_date'!$A:$A,0)),"NOT FOUND")</f>
        <v/>
      </c>
      <c r="S73" s="2">
        <f>IFERROR(INDEX('4_ref_time'!$D:$D,MATCH(ROUND(M73*1440,0),'4_ref_time'!$A:$A,0)),"NOT FOUND")</f>
        <v/>
      </c>
      <c r="T73" s="2">
        <f>UPPER(TRIM(C73))</f>
        <v/>
      </c>
      <c r="U73" s="30">
        <f>IF(_xlfn.MAXIFS('6_3nf_branch_history'!$B$2:$B$50,'6_3nf_branch_history'!$A$2:$A$50,T73,'6_3nf_branch_history'!$B$2:$B$50,"&lt;="&amp;L73)=0,"NOT FOUND",_xlfn.MAXIFS('6_3nf_branch_history'!$B$2:$B$50,'6_3nf_branch_history'!$A$2:$A$50,T73,'6_3nf_branch_history'!$B$2:$B$50,"&lt;="&amp;L73))</f>
        <v/>
      </c>
      <c r="V73" s="2">
        <f>IF(U73="NOT FOUND","NOT FOUND",INDEX('6_3nf_branch_history'!$C:$C,SUMPRODUCT(('6_3nf_branch_history'!$A$2:$A$50=T73)*('6_3nf_branch_history'!$B$2:$B$50=U73)*ROW('6_3nf_branch_history'!$A$2:$A$50))))</f>
        <v/>
      </c>
      <c r="W73" s="2">
        <f>IF(U73="NOT FOUND","NOT FOUND",INDEX('6_3nf_branch_history'!$D:$D,SUMPRODUCT(('6_3nf_branch_history'!$A$2:$A$50=T73)*('6_3nf_branch_history'!$B$2:$B$50=U73)*ROW('6_3nf_branch_history'!$A$2:$A$50))))</f>
        <v/>
      </c>
      <c r="X73" s="2">
        <f>IF(U73="NOT FOUND","NOT FOUND",INDEX('6_3nf_branch_history'!$E:$E,SUMPRODUCT(('6_3nf_branch_history'!$A$2:$A$50=T73)*('6_3nf_branch_history'!$B$2:$B$50=U73)*ROW('6_3nf_branch_history'!$A$2:$A$50))))</f>
        <v/>
      </c>
      <c r="Y73" s="2">
        <f>UPPER(TRIM(D73))</f>
        <v/>
      </c>
      <c r="Z73" s="2">
        <f>IFERROR(INDEX('7_3nf_product'!$B:$B,MATCH(Y73,'7_3nf_product'!$A:$A,0)),"NOT FOUND")</f>
        <v/>
      </c>
      <c r="AA73" s="2">
        <f>IFERROR(INDEX('7_3nf_product'!$C:$C,MATCH(Y73,'7_3nf_product'!$A:$A,0)),"NOT FOUND")</f>
        <v/>
      </c>
      <c r="AB73" s="2">
        <f>IFERROR(INDEX('7_3nf_product'!$D:$D,MATCH(Y73,'7_3nf_product'!$A:$A,0)),"NOT FOUND")</f>
        <v/>
      </c>
      <c r="AC73" s="6">
        <f>IFERROR(INDEX('7_3nf_product'!$E:$E,MATCH(Y73,'7_3nf_product'!$A:$A,0)),"NOT FOUND")</f>
        <v/>
      </c>
      <c r="AD73" s="33">
        <f>IF(LEN(TRIM(E73))=10,TRIM(E73),IF(LEN(TRIM(E73))=8,"00"&amp;TRIM(E73),"CHECK"))</f>
        <v/>
      </c>
      <c r="AE73" s="2">
        <f>IFERROR(INDEX('8_3nf_customer'!$C:$C,MATCH(AD73,'8_3nf_customer'!$B:$B,0)),"NOT FOUND")</f>
        <v/>
      </c>
      <c r="AF73" s="30">
        <f>IFERROR(INDEX('8_3nf_customer'!$D:$D,MATCH(AD73,'8_3nf_customer'!$B:$B,0)),"NOT FOUND")</f>
        <v/>
      </c>
      <c r="AG73" s="4">
        <f>IF(ISNUMBER(AF73),DATEDIF(AF73,L73,"y"),"NOT FOUND")</f>
        <v/>
      </c>
      <c r="AH73" s="2">
        <f>IFERROR(INDEX('8_3nf_customer'!$E:$E,MATCH(AD73,'8_3nf_customer'!$B:$B,0)),"NOT FOUND")</f>
        <v/>
      </c>
      <c r="AI73" s="30">
        <f>IF(_xlfn.MAXIFS('9_3nf_customer_history'!$B$2:$B$500,'9_3nf_customer_history'!$A$2:$A$500,AD73,'9_3nf_customer_history'!$B$2:$B$500,"&lt;="&amp;L73)=0,"NOT FOUND",_xlfn.MAXIFS('9_3nf_customer_history'!$B$2:$B$500,'9_3nf_customer_history'!$A$2:$A$500,AD73,'9_3nf_customer_history'!$B$2:$B$500,"&lt;="&amp;L73))</f>
        <v/>
      </c>
      <c r="AJ73" s="2">
        <f>IF(AI73="NOT FOUND","NOT FOUND",INDEX('9_3nf_customer_history'!$C:$C,SUMPRODUCT(('9_3nf_customer_history'!$A$2:$A$500=AD73)*('9_3nf_customer_history'!$B$2:$B$500=AI73)*ROW('9_3nf_customer_history'!$A$2:$A$500))))</f>
        <v/>
      </c>
      <c r="AK73" s="2">
        <f>IF(AI73="NOT FOUND","NOT FOUND",INDEX('9_3nf_customer_history'!$D:$D,SUMPRODUCT(('9_3nf_customer_history'!$A$2:$A$500=AD73)*('9_3nf_customer_history'!$B$2:$B$500=AI73)*ROW('9_3nf_customer_history'!$A$2:$A$500))))</f>
        <v/>
      </c>
      <c r="AL73" s="2">
        <f>UPPER(TRIM(H73))</f>
        <v/>
      </c>
      <c r="AM73" s="30">
        <f>IF(_xlfn.MAXIFS('10_ref_fx_rate'!$B$2:$B$2000,'10_ref_fx_rate'!$A$2:$A$2000,AL73,'10_ref_fx_rate'!$B$2:$B$2000,"&lt;="&amp;L73)=0,"NOT FOUND",_xlfn.MAXIFS('10_ref_fx_rate'!$B$2:$B$2000,'10_ref_fx_rate'!$A$2:$A$2000,AL73,'10_ref_fx_rate'!$B$2:$B$2000,"&lt;="&amp;L73))</f>
        <v/>
      </c>
      <c r="AN73" s="8">
        <f>IF(AM73="NOT FOUND","NOT FOUND",SUMIFS('10_ref_fx_rate'!$D$2:$D$2000,'10_ref_fx_rate'!$A$2:$A$2000,AL73,'10_ref_fx_rate'!$B$2:$B$2000,AM73))</f>
        <v/>
      </c>
      <c r="AO73" s="37">
        <f>IF(ISNUMBER(AN73),I73*AN73,"NOT FOUND")</f>
        <v/>
      </c>
      <c r="AP73" s="2">
        <f>UPPER(TRIM(J73))</f>
        <v/>
      </c>
      <c r="AQ73" s="2">
        <f>IF(AP73="","SELF-DIRECTED",IF(ISNUMBER(MATCH(AP73,'11_3nf_sales_person'!$A:$A,0)),IF(EXACT(AP73,J73),"OK","OK (auto-fixed)"),IF(ISNA(MATCH($A73,'12_sales_person_confirmation'!$A:$A,0)),"CONFIRM (not logged)",IF(INDEX('12_sales_person_confirmation'!$I:$I,MATCH($A73,'12_sales_person_confirmation'!$A:$A,0))="CONFIRMED","CONFIRMED ("&amp;LOWER(INDEX('12_sales_person_confirmation'!$E:$E,MATCH($A73,'12_sales_person_confirmation'!$A:$A,0)))&amp;")","PENDING CONFIRM"))))</f>
        <v/>
      </c>
      <c r="AR73" s="2">
        <f>IF(OR(AQ73="OK",AQ73="OK (auto-fixed)"),AP73,IF(LEFT(AQ73,9)="CONFIRMED",INDEX('12_sales_person_confirmation'!$F:$F,MATCH($A73,'12_sales_person_confirmation'!$A:$A,0)),""))</f>
        <v/>
      </c>
      <c r="AS73" s="2">
        <f>IF(AR73="","",INDEX('11_3nf_sales_person'!$B:$B,MATCH(AR73,'11_3nf_sales_person'!$A:$A,0)))</f>
        <v/>
      </c>
    </row>
    <row r="74">
      <c r="A74" s="2">
        <f>IF(ISBLANK('1_raw_log'!A74),"",'1_raw_log'!A74)</f>
        <v/>
      </c>
      <c r="B74" s="3">
        <f>IF(ISBLANK('1_raw_log'!B74),"",'1_raw_log'!B74)</f>
        <v/>
      </c>
      <c r="C74" s="2">
        <f>IF(ISBLANK('1_raw_log'!C74),"",'1_raw_log'!C74)</f>
        <v/>
      </c>
      <c r="D74" s="2">
        <f>IF(ISBLANK('1_raw_log'!D74),"",'1_raw_log'!D74)</f>
        <v/>
      </c>
      <c r="E74" s="4">
        <f>IF(ISBLANK('1_raw_log'!E74),"",'1_raw_log'!E74)</f>
        <v/>
      </c>
      <c r="F74" s="2">
        <f>IF(ISBLANK('1_raw_log'!F74),"",'1_raw_log'!F74)</f>
        <v/>
      </c>
      <c r="G74" s="2">
        <f>IF(ISBLANK('1_raw_log'!G74),"",'1_raw_log'!G74)</f>
        <v/>
      </c>
      <c r="H74" s="2">
        <f>IF(ISBLANK('1_raw_log'!H74),"",'1_raw_log'!H74)</f>
        <v/>
      </c>
      <c r="I74" s="7">
        <f>IF(ISBLANK('1_raw_log'!I74),"",'1_raw_log'!I74)</f>
        <v/>
      </c>
      <c r="J74" s="2">
        <f>IF(ISBLANK('1_raw_log'!J74),"",'1_raw_log'!J74)</f>
        <v/>
      </c>
      <c r="K74" s="2">
        <f>IF(ISBLANK('1_raw_log'!K74),"",'1_raw_log'!K74)</f>
        <v/>
      </c>
      <c r="L74" s="30">
        <f>INT(B74)</f>
        <v/>
      </c>
      <c r="M74" s="20">
        <f>ROUND(MOD(B74,1)*1440,0)/1440</f>
        <v/>
      </c>
      <c r="N74" s="4">
        <f>IFERROR(INDEX('3_ref_date'!$B:$B,MATCH(L74,'3_ref_date'!$A:$A,0)),"NOT FOUND")</f>
        <v/>
      </c>
      <c r="O74" s="2">
        <f>IFERROR(INDEX('3_ref_date'!$C:$C,MATCH(L74,'3_ref_date'!$A:$A,0)),"NOT FOUND")</f>
        <v/>
      </c>
      <c r="P74" s="4">
        <f>IFERROR(INDEX('3_ref_date'!$D:$D,MATCH(L74,'3_ref_date'!$A:$A,0)),"NOT FOUND")</f>
        <v/>
      </c>
      <c r="Q74" s="4">
        <f>IFERROR(INDEX('3_ref_date'!$E:$E,MATCH(L74,'3_ref_date'!$A:$A,0)),"NOT FOUND")</f>
        <v/>
      </c>
      <c r="R74" s="2">
        <f>IFERROR(INDEX('3_ref_date'!$F:$F,MATCH(L74,'3_ref_date'!$A:$A,0)),"NOT FOUND")</f>
        <v/>
      </c>
      <c r="S74" s="2">
        <f>IFERROR(INDEX('4_ref_time'!$D:$D,MATCH(ROUND(M74*1440,0),'4_ref_time'!$A:$A,0)),"NOT FOUND")</f>
        <v/>
      </c>
      <c r="T74" s="2">
        <f>UPPER(TRIM(C74))</f>
        <v/>
      </c>
      <c r="U74" s="30">
        <f>IF(_xlfn.MAXIFS('6_3nf_branch_history'!$B$2:$B$50,'6_3nf_branch_history'!$A$2:$A$50,T74,'6_3nf_branch_history'!$B$2:$B$50,"&lt;="&amp;L74)=0,"NOT FOUND",_xlfn.MAXIFS('6_3nf_branch_history'!$B$2:$B$50,'6_3nf_branch_history'!$A$2:$A$50,T74,'6_3nf_branch_history'!$B$2:$B$50,"&lt;="&amp;L74))</f>
        <v/>
      </c>
      <c r="V74" s="2">
        <f>IF(U74="NOT FOUND","NOT FOUND",INDEX('6_3nf_branch_history'!$C:$C,SUMPRODUCT(('6_3nf_branch_history'!$A$2:$A$50=T74)*('6_3nf_branch_history'!$B$2:$B$50=U74)*ROW('6_3nf_branch_history'!$A$2:$A$50))))</f>
        <v/>
      </c>
      <c r="W74" s="2">
        <f>IF(U74="NOT FOUND","NOT FOUND",INDEX('6_3nf_branch_history'!$D:$D,SUMPRODUCT(('6_3nf_branch_history'!$A$2:$A$50=T74)*('6_3nf_branch_history'!$B$2:$B$50=U74)*ROW('6_3nf_branch_history'!$A$2:$A$50))))</f>
        <v/>
      </c>
      <c r="X74" s="2">
        <f>IF(U74="NOT FOUND","NOT FOUND",INDEX('6_3nf_branch_history'!$E:$E,SUMPRODUCT(('6_3nf_branch_history'!$A$2:$A$50=T74)*('6_3nf_branch_history'!$B$2:$B$50=U74)*ROW('6_3nf_branch_history'!$A$2:$A$50))))</f>
        <v/>
      </c>
      <c r="Y74" s="2">
        <f>UPPER(TRIM(D74))</f>
        <v/>
      </c>
      <c r="Z74" s="2">
        <f>IFERROR(INDEX('7_3nf_product'!$B:$B,MATCH(Y74,'7_3nf_product'!$A:$A,0)),"NOT FOUND")</f>
        <v/>
      </c>
      <c r="AA74" s="2">
        <f>IFERROR(INDEX('7_3nf_product'!$C:$C,MATCH(Y74,'7_3nf_product'!$A:$A,0)),"NOT FOUND")</f>
        <v/>
      </c>
      <c r="AB74" s="2">
        <f>IFERROR(INDEX('7_3nf_product'!$D:$D,MATCH(Y74,'7_3nf_product'!$A:$A,0)),"NOT FOUND")</f>
        <v/>
      </c>
      <c r="AC74" s="6">
        <f>IFERROR(INDEX('7_3nf_product'!$E:$E,MATCH(Y74,'7_3nf_product'!$A:$A,0)),"NOT FOUND")</f>
        <v/>
      </c>
      <c r="AD74" s="33">
        <f>IF(LEN(TRIM(E74))=10,TRIM(E74),IF(LEN(TRIM(E74))=8,"00"&amp;TRIM(E74),"CHECK"))</f>
        <v/>
      </c>
      <c r="AE74" s="2">
        <f>IFERROR(INDEX('8_3nf_customer'!$C:$C,MATCH(AD74,'8_3nf_customer'!$B:$B,0)),"NOT FOUND")</f>
        <v/>
      </c>
      <c r="AF74" s="30">
        <f>IFERROR(INDEX('8_3nf_customer'!$D:$D,MATCH(AD74,'8_3nf_customer'!$B:$B,0)),"NOT FOUND")</f>
        <v/>
      </c>
      <c r="AG74" s="4">
        <f>IF(ISNUMBER(AF74),DATEDIF(AF74,L74,"y"),"NOT FOUND")</f>
        <v/>
      </c>
      <c r="AH74" s="2">
        <f>IFERROR(INDEX('8_3nf_customer'!$E:$E,MATCH(AD74,'8_3nf_customer'!$B:$B,0)),"NOT FOUND")</f>
        <v/>
      </c>
      <c r="AI74" s="30">
        <f>IF(_xlfn.MAXIFS('9_3nf_customer_history'!$B$2:$B$500,'9_3nf_customer_history'!$A$2:$A$500,AD74,'9_3nf_customer_history'!$B$2:$B$500,"&lt;="&amp;L74)=0,"NOT FOUND",_xlfn.MAXIFS('9_3nf_customer_history'!$B$2:$B$500,'9_3nf_customer_history'!$A$2:$A$500,AD74,'9_3nf_customer_history'!$B$2:$B$500,"&lt;="&amp;L74))</f>
        <v/>
      </c>
      <c r="AJ74" s="2">
        <f>IF(AI74="NOT FOUND","NOT FOUND",INDEX('9_3nf_customer_history'!$C:$C,SUMPRODUCT(('9_3nf_customer_history'!$A$2:$A$500=AD74)*('9_3nf_customer_history'!$B$2:$B$500=AI74)*ROW('9_3nf_customer_history'!$A$2:$A$500))))</f>
        <v/>
      </c>
      <c r="AK74" s="2">
        <f>IF(AI74="NOT FOUND","NOT FOUND",INDEX('9_3nf_customer_history'!$D:$D,SUMPRODUCT(('9_3nf_customer_history'!$A$2:$A$500=AD74)*('9_3nf_customer_history'!$B$2:$B$500=AI74)*ROW('9_3nf_customer_history'!$A$2:$A$500))))</f>
        <v/>
      </c>
      <c r="AL74" s="2">
        <f>UPPER(TRIM(H74))</f>
        <v/>
      </c>
      <c r="AM74" s="30">
        <f>IF(_xlfn.MAXIFS('10_ref_fx_rate'!$B$2:$B$2000,'10_ref_fx_rate'!$A$2:$A$2000,AL74,'10_ref_fx_rate'!$B$2:$B$2000,"&lt;="&amp;L74)=0,"NOT FOUND",_xlfn.MAXIFS('10_ref_fx_rate'!$B$2:$B$2000,'10_ref_fx_rate'!$A$2:$A$2000,AL74,'10_ref_fx_rate'!$B$2:$B$2000,"&lt;="&amp;L74))</f>
        <v/>
      </c>
      <c r="AN74" s="8">
        <f>IF(AM74="NOT FOUND","NOT FOUND",SUMIFS('10_ref_fx_rate'!$D$2:$D$2000,'10_ref_fx_rate'!$A$2:$A$2000,AL74,'10_ref_fx_rate'!$B$2:$B$2000,AM74))</f>
        <v/>
      </c>
      <c r="AO74" s="37">
        <f>IF(ISNUMBER(AN74),I74*AN74,"NOT FOUND")</f>
        <v/>
      </c>
      <c r="AP74" s="2">
        <f>UPPER(TRIM(J74))</f>
        <v/>
      </c>
      <c r="AQ74" s="2">
        <f>IF(AP74="","SELF-DIRECTED",IF(ISNUMBER(MATCH(AP74,'11_3nf_sales_person'!$A:$A,0)),IF(EXACT(AP74,J74),"OK","OK (auto-fixed)"),IF(ISNA(MATCH($A74,'12_sales_person_confirmation'!$A:$A,0)),"CONFIRM (not logged)",IF(INDEX('12_sales_person_confirmation'!$I:$I,MATCH($A74,'12_sales_person_confirmation'!$A:$A,0))="CONFIRMED","CONFIRMED ("&amp;LOWER(INDEX('12_sales_person_confirmation'!$E:$E,MATCH($A74,'12_sales_person_confirmation'!$A:$A,0)))&amp;")","PENDING CONFIRM"))))</f>
        <v/>
      </c>
      <c r="AR74" s="2">
        <f>IF(OR(AQ74="OK",AQ74="OK (auto-fixed)"),AP74,IF(LEFT(AQ74,9)="CONFIRMED",INDEX('12_sales_person_confirmation'!$F:$F,MATCH($A74,'12_sales_person_confirmation'!$A:$A,0)),""))</f>
        <v/>
      </c>
      <c r="AS74" s="2">
        <f>IF(AR74="","",INDEX('11_3nf_sales_person'!$B:$B,MATCH(AR74,'11_3nf_sales_person'!$A:$A,0)))</f>
        <v/>
      </c>
    </row>
    <row r="75">
      <c r="A75" s="2">
        <f>IF(ISBLANK('1_raw_log'!A75),"",'1_raw_log'!A75)</f>
        <v/>
      </c>
      <c r="B75" s="3">
        <f>IF(ISBLANK('1_raw_log'!B75),"",'1_raw_log'!B75)</f>
        <v/>
      </c>
      <c r="C75" s="2">
        <f>IF(ISBLANK('1_raw_log'!C75),"",'1_raw_log'!C75)</f>
        <v/>
      </c>
      <c r="D75" s="2">
        <f>IF(ISBLANK('1_raw_log'!D75),"",'1_raw_log'!D75)</f>
        <v/>
      </c>
      <c r="E75" s="4">
        <f>IF(ISBLANK('1_raw_log'!E75),"",'1_raw_log'!E75)</f>
        <v/>
      </c>
      <c r="F75" s="2">
        <f>IF(ISBLANK('1_raw_log'!F75),"",'1_raw_log'!F75)</f>
        <v/>
      </c>
      <c r="G75" s="2">
        <f>IF(ISBLANK('1_raw_log'!G75),"",'1_raw_log'!G75)</f>
        <v/>
      </c>
      <c r="H75" s="2">
        <f>IF(ISBLANK('1_raw_log'!H75),"",'1_raw_log'!H75)</f>
        <v/>
      </c>
      <c r="I75" s="7">
        <f>IF(ISBLANK('1_raw_log'!I75),"",'1_raw_log'!I75)</f>
        <v/>
      </c>
      <c r="J75" s="2">
        <f>IF(ISBLANK('1_raw_log'!J75),"",'1_raw_log'!J75)</f>
        <v/>
      </c>
      <c r="K75" s="2">
        <f>IF(ISBLANK('1_raw_log'!K75),"",'1_raw_log'!K75)</f>
        <v/>
      </c>
      <c r="L75" s="30">
        <f>INT(B75)</f>
        <v/>
      </c>
      <c r="M75" s="20">
        <f>ROUND(MOD(B75,1)*1440,0)/1440</f>
        <v/>
      </c>
      <c r="N75" s="4">
        <f>IFERROR(INDEX('3_ref_date'!$B:$B,MATCH(L75,'3_ref_date'!$A:$A,0)),"NOT FOUND")</f>
        <v/>
      </c>
      <c r="O75" s="2">
        <f>IFERROR(INDEX('3_ref_date'!$C:$C,MATCH(L75,'3_ref_date'!$A:$A,0)),"NOT FOUND")</f>
        <v/>
      </c>
      <c r="P75" s="4">
        <f>IFERROR(INDEX('3_ref_date'!$D:$D,MATCH(L75,'3_ref_date'!$A:$A,0)),"NOT FOUND")</f>
        <v/>
      </c>
      <c r="Q75" s="4">
        <f>IFERROR(INDEX('3_ref_date'!$E:$E,MATCH(L75,'3_ref_date'!$A:$A,0)),"NOT FOUND")</f>
        <v/>
      </c>
      <c r="R75" s="2">
        <f>IFERROR(INDEX('3_ref_date'!$F:$F,MATCH(L75,'3_ref_date'!$A:$A,0)),"NOT FOUND")</f>
        <v/>
      </c>
      <c r="S75" s="2">
        <f>IFERROR(INDEX('4_ref_time'!$D:$D,MATCH(ROUND(M75*1440,0),'4_ref_time'!$A:$A,0)),"NOT FOUND")</f>
        <v/>
      </c>
      <c r="T75" s="2">
        <f>UPPER(TRIM(C75))</f>
        <v/>
      </c>
      <c r="U75" s="30">
        <f>IF(_xlfn.MAXIFS('6_3nf_branch_history'!$B$2:$B$50,'6_3nf_branch_history'!$A$2:$A$50,T75,'6_3nf_branch_history'!$B$2:$B$50,"&lt;="&amp;L75)=0,"NOT FOUND",_xlfn.MAXIFS('6_3nf_branch_history'!$B$2:$B$50,'6_3nf_branch_history'!$A$2:$A$50,T75,'6_3nf_branch_history'!$B$2:$B$50,"&lt;="&amp;L75))</f>
        <v/>
      </c>
      <c r="V75" s="2">
        <f>IF(U75="NOT FOUND","NOT FOUND",INDEX('6_3nf_branch_history'!$C:$C,SUMPRODUCT(('6_3nf_branch_history'!$A$2:$A$50=T75)*('6_3nf_branch_history'!$B$2:$B$50=U75)*ROW('6_3nf_branch_history'!$A$2:$A$50))))</f>
        <v/>
      </c>
      <c r="W75" s="2">
        <f>IF(U75="NOT FOUND","NOT FOUND",INDEX('6_3nf_branch_history'!$D:$D,SUMPRODUCT(('6_3nf_branch_history'!$A$2:$A$50=T75)*('6_3nf_branch_history'!$B$2:$B$50=U75)*ROW('6_3nf_branch_history'!$A$2:$A$50))))</f>
        <v/>
      </c>
      <c r="X75" s="2">
        <f>IF(U75="NOT FOUND","NOT FOUND",INDEX('6_3nf_branch_history'!$E:$E,SUMPRODUCT(('6_3nf_branch_history'!$A$2:$A$50=T75)*('6_3nf_branch_history'!$B$2:$B$50=U75)*ROW('6_3nf_branch_history'!$A$2:$A$50))))</f>
        <v/>
      </c>
      <c r="Y75" s="2">
        <f>UPPER(TRIM(D75))</f>
        <v/>
      </c>
      <c r="Z75" s="2">
        <f>IFERROR(INDEX('7_3nf_product'!$B:$B,MATCH(Y75,'7_3nf_product'!$A:$A,0)),"NOT FOUND")</f>
        <v/>
      </c>
      <c r="AA75" s="2">
        <f>IFERROR(INDEX('7_3nf_product'!$C:$C,MATCH(Y75,'7_3nf_product'!$A:$A,0)),"NOT FOUND")</f>
        <v/>
      </c>
      <c r="AB75" s="2">
        <f>IFERROR(INDEX('7_3nf_product'!$D:$D,MATCH(Y75,'7_3nf_product'!$A:$A,0)),"NOT FOUND")</f>
        <v/>
      </c>
      <c r="AC75" s="6">
        <f>IFERROR(INDEX('7_3nf_product'!$E:$E,MATCH(Y75,'7_3nf_product'!$A:$A,0)),"NOT FOUND")</f>
        <v/>
      </c>
      <c r="AD75" s="33">
        <f>IF(LEN(TRIM(E75))=10,TRIM(E75),IF(LEN(TRIM(E75))=8,"00"&amp;TRIM(E75),"CHECK"))</f>
        <v/>
      </c>
      <c r="AE75" s="2">
        <f>IFERROR(INDEX('8_3nf_customer'!$C:$C,MATCH(AD75,'8_3nf_customer'!$B:$B,0)),"NOT FOUND")</f>
        <v/>
      </c>
      <c r="AF75" s="30">
        <f>IFERROR(INDEX('8_3nf_customer'!$D:$D,MATCH(AD75,'8_3nf_customer'!$B:$B,0)),"NOT FOUND")</f>
        <v/>
      </c>
      <c r="AG75" s="4">
        <f>IF(ISNUMBER(AF75),DATEDIF(AF75,L75,"y"),"NOT FOUND")</f>
        <v/>
      </c>
      <c r="AH75" s="2">
        <f>IFERROR(INDEX('8_3nf_customer'!$E:$E,MATCH(AD75,'8_3nf_customer'!$B:$B,0)),"NOT FOUND")</f>
        <v/>
      </c>
      <c r="AI75" s="30">
        <f>IF(_xlfn.MAXIFS('9_3nf_customer_history'!$B$2:$B$500,'9_3nf_customer_history'!$A$2:$A$500,AD75,'9_3nf_customer_history'!$B$2:$B$500,"&lt;="&amp;L75)=0,"NOT FOUND",_xlfn.MAXIFS('9_3nf_customer_history'!$B$2:$B$500,'9_3nf_customer_history'!$A$2:$A$500,AD75,'9_3nf_customer_history'!$B$2:$B$500,"&lt;="&amp;L75))</f>
        <v/>
      </c>
      <c r="AJ75" s="2">
        <f>IF(AI75="NOT FOUND","NOT FOUND",INDEX('9_3nf_customer_history'!$C:$C,SUMPRODUCT(('9_3nf_customer_history'!$A$2:$A$500=AD75)*('9_3nf_customer_history'!$B$2:$B$500=AI75)*ROW('9_3nf_customer_history'!$A$2:$A$500))))</f>
        <v/>
      </c>
      <c r="AK75" s="2">
        <f>IF(AI75="NOT FOUND","NOT FOUND",INDEX('9_3nf_customer_history'!$D:$D,SUMPRODUCT(('9_3nf_customer_history'!$A$2:$A$500=AD75)*('9_3nf_customer_history'!$B$2:$B$500=AI75)*ROW('9_3nf_customer_history'!$A$2:$A$500))))</f>
        <v/>
      </c>
      <c r="AL75" s="2">
        <f>UPPER(TRIM(H75))</f>
        <v/>
      </c>
      <c r="AM75" s="30">
        <f>IF(_xlfn.MAXIFS('10_ref_fx_rate'!$B$2:$B$2000,'10_ref_fx_rate'!$A$2:$A$2000,AL75,'10_ref_fx_rate'!$B$2:$B$2000,"&lt;="&amp;L75)=0,"NOT FOUND",_xlfn.MAXIFS('10_ref_fx_rate'!$B$2:$B$2000,'10_ref_fx_rate'!$A$2:$A$2000,AL75,'10_ref_fx_rate'!$B$2:$B$2000,"&lt;="&amp;L75))</f>
        <v/>
      </c>
      <c r="AN75" s="8">
        <f>IF(AM75="NOT FOUND","NOT FOUND",SUMIFS('10_ref_fx_rate'!$D$2:$D$2000,'10_ref_fx_rate'!$A$2:$A$2000,AL75,'10_ref_fx_rate'!$B$2:$B$2000,AM75))</f>
        <v/>
      </c>
      <c r="AO75" s="37">
        <f>IF(ISNUMBER(AN75),I75*AN75,"NOT FOUND")</f>
        <v/>
      </c>
      <c r="AP75" s="2">
        <f>UPPER(TRIM(J75))</f>
        <v/>
      </c>
      <c r="AQ75" s="2">
        <f>IF(AP75="","SELF-DIRECTED",IF(ISNUMBER(MATCH(AP75,'11_3nf_sales_person'!$A:$A,0)),IF(EXACT(AP75,J75),"OK","OK (auto-fixed)"),IF(ISNA(MATCH($A75,'12_sales_person_confirmation'!$A:$A,0)),"CONFIRM (not logged)",IF(INDEX('12_sales_person_confirmation'!$I:$I,MATCH($A75,'12_sales_person_confirmation'!$A:$A,0))="CONFIRMED","CONFIRMED ("&amp;LOWER(INDEX('12_sales_person_confirmation'!$E:$E,MATCH($A75,'12_sales_person_confirmation'!$A:$A,0)))&amp;")","PENDING CONFIRM"))))</f>
        <v/>
      </c>
      <c r="AR75" s="2">
        <f>IF(OR(AQ75="OK",AQ75="OK (auto-fixed)"),AP75,IF(LEFT(AQ75,9)="CONFIRMED",INDEX('12_sales_person_confirmation'!$F:$F,MATCH($A75,'12_sales_person_confirmation'!$A:$A,0)),""))</f>
        <v/>
      </c>
      <c r="AS75" s="2">
        <f>IF(AR75="","",INDEX('11_3nf_sales_person'!$B:$B,MATCH(AR75,'11_3nf_sales_person'!$A:$A,0)))</f>
        <v/>
      </c>
    </row>
    <row r="76">
      <c r="A76" s="2">
        <f>IF(ISBLANK('1_raw_log'!A76),"",'1_raw_log'!A76)</f>
        <v/>
      </c>
      <c r="B76" s="3">
        <f>IF(ISBLANK('1_raw_log'!B76),"",'1_raw_log'!B76)</f>
        <v/>
      </c>
      <c r="C76" s="2">
        <f>IF(ISBLANK('1_raw_log'!C76),"",'1_raw_log'!C76)</f>
        <v/>
      </c>
      <c r="D76" s="2">
        <f>IF(ISBLANK('1_raw_log'!D76),"",'1_raw_log'!D76)</f>
        <v/>
      </c>
      <c r="E76" s="4">
        <f>IF(ISBLANK('1_raw_log'!E76),"",'1_raw_log'!E76)</f>
        <v/>
      </c>
      <c r="F76" s="2">
        <f>IF(ISBLANK('1_raw_log'!F76),"",'1_raw_log'!F76)</f>
        <v/>
      </c>
      <c r="G76" s="2">
        <f>IF(ISBLANK('1_raw_log'!G76),"",'1_raw_log'!G76)</f>
        <v/>
      </c>
      <c r="H76" s="2">
        <f>IF(ISBLANK('1_raw_log'!H76),"",'1_raw_log'!H76)</f>
        <v/>
      </c>
      <c r="I76" s="7">
        <f>IF(ISBLANK('1_raw_log'!I76),"",'1_raw_log'!I76)</f>
        <v/>
      </c>
      <c r="J76" s="2">
        <f>IF(ISBLANK('1_raw_log'!J76),"",'1_raw_log'!J76)</f>
        <v/>
      </c>
      <c r="K76" s="2">
        <f>IF(ISBLANK('1_raw_log'!K76),"",'1_raw_log'!K76)</f>
        <v/>
      </c>
      <c r="L76" s="30">
        <f>INT(B76)</f>
        <v/>
      </c>
      <c r="M76" s="20">
        <f>ROUND(MOD(B76,1)*1440,0)/1440</f>
        <v/>
      </c>
      <c r="N76" s="4">
        <f>IFERROR(INDEX('3_ref_date'!$B:$B,MATCH(L76,'3_ref_date'!$A:$A,0)),"NOT FOUND")</f>
        <v/>
      </c>
      <c r="O76" s="2">
        <f>IFERROR(INDEX('3_ref_date'!$C:$C,MATCH(L76,'3_ref_date'!$A:$A,0)),"NOT FOUND")</f>
        <v/>
      </c>
      <c r="P76" s="4">
        <f>IFERROR(INDEX('3_ref_date'!$D:$D,MATCH(L76,'3_ref_date'!$A:$A,0)),"NOT FOUND")</f>
        <v/>
      </c>
      <c r="Q76" s="4">
        <f>IFERROR(INDEX('3_ref_date'!$E:$E,MATCH(L76,'3_ref_date'!$A:$A,0)),"NOT FOUND")</f>
        <v/>
      </c>
      <c r="R76" s="2">
        <f>IFERROR(INDEX('3_ref_date'!$F:$F,MATCH(L76,'3_ref_date'!$A:$A,0)),"NOT FOUND")</f>
        <v/>
      </c>
      <c r="S76" s="2">
        <f>IFERROR(INDEX('4_ref_time'!$D:$D,MATCH(ROUND(M76*1440,0),'4_ref_time'!$A:$A,0)),"NOT FOUND")</f>
        <v/>
      </c>
      <c r="T76" s="2">
        <f>UPPER(TRIM(C76))</f>
        <v/>
      </c>
      <c r="U76" s="30">
        <f>IF(_xlfn.MAXIFS('6_3nf_branch_history'!$B$2:$B$50,'6_3nf_branch_history'!$A$2:$A$50,T76,'6_3nf_branch_history'!$B$2:$B$50,"&lt;="&amp;L76)=0,"NOT FOUND",_xlfn.MAXIFS('6_3nf_branch_history'!$B$2:$B$50,'6_3nf_branch_history'!$A$2:$A$50,T76,'6_3nf_branch_history'!$B$2:$B$50,"&lt;="&amp;L76))</f>
        <v/>
      </c>
      <c r="V76" s="2">
        <f>IF(U76="NOT FOUND","NOT FOUND",INDEX('6_3nf_branch_history'!$C:$C,SUMPRODUCT(('6_3nf_branch_history'!$A$2:$A$50=T76)*('6_3nf_branch_history'!$B$2:$B$50=U76)*ROW('6_3nf_branch_history'!$A$2:$A$50))))</f>
        <v/>
      </c>
      <c r="W76" s="2">
        <f>IF(U76="NOT FOUND","NOT FOUND",INDEX('6_3nf_branch_history'!$D:$D,SUMPRODUCT(('6_3nf_branch_history'!$A$2:$A$50=T76)*('6_3nf_branch_history'!$B$2:$B$50=U76)*ROW('6_3nf_branch_history'!$A$2:$A$50))))</f>
        <v/>
      </c>
      <c r="X76" s="2">
        <f>IF(U76="NOT FOUND","NOT FOUND",INDEX('6_3nf_branch_history'!$E:$E,SUMPRODUCT(('6_3nf_branch_history'!$A$2:$A$50=T76)*('6_3nf_branch_history'!$B$2:$B$50=U76)*ROW('6_3nf_branch_history'!$A$2:$A$50))))</f>
        <v/>
      </c>
      <c r="Y76" s="2">
        <f>UPPER(TRIM(D76))</f>
        <v/>
      </c>
      <c r="Z76" s="2">
        <f>IFERROR(INDEX('7_3nf_product'!$B:$B,MATCH(Y76,'7_3nf_product'!$A:$A,0)),"NOT FOUND")</f>
        <v/>
      </c>
      <c r="AA76" s="2">
        <f>IFERROR(INDEX('7_3nf_product'!$C:$C,MATCH(Y76,'7_3nf_product'!$A:$A,0)),"NOT FOUND")</f>
        <v/>
      </c>
      <c r="AB76" s="2">
        <f>IFERROR(INDEX('7_3nf_product'!$D:$D,MATCH(Y76,'7_3nf_product'!$A:$A,0)),"NOT FOUND")</f>
        <v/>
      </c>
      <c r="AC76" s="6">
        <f>IFERROR(INDEX('7_3nf_product'!$E:$E,MATCH(Y76,'7_3nf_product'!$A:$A,0)),"NOT FOUND")</f>
        <v/>
      </c>
      <c r="AD76" s="33">
        <f>IF(LEN(TRIM(E76))=10,TRIM(E76),IF(LEN(TRIM(E76))=8,"00"&amp;TRIM(E76),"CHECK"))</f>
        <v/>
      </c>
      <c r="AE76" s="2">
        <f>IFERROR(INDEX('8_3nf_customer'!$C:$C,MATCH(AD76,'8_3nf_customer'!$B:$B,0)),"NOT FOUND")</f>
        <v/>
      </c>
      <c r="AF76" s="30">
        <f>IFERROR(INDEX('8_3nf_customer'!$D:$D,MATCH(AD76,'8_3nf_customer'!$B:$B,0)),"NOT FOUND")</f>
        <v/>
      </c>
      <c r="AG76" s="4">
        <f>IF(ISNUMBER(AF76),DATEDIF(AF76,L76,"y"),"NOT FOUND")</f>
        <v/>
      </c>
      <c r="AH76" s="2">
        <f>IFERROR(INDEX('8_3nf_customer'!$E:$E,MATCH(AD76,'8_3nf_customer'!$B:$B,0)),"NOT FOUND")</f>
        <v/>
      </c>
      <c r="AI76" s="30">
        <f>IF(_xlfn.MAXIFS('9_3nf_customer_history'!$B$2:$B$500,'9_3nf_customer_history'!$A$2:$A$500,AD76,'9_3nf_customer_history'!$B$2:$B$500,"&lt;="&amp;L76)=0,"NOT FOUND",_xlfn.MAXIFS('9_3nf_customer_history'!$B$2:$B$500,'9_3nf_customer_history'!$A$2:$A$500,AD76,'9_3nf_customer_history'!$B$2:$B$500,"&lt;="&amp;L76))</f>
        <v/>
      </c>
      <c r="AJ76" s="2">
        <f>IF(AI76="NOT FOUND","NOT FOUND",INDEX('9_3nf_customer_history'!$C:$C,SUMPRODUCT(('9_3nf_customer_history'!$A$2:$A$500=AD76)*('9_3nf_customer_history'!$B$2:$B$500=AI76)*ROW('9_3nf_customer_history'!$A$2:$A$500))))</f>
        <v/>
      </c>
      <c r="AK76" s="2">
        <f>IF(AI76="NOT FOUND","NOT FOUND",INDEX('9_3nf_customer_history'!$D:$D,SUMPRODUCT(('9_3nf_customer_history'!$A$2:$A$500=AD76)*('9_3nf_customer_history'!$B$2:$B$500=AI76)*ROW('9_3nf_customer_history'!$A$2:$A$500))))</f>
        <v/>
      </c>
      <c r="AL76" s="2">
        <f>UPPER(TRIM(H76))</f>
        <v/>
      </c>
      <c r="AM76" s="30">
        <f>IF(_xlfn.MAXIFS('10_ref_fx_rate'!$B$2:$B$2000,'10_ref_fx_rate'!$A$2:$A$2000,AL76,'10_ref_fx_rate'!$B$2:$B$2000,"&lt;="&amp;L76)=0,"NOT FOUND",_xlfn.MAXIFS('10_ref_fx_rate'!$B$2:$B$2000,'10_ref_fx_rate'!$A$2:$A$2000,AL76,'10_ref_fx_rate'!$B$2:$B$2000,"&lt;="&amp;L76))</f>
        <v/>
      </c>
      <c r="AN76" s="8">
        <f>IF(AM76="NOT FOUND","NOT FOUND",SUMIFS('10_ref_fx_rate'!$D$2:$D$2000,'10_ref_fx_rate'!$A$2:$A$2000,AL76,'10_ref_fx_rate'!$B$2:$B$2000,AM76))</f>
        <v/>
      </c>
      <c r="AO76" s="37">
        <f>IF(ISNUMBER(AN76),I76*AN76,"NOT FOUND")</f>
        <v/>
      </c>
      <c r="AP76" s="2">
        <f>UPPER(TRIM(J76))</f>
        <v/>
      </c>
      <c r="AQ76" s="2">
        <f>IF(AP76="","SELF-DIRECTED",IF(ISNUMBER(MATCH(AP76,'11_3nf_sales_person'!$A:$A,0)),IF(EXACT(AP76,J76),"OK","OK (auto-fixed)"),IF(ISNA(MATCH($A76,'12_sales_person_confirmation'!$A:$A,0)),"CONFIRM (not logged)",IF(INDEX('12_sales_person_confirmation'!$I:$I,MATCH($A76,'12_sales_person_confirmation'!$A:$A,0))="CONFIRMED","CONFIRMED ("&amp;LOWER(INDEX('12_sales_person_confirmation'!$E:$E,MATCH($A76,'12_sales_person_confirmation'!$A:$A,0)))&amp;")","PENDING CONFIRM"))))</f>
        <v/>
      </c>
      <c r="AR76" s="2">
        <f>IF(OR(AQ76="OK",AQ76="OK (auto-fixed)"),AP76,IF(LEFT(AQ76,9)="CONFIRMED",INDEX('12_sales_person_confirmation'!$F:$F,MATCH($A76,'12_sales_person_confirmation'!$A:$A,0)),""))</f>
        <v/>
      </c>
      <c r="AS76" s="2">
        <f>IF(AR76="","",INDEX('11_3nf_sales_person'!$B:$B,MATCH(AR76,'11_3nf_sales_person'!$A:$A,0)))</f>
        <v/>
      </c>
    </row>
    <row r="77">
      <c r="A77" s="2">
        <f>IF(ISBLANK('1_raw_log'!A77),"",'1_raw_log'!A77)</f>
        <v/>
      </c>
      <c r="B77" s="3">
        <f>IF(ISBLANK('1_raw_log'!B77),"",'1_raw_log'!B77)</f>
        <v/>
      </c>
      <c r="C77" s="2">
        <f>IF(ISBLANK('1_raw_log'!C77),"",'1_raw_log'!C77)</f>
        <v/>
      </c>
      <c r="D77" s="2">
        <f>IF(ISBLANK('1_raw_log'!D77),"",'1_raw_log'!D77)</f>
        <v/>
      </c>
      <c r="E77" s="4">
        <f>IF(ISBLANK('1_raw_log'!E77),"",'1_raw_log'!E77)</f>
        <v/>
      </c>
      <c r="F77" s="2">
        <f>IF(ISBLANK('1_raw_log'!F77),"",'1_raw_log'!F77)</f>
        <v/>
      </c>
      <c r="G77" s="2">
        <f>IF(ISBLANK('1_raw_log'!G77),"",'1_raw_log'!G77)</f>
        <v/>
      </c>
      <c r="H77" s="2">
        <f>IF(ISBLANK('1_raw_log'!H77),"",'1_raw_log'!H77)</f>
        <v/>
      </c>
      <c r="I77" s="7">
        <f>IF(ISBLANK('1_raw_log'!I77),"",'1_raw_log'!I77)</f>
        <v/>
      </c>
      <c r="J77" s="2">
        <f>IF(ISBLANK('1_raw_log'!J77),"",'1_raw_log'!J77)</f>
        <v/>
      </c>
      <c r="K77" s="2">
        <f>IF(ISBLANK('1_raw_log'!K77),"",'1_raw_log'!K77)</f>
        <v/>
      </c>
      <c r="L77" s="30">
        <f>INT(B77)</f>
        <v/>
      </c>
      <c r="M77" s="20">
        <f>ROUND(MOD(B77,1)*1440,0)/1440</f>
        <v/>
      </c>
      <c r="N77" s="4">
        <f>IFERROR(INDEX('3_ref_date'!$B:$B,MATCH(L77,'3_ref_date'!$A:$A,0)),"NOT FOUND")</f>
        <v/>
      </c>
      <c r="O77" s="2">
        <f>IFERROR(INDEX('3_ref_date'!$C:$C,MATCH(L77,'3_ref_date'!$A:$A,0)),"NOT FOUND")</f>
        <v/>
      </c>
      <c r="P77" s="4">
        <f>IFERROR(INDEX('3_ref_date'!$D:$D,MATCH(L77,'3_ref_date'!$A:$A,0)),"NOT FOUND")</f>
        <v/>
      </c>
      <c r="Q77" s="4">
        <f>IFERROR(INDEX('3_ref_date'!$E:$E,MATCH(L77,'3_ref_date'!$A:$A,0)),"NOT FOUND")</f>
        <v/>
      </c>
      <c r="R77" s="2">
        <f>IFERROR(INDEX('3_ref_date'!$F:$F,MATCH(L77,'3_ref_date'!$A:$A,0)),"NOT FOUND")</f>
        <v/>
      </c>
      <c r="S77" s="2">
        <f>IFERROR(INDEX('4_ref_time'!$D:$D,MATCH(ROUND(M77*1440,0),'4_ref_time'!$A:$A,0)),"NOT FOUND")</f>
        <v/>
      </c>
      <c r="T77" s="2">
        <f>UPPER(TRIM(C77))</f>
        <v/>
      </c>
      <c r="U77" s="30">
        <f>IF(_xlfn.MAXIFS('6_3nf_branch_history'!$B$2:$B$50,'6_3nf_branch_history'!$A$2:$A$50,T77,'6_3nf_branch_history'!$B$2:$B$50,"&lt;="&amp;L77)=0,"NOT FOUND",_xlfn.MAXIFS('6_3nf_branch_history'!$B$2:$B$50,'6_3nf_branch_history'!$A$2:$A$50,T77,'6_3nf_branch_history'!$B$2:$B$50,"&lt;="&amp;L77))</f>
        <v/>
      </c>
      <c r="V77" s="2">
        <f>IF(U77="NOT FOUND","NOT FOUND",INDEX('6_3nf_branch_history'!$C:$C,SUMPRODUCT(('6_3nf_branch_history'!$A$2:$A$50=T77)*('6_3nf_branch_history'!$B$2:$B$50=U77)*ROW('6_3nf_branch_history'!$A$2:$A$50))))</f>
        <v/>
      </c>
      <c r="W77" s="2">
        <f>IF(U77="NOT FOUND","NOT FOUND",INDEX('6_3nf_branch_history'!$D:$D,SUMPRODUCT(('6_3nf_branch_history'!$A$2:$A$50=T77)*('6_3nf_branch_history'!$B$2:$B$50=U77)*ROW('6_3nf_branch_history'!$A$2:$A$50))))</f>
        <v/>
      </c>
      <c r="X77" s="2">
        <f>IF(U77="NOT FOUND","NOT FOUND",INDEX('6_3nf_branch_history'!$E:$E,SUMPRODUCT(('6_3nf_branch_history'!$A$2:$A$50=T77)*('6_3nf_branch_history'!$B$2:$B$50=U77)*ROW('6_3nf_branch_history'!$A$2:$A$50))))</f>
        <v/>
      </c>
      <c r="Y77" s="2">
        <f>UPPER(TRIM(D77))</f>
        <v/>
      </c>
      <c r="Z77" s="2">
        <f>IFERROR(INDEX('7_3nf_product'!$B:$B,MATCH(Y77,'7_3nf_product'!$A:$A,0)),"NOT FOUND")</f>
        <v/>
      </c>
      <c r="AA77" s="2">
        <f>IFERROR(INDEX('7_3nf_product'!$C:$C,MATCH(Y77,'7_3nf_product'!$A:$A,0)),"NOT FOUND")</f>
        <v/>
      </c>
      <c r="AB77" s="2">
        <f>IFERROR(INDEX('7_3nf_product'!$D:$D,MATCH(Y77,'7_3nf_product'!$A:$A,0)),"NOT FOUND")</f>
        <v/>
      </c>
      <c r="AC77" s="6">
        <f>IFERROR(INDEX('7_3nf_product'!$E:$E,MATCH(Y77,'7_3nf_product'!$A:$A,0)),"NOT FOUND")</f>
        <v/>
      </c>
      <c r="AD77" s="33">
        <f>IF(LEN(TRIM(E77))=10,TRIM(E77),IF(LEN(TRIM(E77))=8,"00"&amp;TRIM(E77),"CHECK"))</f>
        <v/>
      </c>
      <c r="AE77" s="2">
        <f>IFERROR(INDEX('8_3nf_customer'!$C:$C,MATCH(AD77,'8_3nf_customer'!$B:$B,0)),"NOT FOUND")</f>
        <v/>
      </c>
      <c r="AF77" s="30">
        <f>IFERROR(INDEX('8_3nf_customer'!$D:$D,MATCH(AD77,'8_3nf_customer'!$B:$B,0)),"NOT FOUND")</f>
        <v/>
      </c>
      <c r="AG77" s="4">
        <f>IF(ISNUMBER(AF77),DATEDIF(AF77,L77,"y"),"NOT FOUND")</f>
        <v/>
      </c>
      <c r="AH77" s="2">
        <f>IFERROR(INDEX('8_3nf_customer'!$E:$E,MATCH(AD77,'8_3nf_customer'!$B:$B,0)),"NOT FOUND")</f>
        <v/>
      </c>
      <c r="AI77" s="30">
        <f>IF(_xlfn.MAXIFS('9_3nf_customer_history'!$B$2:$B$500,'9_3nf_customer_history'!$A$2:$A$500,AD77,'9_3nf_customer_history'!$B$2:$B$500,"&lt;="&amp;L77)=0,"NOT FOUND",_xlfn.MAXIFS('9_3nf_customer_history'!$B$2:$B$500,'9_3nf_customer_history'!$A$2:$A$500,AD77,'9_3nf_customer_history'!$B$2:$B$500,"&lt;="&amp;L77))</f>
        <v/>
      </c>
      <c r="AJ77" s="2">
        <f>IF(AI77="NOT FOUND","NOT FOUND",INDEX('9_3nf_customer_history'!$C:$C,SUMPRODUCT(('9_3nf_customer_history'!$A$2:$A$500=AD77)*('9_3nf_customer_history'!$B$2:$B$500=AI77)*ROW('9_3nf_customer_history'!$A$2:$A$500))))</f>
        <v/>
      </c>
      <c r="AK77" s="2">
        <f>IF(AI77="NOT FOUND","NOT FOUND",INDEX('9_3nf_customer_history'!$D:$D,SUMPRODUCT(('9_3nf_customer_history'!$A$2:$A$500=AD77)*('9_3nf_customer_history'!$B$2:$B$500=AI77)*ROW('9_3nf_customer_history'!$A$2:$A$500))))</f>
        <v/>
      </c>
      <c r="AL77" s="2">
        <f>UPPER(TRIM(H77))</f>
        <v/>
      </c>
      <c r="AM77" s="30">
        <f>IF(_xlfn.MAXIFS('10_ref_fx_rate'!$B$2:$B$2000,'10_ref_fx_rate'!$A$2:$A$2000,AL77,'10_ref_fx_rate'!$B$2:$B$2000,"&lt;="&amp;L77)=0,"NOT FOUND",_xlfn.MAXIFS('10_ref_fx_rate'!$B$2:$B$2000,'10_ref_fx_rate'!$A$2:$A$2000,AL77,'10_ref_fx_rate'!$B$2:$B$2000,"&lt;="&amp;L77))</f>
        <v/>
      </c>
      <c r="AN77" s="8">
        <f>IF(AM77="NOT FOUND","NOT FOUND",SUMIFS('10_ref_fx_rate'!$D$2:$D$2000,'10_ref_fx_rate'!$A$2:$A$2000,AL77,'10_ref_fx_rate'!$B$2:$B$2000,AM77))</f>
        <v/>
      </c>
      <c r="AO77" s="37">
        <f>IF(ISNUMBER(AN77),I77*AN77,"NOT FOUND")</f>
        <v/>
      </c>
      <c r="AP77" s="2">
        <f>UPPER(TRIM(J77))</f>
        <v/>
      </c>
      <c r="AQ77" s="2">
        <f>IF(AP77="","SELF-DIRECTED",IF(ISNUMBER(MATCH(AP77,'11_3nf_sales_person'!$A:$A,0)),IF(EXACT(AP77,J77),"OK","OK (auto-fixed)"),IF(ISNA(MATCH($A77,'12_sales_person_confirmation'!$A:$A,0)),"CONFIRM (not logged)",IF(INDEX('12_sales_person_confirmation'!$I:$I,MATCH($A77,'12_sales_person_confirmation'!$A:$A,0))="CONFIRMED","CONFIRMED ("&amp;LOWER(INDEX('12_sales_person_confirmation'!$E:$E,MATCH($A77,'12_sales_person_confirmation'!$A:$A,0)))&amp;")","PENDING CONFIRM"))))</f>
        <v/>
      </c>
      <c r="AR77" s="2">
        <f>IF(OR(AQ77="OK",AQ77="OK (auto-fixed)"),AP77,IF(LEFT(AQ77,9)="CONFIRMED",INDEX('12_sales_person_confirmation'!$F:$F,MATCH($A77,'12_sales_person_confirmation'!$A:$A,0)),""))</f>
        <v/>
      </c>
      <c r="AS77" s="2">
        <f>IF(AR77="","",INDEX('11_3nf_sales_person'!$B:$B,MATCH(AR77,'11_3nf_sales_person'!$A:$A,0)))</f>
        <v/>
      </c>
    </row>
    <row r="78">
      <c r="A78" s="2">
        <f>IF(ISBLANK('1_raw_log'!A78),"",'1_raw_log'!A78)</f>
        <v/>
      </c>
      <c r="B78" s="3">
        <f>IF(ISBLANK('1_raw_log'!B78),"",'1_raw_log'!B78)</f>
        <v/>
      </c>
      <c r="C78" s="2">
        <f>IF(ISBLANK('1_raw_log'!C78),"",'1_raw_log'!C78)</f>
        <v/>
      </c>
      <c r="D78" s="2">
        <f>IF(ISBLANK('1_raw_log'!D78),"",'1_raw_log'!D78)</f>
        <v/>
      </c>
      <c r="E78" s="4">
        <f>IF(ISBLANK('1_raw_log'!E78),"",'1_raw_log'!E78)</f>
        <v/>
      </c>
      <c r="F78" s="2">
        <f>IF(ISBLANK('1_raw_log'!F78),"",'1_raw_log'!F78)</f>
        <v/>
      </c>
      <c r="G78" s="2">
        <f>IF(ISBLANK('1_raw_log'!G78),"",'1_raw_log'!G78)</f>
        <v/>
      </c>
      <c r="H78" s="2">
        <f>IF(ISBLANK('1_raw_log'!H78),"",'1_raw_log'!H78)</f>
        <v/>
      </c>
      <c r="I78" s="7">
        <f>IF(ISBLANK('1_raw_log'!I78),"",'1_raw_log'!I78)</f>
        <v/>
      </c>
      <c r="J78" s="2">
        <f>IF(ISBLANK('1_raw_log'!J78),"",'1_raw_log'!J78)</f>
        <v/>
      </c>
      <c r="K78" s="2">
        <f>IF(ISBLANK('1_raw_log'!K78),"",'1_raw_log'!K78)</f>
        <v/>
      </c>
      <c r="L78" s="30">
        <f>INT(B78)</f>
        <v/>
      </c>
      <c r="M78" s="20">
        <f>ROUND(MOD(B78,1)*1440,0)/1440</f>
        <v/>
      </c>
      <c r="N78" s="4">
        <f>IFERROR(INDEX('3_ref_date'!$B:$B,MATCH(L78,'3_ref_date'!$A:$A,0)),"NOT FOUND")</f>
        <v/>
      </c>
      <c r="O78" s="2">
        <f>IFERROR(INDEX('3_ref_date'!$C:$C,MATCH(L78,'3_ref_date'!$A:$A,0)),"NOT FOUND")</f>
        <v/>
      </c>
      <c r="P78" s="4">
        <f>IFERROR(INDEX('3_ref_date'!$D:$D,MATCH(L78,'3_ref_date'!$A:$A,0)),"NOT FOUND")</f>
        <v/>
      </c>
      <c r="Q78" s="4">
        <f>IFERROR(INDEX('3_ref_date'!$E:$E,MATCH(L78,'3_ref_date'!$A:$A,0)),"NOT FOUND")</f>
        <v/>
      </c>
      <c r="R78" s="2">
        <f>IFERROR(INDEX('3_ref_date'!$F:$F,MATCH(L78,'3_ref_date'!$A:$A,0)),"NOT FOUND")</f>
        <v/>
      </c>
      <c r="S78" s="2">
        <f>IFERROR(INDEX('4_ref_time'!$D:$D,MATCH(ROUND(M78*1440,0),'4_ref_time'!$A:$A,0)),"NOT FOUND")</f>
        <v/>
      </c>
      <c r="T78" s="2">
        <f>UPPER(TRIM(C78))</f>
        <v/>
      </c>
      <c r="U78" s="30">
        <f>IF(_xlfn.MAXIFS('6_3nf_branch_history'!$B$2:$B$50,'6_3nf_branch_history'!$A$2:$A$50,T78,'6_3nf_branch_history'!$B$2:$B$50,"&lt;="&amp;L78)=0,"NOT FOUND",_xlfn.MAXIFS('6_3nf_branch_history'!$B$2:$B$50,'6_3nf_branch_history'!$A$2:$A$50,T78,'6_3nf_branch_history'!$B$2:$B$50,"&lt;="&amp;L78))</f>
        <v/>
      </c>
      <c r="V78" s="2">
        <f>IF(U78="NOT FOUND","NOT FOUND",INDEX('6_3nf_branch_history'!$C:$C,SUMPRODUCT(('6_3nf_branch_history'!$A$2:$A$50=T78)*('6_3nf_branch_history'!$B$2:$B$50=U78)*ROW('6_3nf_branch_history'!$A$2:$A$50))))</f>
        <v/>
      </c>
      <c r="W78" s="2">
        <f>IF(U78="NOT FOUND","NOT FOUND",INDEX('6_3nf_branch_history'!$D:$D,SUMPRODUCT(('6_3nf_branch_history'!$A$2:$A$50=T78)*('6_3nf_branch_history'!$B$2:$B$50=U78)*ROW('6_3nf_branch_history'!$A$2:$A$50))))</f>
        <v/>
      </c>
      <c r="X78" s="2">
        <f>IF(U78="NOT FOUND","NOT FOUND",INDEX('6_3nf_branch_history'!$E:$E,SUMPRODUCT(('6_3nf_branch_history'!$A$2:$A$50=T78)*('6_3nf_branch_history'!$B$2:$B$50=U78)*ROW('6_3nf_branch_history'!$A$2:$A$50))))</f>
        <v/>
      </c>
      <c r="Y78" s="2">
        <f>UPPER(TRIM(D78))</f>
        <v/>
      </c>
      <c r="Z78" s="2">
        <f>IFERROR(INDEX('7_3nf_product'!$B:$B,MATCH(Y78,'7_3nf_product'!$A:$A,0)),"NOT FOUND")</f>
        <v/>
      </c>
      <c r="AA78" s="2">
        <f>IFERROR(INDEX('7_3nf_product'!$C:$C,MATCH(Y78,'7_3nf_product'!$A:$A,0)),"NOT FOUND")</f>
        <v/>
      </c>
      <c r="AB78" s="2">
        <f>IFERROR(INDEX('7_3nf_product'!$D:$D,MATCH(Y78,'7_3nf_product'!$A:$A,0)),"NOT FOUND")</f>
        <v/>
      </c>
      <c r="AC78" s="6">
        <f>IFERROR(INDEX('7_3nf_product'!$E:$E,MATCH(Y78,'7_3nf_product'!$A:$A,0)),"NOT FOUND")</f>
        <v/>
      </c>
      <c r="AD78" s="33">
        <f>IF(LEN(TRIM(E78))=10,TRIM(E78),IF(LEN(TRIM(E78))=8,"00"&amp;TRIM(E78),"CHECK"))</f>
        <v/>
      </c>
      <c r="AE78" s="2">
        <f>IFERROR(INDEX('8_3nf_customer'!$C:$C,MATCH(AD78,'8_3nf_customer'!$B:$B,0)),"NOT FOUND")</f>
        <v/>
      </c>
      <c r="AF78" s="30">
        <f>IFERROR(INDEX('8_3nf_customer'!$D:$D,MATCH(AD78,'8_3nf_customer'!$B:$B,0)),"NOT FOUND")</f>
        <v/>
      </c>
      <c r="AG78" s="4">
        <f>IF(ISNUMBER(AF78),DATEDIF(AF78,L78,"y"),"NOT FOUND")</f>
        <v/>
      </c>
      <c r="AH78" s="2">
        <f>IFERROR(INDEX('8_3nf_customer'!$E:$E,MATCH(AD78,'8_3nf_customer'!$B:$B,0)),"NOT FOUND")</f>
        <v/>
      </c>
      <c r="AI78" s="30">
        <f>IF(_xlfn.MAXIFS('9_3nf_customer_history'!$B$2:$B$500,'9_3nf_customer_history'!$A$2:$A$500,AD78,'9_3nf_customer_history'!$B$2:$B$500,"&lt;="&amp;L78)=0,"NOT FOUND",_xlfn.MAXIFS('9_3nf_customer_history'!$B$2:$B$500,'9_3nf_customer_history'!$A$2:$A$500,AD78,'9_3nf_customer_history'!$B$2:$B$500,"&lt;="&amp;L78))</f>
        <v/>
      </c>
      <c r="AJ78" s="2">
        <f>IF(AI78="NOT FOUND","NOT FOUND",INDEX('9_3nf_customer_history'!$C:$C,SUMPRODUCT(('9_3nf_customer_history'!$A$2:$A$500=AD78)*('9_3nf_customer_history'!$B$2:$B$500=AI78)*ROW('9_3nf_customer_history'!$A$2:$A$500))))</f>
        <v/>
      </c>
      <c r="AK78" s="2">
        <f>IF(AI78="NOT FOUND","NOT FOUND",INDEX('9_3nf_customer_history'!$D:$D,SUMPRODUCT(('9_3nf_customer_history'!$A$2:$A$500=AD78)*('9_3nf_customer_history'!$B$2:$B$500=AI78)*ROW('9_3nf_customer_history'!$A$2:$A$500))))</f>
        <v/>
      </c>
      <c r="AL78" s="2">
        <f>UPPER(TRIM(H78))</f>
        <v/>
      </c>
      <c r="AM78" s="30">
        <f>IF(_xlfn.MAXIFS('10_ref_fx_rate'!$B$2:$B$2000,'10_ref_fx_rate'!$A$2:$A$2000,AL78,'10_ref_fx_rate'!$B$2:$B$2000,"&lt;="&amp;L78)=0,"NOT FOUND",_xlfn.MAXIFS('10_ref_fx_rate'!$B$2:$B$2000,'10_ref_fx_rate'!$A$2:$A$2000,AL78,'10_ref_fx_rate'!$B$2:$B$2000,"&lt;="&amp;L78))</f>
        <v/>
      </c>
      <c r="AN78" s="8">
        <f>IF(AM78="NOT FOUND","NOT FOUND",SUMIFS('10_ref_fx_rate'!$D$2:$D$2000,'10_ref_fx_rate'!$A$2:$A$2000,AL78,'10_ref_fx_rate'!$B$2:$B$2000,AM78))</f>
        <v/>
      </c>
      <c r="AO78" s="37">
        <f>IF(ISNUMBER(AN78),I78*AN78,"NOT FOUND")</f>
        <v/>
      </c>
      <c r="AP78" s="2">
        <f>UPPER(TRIM(J78))</f>
        <v/>
      </c>
      <c r="AQ78" s="2">
        <f>IF(AP78="","SELF-DIRECTED",IF(ISNUMBER(MATCH(AP78,'11_3nf_sales_person'!$A:$A,0)),IF(EXACT(AP78,J78),"OK","OK (auto-fixed)"),IF(ISNA(MATCH($A78,'12_sales_person_confirmation'!$A:$A,0)),"CONFIRM (not logged)",IF(INDEX('12_sales_person_confirmation'!$I:$I,MATCH($A78,'12_sales_person_confirmation'!$A:$A,0))="CONFIRMED","CONFIRMED ("&amp;LOWER(INDEX('12_sales_person_confirmation'!$E:$E,MATCH($A78,'12_sales_person_confirmation'!$A:$A,0)))&amp;")","PENDING CONFIRM"))))</f>
        <v/>
      </c>
      <c r="AR78" s="2">
        <f>IF(OR(AQ78="OK",AQ78="OK (auto-fixed)"),AP78,IF(LEFT(AQ78,9)="CONFIRMED",INDEX('12_sales_person_confirmation'!$F:$F,MATCH($A78,'12_sales_person_confirmation'!$A:$A,0)),""))</f>
        <v/>
      </c>
      <c r="AS78" s="2">
        <f>IF(AR78="","",INDEX('11_3nf_sales_person'!$B:$B,MATCH(AR78,'11_3nf_sales_person'!$A:$A,0)))</f>
        <v/>
      </c>
    </row>
    <row r="79">
      <c r="A79" s="2">
        <f>IF(ISBLANK('1_raw_log'!A79),"",'1_raw_log'!A79)</f>
        <v/>
      </c>
      <c r="B79" s="3">
        <f>IF(ISBLANK('1_raw_log'!B79),"",'1_raw_log'!B79)</f>
        <v/>
      </c>
      <c r="C79" s="2">
        <f>IF(ISBLANK('1_raw_log'!C79),"",'1_raw_log'!C79)</f>
        <v/>
      </c>
      <c r="D79" s="2">
        <f>IF(ISBLANK('1_raw_log'!D79),"",'1_raw_log'!D79)</f>
        <v/>
      </c>
      <c r="E79" s="4">
        <f>IF(ISBLANK('1_raw_log'!E79),"",'1_raw_log'!E79)</f>
        <v/>
      </c>
      <c r="F79" s="2">
        <f>IF(ISBLANK('1_raw_log'!F79),"",'1_raw_log'!F79)</f>
        <v/>
      </c>
      <c r="G79" s="2">
        <f>IF(ISBLANK('1_raw_log'!G79),"",'1_raw_log'!G79)</f>
        <v/>
      </c>
      <c r="H79" s="2">
        <f>IF(ISBLANK('1_raw_log'!H79),"",'1_raw_log'!H79)</f>
        <v/>
      </c>
      <c r="I79" s="7">
        <f>IF(ISBLANK('1_raw_log'!I79),"",'1_raw_log'!I79)</f>
        <v/>
      </c>
      <c r="J79" s="2">
        <f>IF(ISBLANK('1_raw_log'!J79),"",'1_raw_log'!J79)</f>
        <v/>
      </c>
      <c r="K79" s="2">
        <f>IF(ISBLANK('1_raw_log'!K79),"",'1_raw_log'!K79)</f>
        <v/>
      </c>
      <c r="L79" s="30">
        <f>INT(B79)</f>
        <v/>
      </c>
      <c r="M79" s="20">
        <f>ROUND(MOD(B79,1)*1440,0)/1440</f>
        <v/>
      </c>
      <c r="N79" s="4">
        <f>IFERROR(INDEX('3_ref_date'!$B:$B,MATCH(L79,'3_ref_date'!$A:$A,0)),"NOT FOUND")</f>
        <v/>
      </c>
      <c r="O79" s="2">
        <f>IFERROR(INDEX('3_ref_date'!$C:$C,MATCH(L79,'3_ref_date'!$A:$A,0)),"NOT FOUND")</f>
        <v/>
      </c>
      <c r="P79" s="4">
        <f>IFERROR(INDEX('3_ref_date'!$D:$D,MATCH(L79,'3_ref_date'!$A:$A,0)),"NOT FOUND")</f>
        <v/>
      </c>
      <c r="Q79" s="4">
        <f>IFERROR(INDEX('3_ref_date'!$E:$E,MATCH(L79,'3_ref_date'!$A:$A,0)),"NOT FOUND")</f>
        <v/>
      </c>
      <c r="R79" s="2">
        <f>IFERROR(INDEX('3_ref_date'!$F:$F,MATCH(L79,'3_ref_date'!$A:$A,0)),"NOT FOUND")</f>
        <v/>
      </c>
      <c r="S79" s="2">
        <f>IFERROR(INDEX('4_ref_time'!$D:$D,MATCH(ROUND(M79*1440,0),'4_ref_time'!$A:$A,0)),"NOT FOUND")</f>
        <v/>
      </c>
      <c r="T79" s="2">
        <f>UPPER(TRIM(C79))</f>
        <v/>
      </c>
      <c r="U79" s="30">
        <f>IF(_xlfn.MAXIFS('6_3nf_branch_history'!$B$2:$B$50,'6_3nf_branch_history'!$A$2:$A$50,T79,'6_3nf_branch_history'!$B$2:$B$50,"&lt;="&amp;L79)=0,"NOT FOUND",_xlfn.MAXIFS('6_3nf_branch_history'!$B$2:$B$50,'6_3nf_branch_history'!$A$2:$A$50,T79,'6_3nf_branch_history'!$B$2:$B$50,"&lt;="&amp;L79))</f>
        <v/>
      </c>
      <c r="V79" s="2">
        <f>IF(U79="NOT FOUND","NOT FOUND",INDEX('6_3nf_branch_history'!$C:$C,SUMPRODUCT(('6_3nf_branch_history'!$A$2:$A$50=T79)*('6_3nf_branch_history'!$B$2:$B$50=U79)*ROW('6_3nf_branch_history'!$A$2:$A$50))))</f>
        <v/>
      </c>
      <c r="W79" s="2">
        <f>IF(U79="NOT FOUND","NOT FOUND",INDEX('6_3nf_branch_history'!$D:$D,SUMPRODUCT(('6_3nf_branch_history'!$A$2:$A$50=T79)*('6_3nf_branch_history'!$B$2:$B$50=U79)*ROW('6_3nf_branch_history'!$A$2:$A$50))))</f>
        <v/>
      </c>
      <c r="X79" s="2">
        <f>IF(U79="NOT FOUND","NOT FOUND",INDEX('6_3nf_branch_history'!$E:$E,SUMPRODUCT(('6_3nf_branch_history'!$A$2:$A$50=T79)*('6_3nf_branch_history'!$B$2:$B$50=U79)*ROW('6_3nf_branch_history'!$A$2:$A$50))))</f>
        <v/>
      </c>
      <c r="Y79" s="2">
        <f>UPPER(TRIM(D79))</f>
        <v/>
      </c>
      <c r="Z79" s="2">
        <f>IFERROR(INDEX('7_3nf_product'!$B:$B,MATCH(Y79,'7_3nf_product'!$A:$A,0)),"NOT FOUND")</f>
        <v/>
      </c>
      <c r="AA79" s="2">
        <f>IFERROR(INDEX('7_3nf_product'!$C:$C,MATCH(Y79,'7_3nf_product'!$A:$A,0)),"NOT FOUND")</f>
        <v/>
      </c>
      <c r="AB79" s="2">
        <f>IFERROR(INDEX('7_3nf_product'!$D:$D,MATCH(Y79,'7_3nf_product'!$A:$A,0)),"NOT FOUND")</f>
        <v/>
      </c>
      <c r="AC79" s="6">
        <f>IFERROR(INDEX('7_3nf_product'!$E:$E,MATCH(Y79,'7_3nf_product'!$A:$A,0)),"NOT FOUND")</f>
        <v/>
      </c>
      <c r="AD79" s="33">
        <f>IF(LEN(TRIM(E79))=10,TRIM(E79),IF(LEN(TRIM(E79))=8,"00"&amp;TRIM(E79),"CHECK"))</f>
        <v/>
      </c>
      <c r="AE79" s="2">
        <f>IFERROR(INDEX('8_3nf_customer'!$C:$C,MATCH(AD79,'8_3nf_customer'!$B:$B,0)),"NOT FOUND")</f>
        <v/>
      </c>
      <c r="AF79" s="30">
        <f>IFERROR(INDEX('8_3nf_customer'!$D:$D,MATCH(AD79,'8_3nf_customer'!$B:$B,0)),"NOT FOUND")</f>
        <v/>
      </c>
      <c r="AG79" s="4">
        <f>IF(ISNUMBER(AF79),DATEDIF(AF79,L79,"y"),"NOT FOUND")</f>
        <v/>
      </c>
      <c r="AH79" s="2">
        <f>IFERROR(INDEX('8_3nf_customer'!$E:$E,MATCH(AD79,'8_3nf_customer'!$B:$B,0)),"NOT FOUND")</f>
        <v/>
      </c>
      <c r="AI79" s="30">
        <f>IF(_xlfn.MAXIFS('9_3nf_customer_history'!$B$2:$B$500,'9_3nf_customer_history'!$A$2:$A$500,AD79,'9_3nf_customer_history'!$B$2:$B$500,"&lt;="&amp;L79)=0,"NOT FOUND",_xlfn.MAXIFS('9_3nf_customer_history'!$B$2:$B$500,'9_3nf_customer_history'!$A$2:$A$500,AD79,'9_3nf_customer_history'!$B$2:$B$500,"&lt;="&amp;L79))</f>
        <v/>
      </c>
      <c r="AJ79" s="2">
        <f>IF(AI79="NOT FOUND","NOT FOUND",INDEX('9_3nf_customer_history'!$C:$C,SUMPRODUCT(('9_3nf_customer_history'!$A$2:$A$500=AD79)*('9_3nf_customer_history'!$B$2:$B$500=AI79)*ROW('9_3nf_customer_history'!$A$2:$A$500))))</f>
        <v/>
      </c>
      <c r="AK79" s="2">
        <f>IF(AI79="NOT FOUND","NOT FOUND",INDEX('9_3nf_customer_history'!$D:$D,SUMPRODUCT(('9_3nf_customer_history'!$A$2:$A$500=AD79)*('9_3nf_customer_history'!$B$2:$B$500=AI79)*ROW('9_3nf_customer_history'!$A$2:$A$500))))</f>
        <v/>
      </c>
      <c r="AL79" s="2">
        <f>UPPER(TRIM(H79))</f>
        <v/>
      </c>
      <c r="AM79" s="30">
        <f>IF(_xlfn.MAXIFS('10_ref_fx_rate'!$B$2:$B$2000,'10_ref_fx_rate'!$A$2:$A$2000,AL79,'10_ref_fx_rate'!$B$2:$B$2000,"&lt;="&amp;L79)=0,"NOT FOUND",_xlfn.MAXIFS('10_ref_fx_rate'!$B$2:$B$2000,'10_ref_fx_rate'!$A$2:$A$2000,AL79,'10_ref_fx_rate'!$B$2:$B$2000,"&lt;="&amp;L79))</f>
        <v/>
      </c>
      <c r="AN79" s="8">
        <f>IF(AM79="NOT FOUND","NOT FOUND",SUMIFS('10_ref_fx_rate'!$D$2:$D$2000,'10_ref_fx_rate'!$A$2:$A$2000,AL79,'10_ref_fx_rate'!$B$2:$B$2000,AM79))</f>
        <v/>
      </c>
      <c r="AO79" s="37">
        <f>IF(ISNUMBER(AN79),I79*AN79,"NOT FOUND")</f>
        <v/>
      </c>
      <c r="AP79" s="2">
        <f>UPPER(TRIM(J79))</f>
        <v/>
      </c>
      <c r="AQ79" s="2">
        <f>IF(AP79="","SELF-DIRECTED",IF(ISNUMBER(MATCH(AP79,'11_3nf_sales_person'!$A:$A,0)),IF(EXACT(AP79,J79),"OK","OK (auto-fixed)"),IF(ISNA(MATCH($A79,'12_sales_person_confirmation'!$A:$A,0)),"CONFIRM (not logged)",IF(INDEX('12_sales_person_confirmation'!$I:$I,MATCH($A79,'12_sales_person_confirmation'!$A:$A,0))="CONFIRMED","CONFIRMED ("&amp;LOWER(INDEX('12_sales_person_confirmation'!$E:$E,MATCH($A79,'12_sales_person_confirmation'!$A:$A,0)))&amp;")","PENDING CONFIRM"))))</f>
        <v/>
      </c>
      <c r="AR79" s="2">
        <f>IF(OR(AQ79="OK",AQ79="OK (auto-fixed)"),AP79,IF(LEFT(AQ79,9)="CONFIRMED",INDEX('12_sales_person_confirmation'!$F:$F,MATCH($A79,'12_sales_person_confirmation'!$A:$A,0)),""))</f>
        <v/>
      </c>
      <c r="AS79" s="2">
        <f>IF(AR79="","",INDEX('11_3nf_sales_person'!$B:$B,MATCH(AR79,'11_3nf_sales_person'!$A:$A,0)))</f>
        <v/>
      </c>
    </row>
    <row r="80">
      <c r="A80" s="2">
        <f>IF(ISBLANK('1_raw_log'!A80),"",'1_raw_log'!A80)</f>
        <v/>
      </c>
      <c r="B80" s="3">
        <f>IF(ISBLANK('1_raw_log'!B80),"",'1_raw_log'!B80)</f>
        <v/>
      </c>
      <c r="C80" s="2">
        <f>IF(ISBLANK('1_raw_log'!C80),"",'1_raw_log'!C80)</f>
        <v/>
      </c>
      <c r="D80" s="2">
        <f>IF(ISBLANK('1_raw_log'!D80),"",'1_raw_log'!D80)</f>
        <v/>
      </c>
      <c r="E80" s="4">
        <f>IF(ISBLANK('1_raw_log'!E80),"",'1_raw_log'!E80)</f>
        <v/>
      </c>
      <c r="F80" s="2">
        <f>IF(ISBLANK('1_raw_log'!F80),"",'1_raw_log'!F80)</f>
        <v/>
      </c>
      <c r="G80" s="2">
        <f>IF(ISBLANK('1_raw_log'!G80),"",'1_raw_log'!G80)</f>
        <v/>
      </c>
      <c r="H80" s="2">
        <f>IF(ISBLANK('1_raw_log'!H80),"",'1_raw_log'!H80)</f>
        <v/>
      </c>
      <c r="I80" s="7">
        <f>IF(ISBLANK('1_raw_log'!I80),"",'1_raw_log'!I80)</f>
        <v/>
      </c>
      <c r="J80" s="2">
        <f>IF(ISBLANK('1_raw_log'!J80),"",'1_raw_log'!J80)</f>
        <v/>
      </c>
      <c r="K80" s="2">
        <f>IF(ISBLANK('1_raw_log'!K80),"",'1_raw_log'!K80)</f>
        <v/>
      </c>
      <c r="L80" s="30">
        <f>INT(B80)</f>
        <v/>
      </c>
      <c r="M80" s="20">
        <f>ROUND(MOD(B80,1)*1440,0)/1440</f>
        <v/>
      </c>
      <c r="N80" s="4">
        <f>IFERROR(INDEX('3_ref_date'!$B:$B,MATCH(L80,'3_ref_date'!$A:$A,0)),"NOT FOUND")</f>
        <v/>
      </c>
      <c r="O80" s="2">
        <f>IFERROR(INDEX('3_ref_date'!$C:$C,MATCH(L80,'3_ref_date'!$A:$A,0)),"NOT FOUND")</f>
        <v/>
      </c>
      <c r="P80" s="4">
        <f>IFERROR(INDEX('3_ref_date'!$D:$D,MATCH(L80,'3_ref_date'!$A:$A,0)),"NOT FOUND")</f>
        <v/>
      </c>
      <c r="Q80" s="4">
        <f>IFERROR(INDEX('3_ref_date'!$E:$E,MATCH(L80,'3_ref_date'!$A:$A,0)),"NOT FOUND")</f>
        <v/>
      </c>
      <c r="R80" s="2">
        <f>IFERROR(INDEX('3_ref_date'!$F:$F,MATCH(L80,'3_ref_date'!$A:$A,0)),"NOT FOUND")</f>
        <v/>
      </c>
      <c r="S80" s="2">
        <f>IFERROR(INDEX('4_ref_time'!$D:$D,MATCH(ROUND(M80*1440,0),'4_ref_time'!$A:$A,0)),"NOT FOUND")</f>
        <v/>
      </c>
      <c r="T80" s="2">
        <f>UPPER(TRIM(C80))</f>
        <v/>
      </c>
      <c r="U80" s="30">
        <f>IF(_xlfn.MAXIFS('6_3nf_branch_history'!$B$2:$B$50,'6_3nf_branch_history'!$A$2:$A$50,T80,'6_3nf_branch_history'!$B$2:$B$50,"&lt;="&amp;L80)=0,"NOT FOUND",_xlfn.MAXIFS('6_3nf_branch_history'!$B$2:$B$50,'6_3nf_branch_history'!$A$2:$A$50,T80,'6_3nf_branch_history'!$B$2:$B$50,"&lt;="&amp;L80))</f>
        <v/>
      </c>
      <c r="V80" s="2">
        <f>IF(U80="NOT FOUND","NOT FOUND",INDEX('6_3nf_branch_history'!$C:$C,SUMPRODUCT(('6_3nf_branch_history'!$A$2:$A$50=T80)*('6_3nf_branch_history'!$B$2:$B$50=U80)*ROW('6_3nf_branch_history'!$A$2:$A$50))))</f>
        <v/>
      </c>
      <c r="W80" s="2">
        <f>IF(U80="NOT FOUND","NOT FOUND",INDEX('6_3nf_branch_history'!$D:$D,SUMPRODUCT(('6_3nf_branch_history'!$A$2:$A$50=T80)*('6_3nf_branch_history'!$B$2:$B$50=U80)*ROW('6_3nf_branch_history'!$A$2:$A$50))))</f>
        <v/>
      </c>
      <c r="X80" s="2">
        <f>IF(U80="NOT FOUND","NOT FOUND",INDEX('6_3nf_branch_history'!$E:$E,SUMPRODUCT(('6_3nf_branch_history'!$A$2:$A$50=T80)*('6_3nf_branch_history'!$B$2:$B$50=U80)*ROW('6_3nf_branch_history'!$A$2:$A$50))))</f>
        <v/>
      </c>
      <c r="Y80" s="2">
        <f>UPPER(TRIM(D80))</f>
        <v/>
      </c>
      <c r="Z80" s="2">
        <f>IFERROR(INDEX('7_3nf_product'!$B:$B,MATCH(Y80,'7_3nf_product'!$A:$A,0)),"NOT FOUND")</f>
        <v/>
      </c>
      <c r="AA80" s="2">
        <f>IFERROR(INDEX('7_3nf_product'!$C:$C,MATCH(Y80,'7_3nf_product'!$A:$A,0)),"NOT FOUND")</f>
        <v/>
      </c>
      <c r="AB80" s="2">
        <f>IFERROR(INDEX('7_3nf_product'!$D:$D,MATCH(Y80,'7_3nf_product'!$A:$A,0)),"NOT FOUND")</f>
        <v/>
      </c>
      <c r="AC80" s="6">
        <f>IFERROR(INDEX('7_3nf_product'!$E:$E,MATCH(Y80,'7_3nf_product'!$A:$A,0)),"NOT FOUND")</f>
        <v/>
      </c>
      <c r="AD80" s="33">
        <f>IF(LEN(TRIM(E80))=10,TRIM(E80),IF(LEN(TRIM(E80))=8,"00"&amp;TRIM(E80),"CHECK"))</f>
        <v/>
      </c>
      <c r="AE80" s="2">
        <f>IFERROR(INDEX('8_3nf_customer'!$C:$C,MATCH(AD80,'8_3nf_customer'!$B:$B,0)),"NOT FOUND")</f>
        <v/>
      </c>
      <c r="AF80" s="30">
        <f>IFERROR(INDEX('8_3nf_customer'!$D:$D,MATCH(AD80,'8_3nf_customer'!$B:$B,0)),"NOT FOUND")</f>
        <v/>
      </c>
      <c r="AG80" s="4">
        <f>IF(ISNUMBER(AF80),DATEDIF(AF80,L80,"y"),"NOT FOUND")</f>
        <v/>
      </c>
      <c r="AH80" s="2">
        <f>IFERROR(INDEX('8_3nf_customer'!$E:$E,MATCH(AD80,'8_3nf_customer'!$B:$B,0)),"NOT FOUND")</f>
        <v/>
      </c>
      <c r="AI80" s="30">
        <f>IF(_xlfn.MAXIFS('9_3nf_customer_history'!$B$2:$B$500,'9_3nf_customer_history'!$A$2:$A$500,AD80,'9_3nf_customer_history'!$B$2:$B$500,"&lt;="&amp;L80)=0,"NOT FOUND",_xlfn.MAXIFS('9_3nf_customer_history'!$B$2:$B$500,'9_3nf_customer_history'!$A$2:$A$500,AD80,'9_3nf_customer_history'!$B$2:$B$500,"&lt;="&amp;L80))</f>
        <v/>
      </c>
      <c r="AJ80" s="2">
        <f>IF(AI80="NOT FOUND","NOT FOUND",INDEX('9_3nf_customer_history'!$C:$C,SUMPRODUCT(('9_3nf_customer_history'!$A$2:$A$500=AD80)*('9_3nf_customer_history'!$B$2:$B$500=AI80)*ROW('9_3nf_customer_history'!$A$2:$A$500))))</f>
        <v/>
      </c>
      <c r="AK80" s="2">
        <f>IF(AI80="NOT FOUND","NOT FOUND",INDEX('9_3nf_customer_history'!$D:$D,SUMPRODUCT(('9_3nf_customer_history'!$A$2:$A$500=AD80)*('9_3nf_customer_history'!$B$2:$B$500=AI80)*ROW('9_3nf_customer_history'!$A$2:$A$500))))</f>
        <v/>
      </c>
      <c r="AL80" s="2">
        <f>UPPER(TRIM(H80))</f>
        <v/>
      </c>
      <c r="AM80" s="30">
        <f>IF(_xlfn.MAXIFS('10_ref_fx_rate'!$B$2:$B$2000,'10_ref_fx_rate'!$A$2:$A$2000,AL80,'10_ref_fx_rate'!$B$2:$B$2000,"&lt;="&amp;L80)=0,"NOT FOUND",_xlfn.MAXIFS('10_ref_fx_rate'!$B$2:$B$2000,'10_ref_fx_rate'!$A$2:$A$2000,AL80,'10_ref_fx_rate'!$B$2:$B$2000,"&lt;="&amp;L80))</f>
        <v/>
      </c>
      <c r="AN80" s="8">
        <f>IF(AM80="NOT FOUND","NOT FOUND",SUMIFS('10_ref_fx_rate'!$D$2:$D$2000,'10_ref_fx_rate'!$A$2:$A$2000,AL80,'10_ref_fx_rate'!$B$2:$B$2000,AM80))</f>
        <v/>
      </c>
      <c r="AO80" s="37">
        <f>IF(ISNUMBER(AN80),I80*AN80,"NOT FOUND")</f>
        <v/>
      </c>
      <c r="AP80" s="2">
        <f>UPPER(TRIM(J80))</f>
        <v/>
      </c>
      <c r="AQ80" s="2">
        <f>IF(AP80="","SELF-DIRECTED",IF(ISNUMBER(MATCH(AP80,'11_3nf_sales_person'!$A:$A,0)),IF(EXACT(AP80,J80),"OK","OK (auto-fixed)"),IF(ISNA(MATCH($A80,'12_sales_person_confirmation'!$A:$A,0)),"CONFIRM (not logged)",IF(INDEX('12_sales_person_confirmation'!$I:$I,MATCH($A80,'12_sales_person_confirmation'!$A:$A,0))="CONFIRMED","CONFIRMED ("&amp;LOWER(INDEX('12_sales_person_confirmation'!$E:$E,MATCH($A80,'12_sales_person_confirmation'!$A:$A,0)))&amp;")","PENDING CONFIRM"))))</f>
        <v/>
      </c>
      <c r="AR80" s="2">
        <f>IF(OR(AQ80="OK",AQ80="OK (auto-fixed)"),AP80,IF(LEFT(AQ80,9)="CONFIRMED",INDEX('12_sales_person_confirmation'!$F:$F,MATCH($A80,'12_sales_person_confirmation'!$A:$A,0)),""))</f>
        <v/>
      </c>
      <c r="AS80" s="2">
        <f>IF(AR80="","",INDEX('11_3nf_sales_person'!$B:$B,MATCH(AR80,'11_3nf_sales_person'!$A:$A,0)))</f>
        <v/>
      </c>
    </row>
    <row r="81">
      <c r="A81" s="2">
        <f>IF(ISBLANK('1_raw_log'!A81),"",'1_raw_log'!A81)</f>
        <v/>
      </c>
      <c r="B81" s="3">
        <f>IF(ISBLANK('1_raw_log'!B81),"",'1_raw_log'!B81)</f>
        <v/>
      </c>
      <c r="C81" s="2">
        <f>IF(ISBLANK('1_raw_log'!C81),"",'1_raw_log'!C81)</f>
        <v/>
      </c>
      <c r="D81" s="2">
        <f>IF(ISBLANK('1_raw_log'!D81),"",'1_raw_log'!D81)</f>
        <v/>
      </c>
      <c r="E81" s="4">
        <f>IF(ISBLANK('1_raw_log'!E81),"",'1_raw_log'!E81)</f>
        <v/>
      </c>
      <c r="F81" s="2">
        <f>IF(ISBLANK('1_raw_log'!F81),"",'1_raw_log'!F81)</f>
        <v/>
      </c>
      <c r="G81" s="2">
        <f>IF(ISBLANK('1_raw_log'!G81),"",'1_raw_log'!G81)</f>
        <v/>
      </c>
      <c r="H81" s="2">
        <f>IF(ISBLANK('1_raw_log'!H81),"",'1_raw_log'!H81)</f>
        <v/>
      </c>
      <c r="I81" s="7">
        <f>IF(ISBLANK('1_raw_log'!I81),"",'1_raw_log'!I81)</f>
        <v/>
      </c>
      <c r="J81" s="2">
        <f>IF(ISBLANK('1_raw_log'!J81),"",'1_raw_log'!J81)</f>
        <v/>
      </c>
      <c r="K81" s="2">
        <f>IF(ISBLANK('1_raw_log'!K81),"",'1_raw_log'!K81)</f>
        <v/>
      </c>
      <c r="L81" s="30">
        <f>INT(B81)</f>
        <v/>
      </c>
      <c r="M81" s="20">
        <f>ROUND(MOD(B81,1)*1440,0)/1440</f>
        <v/>
      </c>
      <c r="N81" s="4">
        <f>IFERROR(INDEX('3_ref_date'!$B:$B,MATCH(L81,'3_ref_date'!$A:$A,0)),"NOT FOUND")</f>
        <v/>
      </c>
      <c r="O81" s="2">
        <f>IFERROR(INDEX('3_ref_date'!$C:$C,MATCH(L81,'3_ref_date'!$A:$A,0)),"NOT FOUND")</f>
        <v/>
      </c>
      <c r="P81" s="4">
        <f>IFERROR(INDEX('3_ref_date'!$D:$D,MATCH(L81,'3_ref_date'!$A:$A,0)),"NOT FOUND")</f>
        <v/>
      </c>
      <c r="Q81" s="4">
        <f>IFERROR(INDEX('3_ref_date'!$E:$E,MATCH(L81,'3_ref_date'!$A:$A,0)),"NOT FOUND")</f>
        <v/>
      </c>
      <c r="R81" s="2">
        <f>IFERROR(INDEX('3_ref_date'!$F:$F,MATCH(L81,'3_ref_date'!$A:$A,0)),"NOT FOUND")</f>
        <v/>
      </c>
      <c r="S81" s="2">
        <f>IFERROR(INDEX('4_ref_time'!$D:$D,MATCH(ROUND(M81*1440,0),'4_ref_time'!$A:$A,0)),"NOT FOUND")</f>
        <v/>
      </c>
      <c r="T81" s="2">
        <f>UPPER(TRIM(C81))</f>
        <v/>
      </c>
      <c r="U81" s="30">
        <f>IF(_xlfn.MAXIFS('6_3nf_branch_history'!$B$2:$B$50,'6_3nf_branch_history'!$A$2:$A$50,T81,'6_3nf_branch_history'!$B$2:$B$50,"&lt;="&amp;L81)=0,"NOT FOUND",_xlfn.MAXIFS('6_3nf_branch_history'!$B$2:$B$50,'6_3nf_branch_history'!$A$2:$A$50,T81,'6_3nf_branch_history'!$B$2:$B$50,"&lt;="&amp;L81))</f>
        <v/>
      </c>
      <c r="V81" s="2">
        <f>IF(U81="NOT FOUND","NOT FOUND",INDEX('6_3nf_branch_history'!$C:$C,SUMPRODUCT(('6_3nf_branch_history'!$A$2:$A$50=T81)*('6_3nf_branch_history'!$B$2:$B$50=U81)*ROW('6_3nf_branch_history'!$A$2:$A$50))))</f>
        <v/>
      </c>
      <c r="W81" s="2">
        <f>IF(U81="NOT FOUND","NOT FOUND",INDEX('6_3nf_branch_history'!$D:$D,SUMPRODUCT(('6_3nf_branch_history'!$A$2:$A$50=T81)*('6_3nf_branch_history'!$B$2:$B$50=U81)*ROW('6_3nf_branch_history'!$A$2:$A$50))))</f>
        <v/>
      </c>
      <c r="X81" s="2">
        <f>IF(U81="NOT FOUND","NOT FOUND",INDEX('6_3nf_branch_history'!$E:$E,SUMPRODUCT(('6_3nf_branch_history'!$A$2:$A$50=T81)*('6_3nf_branch_history'!$B$2:$B$50=U81)*ROW('6_3nf_branch_history'!$A$2:$A$50))))</f>
        <v/>
      </c>
      <c r="Y81" s="2">
        <f>UPPER(TRIM(D81))</f>
        <v/>
      </c>
      <c r="Z81" s="2">
        <f>IFERROR(INDEX('7_3nf_product'!$B:$B,MATCH(Y81,'7_3nf_product'!$A:$A,0)),"NOT FOUND")</f>
        <v/>
      </c>
      <c r="AA81" s="2">
        <f>IFERROR(INDEX('7_3nf_product'!$C:$C,MATCH(Y81,'7_3nf_product'!$A:$A,0)),"NOT FOUND")</f>
        <v/>
      </c>
      <c r="AB81" s="2">
        <f>IFERROR(INDEX('7_3nf_product'!$D:$D,MATCH(Y81,'7_3nf_product'!$A:$A,0)),"NOT FOUND")</f>
        <v/>
      </c>
      <c r="AC81" s="6">
        <f>IFERROR(INDEX('7_3nf_product'!$E:$E,MATCH(Y81,'7_3nf_product'!$A:$A,0)),"NOT FOUND")</f>
        <v/>
      </c>
      <c r="AD81" s="33">
        <f>IF(LEN(TRIM(E81))=10,TRIM(E81),IF(LEN(TRIM(E81))=8,"00"&amp;TRIM(E81),"CHECK"))</f>
        <v/>
      </c>
      <c r="AE81" s="2">
        <f>IFERROR(INDEX('8_3nf_customer'!$C:$C,MATCH(AD81,'8_3nf_customer'!$B:$B,0)),"NOT FOUND")</f>
        <v/>
      </c>
      <c r="AF81" s="30">
        <f>IFERROR(INDEX('8_3nf_customer'!$D:$D,MATCH(AD81,'8_3nf_customer'!$B:$B,0)),"NOT FOUND")</f>
        <v/>
      </c>
      <c r="AG81" s="4">
        <f>IF(ISNUMBER(AF81),DATEDIF(AF81,L81,"y"),"NOT FOUND")</f>
        <v/>
      </c>
      <c r="AH81" s="2">
        <f>IFERROR(INDEX('8_3nf_customer'!$E:$E,MATCH(AD81,'8_3nf_customer'!$B:$B,0)),"NOT FOUND")</f>
        <v/>
      </c>
      <c r="AI81" s="30">
        <f>IF(_xlfn.MAXIFS('9_3nf_customer_history'!$B$2:$B$500,'9_3nf_customer_history'!$A$2:$A$500,AD81,'9_3nf_customer_history'!$B$2:$B$500,"&lt;="&amp;L81)=0,"NOT FOUND",_xlfn.MAXIFS('9_3nf_customer_history'!$B$2:$B$500,'9_3nf_customer_history'!$A$2:$A$500,AD81,'9_3nf_customer_history'!$B$2:$B$500,"&lt;="&amp;L81))</f>
        <v/>
      </c>
      <c r="AJ81" s="2">
        <f>IF(AI81="NOT FOUND","NOT FOUND",INDEX('9_3nf_customer_history'!$C:$C,SUMPRODUCT(('9_3nf_customer_history'!$A$2:$A$500=AD81)*('9_3nf_customer_history'!$B$2:$B$500=AI81)*ROW('9_3nf_customer_history'!$A$2:$A$500))))</f>
        <v/>
      </c>
      <c r="AK81" s="2">
        <f>IF(AI81="NOT FOUND","NOT FOUND",INDEX('9_3nf_customer_history'!$D:$D,SUMPRODUCT(('9_3nf_customer_history'!$A$2:$A$500=AD81)*('9_3nf_customer_history'!$B$2:$B$500=AI81)*ROW('9_3nf_customer_history'!$A$2:$A$500))))</f>
        <v/>
      </c>
      <c r="AL81" s="2">
        <f>UPPER(TRIM(H81))</f>
        <v/>
      </c>
      <c r="AM81" s="30">
        <f>IF(_xlfn.MAXIFS('10_ref_fx_rate'!$B$2:$B$2000,'10_ref_fx_rate'!$A$2:$A$2000,AL81,'10_ref_fx_rate'!$B$2:$B$2000,"&lt;="&amp;L81)=0,"NOT FOUND",_xlfn.MAXIFS('10_ref_fx_rate'!$B$2:$B$2000,'10_ref_fx_rate'!$A$2:$A$2000,AL81,'10_ref_fx_rate'!$B$2:$B$2000,"&lt;="&amp;L81))</f>
        <v/>
      </c>
      <c r="AN81" s="8">
        <f>IF(AM81="NOT FOUND","NOT FOUND",SUMIFS('10_ref_fx_rate'!$D$2:$D$2000,'10_ref_fx_rate'!$A$2:$A$2000,AL81,'10_ref_fx_rate'!$B$2:$B$2000,AM81))</f>
        <v/>
      </c>
      <c r="AO81" s="37">
        <f>IF(ISNUMBER(AN81),I81*AN81,"NOT FOUND")</f>
        <v/>
      </c>
      <c r="AP81" s="2">
        <f>UPPER(TRIM(J81))</f>
        <v/>
      </c>
      <c r="AQ81" s="2">
        <f>IF(AP81="","SELF-DIRECTED",IF(ISNUMBER(MATCH(AP81,'11_3nf_sales_person'!$A:$A,0)),IF(EXACT(AP81,J81),"OK","OK (auto-fixed)"),IF(ISNA(MATCH($A81,'12_sales_person_confirmation'!$A:$A,0)),"CONFIRM (not logged)",IF(INDEX('12_sales_person_confirmation'!$I:$I,MATCH($A81,'12_sales_person_confirmation'!$A:$A,0))="CONFIRMED","CONFIRMED ("&amp;LOWER(INDEX('12_sales_person_confirmation'!$E:$E,MATCH($A81,'12_sales_person_confirmation'!$A:$A,0)))&amp;")","PENDING CONFIRM"))))</f>
        <v/>
      </c>
      <c r="AR81" s="2">
        <f>IF(OR(AQ81="OK",AQ81="OK (auto-fixed)"),AP81,IF(LEFT(AQ81,9)="CONFIRMED",INDEX('12_sales_person_confirmation'!$F:$F,MATCH($A81,'12_sales_person_confirmation'!$A:$A,0)),""))</f>
        <v/>
      </c>
      <c r="AS81" s="2">
        <f>IF(AR81="","",INDEX('11_3nf_sales_person'!$B:$B,MATCH(AR81,'11_3nf_sales_person'!$A:$A,0)))</f>
        <v/>
      </c>
    </row>
    <row r="82">
      <c r="A82" s="2">
        <f>IF(ISBLANK('1_raw_log'!A82),"",'1_raw_log'!A82)</f>
        <v/>
      </c>
      <c r="B82" s="3">
        <f>IF(ISBLANK('1_raw_log'!B82),"",'1_raw_log'!B82)</f>
        <v/>
      </c>
      <c r="C82" s="2">
        <f>IF(ISBLANK('1_raw_log'!C82),"",'1_raw_log'!C82)</f>
        <v/>
      </c>
      <c r="D82" s="2">
        <f>IF(ISBLANK('1_raw_log'!D82),"",'1_raw_log'!D82)</f>
        <v/>
      </c>
      <c r="E82" s="4">
        <f>IF(ISBLANK('1_raw_log'!E82),"",'1_raw_log'!E82)</f>
        <v/>
      </c>
      <c r="F82" s="2">
        <f>IF(ISBLANK('1_raw_log'!F82),"",'1_raw_log'!F82)</f>
        <v/>
      </c>
      <c r="G82" s="2">
        <f>IF(ISBLANK('1_raw_log'!G82),"",'1_raw_log'!G82)</f>
        <v/>
      </c>
      <c r="H82" s="2">
        <f>IF(ISBLANK('1_raw_log'!H82),"",'1_raw_log'!H82)</f>
        <v/>
      </c>
      <c r="I82" s="7">
        <f>IF(ISBLANK('1_raw_log'!I82),"",'1_raw_log'!I82)</f>
        <v/>
      </c>
      <c r="J82" s="2">
        <f>IF(ISBLANK('1_raw_log'!J82),"",'1_raw_log'!J82)</f>
        <v/>
      </c>
      <c r="K82" s="2">
        <f>IF(ISBLANK('1_raw_log'!K82),"",'1_raw_log'!K82)</f>
        <v/>
      </c>
      <c r="L82" s="30">
        <f>INT(B82)</f>
        <v/>
      </c>
      <c r="M82" s="20">
        <f>ROUND(MOD(B82,1)*1440,0)/1440</f>
        <v/>
      </c>
      <c r="N82" s="4">
        <f>IFERROR(INDEX('3_ref_date'!$B:$B,MATCH(L82,'3_ref_date'!$A:$A,0)),"NOT FOUND")</f>
        <v/>
      </c>
      <c r="O82" s="2">
        <f>IFERROR(INDEX('3_ref_date'!$C:$C,MATCH(L82,'3_ref_date'!$A:$A,0)),"NOT FOUND")</f>
        <v/>
      </c>
      <c r="P82" s="4">
        <f>IFERROR(INDEX('3_ref_date'!$D:$D,MATCH(L82,'3_ref_date'!$A:$A,0)),"NOT FOUND")</f>
        <v/>
      </c>
      <c r="Q82" s="4">
        <f>IFERROR(INDEX('3_ref_date'!$E:$E,MATCH(L82,'3_ref_date'!$A:$A,0)),"NOT FOUND")</f>
        <v/>
      </c>
      <c r="R82" s="2">
        <f>IFERROR(INDEX('3_ref_date'!$F:$F,MATCH(L82,'3_ref_date'!$A:$A,0)),"NOT FOUND")</f>
        <v/>
      </c>
      <c r="S82" s="2">
        <f>IFERROR(INDEX('4_ref_time'!$D:$D,MATCH(ROUND(M82*1440,0),'4_ref_time'!$A:$A,0)),"NOT FOUND")</f>
        <v/>
      </c>
      <c r="T82" s="2">
        <f>UPPER(TRIM(C82))</f>
        <v/>
      </c>
      <c r="U82" s="30">
        <f>IF(_xlfn.MAXIFS('6_3nf_branch_history'!$B$2:$B$50,'6_3nf_branch_history'!$A$2:$A$50,T82,'6_3nf_branch_history'!$B$2:$B$50,"&lt;="&amp;L82)=0,"NOT FOUND",_xlfn.MAXIFS('6_3nf_branch_history'!$B$2:$B$50,'6_3nf_branch_history'!$A$2:$A$50,T82,'6_3nf_branch_history'!$B$2:$B$50,"&lt;="&amp;L82))</f>
        <v/>
      </c>
      <c r="V82" s="2">
        <f>IF(U82="NOT FOUND","NOT FOUND",INDEX('6_3nf_branch_history'!$C:$C,SUMPRODUCT(('6_3nf_branch_history'!$A$2:$A$50=T82)*('6_3nf_branch_history'!$B$2:$B$50=U82)*ROW('6_3nf_branch_history'!$A$2:$A$50))))</f>
        <v/>
      </c>
      <c r="W82" s="2">
        <f>IF(U82="NOT FOUND","NOT FOUND",INDEX('6_3nf_branch_history'!$D:$D,SUMPRODUCT(('6_3nf_branch_history'!$A$2:$A$50=T82)*('6_3nf_branch_history'!$B$2:$B$50=U82)*ROW('6_3nf_branch_history'!$A$2:$A$50))))</f>
        <v/>
      </c>
      <c r="X82" s="2">
        <f>IF(U82="NOT FOUND","NOT FOUND",INDEX('6_3nf_branch_history'!$E:$E,SUMPRODUCT(('6_3nf_branch_history'!$A$2:$A$50=T82)*('6_3nf_branch_history'!$B$2:$B$50=U82)*ROW('6_3nf_branch_history'!$A$2:$A$50))))</f>
        <v/>
      </c>
      <c r="Y82" s="2">
        <f>UPPER(TRIM(D82))</f>
        <v/>
      </c>
      <c r="Z82" s="2">
        <f>IFERROR(INDEX('7_3nf_product'!$B:$B,MATCH(Y82,'7_3nf_product'!$A:$A,0)),"NOT FOUND")</f>
        <v/>
      </c>
      <c r="AA82" s="2">
        <f>IFERROR(INDEX('7_3nf_product'!$C:$C,MATCH(Y82,'7_3nf_product'!$A:$A,0)),"NOT FOUND")</f>
        <v/>
      </c>
      <c r="AB82" s="2">
        <f>IFERROR(INDEX('7_3nf_product'!$D:$D,MATCH(Y82,'7_3nf_product'!$A:$A,0)),"NOT FOUND")</f>
        <v/>
      </c>
      <c r="AC82" s="6">
        <f>IFERROR(INDEX('7_3nf_product'!$E:$E,MATCH(Y82,'7_3nf_product'!$A:$A,0)),"NOT FOUND")</f>
        <v/>
      </c>
      <c r="AD82" s="33">
        <f>IF(LEN(TRIM(E82))=10,TRIM(E82),IF(LEN(TRIM(E82))=8,"00"&amp;TRIM(E82),"CHECK"))</f>
        <v/>
      </c>
      <c r="AE82" s="2">
        <f>IFERROR(INDEX('8_3nf_customer'!$C:$C,MATCH(AD82,'8_3nf_customer'!$B:$B,0)),"NOT FOUND")</f>
        <v/>
      </c>
      <c r="AF82" s="30">
        <f>IFERROR(INDEX('8_3nf_customer'!$D:$D,MATCH(AD82,'8_3nf_customer'!$B:$B,0)),"NOT FOUND")</f>
        <v/>
      </c>
      <c r="AG82" s="4">
        <f>IF(ISNUMBER(AF82),DATEDIF(AF82,L82,"y"),"NOT FOUND")</f>
        <v/>
      </c>
      <c r="AH82" s="2">
        <f>IFERROR(INDEX('8_3nf_customer'!$E:$E,MATCH(AD82,'8_3nf_customer'!$B:$B,0)),"NOT FOUND")</f>
        <v/>
      </c>
      <c r="AI82" s="30">
        <f>IF(_xlfn.MAXIFS('9_3nf_customer_history'!$B$2:$B$500,'9_3nf_customer_history'!$A$2:$A$500,AD82,'9_3nf_customer_history'!$B$2:$B$500,"&lt;="&amp;L82)=0,"NOT FOUND",_xlfn.MAXIFS('9_3nf_customer_history'!$B$2:$B$500,'9_3nf_customer_history'!$A$2:$A$500,AD82,'9_3nf_customer_history'!$B$2:$B$500,"&lt;="&amp;L82))</f>
        <v/>
      </c>
      <c r="AJ82" s="2">
        <f>IF(AI82="NOT FOUND","NOT FOUND",INDEX('9_3nf_customer_history'!$C:$C,SUMPRODUCT(('9_3nf_customer_history'!$A$2:$A$500=AD82)*('9_3nf_customer_history'!$B$2:$B$500=AI82)*ROW('9_3nf_customer_history'!$A$2:$A$500))))</f>
        <v/>
      </c>
      <c r="AK82" s="2">
        <f>IF(AI82="NOT FOUND","NOT FOUND",INDEX('9_3nf_customer_history'!$D:$D,SUMPRODUCT(('9_3nf_customer_history'!$A$2:$A$500=AD82)*('9_3nf_customer_history'!$B$2:$B$500=AI82)*ROW('9_3nf_customer_history'!$A$2:$A$500))))</f>
        <v/>
      </c>
      <c r="AL82" s="2">
        <f>UPPER(TRIM(H82))</f>
        <v/>
      </c>
      <c r="AM82" s="30">
        <f>IF(_xlfn.MAXIFS('10_ref_fx_rate'!$B$2:$B$2000,'10_ref_fx_rate'!$A$2:$A$2000,AL82,'10_ref_fx_rate'!$B$2:$B$2000,"&lt;="&amp;L82)=0,"NOT FOUND",_xlfn.MAXIFS('10_ref_fx_rate'!$B$2:$B$2000,'10_ref_fx_rate'!$A$2:$A$2000,AL82,'10_ref_fx_rate'!$B$2:$B$2000,"&lt;="&amp;L82))</f>
        <v/>
      </c>
      <c r="AN82" s="8">
        <f>IF(AM82="NOT FOUND","NOT FOUND",SUMIFS('10_ref_fx_rate'!$D$2:$D$2000,'10_ref_fx_rate'!$A$2:$A$2000,AL82,'10_ref_fx_rate'!$B$2:$B$2000,AM82))</f>
        <v/>
      </c>
      <c r="AO82" s="37">
        <f>IF(ISNUMBER(AN82),I82*AN82,"NOT FOUND")</f>
        <v/>
      </c>
      <c r="AP82" s="2">
        <f>UPPER(TRIM(J82))</f>
        <v/>
      </c>
      <c r="AQ82" s="2">
        <f>IF(AP82="","SELF-DIRECTED",IF(ISNUMBER(MATCH(AP82,'11_3nf_sales_person'!$A:$A,0)),IF(EXACT(AP82,J82),"OK","OK (auto-fixed)"),IF(ISNA(MATCH($A82,'12_sales_person_confirmation'!$A:$A,0)),"CONFIRM (not logged)",IF(INDEX('12_sales_person_confirmation'!$I:$I,MATCH($A82,'12_sales_person_confirmation'!$A:$A,0))="CONFIRMED","CONFIRMED ("&amp;LOWER(INDEX('12_sales_person_confirmation'!$E:$E,MATCH($A82,'12_sales_person_confirmation'!$A:$A,0)))&amp;")","PENDING CONFIRM"))))</f>
        <v/>
      </c>
      <c r="AR82" s="2">
        <f>IF(OR(AQ82="OK",AQ82="OK (auto-fixed)"),AP82,IF(LEFT(AQ82,9)="CONFIRMED",INDEX('12_sales_person_confirmation'!$F:$F,MATCH($A82,'12_sales_person_confirmation'!$A:$A,0)),""))</f>
        <v/>
      </c>
      <c r="AS82" s="2">
        <f>IF(AR82="","",INDEX('11_3nf_sales_person'!$B:$B,MATCH(AR82,'11_3nf_sales_person'!$A:$A,0)))</f>
        <v/>
      </c>
    </row>
    <row r="83">
      <c r="A83" s="2">
        <f>IF(ISBLANK('1_raw_log'!A83),"",'1_raw_log'!A83)</f>
        <v/>
      </c>
      <c r="B83" s="3">
        <f>IF(ISBLANK('1_raw_log'!B83),"",'1_raw_log'!B83)</f>
        <v/>
      </c>
      <c r="C83" s="2">
        <f>IF(ISBLANK('1_raw_log'!C83),"",'1_raw_log'!C83)</f>
        <v/>
      </c>
      <c r="D83" s="2">
        <f>IF(ISBLANK('1_raw_log'!D83),"",'1_raw_log'!D83)</f>
        <v/>
      </c>
      <c r="E83" s="4">
        <f>IF(ISBLANK('1_raw_log'!E83),"",'1_raw_log'!E83)</f>
        <v/>
      </c>
      <c r="F83" s="2">
        <f>IF(ISBLANK('1_raw_log'!F83),"",'1_raw_log'!F83)</f>
        <v/>
      </c>
      <c r="G83" s="2">
        <f>IF(ISBLANK('1_raw_log'!G83),"",'1_raw_log'!G83)</f>
        <v/>
      </c>
      <c r="H83" s="2">
        <f>IF(ISBLANK('1_raw_log'!H83),"",'1_raw_log'!H83)</f>
        <v/>
      </c>
      <c r="I83" s="7">
        <f>IF(ISBLANK('1_raw_log'!I83),"",'1_raw_log'!I83)</f>
        <v/>
      </c>
      <c r="J83" s="2">
        <f>IF(ISBLANK('1_raw_log'!J83),"",'1_raw_log'!J83)</f>
        <v/>
      </c>
      <c r="K83" s="2">
        <f>IF(ISBLANK('1_raw_log'!K83),"",'1_raw_log'!K83)</f>
        <v/>
      </c>
      <c r="L83" s="30">
        <f>INT(B83)</f>
        <v/>
      </c>
      <c r="M83" s="20">
        <f>ROUND(MOD(B83,1)*1440,0)/1440</f>
        <v/>
      </c>
      <c r="N83" s="4">
        <f>IFERROR(INDEX('3_ref_date'!$B:$B,MATCH(L83,'3_ref_date'!$A:$A,0)),"NOT FOUND")</f>
        <v/>
      </c>
      <c r="O83" s="2">
        <f>IFERROR(INDEX('3_ref_date'!$C:$C,MATCH(L83,'3_ref_date'!$A:$A,0)),"NOT FOUND")</f>
        <v/>
      </c>
      <c r="P83" s="4">
        <f>IFERROR(INDEX('3_ref_date'!$D:$D,MATCH(L83,'3_ref_date'!$A:$A,0)),"NOT FOUND")</f>
        <v/>
      </c>
      <c r="Q83" s="4">
        <f>IFERROR(INDEX('3_ref_date'!$E:$E,MATCH(L83,'3_ref_date'!$A:$A,0)),"NOT FOUND")</f>
        <v/>
      </c>
      <c r="R83" s="2">
        <f>IFERROR(INDEX('3_ref_date'!$F:$F,MATCH(L83,'3_ref_date'!$A:$A,0)),"NOT FOUND")</f>
        <v/>
      </c>
      <c r="S83" s="2">
        <f>IFERROR(INDEX('4_ref_time'!$D:$D,MATCH(ROUND(M83*1440,0),'4_ref_time'!$A:$A,0)),"NOT FOUND")</f>
        <v/>
      </c>
      <c r="T83" s="2">
        <f>UPPER(TRIM(C83))</f>
        <v/>
      </c>
      <c r="U83" s="30">
        <f>IF(_xlfn.MAXIFS('6_3nf_branch_history'!$B$2:$B$50,'6_3nf_branch_history'!$A$2:$A$50,T83,'6_3nf_branch_history'!$B$2:$B$50,"&lt;="&amp;L83)=0,"NOT FOUND",_xlfn.MAXIFS('6_3nf_branch_history'!$B$2:$B$50,'6_3nf_branch_history'!$A$2:$A$50,T83,'6_3nf_branch_history'!$B$2:$B$50,"&lt;="&amp;L83))</f>
        <v/>
      </c>
      <c r="V83" s="2">
        <f>IF(U83="NOT FOUND","NOT FOUND",INDEX('6_3nf_branch_history'!$C:$C,SUMPRODUCT(('6_3nf_branch_history'!$A$2:$A$50=T83)*('6_3nf_branch_history'!$B$2:$B$50=U83)*ROW('6_3nf_branch_history'!$A$2:$A$50))))</f>
        <v/>
      </c>
      <c r="W83" s="2">
        <f>IF(U83="NOT FOUND","NOT FOUND",INDEX('6_3nf_branch_history'!$D:$D,SUMPRODUCT(('6_3nf_branch_history'!$A$2:$A$50=T83)*('6_3nf_branch_history'!$B$2:$B$50=U83)*ROW('6_3nf_branch_history'!$A$2:$A$50))))</f>
        <v/>
      </c>
      <c r="X83" s="2">
        <f>IF(U83="NOT FOUND","NOT FOUND",INDEX('6_3nf_branch_history'!$E:$E,SUMPRODUCT(('6_3nf_branch_history'!$A$2:$A$50=T83)*('6_3nf_branch_history'!$B$2:$B$50=U83)*ROW('6_3nf_branch_history'!$A$2:$A$50))))</f>
        <v/>
      </c>
      <c r="Y83" s="2">
        <f>UPPER(TRIM(D83))</f>
        <v/>
      </c>
      <c r="Z83" s="2">
        <f>IFERROR(INDEX('7_3nf_product'!$B:$B,MATCH(Y83,'7_3nf_product'!$A:$A,0)),"NOT FOUND")</f>
        <v/>
      </c>
      <c r="AA83" s="2">
        <f>IFERROR(INDEX('7_3nf_product'!$C:$C,MATCH(Y83,'7_3nf_product'!$A:$A,0)),"NOT FOUND")</f>
        <v/>
      </c>
      <c r="AB83" s="2">
        <f>IFERROR(INDEX('7_3nf_product'!$D:$D,MATCH(Y83,'7_3nf_product'!$A:$A,0)),"NOT FOUND")</f>
        <v/>
      </c>
      <c r="AC83" s="6">
        <f>IFERROR(INDEX('7_3nf_product'!$E:$E,MATCH(Y83,'7_3nf_product'!$A:$A,0)),"NOT FOUND")</f>
        <v/>
      </c>
      <c r="AD83" s="33">
        <f>IF(LEN(TRIM(E83))=10,TRIM(E83),IF(LEN(TRIM(E83))=8,"00"&amp;TRIM(E83),"CHECK"))</f>
        <v/>
      </c>
      <c r="AE83" s="2">
        <f>IFERROR(INDEX('8_3nf_customer'!$C:$C,MATCH(AD83,'8_3nf_customer'!$B:$B,0)),"NOT FOUND")</f>
        <v/>
      </c>
      <c r="AF83" s="30">
        <f>IFERROR(INDEX('8_3nf_customer'!$D:$D,MATCH(AD83,'8_3nf_customer'!$B:$B,0)),"NOT FOUND")</f>
        <v/>
      </c>
      <c r="AG83" s="4">
        <f>IF(ISNUMBER(AF83),DATEDIF(AF83,L83,"y"),"NOT FOUND")</f>
        <v/>
      </c>
      <c r="AH83" s="2">
        <f>IFERROR(INDEX('8_3nf_customer'!$E:$E,MATCH(AD83,'8_3nf_customer'!$B:$B,0)),"NOT FOUND")</f>
        <v/>
      </c>
      <c r="AI83" s="30">
        <f>IF(_xlfn.MAXIFS('9_3nf_customer_history'!$B$2:$B$500,'9_3nf_customer_history'!$A$2:$A$500,AD83,'9_3nf_customer_history'!$B$2:$B$500,"&lt;="&amp;L83)=0,"NOT FOUND",_xlfn.MAXIFS('9_3nf_customer_history'!$B$2:$B$500,'9_3nf_customer_history'!$A$2:$A$500,AD83,'9_3nf_customer_history'!$B$2:$B$500,"&lt;="&amp;L83))</f>
        <v/>
      </c>
      <c r="AJ83" s="2">
        <f>IF(AI83="NOT FOUND","NOT FOUND",INDEX('9_3nf_customer_history'!$C:$C,SUMPRODUCT(('9_3nf_customer_history'!$A$2:$A$500=AD83)*('9_3nf_customer_history'!$B$2:$B$500=AI83)*ROW('9_3nf_customer_history'!$A$2:$A$500))))</f>
        <v/>
      </c>
      <c r="AK83" s="2">
        <f>IF(AI83="NOT FOUND","NOT FOUND",INDEX('9_3nf_customer_history'!$D:$D,SUMPRODUCT(('9_3nf_customer_history'!$A$2:$A$500=AD83)*('9_3nf_customer_history'!$B$2:$B$500=AI83)*ROW('9_3nf_customer_history'!$A$2:$A$500))))</f>
        <v/>
      </c>
      <c r="AL83" s="2">
        <f>UPPER(TRIM(H83))</f>
        <v/>
      </c>
      <c r="AM83" s="30">
        <f>IF(_xlfn.MAXIFS('10_ref_fx_rate'!$B$2:$B$2000,'10_ref_fx_rate'!$A$2:$A$2000,AL83,'10_ref_fx_rate'!$B$2:$B$2000,"&lt;="&amp;L83)=0,"NOT FOUND",_xlfn.MAXIFS('10_ref_fx_rate'!$B$2:$B$2000,'10_ref_fx_rate'!$A$2:$A$2000,AL83,'10_ref_fx_rate'!$B$2:$B$2000,"&lt;="&amp;L83))</f>
        <v/>
      </c>
      <c r="AN83" s="8">
        <f>IF(AM83="NOT FOUND","NOT FOUND",SUMIFS('10_ref_fx_rate'!$D$2:$D$2000,'10_ref_fx_rate'!$A$2:$A$2000,AL83,'10_ref_fx_rate'!$B$2:$B$2000,AM83))</f>
        <v/>
      </c>
      <c r="AO83" s="37">
        <f>IF(ISNUMBER(AN83),I83*AN83,"NOT FOUND")</f>
        <v/>
      </c>
      <c r="AP83" s="2">
        <f>UPPER(TRIM(J83))</f>
        <v/>
      </c>
      <c r="AQ83" s="2">
        <f>IF(AP83="","SELF-DIRECTED",IF(ISNUMBER(MATCH(AP83,'11_3nf_sales_person'!$A:$A,0)),IF(EXACT(AP83,J83),"OK","OK (auto-fixed)"),IF(ISNA(MATCH($A83,'12_sales_person_confirmation'!$A:$A,0)),"CONFIRM (not logged)",IF(INDEX('12_sales_person_confirmation'!$I:$I,MATCH($A83,'12_sales_person_confirmation'!$A:$A,0))="CONFIRMED","CONFIRMED ("&amp;LOWER(INDEX('12_sales_person_confirmation'!$E:$E,MATCH($A83,'12_sales_person_confirmation'!$A:$A,0)))&amp;")","PENDING CONFIRM"))))</f>
        <v/>
      </c>
      <c r="AR83" s="2">
        <f>IF(OR(AQ83="OK",AQ83="OK (auto-fixed)"),AP83,IF(LEFT(AQ83,9)="CONFIRMED",INDEX('12_sales_person_confirmation'!$F:$F,MATCH($A83,'12_sales_person_confirmation'!$A:$A,0)),""))</f>
        <v/>
      </c>
      <c r="AS83" s="2">
        <f>IF(AR83="","",INDEX('11_3nf_sales_person'!$B:$B,MATCH(AR83,'11_3nf_sales_person'!$A:$A,0)))</f>
        <v/>
      </c>
    </row>
    <row r="84">
      <c r="A84" s="2">
        <f>IF(ISBLANK('1_raw_log'!A84),"",'1_raw_log'!A84)</f>
        <v/>
      </c>
      <c r="B84" s="3">
        <f>IF(ISBLANK('1_raw_log'!B84),"",'1_raw_log'!B84)</f>
        <v/>
      </c>
      <c r="C84" s="2">
        <f>IF(ISBLANK('1_raw_log'!C84),"",'1_raw_log'!C84)</f>
        <v/>
      </c>
      <c r="D84" s="2">
        <f>IF(ISBLANK('1_raw_log'!D84),"",'1_raw_log'!D84)</f>
        <v/>
      </c>
      <c r="E84" s="4">
        <f>IF(ISBLANK('1_raw_log'!E84),"",'1_raw_log'!E84)</f>
        <v/>
      </c>
      <c r="F84" s="2">
        <f>IF(ISBLANK('1_raw_log'!F84),"",'1_raw_log'!F84)</f>
        <v/>
      </c>
      <c r="G84" s="2">
        <f>IF(ISBLANK('1_raw_log'!G84),"",'1_raw_log'!G84)</f>
        <v/>
      </c>
      <c r="H84" s="2">
        <f>IF(ISBLANK('1_raw_log'!H84),"",'1_raw_log'!H84)</f>
        <v/>
      </c>
      <c r="I84" s="7">
        <f>IF(ISBLANK('1_raw_log'!I84),"",'1_raw_log'!I84)</f>
        <v/>
      </c>
      <c r="J84" s="2">
        <f>IF(ISBLANK('1_raw_log'!J84),"",'1_raw_log'!J84)</f>
        <v/>
      </c>
      <c r="K84" s="2">
        <f>IF(ISBLANK('1_raw_log'!K84),"",'1_raw_log'!K84)</f>
        <v/>
      </c>
      <c r="L84" s="30">
        <f>INT(B84)</f>
        <v/>
      </c>
      <c r="M84" s="20">
        <f>ROUND(MOD(B84,1)*1440,0)/1440</f>
        <v/>
      </c>
      <c r="N84" s="4">
        <f>IFERROR(INDEX('3_ref_date'!$B:$B,MATCH(L84,'3_ref_date'!$A:$A,0)),"NOT FOUND")</f>
        <v/>
      </c>
      <c r="O84" s="2">
        <f>IFERROR(INDEX('3_ref_date'!$C:$C,MATCH(L84,'3_ref_date'!$A:$A,0)),"NOT FOUND")</f>
        <v/>
      </c>
      <c r="P84" s="4">
        <f>IFERROR(INDEX('3_ref_date'!$D:$D,MATCH(L84,'3_ref_date'!$A:$A,0)),"NOT FOUND")</f>
        <v/>
      </c>
      <c r="Q84" s="4">
        <f>IFERROR(INDEX('3_ref_date'!$E:$E,MATCH(L84,'3_ref_date'!$A:$A,0)),"NOT FOUND")</f>
        <v/>
      </c>
      <c r="R84" s="2">
        <f>IFERROR(INDEX('3_ref_date'!$F:$F,MATCH(L84,'3_ref_date'!$A:$A,0)),"NOT FOUND")</f>
        <v/>
      </c>
      <c r="S84" s="2">
        <f>IFERROR(INDEX('4_ref_time'!$D:$D,MATCH(ROUND(M84*1440,0),'4_ref_time'!$A:$A,0)),"NOT FOUND")</f>
        <v/>
      </c>
      <c r="T84" s="2">
        <f>UPPER(TRIM(C84))</f>
        <v/>
      </c>
      <c r="U84" s="30">
        <f>IF(_xlfn.MAXIFS('6_3nf_branch_history'!$B$2:$B$50,'6_3nf_branch_history'!$A$2:$A$50,T84,'6_3nf_branch_history'!$B$2:$B$50,"&lt;="&amp;L84)=0,"NOT FOUND",_xlfn.MAXIFS('6_3nf_branch_history'!$B$2:$B$50,'6_3nf_branch_history'!$A$2:$A$50,T84,'6_3nf_branch_history'!$B$2:$B$50,"&lt;="&amp;L84))</f>
        <v/>
      </c>
      <c r="V84" s="2">
        <f>IF(U84="NOT FOUND","NOT FOUND",INDEX('6_3nf_branch_history'!$C:$C,SUMPRODUCT(('6_3nf_branch_history'!$A$2:$A$50=T84)*('6_3nf_branch_history'!$B$2:$B$50=U84)*ROW('6_3nf_branch_history'!$A$2:$A$50))))</f>
        <v/>
      </c>
      <c r="W84" s="2">
        <f>IF(U84="NOT FOUND","NOT FOUND",INDEX('6_3nf_branch_history'!$D:$D,SUMPRODUCT(('6_3nf_branch_history'!$A$2:$A$50=T84)*('6_3nf_branch_history'!$B$2:$B$50=U84)*ROW('6_3nf_branch_history'!$A$2:$A$50))))</f>
        <v/>
      </c>
      <c r="X84" s="2">
        <f>IF(U84="NOT FOUND","NOT FOUND",INDEX('6_3nf_branch_history'!$E:$E,SUMPRODUCT(('6_3nf_branch_history'!$A$2:$A$50=T84)*('6_3nf_branch_history'!$B$2:$B$50=U84)*ROW('6_3nf_branch_history'!$A$2:$A$50))))</f>
        <v/>
      </c>
      <c r="Y84" s="2">
        <f>UPPER(TRIM(D84))</f>
        <v/>
      </c>
      <c r="Z84" s="2">
        <f>IFERROR(INDEX('7_3nf_product'!$B:$B,MATCH(Y84,'7_3nf_product'!$A:$A,0)),"NOT FOUND")</f>
        <v/>
      </c>
      <c r="AA84" s="2">
        <f>IFERROR(INDEX('7_3nf_product'!$C:$C,MATCH(Y84,'7_3nf_product'!$A:$A,0)),"NOT FOUND")</f>
        <v/>
      </c>
      <c r="AB84" s="2">
        <f>IFERROR(INDEX('7_3nf_product'!$D:$D,MATCH(Y84,'7_3nf_product'!$A:$A,0)),"NOT FOUND")</f>
        <v/>
      </c>
      <c r="AC84" s="6">
        <f>IFERROR(INDEX('7_3nf_product'!$E:$E,MATCH(Y84,'7_3nf_product'!$A:$A,0)),"NOT FOUND")</f>
        <v/>
      </c>
      <c r="AD84" s="33">
        <f>IF(LEN(TRIM(E84))=10,TRIM(E84),IF(LEN(TRIM(E84))=8,"00"&amp;TRIM(E84),"CHECK"))</f>
        <v/>
      </c>
      <c r="AE84" s="2">
        <f>IFERROR(INDEX('8_3nf_customer'!$C:$C,MATCH(AD84,'8_3nf_customer'!$B:$B,0)),"NOT FOUND")</f>
        <v/>
      </c>
      <c r="AF84" s="30">
        <f>IFERROR(INDEX('8_3nf_customer'!$D:$D,MATCH(AD84,'8_3nf_customer'!$B:$B,0)),"NOT FOUND")</f>
        <v/>
      </c>
      <c r="AG84" s="4">
        <f>IF(ISNUMBER(AF84),DATEDIF(AF84,L84,"y"),"NOT FOUND")</f>
        <v/>
      </c>
      <c r="AH84" s="2">
        <f>IFERROR(INDEX('8_3nf_customer'!$E:$E,MATCH(AD84,'8_3nf_customer'!$B:$B,0)),"NOT FOUND")</f>
        <v/>
      </c>
      <c r="AI84" s="30">
        <f>IF(_xlfn.MAXIFS('9_3nf_customer_history'!$B$2:$B$500,'9_3nf_customer_history'!$A$2:$A$500,AD84,'9_3nf_customer_history'!$B$2:$B$500,"&lt;="&amp;L84)=0,"NOT FOUND",_xlfn.MAXIFS('9_3nf_customer_history'!$B$2:$B$500,'9_3nf_customer_history'!$A$2:$A$500,AD84,'9_3nf_customer_history'!$B$2:$B$500,"&lt;="&amp;L84))</f>
        <v/>
      </c>
      <c r="AJ84" s="2">
        <f>IF(AI84="NOT FOUND","NOT FOUND",INDEX('9_3nf_customer_history'!$C:$C,SUMPRODUCT(('9_3nf_customer_history'!$A$2:$A$500=AD84)*('9_3nf_customer_history'!$B$2:$B$500=AI84)*ROW('9_3nf_customer_history'!$A$2:$A$500))))</f>
        <v/>
      </c>
      <c r="AK84" s="2">
        <f>IF(AI84="NOT FOUND","NOT FOUND",INDEX('9_3nf_customer_history'!$D:$D,SUMPRODUCT(('9_3nf_customer_history'!$A$2:$A$500=AD84)*('9_3nf_customer_history'!$B$2:$B$500=AI84)*ROW('9_3nf_customer_history'!$A$2:$A$500))))</f>
        <v/>
      </c>
      <c r="AL84" s="2">
        <f>UPPER(TRIM(H84))</f>
        <v/>
      </c>
      <c r="AM84" s="30">
        <f>IF(_xlfn.MAXIFS('10_ref_fx_rate'!$B$2:$B$2000,'10_ref_fx_rate'!$A$2:$A$2000,AL84,'10_ref_fx_rate'!$B$2:$B$2000,"&lt;="&amp;L84)=0,"NOT FOUND",_xlfn.MAXIFS('10_ref_fx_rate'!$B$2:$B$2000,'10_ref_fx_rate'!$A$2:$A$2000,AL84,'10_ref_fx_rate'!$B$2:$B$2000,"&lt;="&amp;L84))</f>
        <v/>
      </c>
      <c r="AN84" s="8">
        <f>IF(AM84="NOT FOUND","NOT FOUND",SUMIFS('10_ref_fx_rate'!$D$2:$D$2000,'10_ref_fx_rate'!$A$2:$A$2000,AL84,'10_ref_fx_rate'!$B$2:$B$2000,AM84))</f>
        <v/>
      </c>
      <c r="AO84" s="37">
        <f>IF(ISNUMBER(AN84),I84*AN84,"NOT FOUND")</f>
        <v/>
      </c>
      <c r="AP84" s="2">
        <f>UPPER(TRIM(J84))</f>
        <v/>
      </c>
      <c r="AQ84" s="2">
        <f>IF(AP84="","SELF-DIRECTED",IF(ISNUMBER(MATCH(AP84,'11_3nf_sales_person'!$A:$A,0)),IF(EXACT(AP84,J84),"OK","OK (auto-fixed)"),IF(ISNA(MATCH($A84,'12_sales_person_confirmation'!$A:$A,0)),"CONFIRM (not logged)",IF(INDEX('12_sales_person_confirmation'!$I:$I,MATCH($A84,'12_sales_person_confirmation'!$A:$A,0))="CONFIRMED","CONFIRMED ("&amp;LOWER(INDEX('12_sales_person_confirmation'!$E:$E,MATCH($A84,'12_sales_person_confirmation'!$A:$A,0)))&amp;")","PENDING CONFIRM"))))</f>
        <v/>
      </c>
      <c r="AR84" s="2">
        <f>IF(OR(AQ84="OK",AQ84="OK (auto-fixed)"),AP84,IF(LEFT(AQ84,9)="CONFIRMED",INDEX('12_sales_person_confirmation'!$F:$F,MATCH($A84,'12_sales_person_confirmation'!$A:$A,0)),""))</f>
        <v/>
      </c>
      <c r="AS84" s="2">
        <f>IF(AR84="","",INDEX('11_3nf_sales_person'!$B:$B,MATCH(AR84,'11_3nf_sales_person'!$A:$A,0)))</f>
        <v/>
      </c>
    </row>
    <row r="85">
      <c r="A85" s="2">
        <f>IF(ISBLANK('1_raw_log'!A85),"",'1_raw_log'!A85)</f>
        <v/>
      </c>
      <c r="B85" s="3">
        <f>IF(ISBLANK('1_raw_log'!B85),"",'1_raw_log'!B85)</f>
        <v/>
      </c>
      <c r="C85" s="2">
        <f>IF(ISBLANK('1_raw_log'!C85),"",'1_raw_log'!C85)</f>
        <v/>
      </c>
      <c r="D85" s="2">
        <f>IF(ISBLANK('1_raw_log'!D85),"",'1_raw_log'!D85)</f>
        <v/>
      </c>
      <c r="E85" s="4">
        <f>IF(ISBLANK('1_raw_log'!E85),"",'1_raw_log'!E85)</f>
        <v/>
      </c>
      <c r="F85" s="2">
        <f>IF(ISBLANK('1_raw_log'!F85),"",'1_raw_log'!F85)</f>
        <v/>
      </c>
      <c r="G85" s="2">
        <f>IF(ISBLANK('1_raw_log'!G85),"",'1_raw_log'!G85)</f>
        <v/>
      </c>
      <c r="H85" s="2">
        <f>IF(ISBLANK('1_raw_log'!H85),"",'1_raw_log'!H85)</f>
        <v/>
      </c>
      <c r="I85" s="7">
        <f>IF(ISBLANK('1_raw_log'!I85),"",'1_raw_log'!I85)</f>
        <v/>
      </c>
      <c r="J85" s="2">
        <f>IF(ISBLANK('1_raw_log'!J85),"",'1_raw_log'!J85)</f>
        <v/>
      </c>
      <c r="K85" s="2">
        <f>IF(ISBLANK('1_raw_log'!K85),"",'1_raw_log'!K85)</f>
        <v/>
      </c>
      <c r="L85" s="30">
        <f>INT(B85)</f>
        <v/>
      </c>
      <c r="M85" s="20">
        <f>ROUND(MOD(B85,1)*1440,0)/1440</f>
        <v/>
      </c>
      <c r="N85" s="4">
        <f>IFERROR(INDEX('3_ref_date'!$B:$B,MATCH(L85,'3_ref_date'!$A:$A,0)),"NOT FOUND")</f>
        <v/>
      </c>
      <c r="O85" s="2">
        <f>IFERROR(INDEX('3_ref_date'!$C:$C,MATCH(L85,'3_ref_date'!$A:$A,0)),"NOT FOUND")</f>
        <v/>
      </c>
      <c r="P85" s="4">
        <f>IFERROR(INDEX('3_ref_date'!$D:$D,MATCH(L85,'3_ref_date'!$A:$A,0)),"NOT FOUND")</f>
        <v/>
      </c>
      <c r="Q85" s="4">
        <f>IFERROR(INDEX('3_ref_date'!$E:$E,MATCH(L85,'3_ref_date'!$A:$A,0)),"NOT FOUND")</f>
        <v/>
      </c>
      <c r="R85" s="2">
        <f>IFERROR(INDEX('3_ref_date'!$F:$F,MATCH(L85,'3_ref_date'!$A:$A,0)),"NOT FOUND")</f>
        <v/>
      </c>
      <c r="S85" s="2">
        <f>IFERROR(INDEX('4_ref_time'!$D:$D,MATCH(ROUND(M85*1440,0),'4_ref_time'!$A:$A,0)),"NOT FOUND")</f>
        <v/>
      </c>
      <c r="T85" s="2">
        <f>UPPER(TRIM(C85))</f>
        <v/>
      </c>
      <c r="U85" s="30">
        <f>IF(_xlfn.MAXIFS('6_3nf_branch_history'!$B$2:$B$50,'6_3nf_branch_history'!$A$2:$A$50,T85,'6_3nf_branch_history'!$B$2:$B$50,"&lt;="&amp;L85)=0,"NOT FOUND",_xlfn.MAXIFS('6_3nf_branch_history'!$B$2:$B$50,'6_3nf_branch_history'!$A$2:$A$50,T85,'6_3nf_branch_history'!$B$2:$B$50,"&lt;="&amp;L85))</f>
        <v/>
      </c>
      <c r="V85" s="2">
        <f>IF(U85="NOT FOUND","NOT FOUND",INDEX('6_3nf_branch_history'!$C:$C,SUMPRODUCT(('6_3nf_branch_history'!$A$2:$A$50=T85)*('6_3nf_branch_history'!$B$2:$B$50=U85)*ROW('6_3nf_branch_history'!$A$2:$A$50))))</f>
        <v/>
      </c>
      <c r="W85" s="2">
        <f>IF(U85="NOT FOUND","NOT FOUND",INDEX('6_3nf_branch_history'!$D:$D,SUMPRODUCT(('6_3nf_branch_history'!$A$2:$A$50=T85)*('6_3nf_branch_history'!$B$2:$B$50=U85)*ROW('6_3nf_branch_history'!$A$2:$A$50))))</f>
        <v/>
      </c>
      <c r="X85" s="2">
        <f>IF(U85="NOT FOUND","NOT FOUND",INDEX('6_3nf_branch_history'!$E:$E,SUMPRODUCT(('6_3nf_branch_history'!$A$2:$A$50=T85)*('6_3nf_branch_history'!$B$2:$B$50=U85)*ROW('6_3nf_branch_history'!$A$2:$A$50))))</f>
        <v/>
      </c>
      <c r="Y85" s="2">
        <f>UPPER(TRIM(D85))</f>
        <v/>
      </c>
      <c r="Z85" s="2">
        <f>IFERROR(INDEX('7_3nf_product'!$B:$B,MATCH(Y85,'7_3nf_product'!$A:$A,0)),"NOT FOUND")</f>
        <v/>
      </c>
      <c r="AA85" s="2">
        <f>IFERROR(INDEX('7_3nf_product'!$C:$C,MATCH(Y85,'7_3nf_product'!$A:$A,0)),"NOT FOUND")</f>
        <v/>
      </c>
      <c r="AB85" s="2">
        <f>IFERROR(INDEX('7_3nf_product'!$D:$D,MATCH(Y85,'7_3nf_product'!$A:$A,0)),"NOT FOUND")</f>
        <v/>
      </c>
      <c r="AC85" s="6">
        <f>IFERROR(INDEX('7_3nf_product'!$E:$E,MATCH(Y85,'7_3nf_product'!$A:$A,0)),"NOT FOUND")</f>
        <v/>
      </c>
      <c r="AD85" s="33">
        <f>IF(LEN(TRIM(E85))=10,TRIM(E85),IF(LEN(TRIM(E85))=8,"00"&amp;TRIM(E85),"CHECK"))</f>
        <v/>
      </c>
      <c r="AE85" s="2">
        <f>IFERROR(INDEX('8_3nf_customer'!$C:$C,MATCH(AD85,'8_3nf_customer'!$B:$B,0)),"NOT FOUND")</f>
        <v/>
      </c>
      <c r="AF85" s="30">
        <f>IFERROR(INDEX('8_3nf_customer'!$D:$D,MATCH(AD85,'8_3nf_customer'!$B:$B,0)),"NOT FOUND")</f>
        <v/>
      </c>
      <c r="AG85" s="4">
        <f>IF(ISNUMBER(AF85),DATEDIF(AF85,L85,"y"),"NOT FOUND")</f>
        <v/>
      </c>
      <c r="AH85" s="2">
        <f>IFERROR(INDEX('8_3nf_customer'!$E:$E,MATCH(AD85,'8_3nf_customer'!$B:$B,0)),"NOT FOUND")</f>
        <v/>
      </c>
      <c r="AI85" s="30">
        <f>IF(_xlfn.MAXIFS('9_3nf_customer_history'!$B$2:$B$500,'9_3nf_customer_history'!$A$2:$A$500,AD85,'9_3nf_customer_history'!$B$2:$B$500,"&lt;="&amp;L85)=0,"NOT FOUND",_xlfn.MAXIFS('9_3nf_customer_history'!$B$2:$B$500,'9_3nf_customer_history'!$A$2:$A$500,AD85,'9_3nf_customer_history'!$B$2:$B$500,"&lt;="&amp;L85))</f>
        <v/>
      </c>
      <c r="AJ85" s="2">
        <f>IF(AI85="NOT FOUND","NOT FOUND",INDEX('9_3nf_customer_history'!$C:$C,SUMPRODUCT(('9_3nf_customer_history'!$A$2:$A$500=AD85)*('9_3nf_customer_history'!$B$2:$B$500=AI85)*ROW('9_3nf_customer_history'!$A$2:$A$500))))</f>
        <v/>
      </c>
      <c r="AK85" s="2">
        <f>IF(AI85="NOT FOUND","NOT FOUND",INDEX('9_3nf_customer_history'!$D:$D,SUMPRODUCT(('9_3nf_customer_history'!$A$2:$A$500=AD85)*('9_3nf_customer_history'!$B$2:$B$500=AI85)*ROW('9_3nf_customer_history'!$A$2:$A$500))))</f>
        <v/>
      </c>
      <c r="AL85" s="2">
        <f>UPPER(TRIM(H85))</f>
        <v/>
      </c>
      <c r="AM85" s="30">
        <f>IF(_xlfn.MAXIFS('10_ref_fx_rate'!$B$2:$B$2000,'10_ref_fx_rate'!$A$2:$A$2000,AL85,'10_ref_fx_rate'!$B$2:$B$2000,"&lt;="&amp;L85)=0,"NOT FOUND",_xlfn.MAXIFS('10_ref_fx_rate'!$B$2:$B$2000,'10_ref_fx_rate'!$A$2:$A$2000,AL85,'10_ref_fx_rate'!$B$2:$B$2000,"&lt;="&amp;L85))</f>
        <v/>
      </c>
      <c r="AN85" s="8">
        <f>IF(AM85="NOT FOUND","NOT FOUND",SUMIFS('10_ref_fx_rate'!$D$2:$D$2000,'10_ref_fx_rate'!$A$2:$A$2000,AL85,'10_ref_fx_rate'!$B$2:$B$2000,AM85))</f>
        <v/>
      </c>
      <c r="AO85" s="37">
        <f>IF(ISNUMBER(AN85),I85*AN85,"NOT FOUND")</f>
        <v/>
      </c>
      <c r="AP85" s="2">
        <f>UPPER(TRIM(J85))</f>
        <v/>
      </c>
      <c r="AQ85" s="2">
        <f>IF(AP85="","SELF-DIRECTED",IF(ISNUMBER(MATCH(AP85,'11_3nf_sales_person'!$A:$A,0)),IF(EXACT(AP85,J85),"OK","OK (auto-fixed)"),IF(ISNA(MATCH($A85,'12_sales_person_confirmation'!$A:$A,0)),"CONFIRM (not logged)",IF(INDEX('12_sales_person_confirmation'!$I:$I,MATCH($A85,'12_sales_person_confirmation'!$A:$A,0))="CONFIRMED","CONFIRMED ("&amp;LOWER(INDEX('12_sales_person_confirmation'!$E:$E,MATCH($A85,'12_sales_person_confirmation'!$A:$A,0)))&amp;")","PENDING CONFIRM"))))</f>
        <v/>
      </c>
      <c r="AR85" s="2">
        <f>IF(OR(AQ85="OK",AQ85="OK (auto-fixed)"),AP85,IF(LEFT(AQ85,9)="CONFIRMED",INDEX('12_sales_person_confirmation'!$F:$F,MATCH($A85,'12_sales_person_confirmation'!$A:$A,0)),""))</f>
        <v/>
      </c>
      <c r="AS85" s="2">
        <f>IF(AR85="","",INDEX('11_3nf_sales_person'!$B:$B,MATCH(AR85,'11_3nf_sales_person'!$A:$A,0)))</f>
        <v/>
      </c>
    </row>
    <row r="86">
      <c r="A86" s="2">
        <f>IF(ISBLANK('1_raw_log'!A86),"",'1_raw_log'!A86)</f>
        <v/>
      </c>
      <c r="B86" s="3">
        <f>IF(ISBLANK('1_raw_log'!B86),"",'1_raw_log'!B86)</f>
        <v/>
      </c>
      <c r="C86" s="2">
        <f>IF(ISBLANK('1_raw_log'!C86),"",'1_raw_log'!C86)</f>
        <v/>
      </c>
      <c r="D86" s="2">
        <f>IF(ISBLANK('1_raw_log'!D86),"",'1_raw_log'!D86)</f>
        <v/>
      </c>
      <c r="E86" s="4">
        <f>IF(ISBLANK('1_raw_log'!E86),"",'1_raw_log'!E86)</f>
        <v/>
      </c>
      <c r="F86" s="2">
        <f>IF(ISBLANK('1_raw_log'!F86),"",'1_raw_log'!F86)</f>
        <v/>
      </c>
      <c r="G86" s="2">
        <f>IF(ISBLANK('1_raw_log'!G86),"",'1_raw_log'!G86)</f>
        <v/>
      </c>
      <c r="H86" s="2">
        <f>IF(ISBLANK('1_raw_log'!H86),"",'1_raw_log'!H86)</f>
        <v/>
      </c>
      <c r="I86" s="7">
        <f>IF(ISBLANK('1_raw_log'!I86),"",'1_raw_log'!I86)</f>
        <v/>
      </c>
      <c r="J86" s="2">
        <f>IF(ISBLANK('1_raw_log'!J86),"",'1_raw_log'!J86)</f>
        <v/>
      </c>
      <c r="K86" s="2">
        <f>IF(ISBLANK('1_raw_log'!K86),"",'1_raw_log'!K86)</f>
        <v/>
      </c>
      <c r="L86" s="30">
        <f>INT(B86)</f>
        <v/>
      </c>
      <c r="M86" s="20">
        <f>ROUND(MOD(B86,1)*1440,0)/1440</f>
        <v/>
      </c>
      <c r="N86" s="4">
        <f>IFERROR(INDEX('3_ref_date'!$B:$B,MATCH(L86,'3_ref_date'!$A:$A,0)),"NOT FOUND")</f>
        <v/>
      </c>
      <c r="O86" s="2">
        <f>IFERROR(INDEX('3_ref_date'!$C:$C,MATCH(L86,'3_ref_date'!$A:$A,0)),"NOT FOUND")</f>
        <v/>
      </c>
      <c r="P86" s="4">
        <f>IFERROR(INDEX('3_ref_date'!$D:$D,MATCH(L86,'3_ref_date'!$A:$A,0)),"NOT FOUND")</f>
        <v/>
      </c>
      <c r="Q86" s="4">
        <f>IFERROR(INDEX('3_ref_date'!$E:$E,MATCH(L86,'3_ref_date'!$A:$A,0)),"NOT FOUND")</f>
        <v/>
      </c>
      <c r="R86" s="2">
        <f>IFERROR(INDEX('3_ref_date'!$F:$F,MATCH(L86,'3_ref_date'!$A:$A,0)),"NOT FOUND")</f>
        <v/>
      </c>
      <c r="S86" s="2">
        <f>IFERROR(INDEX('4_ref_time'!$D:$D,MATCH(ROUND(M86*1440,0),'4_ref_time'!$A:$A,0)),"NOT FOUND")</f>
        <v/>
      </c>
      <c r="T86" s="2">
        <f>UPPER(TRIM(C86))</f>
        <v/>
      </c>
      <c r="U86" s="30">
        <f>IF(_xlfn.MAXIFS('6_3nf_branch_history'!$B$2:$B$50,'6_3nf_branch_history'!$A$2:$A$50,T86,'6_3nf_branch_history'!$B$2:$B$50,"&lt;="&amp;L86)=0,"NOT FOUND",_xlfn.MAXIFS('6_3nf_branch_history'!$B$2:$B$50,'6_3nf_branch_history'!$A$2:$A$50,T86,'6_3nf_branch_history'!$B$2:$B$50,"&lt;="&amp;L86))</f>
        <v/>
      </c>
      <c r="V86" s="2">
        <f>IF(U86="NOT FOUND","NOT FOUND",INDEX('6_3nf_branch_history'!$C:$C,SUMPRODUCT(('6_3nf_branch_history'!$A$2:$A$50=T86)*('6_3nf_branch_history'!$B$2:$B$50=U86)*ROW('6_3nf_branch_history'!$A$2:$A$50))))</f>
        <v/>
      </c>
      <c r="W86" s="2">
        <f>IF(U86="NOT FOUND","NOT FOUND",INDEX('6_3nf_branch_history'!$D:$D,SUMPRODUCT(('6_3nf_branch_history'!$A$2:$A$50=T86)*('6_3nf_branch_history'!$B$2:$B$50=U86)*ROW('6_3nf_branch_history'!$A$2:$A$50))))</f>
        <v/>
      </c>
      <c r="X86" s="2">
        <f>IF(U86="NOT FOUND","NOT FOUND",INDEX('6_3nf_branch_history'!$E:$E,SUMPRODUCT(('6_3nf_branch_history'!$A$2:$A$50=T86)*('6_3nf_branch_history'!$B$2:$B$50=U86)*ROW('6_3nf_branch_history'!$A$2:$A$50))))</f>
        <v/>
      </c>
      <c r="Y86" s="2">
        <f>UPPER(TRIM(D86))</f>
        <v/>
      </c>
      <c r="Z86" s="2">
        <f>IFERROR(INDEX('7_3nf_product'!$B:$B,MATCH(Y86,'7_3nf_product'!$A:$A,0)),"NOT FOUND")</f>
        <v/>
      </c>
      <c r="AA86" s="2">
        <f>IFERROR(INDEX('7_3nf_product'!$C:$C,MATCH(Y86,'7_3nf_product'!$A:$A,0)),"NOT FOUND")</f>
        <v/>
      </c>
      <c r="AB86" s="2">
        <f>IFERROR(INDEX('7_3nf_product'!$D:$D,MATCH(Y86,'7_3nf_product'!$A:$A,0)),"NOT FOUND")</f>
        <v/>
      </c>
      <c r="AC86" s="6">
        <f>IFERROR(INDEX('7_3nf_product'!$E:$E,MATCH(Y86,'7_3nf_product'!$A:$A,0)),"NOT FOUND")</f>
        <v/>
      </c>
      <c r="AD86" s="33">
        <f>IF(LEN(TRIM(E86))=10,TRIM(E86),IF(LEN(TRIM(E86))=8,"00"&amp;TRIM(E86),"CHECK"))</f>
        <v/>
      </c>
      <c r="AE86" s="2">
        <f>IFERROR(INDEX('8_3nf_customer'!$C:$C,MATCH(AD86,'8_3nf_customer'!$B:$B,0)),"NOT FOUND")</f>
        <v/>
      </c>
      <c r="AF86" s="30">
        <f>IFERROR(INDEX('8_3nf_customer'!$D:$D,MATCH(AD86,'8_3nf_customer'!$B:$B,0)),"NOT FOUND")</f>
        <v/>
      </c>
      <c r="AG86" s="4">
        <f>IF(ISNUMBER(AF86),DATEDIF(AF86,L86,"y"),"NOT FOUND")</f>
        <v/>
      </c>
      <c r="AH86" s="2">
        <f>IFERROR(INDEX('8_3nf_customer'!$E:$E,MATCH(AD86,'8_3nf_customer'!$B:$B,0)),"NOT FOUND")</f>
        <v/>
      </c>
      <c r="AI86" s="30">
        <f>IF(_xlfn.MAXIFS('9_3nf_customer_history'!$B$2:$B$500,'9_3nf_customer_history'!$A$2:$A$500,AD86,'9_3nf_customer_history'!$B$2:$B$500,"&lt;="&amp;L86)=0,"NOT FOUND",_xlfn.MAXIFS('9_3nf_customer_history'!$B$2:$B$500,'9_3nf_customer_history'!$A$2:$A$500,AD86,'9_3nf_customer_history'!$B$2:$B$500,"&lt;="&amp;L86))</f>
        <v/>
      </c>
      <c r="AJ86" s="2">
        <f>IF(AI86="NOT FOUND","NOT FOUND",INDEX('9_3nf_customer_history'!$C:$C,SUMPRODUCT(('9_3nf_customer_history'!$A$2:$A$500=AD86)*('9_3nf_customer_history'!$B$2:$B$500=AI86)*ROW('9_3nf_customer_history'!$A$2:$A$500))))</f>
        <v/>
      </c>
      <c r="AK86" s="2">
        <f>IF(AI86="NOT FOUND","NOT FOUND",INDEX('9_3nf_customer_history'!$D:$D,SUMPRODUCT(('9_3nf_customer_history'!$A$2:$A$500=AD86)*('9_3nf_customer_history'!$B$2:$B$500=AI86)*ROW('9_3nf_customer_history'!$A$2:$A$500))))</f>
        <v/>
      </c>
      <c r="AL86" s="2">
        <f>UPPER(TRIM(H86))</f>
        <v/>
      </c>
      <c r="AM86" s="30">
        <f>IF(_xlfn.MAXIFS('10_ref_fx_rate'!$B$2:$B$2000,'10_ref_fx_rate'!$A$2:$A$2000,AL86,'10_ref_fx_rate'!$B$2:$B$2000,"&lt;="&amp;L86)=0,"NOT FOUND",_xlfn.MAXIFS('10_ref_fx_rate'!$B$2:$B$2000,'10_ref_fx_rate'!$A$2:$A$2000,AL86,'10_ref_fx_rate'!$B$2:$B$2000,"&lt;="&amp;L86))</f>
        <v/>
      </c>
      <c r="AN86" s="8">
        <f>IF(AM86="NOT FOUND","NOT FOUND",SUMIFS('10_ref_fx_rate'!$D$2:$D$2000,'10_ref_fx_rate'!$A$2:$A$2000,AL86,'10_ref_fx_rate'!$B$2:$B$2000,AM86))</f>
        <v/>
      </c>
      <c r="AO86" s="37">
        <f>IF(ISNUMBER(AN86),I86*AN86,"NOT FOUND")</f>
        <v/>
      </c>
      <c r="AP86" s="2">
        <f>UPPER(TRIM(J86))</f>
        <v/>
      </c>
      <c r="AQ86" s="2">
        <f>IF(AP86="","SELF-DIRECTED",IF(ISNUMBER(MATCH(AP86,'11_3nf_sales_person'!$A:$A,0)),IF(EXACT(AP86,J86),"OK","OK (auto-fixed)"),IF(ISNA(MATCH($A86,'12_sales_person_confirmation'!$A:$A,0)),"CONFIRM (not logged)",IF(INDEX('12_sales_person_confirmation'!$I:$I,MATCH($A86,'12_sales_person_confirmation'!$A:$A,0))="CONFIRMED","CONFIRMED ("&amp;LOWER(INDEX('12_sales_person_confirmation'!$E:$E,MATCH($A86,'12_sales_person_confirmation'!$A:$A,0)))&amp;")","PENDING CONFIRM"))))</f>
        <v/>
      </c>
      <c r="AR86" s="2">
        <f>IF(OR(AQ86="OK",AQ86="OK (auto-fixed)"),AP86,IF(LEFT(AQ86,9)="CONFIRMED",INDEX('12_sales_person_confirmation'!$F:$F,MATCH($A86,'12_sales_person_confirmation'!$A:$A,0)),""))</f>
        <v/>
      </c>
      <c r="AS86" s="2">
        <f>IF(AR86="","",INDEX('11_3nf_sales_person'!$B:$B,MATCH(AR86,'11_3nf_sales_person'!$A:$A,0)))</f>
        <v/>
      </c>
    </row>
    <row r="87">
      <c r="A87" s="2">
        <f>IF(ISBLANK('1_raw_log'!A87),"",'1_raw_log'!A87)</f>
        <v/>
      </c>
      <c r="B87" s="3">
        <f>IF(ISBLANK('1_raw_log'!B87),"",'1_raw_log'!B87)</f>
        <v/>
      </c>
      <c r="C87" s="2">
        <f>IF(ISBLANK('1_raw_log'!C87),"",'1_raw_log'!C87)</f>
        <v/>
      </c>
      <c r="D87" s="2">
        <f>IF(ISBLANK('1_raw_log'!D87),"",'1_raw_log'!D87)</f>
        <v/>
      </c>
      <c r="E87" s="4">
        <f>IF(ISBLANK('1_raw_log'!E87),"",'1_raw_log'!E87)</f>
        <v/>
      </c>
      <c r="F87" s="2">
        <f>IF(ISBLANK('1_raw_log'!F87),"",'1_raw_log'!F87)</f>
        <v/>
      </c>
      <c r="G87" s="2">
        <f>IF(ISBLANK('1_raw_log'!G87),"",'1_raw_log'!G87)</f>
        <v/>
      </c>
      <c r="H87" s="2">
        <f>IF(ISBLANK('1_raw_log'!H87),"",'1_raw_log'!H87)</f>
        <v/>
      </c>
      <c r="I87" s="7">
        <f>IF(ISBLANK('1_raw_log'!I87),"",'1_raw_log'!I87)</f>
        <v/>
      </c>
      <c r="J87" s="2">
        <f>IF(ISBLANK('1_raw_log'!J87),"",'1_raw_log'!J87)</f>
        <v/>
      </c>
      <c r="K87" s="2">
        <f>IF(ISBLANK('1_raw_log'!K87),"",'1_raw_log'!K87)</f>
        <v/>
      </c>
      <c r="L87" s="30">
        <f>INT(B87)</f>
        <v/>
      </c>
      <c r="M87" s="20">
        <f>ROUND(MOD(B87,1)*1440,0)/1440</f>
        <v/>
      </c>
      <c r="N87" s="4">
        <f>IFERROR(INDEX('3_ref_date'!$B:$B,MATCH(L87,'3_ref_date'!$A:$A,0)),"NOT FOUND")</f>
        <v/>
      </c>
      <c r="O87" s="2">
        <f>IFERROR(INDEX('3_ref_date'!$C:$C,MATCH(L87,'3_ref_date'!$A:$A,0)),"NOT FOUND")</f>
        <v/>
      </c>
      <c r="P87" s="4">
        <f>IFERROR(INDEX('3_ref_date'!$D:$D,MATCH(L87,'3_ref_date'!$A:$A,0)),"NOT FOUND")</f>
        <v/>
      </c>
      <c r="Q87" s="4">
        <f>IFERROR(INDEX('3_ref_date'!$E:$E,MATCH(L87,'3_ref_date'!$A:$A,0)),"NOT FOUND")</f>
        <v/>
      </c>
      <c r="R87" s="2">
        <f>IFERROR(INDEX('3_ref_date'!$F:$F,MATCH(L87,'3_ref_date'!$A:$A,0)),"NOT FOUND")</f>
        <v/>
      </c>
      <c r="S87" s="2">
        <f>IFERROR(INDEX('4_ref_time'!$D:$D,MATCH(ROUND(M87*1440,0),'4_ref_time'!$A:$A,0)),"NOT FOUND")</f>
        <v/>
      </c>
      <c r="T87" s="2">
        <f>UPPER(TRIM(C87))</f>
        <v/>
      </c>
      <c r="U87" s="30">
        <f>IF(_xlfn.MAXIFS('6_3nf_branch_history'!$B$2:$B$50,'6_3nf_branch_history'!$A$2:$A$50,T87,'6_3nf_branch_history'!$B$2:$B$50,"&lt;="&amp;L87)=0,"NOT FOUND",_xlfn.MAXIFS('6_3nf_branch_history'!$B$2:$B$50,'6_3nf_branch_history'!$A$2:$A$50,T87,'6_3nf_branch_history'!$B$2:$B$50,"&lt;="&amp;L87))</f>
        <v/>
      </c>
      <c r="V87" s="2">
        <f>IF(U87="NOT FOUND","NOT FOUND",INDEX('6_3nf_branch_history'!$C:$C,SUMPRODUCT(('6_3nf_branch_history'!$A$2:$A$50=T87)*('6_3nf_branch_history'!$B$2:$B$50=U87)*ROW('6_3nf_branch_history'!$A$2:$A$50))))</f>
        <v/>
      </c>
      <c r="W87" s="2">
        <f>IF(U87="NOT FOUND","NOT FOUND",INDEX('6_3nf_branch_history'!$D:$D,SUMPRODUCT(('6_3nf_branch_history'!$A$2:$A$50=T87)*('6_3nf_branch_history'!$B$2:$B$50=U87)*ROW('6_3nf_branch_history'!$A$2:$A$50))))</f>
        <v/>
      </c>
      <c r="X87" s="2">
        <f>IF(U87="NOT FOUND","NOT FOUND",INDEX('6_3nf_branch_history'!$E:$E,SUMPRODUCT(('6_3nf_branch_history'!$A$2:$A$50=T87)*('6_3nf_branch_history'!$B$2:$B$50=U87)*ROW('6_3nf_branch_history'!$A$2:$A$50))))</f>
        <v/>
      </c>
      <c r="Y87" s="2">
        <f>UPPER(TRIM(D87))</f>
        <v/>
      </c>
      <c r="Z87" s="2">
        <f>IFERROR(INDEX('7_3nf_product'!$B:$B,MATCH(Y87,'7_3nf_product'!$A:$A,0)),"NOT FOUND")</f>
        <v/>
      </c>
      <c r="AA87" s="2">
        <f>IFERROR(INDEX('7_3nf_product'!$C:$C,MATCH(Y87,'7_3nf_product'!$A:$A,0)),"NOT FOUND")</f>
        <v/>
      </c>
      <c r="AB87" s="2">
        <f>IFERROR(INDEX('7_3nf_product'!$D:$D,MATCH(Y87,'7_3nf_product'!$A:$A,0)),"NOT FOUND")</f>
        <v/>
      </c>
      <c r="AC87" s="6">
        <f>IFERROR(INDEX('7_3nf_product'!$E:$E,MATCH(Y87,'7_3nf_product'!$A:$A,0)),"NOT FOUND")</f>
        <v/>
      </c>
      <c r="AD87" s="33">
        <f>IF(LEN(TRIM(E87))=10,TRIM(E87),IF(LEN(TRIM(E87))=8,"00"&amp;TRIM(E87),"CHECK"))</f>
        <v/>
      </c>
      <c r="AE87" s="2">
        <f>IFERROR(INDEX('8_3nf_customer'!$C:$C,MATCH(AD87,'8_3nf_customer'!$B:$B,0)),"NOT FOUND")</f>
        <v/>
      </c>
      <c r="AF87" s="30">
        <f>IFERROR(INDEX('8_3nf_customer'!$D:$D,MATCH(AD87,'8_3nf_customer'!$B:$B,0)),"NOT FOUND")</f>
        <v/>
      </c>
      <c r="AG87" s="4">
        <f>IF(ISNUMBER(AF87),DATEDIF(AF87,L87,"y"),"NOT FOUND")</f>
        <v/>
      </c>
      <c r="AH87" s="2">
        <f>IFERROR(INDEX('8_3nf_customer'!$E:$E,MATCH(AD87,'8_3nf_customer'!$B:$B,0)),"NOT FOUND")</f>
        <v/>
      </c>
      <c r="AI87" s="30">
        <f>IF(_xlfn.MAXIFS('9_3nf_customer_history'!$B$2:$B$500,'9_3nf_customer_history'!$A$2:$A$500,AD87,'9_3nf_customer_history'!$B$2:$B$500,"&lt;="&amp;L87)=0,"NOT FOUND",_xlfn.MAXIFS('9_3nf_customer_history'!$B$2:$B$500,'9_3nf_customer_history'!$A$2:$A$500,AD87,'9_3nf_customer_history'!$B$2:$B$500,"&lt;="&amp;L87))</f>
        <v/>
      </c>
      <c r="AJ87" s="2">
        <f>IF(AI87="NOT FOUND","NOT FOUND",INDEX('9_3nf_customer_history'!$C:$C,SUMPRODUCT(('9_3nf_customer_history'!$A$2:$A$500=AD87)*('9_3nf_customer_history'!$B$2:$B$500=AI87)*ROW('9_3nf_customer_history'!$A$2:$A$500))))</f>
        <v/>
      </c>
      <c r="AK87" s="2">
        <f>IF(AI87="NOT FOUND","NOT FOUND",INDEX('9_3nf_customer_history'!$D:$D,SUMPRODUCT(('9_3nf_customer_history'!$A$2:$A$500=AD87)*('9_3nf_customer_history'!$B$2:$B$500=AI87)*ROW('9_3nf_customer_history'!$A$2:$A$500))))</f>
        <v/>
      </c>
      <c r="AL87" s="2">
        <f>UPPER(TRIM(H87))</f>
        <v/>
      </c>
      <c r="AM87" s="30">
        <f>IF(_xlfn.MAXIFS('10_ref_fx_rate'!$B$2:$B$2000,'10_ref_fx_rate'!$A$2:$A$2000,AL87,'10_ref_fx_rate'!$B$2:$B$2000,"&lt;="&amp;L87)=0,"NOT FOUND",_xlfn.MAXIFS('10_ref_fx_rate'!$B$2:$B$2000,'10_ref_fx_rate'!$A$2:$A$2000,AL87,'10_ref_fx_rate'!$B$2:$B$2000,"&lt;="&amp;L87))</f>
        <v/>
      </c>
      <c r="AN87" s="8">
        <f>IF(AM87="NOT FOUND","NOT FOUND",SUMIFS('10_ref_fx_rate'!$D$2:$D$2000,'10_ref_fx_rate'!$A$2:$A$2000,AL87,'10_ref_fx_rate'!$B$2:$B$2000,AM87))</f>
        <v/>
      </c>
      <c r="AO87" s="37">
        <f>IF(ISNUMBER(AN87),I87*AN87,"NOT FOUND")</f>
        <v/>
      </c>
      <c r="AP87" s="2">
        <f>UPPER(TRIM(J87))</f>
        <v/>
      </c>
      <c r="AQ87" s="2">
        <f>IF(AP87="","SELF-DIRECTED",IF(ISNUMBER(MATCH(AP87,'11_3nf_sales_person'!$A:$A,0)),IF(EXACT(AP87,J87),"OK","OK (auto-fixed)"),IF(ISNA(MATCH($A87,'12_sales_person_confirmation'!$A:$A,0)),"CONFIRM (not logged)",IF(INDEX('12_sales_person_confirmation'!$I:$I,MATCH($A87,'12_sales_person_confirmation'!$A:$A,0))="CONFIRMED","CONFIRMED ("&amp;LOWER(INDEX('12_sales_person_confirmation'!$E:$E,MATCH($A87,'12_sales_person_confirmation'!$A:$A,0)))&amp;")","PENDING CONFIRM"))))</f>
        <v/>
      </c>
      <c r="AR87" s="2">
        <f>IF(OR(AQ87="OK",AQ87="OK (auto-fixed)"),AP87,IF(LEFT(AQ87,9)="CONFIRMED",INDEX('12_sales_person_confirmation'!$F:$F,MATCH($A87,'12_sales_person_confirmation'!$A:$A,0)),""))</f>
        <v/>
      </c>
      <c r="AS87" s="2">
        <f>IF(AR87="","",INDEX('11_3nf_sales_person'!$B:$B,MATCH(AR87,'11_3nf_sales_person'!$A:$A,0)))</f>
        <v/>
      </c>
    </row>
    <row r="88">
      <c r="A88" s="2">
        <f>IF(ISBLANK('1_raw_log'!A88),"",'1_raw_log'!A88)</f>
        <v/>
      </c>
      <c r="B88" s="3">
        <f>IF(ISBLANK('1_raw_log'!B88),"",'1_raw_log'!B88)</f>
        <v/>
      </c>
      <c r="C88" s="2">
        <f>IF(ISBLANK('1_raw_log'!C88),"",'1_raw_log'!C88)</f>
        <v/>
      </c>
      <c r="D88" s="2">
        <f>IF(ISBLANK('1_raw_log'!D88),"",'1_raw_log'!D88)</f>
        <v/>
      </c>
      <c r="E88" s="4">
        <f>IF(ISBLANK('1_raw_log'!E88),"",'1_raw_log'!E88)</f>
        <v/>
      </c>
      <c r="F88" s="2">
        <f>IF(ISBLANK('1_raw_log'!F88),"",'1_raw_log'!F88)</f>
        <v/>
      </c>
      <c r="G88" s="2">
        <f>IF(ISBLANK('1_raw_log'!G88),"",'1_raw_log'!G88)</f>
        <v/>
      </c>
      <c r="H88" s="2">
        <f>IF(ISBLANK('1_raw_log'!H88),"",'1_raw_log'!H88)</f>
        <v/>
      </c>
      <c r="I88" s="7">
        <f>IF(ISBLANK('1_raw_log'!I88),"",'1_raw_log'!I88)</f>
        <v/>
      </c>
      <c r="J88" s="2">
        <f>IF(ISBLANK('1_raw_log'!J88),"",'1_raw_log'!J88)</f>
        <v/>
      </c>
      <c r="K88" s="2">
        <f>IF(ISBLANK('1_raw_log'!K88),"",'1_raw_log'!K88)</f>
        <v/>
      </c>
      <c r="L88" s="30">
        <f>INT(B88)</f>
        <v/>
      </c>
      <c r="M88" s="20">
        <f>ROUND(MOD(B88,1)*1440,0)/1440</f>
        <v/>
      </c>
      <c r="N88" s="4">
        <f>IFERROR(INDEX('3_ref_date'!$B:$B,MATCH(L88,'3_ref_date'!$A:$A,0)),"NOT FOUND")</f>
        <v/>
      </c>
      <c r="O88" s="2">
        <f>IFERROR(INDEX('3_ref_date'!$C:$C,MATCH(L88,'3_ref_date'!$A:$A,0)),"NOT FOUND")</f>
        <v/>
      </c>
      <c r="P88" s="4">
        <f>IFERROR(INDEX('3_ref_date'!$D:$D,MATCH(L88,'3_ref_date'!$A:$A,0)),"NOT FOUND")</f>
        <v/>
      </c>
      <c r="Q88" s="4">
        <f>IFERROR(INDEX('3_ref_date'!$E:$E,MATCH(L88,'3_ref_date'!$A:$A,0)),"NOT FOUND")</f>
        <v/>
      </c>
      <c r="R88" s="2">
        <f>IFERROR(INDEX('3_ref_date'!$F:$F,MATCH(L88,'3_ref_date'!$A:$A,0)),"NOT FOUND")</f>
        <v/>
      </c>
      <c r="S88" s="2">
        <f>IFERROR(INDEX('4_ref_time'!$D:$D,MATCH(ROUND(M88*1440,0),'4_ref_time'!$A:$A,0)),"NOT FOUND")</f>
        <v/>
      </c>
      <c r="T88" s="2">
        <f>UPPER(TRIM(C88))</f>
        <v/>
      </c>
      <c r="U88" s="30">
        <f>IF(_xlfn.MAXIFS('6_3nf_branch_history'!$B$2:$B$50,'6_3nf_branch_history'!$A$2:$A$50,T88,'6_3nf_branch_history'!$B$2:$B$50,"&lt;="&amp;L88)=0,"NOT FOUND",_xlfn.MAXIFS('6_3nf_branch_history'!$B$2:$B$50,'6_3nf_branch_history'!$A$2:$A$50,T88,'6_3nf_branch_history'!$B$2:$B$50,"&lt;="&amp;L88))</f>
        <v/>
      </c>
      <c r="V88" s="2">
        <f>IF(U88="NOT FOUND","NOT FOUND",INDEX('6_3nf_branch_history'!$C:$C,SUMPRODUCT(('6_3nf_branch_history'!$A$2:$A$50=T88)*('6_3nf_branch_history'!$B$2:$B$50=U88)*ROW('6_3nf_branch_history'!$A$2:$A$50))))</f>
        <v/>
      </c>
      <c r="W88" s="2">
        <f>IF(U88="NOT FOUND","NOT FOUND",INDEX('6_3nf_branch_history'!$D:$D,SUMPRODUCT(('6_3nf_branch_history'!$A$2:$A$50=T88)*('6_3nf_branch_history'!$B$2:$B$50=U88)*ROW('6_3nf_branch_history'!$A$2:$A$50))))</f>
        <v/>
      </c>
      <c r="X88" s="2">
        <f>IF(U88="NOT FOUND","NOT FOUND",INDEX('6_3nf_branch_history'!$E:$E,SUMPRODUCT(('6_3nf_branch_history'!$A$2:$A$50=T88)*('6_3nf_branch_history'!$B$2:$B$50=U88)*ROW('6_3nf_branch_history'!$A$2:$A$50))))</f>
        <v/>
      </c>
      <c r="Y88" s="2">
        <f>UPPER(TRIM(D88))</f>
        <v/>
      </c>
      <c r="Z88" s="2">
        <f>IFERROR(INDEX('7_3nf_product'!$B:$B,MATCH(Y88,'7_3nf_product'!$A:$A,0)),"NOT FOUND")</f>
        <v/>
      </c>
      <c r="AA88" s="2">
        <f>IFERROR(INDEX('7_3nf_product'!$C:$C,MATCH(Y88,'7_3nf_product'!$A:$A,0)),"NOT FOUND")</f>
        <v/>
      </c>
      <c r="AB88" s="2">
        <f>IFERROR(INDEX('7_3nf_product'!$D:$D,MATCH(Y88,'7_3nf_product'!$A:$A,0)),"NOT FOUND")</f>
        <v/>
      </c>
      <c r="AC88" s="6">
        <f>IFERROR(INDEX('7_3nf_product'!$E:$E,MATCH(Y88,'7_3nf_product'!$A:$A,0)),"NOT FOUND")</f>
        <v/>
      </c>
      <c r="AD88" s="33">
        <f>IF(LEN(TRIM(E88))=10,TRIM(E88),IF(LEN(TRIM(E88))=8,"00"&amp;TRIM(E88),"CHECK"))</f>
        <v/>
      </c>
      <c r="AE88" s="2">
        <f>IFERROR(INDEX('8_3nf_customer'!$C:$C,MATCH(AD88,'8_3nf_customer'!$B:$B,0)),"NOT FOUND")</f>
        <v/>
      </c>
      <c r="AF88" s="30">
        <f>IFERROR(INDEX('8_3nf_customer'!$D:$D,MATCH(AD88,'8_3nf_customer'!$B:$B,0)),"NOT FOUND")</f>
        <v/>
      </c>
      <c r="AG88" s="4">
        <f>IF(ISNUMBER(AF88),DATEDIF(AF88,L88,"y"),"NOT FOUND")</f>
        <v/>
      </c>
      <c r="AH88" s="2">
        <f>IFERROR(INDEX('8_3nf_customer'!$E:$E,MATCH(AD88,'8_3nf_customer'!$B:$B,0)),"NOT FOUND")</f>
        <v/>
      </c>
      <c r="AI88" s="30">
        <f>IF(_xlfn.MAXIFS('9_3nf_customer_history'!$B$2:$B$500,'9_3nf_customer_history'!$A$2:$A$500,AD88,'9_3nf_customer_history'!$B$2:$B$500,"&lt;="&amp;L88)=0,"NOT FOUND",_xlfn.MAXIFS('9_3nf_customer_history'!$B$2:$B$500,'9_3nf_customer_history'!$A$2:$A$500,AD88,'9_3nf_customer_history'!$B$2:$B$500,"&lt;="&amp;L88))</f>
        <v/>
      </c>
      <c r="AJ88" s="2">
        <f>IF(AI88="NOT FOUND","NOT FOUND",INDEX('9_3nf_customer_history'!$C:$C,SUMPRODUCT(('9_3nf_customer_history'!$A$2:$A$500=AD88)*('9_3nf_customer_history'!$B$2:$B$500=AI88)*ROW('9_3nf_customer_history'!$A$2:$A$500))))</f>
        <v/>
      </c>
      <c r="AK88" s="2">
        <f>IF(AI88="NOT FOUND","NOT FOUND",INDEX('9_3nf_customer_history'!$D:$D,SUMPRODUCT(('9_3nf_customer_history'!$A$2:$A$500=AD88)*('9_3nf_customer_history'!$B$2:$B$500=AI88)*ROW('9_3nf_customer_history'!$A$2:$A$500))))</f>
        <v/>
      </c>
      <c r="AL88" s="2">
        <f>UPPER(TRIM(H88))</f>
        <v/>
      </c>
      <c r="AM88" s="30">
        <f>IF(_xlfn.MAXIFS('10_ref_fx_rate'!$B$2:$B$2000,'10_ref_fx_rate'!$A$2:$A$2000,AL88,'10_ref_fx_rate'!$B$2:$B$2000,"&lt;="&amp;L88)=0,"NOT FOUND",_xlfn.MAXIFS('10_ref_fx_rate'!$B$2:$B$2000,'10_ref_fx_rate'!$A$2:$A$2000,AL88,'10_ref_fx_rate'!$B$2:$B$2000,"&lt;="&amp;L88))</f>
        <v/>
      </c>
      <c r="AN88" s="8">
        <f>IF(AM88="NOT FOUND","NOT FOUND",SUMIFS('10_ref_fx_rate'!$D$2:$D$2000,'10_ref_fx_rate'!$A$2:$A$2000,AL88,'10_ref_fx_rate'!$B$2:$B$2000,AM88))</f>
        <v/>
      </c>
      <c r="AO88" s="37">
        <f>IF(ISNUMBER(AN88),I88*AN88,"NOT FOUND")</f>
        <v/>
      </c>
      <c r="AP88" s="2">
        <f>UPPER(TRIM(J88))</f>
        <v/>
      </c>
      <c r="AQ88" s="2">
        <f>IF(AP88="","SELF-DIRECTED",IF(ISNUMBER(MATCH(AP88,'11_3nf_sales_person'!$A:$A,0)),IF(EXACT(AP88,J88),"OK","OK (auto-fixed)"),IF(ISNA(MATCH($A88,'12_sales_person_confirmation'!$A:$A,0)),"CONFIRM (not logged)",IF(INDEX('12_sales_person_confirmation'!$I:$I,MATCH($A88,'12_sales_person_confirmation'!$A:$A,0))="CONFIRMED","CONFIRMED ("&amp;LOWER(INDEX('12_sales_person_confirmation'!$E:$E,MATCH($A88,'12_sales_person_confirmation'!$A:$A,0)))&amp;")","PENDING CONFIRM"))))</f>
        <v/>
      </c>
      <c r="AR88" s="2">
        <f>IF(OR(AQ88="OK",AQ88="OK (auto-fixed)"),AP88,IF(LEFT(AQ88,9)="CONFIRMED",INDEX('12_sales_person_confirmation'!$F:$F,MATCH($A88,'12_sales_person_confirmation'!$A:$A,0)),""))</f>
        <v/>
      </c>
      <c r="AS88" s="2">
        <f>IF(AR88="","",INDEX('11_3nf_sales_person'!$B:$B,MATCH(AR88,'11_3nf_sales_person'!$A:$A,0)))</f>
        <v/>
      </c>
    </row>
    <row r="89">
      <c r="A89" s="2">
        <f>IF(ISBLANK('1_raw_log'!A89),"",'1_raw_log'!A89)</f>
        <v/>
      </c>
      <c r="B89" s="3">
        <f>IF(ISBLANK('1_raw_log'!B89),"",'1_raw_log'!B89)</f>
        <v/>
      </c>
      <c r="C89" s="2">
        <f>IF(ISBLANK('1_raw_log'!C89),"",'1_raw_log'!C89)</f>
        <v/>
      </c>
      <c r="D89" s="2">
        <f>IF(ISBLANK('1_raw_log'!D89),"",'1_raw_log'!D89)</f>
        <v/>
      </c>
      <c r="E89" s="4">
        <f>IF(ISBLANK('1_raw_log'!E89),"",'1_raw_log'!E89)</f>
        <v/>
      </c>
      <c r="F89" s="2">
        <f>IF(ISBLANK('1_raw_log'!F89),"",'1_raw_log'!F89)</f>
        <v/>
      </c>
      <c r="G89" s="2">
        <f>IF(ISBLANK('1_raw_log'!G89),"",'1_raw_log'!G89)</f>
        <v/>
      </c>
      <c r="H89" s="2">
        <f>IF(ISBLANK('1_raw_log'!H89),"",'1_raw_log'!H89)</f>
        <v/>
      </c>
      <c r="I89" s="7">
        <f>IF(ISBLANK('1_raw_log'!I89),"",'1_raw_log'!I89)</f>
        <v/>
      </c>
      <c r="J89" s="2">
        <f>IF(ISBLANK('1_raw_log'!J89),"",'1_raw_log'!J89)</f>
        <v/>
      </c>
      <c r="K89" s="2">
        <f>IF(ISBLANK('1_raw_log'!K89),"",'1_raw_log'!K89)</f>
        <v/>
      </c>
      <c r="L89" s="30">
        <f>INT(B89)</f>
        <v/>
      </c>
      <c r="M89" s="20">
        <f>ROUND(MOD(B89,1)*1440,0)/1440</f>
        <v/>
      </c>
      <c r="N89" s="4">
        <f>IFERROR(INDEX('3_ref_date'!$B:$B,MATCH(L89,'3_ref_date'!$A:$A,0)),"NOT FOUND")</f>
        <v/>
      </c>
      <c r="O89" s="2">
        <f>IFERROR(INDEX('3_ref_date'!$C:$C,MATCH(L89,'3_ref_date'!$A:$A,0)),"NOT FOUND")</f>
        <v/>
      </c>
      <c r="P89" s="4">
        <f>IFERROR(INDEX('3_ref_date'!$D:$D,MATCH(L89,'3_ref_date'!$A:$A,0)),"NOT FOUND")</f>
        <v/>
      </c>
      <c r="Q89" s="4">
        <f>IFERROR(INDEX('3_ref_date'!$E:$E,MATCH(L89,'3_ref_date'!$A:$A,0)),"NOT FOUND")</f>
        <v/>
      </c>
      <c r="R89" s="2">
        <f>IFERROR(INDEX('3_ref_date'!$F:$F,MATCH(L89,'3_ref_date'!$A:$A,0)),"NOT FOUND")</f>
        <v/>
      </c>
      <c r="S89" s="2">
        <f>IFERROR(INDEX('4_ref_time'!$D:$D,MATCH(ROUND(M89*1440,0),'4_ref_time'!$A:$A,0)),"NOT FOUND")</f>
        <v/>
      </c>
      <c r="T89" s="2">
        <f>UPPER(TRIM(C89))</f>
        <v/>
      </c>
      <c r="U89" s="30">
        <f>IF(_xlfn.MAXIFS('6_3nf_branch_history'!$B$2:$B$50,'6_3nf_branch_history'!$A$2:$A$50,T89,'6_3nf_branch_history'!$B$2:$B$50,"&lt;="&amp;L89)=0,"NOT FOUND",_xlfn.MAXIFS('6_3nf_branch_history'!$B$2:$B$50,'6_3nf_branch_history'!$A$2:$A$50,T89,'6_3nf_branch_history'!$B$2:$B$50,"&lt;="&amp;L89))</f>
        <v/>
      </c>
      <c r="V89" s="2">
        <f>IF(U89="NOT FOUND","NOT FOUND",INDEX('6_3nf_branch_history'!$C:$C,SUMPRODUCT(('6_3nf_branch_history'!$A$2:$A$50=T89)*('6_3nf_branch_history'!$B$2:$B$50=U89)*ROW('6_3nf_branch_history'!$A$2:$A$50))))</f>
        <v/>
      </c>
      <c r="W89" s="2">
        <f>IF(U89="NOT FOUND","NOT FOUND",INDEX('6_3nf_branch_history'!$D:$D,SUMPRODUCT(('6_3nf_branch_history'!$A$2:$A$50=T89)*('6_3nf_branch_history'!$B$2:$B$50=U89)*ROW('6_3nf_branch_history'!$A$2:$A$50))))</f>
        <v/>
      </c>
      <c r="X89" s="2">
        <f>IF(U89="NOT FOUND","NOT FOUND",INDEX('6_3nf_branch_history'!$E:$E,SUMPRODUCT(('6_3nf_branch_history'!$A$2:$A$50=T89)*('6_3nf_branch_history'!$B$2:$B$50=U89)*ROW('6_3nf_branch_history'!$A$2:$A$50))))</f>
        <v/>
      </c>
      <c r="Y89" s="2">
        <f>UPPER(TRIM(D89))</f>
        <v/>
      </c>
      <c r="Z89" s="2">
        <f>IFERROR(INDEX('7_3nf_product'!$B:$B,MATCH(Y89,'7_3nf_product'!$A:$A,0)),"NOT FOUND")</f>
        <v/>
      </c>
      <c r="AA89" s="2">
        <f>IFERROR(INDEX('7_3nf_product'!$C:$C,MATCH(Y89,'7_3nf_product'!$A:$A,0)),"NOT FOUND")</f>
        <v/>
      </c>
      <c r="AB89" s="2">
        <f>IFERROR(INDEX('7_3nf_product'!$D:$D,MATCH(Y89,'7_3nf_product'!$A:$A,0)),"NOT FOUND")</f>
        <v/>
      </c>
      <c r="AC89" s="6">
        <f>IFERROR(INDEX('7_3nf_product'!$E:$E,MATCH(Y89,'7_3nf_product'!$A:$A,0)),"NOT FOUND")</f>
        <v/>
      </c>
      <c r="AD89" s="33">
        <f>IF(LEN(TRIM(E89))=10,TRIM(E89),IF(LEN(TRIM(E89))=8,"00"&amp;TRIM(E89),"CHECK"))</f>
        <v/>
      </c>
      <c r="AE89" s="2">
        <f>IFERROR(INDEX('8_3nf_customer'!$C:$C,MATCH(AD89,'8_3nf_customer'!$B:$B,0)),"NOT FOUND")</f>
        <v/>
      </c>
      <c r="AF89" s="30">
        <f>IFERROR(INDEX('8_3nf_customer'!$D:$D,MATCH(AD89,'8_3nf_customer'!$B:$B,0)),"NOT FOUND")</f>
        <v/>
      </c>
      <c r="AG89" s="4">
        <f>IF(ISNUMBER(AF89),DATEDIF(AF89,L89,"y"),"NOT FOUND")</f>
        <v/>
      </c>
      <c r="AH89" s="2">
        <f>IFERROR(INDEX('8_3nf_customer'!$E:$E,MATCH(AD89,'8_3nf_customer'!$B:$B,0)),"NOT FOUND")</f>
        <v/>
      </c>
      <c r="AI89" s="30">
        <f>IF(_xlfn.MAXIFS('9_3nf_customer_history'!$B$2:$B$500,'9_3nf_customer_history'!$A$2:$A$500,AD89,'9_3nf_customer_history'!$B$2:$B$500,"&lt;="&amp;L89)=0,"NOT FOUND",_xlfn.MAXIFS('9_3nf_customer_history'!$B$2:$B$500,'9_3nf_customer_history'!$A$2:$A$500,AD89,'9_3nf_customer_history'!$B$2:$B$500,"&lt;="&amp;L89))</f>
        <v/>
      </c>
      <c r="AJ89" s="2">
        <f>IF(AI89="NOT FOUND","NOT FOUND",INDEX('9_3nf_customer_history'!$C:$C,SUMPRODUCT(('9_3nf_customer_history'!$A$2:$A$500=AD89)*('9_3nf_customer_history'!$B$2:$B$500=AI89)*ROW('9_3nf_customer_history'!$A$2:$A$500))))</f>
        <v/>
      </c>
      <c r="AK89" s="2">
        <f>IF(AI89="NOT FOUND","NOT FOUND",INDEX('9_3nf_customer_history'!$D:$D,SUMPRODUCT(('9_3nf_customer_history'!$A$2:$A$500=AD89)*('9_3nf_customer_history'!$B$2:$B$500=AI89)*ROW('9_3nf_customer_history'!$A$2:$A$500))))</f>
        <v/>
      </c>
      <c r="AL89" s="2">
        <f>UPPER(TRIM(H89))</f>
        <v/>
      </c>
      <c r="AM89" s="30">
        <f>IF(_xlfn.MAXIFS('10_ref_fx_rate'!$B$2:$B$2000,'10_ref_fx_rate'!$A$2:$A$2000,AL89,'10_ref_fx_rate'!$B$2:$B$2000,"&lt;="&amp;L89)=0,"NOT FOUND",_xlfn.MAXIFS('10_ref_fx_rate'!$B$2:$B$2000,'10_ref_fx_rate'!$A$2:$A$2000,AL89,'10_ref_fx_rate'!$B$2:$B$2000,"&lt;="&amp;L89))</f>
        <v/>
      </c>
      <c r="AN89" s="8">
        <f>IF(AM89="NOT FOUND","NOT FOUND",SUMIFS('10_ref_fx_rate'!$D$2:$D$2000,'10_ref_fx_rate'!$A$2:$A$2000,AL89,'10_ref_fx_rate'!$B$2:$B$2000,AM89))</f>
        <v/>
      </c>
      <c r="AO89" s="37">
        <f>IF(ISNUMBER(AN89),I89*AN89,"NOT FOUND")</f>
        <v/>
      </c>
      <c r="AP89" s="2">
        <f>UPPER(TRIM(J89))</f>
        <v/>
      </c>
      <c r="AQ89" s="2">
        <f>IF(AP89="","SELF-DIRECTED",IF(ISNUMBER(MATCH(AP89,'11_3nf_sales_person'!$A:$A,0)),IF(EXACT(AP89,J89),"OK","OK (auto-fixed)"),IF(ISNA(MATCH($A89,'12_sales_person_confirmation'!$A:$A,0)),"CONFIRM (not logged)",IF(INDEX('12_sales_person_confirmation'!$I:$I,MATCH($A89,'12_sales_person_confirmation'!$A:$A,0))="CONFIRMED","CONFIRMED ("&amp;LOWER(INDEX('12_sales_person_confirmation'!$E:$E,MATCH($A89,'12_sales_person_confirmation'!$A:$A,0)))&amp;")","PENDING CONFIRM"))))</f>
        <v/>
      </c>
      <c r="AR89" s="2">
        <f>IF(OR(AQ89="OK",AQ89="OK (auto-fixed)"),AP89,IF(LEFT(AQ89,9)="CONFIRMED",INDEX('12_sales_person_confirmation'!$F:$F,MATCH($A89,'12_sales_person_confirmation'!$A:$A,0)),""))</f>
        <v/>
      </c>
      <c r="AS89" s="2">
        <f>IF(AR89="","",INDEX('11_3nf_sales_person'!$B:$B,MATCH(AR89,'11_3nf_sales_person'!$A:$A,0)))</f>
        <v/>
      </c>
    </row>
    <row r="90">
      <c r="A90" s="2">
        <f>IF(ISBLANK('1_raw_log'!A90),"",'1_raw_log'!A90)</f>
        <v/>
      </c>
      <c r="B90" s="3">
        <f>IF(ISBLANK('1_raw_log'!B90),"",'1_raw_log'!B90)</f>
        <v/>
      </c>
      <c r="C90" s="2">
        <f>IF(ISBLANK('1_raw_log'!C90),"",'1_raw_log'!C90)</f>
        <v/>
      </c>
      <c r="D90" s="2">
        <f>IF(ISBLANK('1_raw_log'!D90),"",'1_raw_log'!D90)</f>
        <v/>
      </c>
      <c r="E90" s="4">
        <f>IF(ISBLANK('1_raw_log'!E90),"",'1_raw_log'!E90)</f>
        <v/>
      </c>
      <c r="F90" s="2">
        <f>IF(ISBLANK('1_raw_log'!F90),"",'1_raw_log'!F90)</f>
        <v/>
      </c>
      <c r="G90" s="2">
        <f>IF(ISBLANK('1_raw_log'!G90),"",'1_raw_log'!G90)</f>
        <v/>
      </c>
      <c r="H90" s="2">
        <f>IF(ISBLANK('1_raw_log'!H90),"",'1_raw_log'!H90)</f>
        <v/>
      </c>
      <c r="I90" s="7">
        <f>IF(ISBLANK('1_raw_log'!I90),"",'1_raw_log'!I90)</f>
        <v/>
      </c>
      <c r="J90" s="2">
        <f>IF(ISBLANK('1_raw_log'!J90),"",'1_raw_log'!J90)</f>
        <v/>
      </c>
      <c r="K90" s="2">
        <f>IF(ISBLANK('1_raw_log'!K90),"",'1_raw_log'!K90)</f>
        <v/>
      </c>
      <c r="L90" s="30">
        <f>INT(B90)</f>
        <v/>
      </c>
      <c r="M90" s="20">
        <f>ROUND(MOD(B90,1)*1440,0)/1440</f>
        <v/>
      </c>
      <c r="N90" s="4">
        <f>IFERROR(INDEX('3_ref_date'!$B:$B,MATCH(L90,'3_ref_date'!$A:$A,0)),"NOT FOUND")</f>
        <v/>
      </c>
      <c r="O90" s="2">
        <f>IFERROR(INDEX('3_ref_date'!$C:$C,MATCH(L90,'3_ref_date'!$A:$A,0)),"NOT FOUND")</f>
        <v/>
      </c>
      <c r="P90" s="4">
        <f>IFERROR(INDEX('3_ref_date'!$D:$D,MATCH(L90,'3_ref_date'!$A:$A,0)),"NOT FOUND")</f>
        <v/>
      </c>
      <c r="Q90" s="4">
        <f>IFERROR(INDEX('3_ref_date'!$E:$E,MATCH(L90,'3_ref_date'!$A:$A,0)),"NOT FOUND")</f>
        <v/>
      </c>
      <c r="R90" s="2">
        <f>IFERROR(INDEX('3_ref_date'!$F:$F,MATCH(L90,'3_ref_date'!$A:$A,0)),"NOT FOUND")</f>
        <v/>
      </c>
      <c r="S90" s="2">
        <f>IFERROR(INDEX('4_ref_time'!$D:$D,MATCH(ROUND(M90*1440,0),'4_ref_time'!$A:$A,0)),"NOT FOUND")</f>
        <v/>
      </c>
      <c r="T90" s="2">
        <f>UPPER(TRIM(C90))</f>
        <v/>
      </c>
      <c r="U90" s="30">
        <f>IF(_xlfn.MAXIFS('6_3nf_branch_history'!$B$2:$B$50,'6_3nf_branch_history'!$A$2:$A$50,T90,'6_3nf_branch_history'!$B$2:$B$50,"&lt;="&amp;L90)=0,"NOT FOUND",_xlfn.MAXIFS('6_3nf_branch_history'!$B$2:$B$50,'6_3nf_branch_history'!$A$2:$A$50,T90,'6_3nf_branch_history'!$B$2:$B$50,"&lt;="&amp;L90))</f>
        <v/>
      </c>
      <c r="V90" s="2">
        <f>IF(U90="NOT FOUND","NOT FOUND",INDEX('6_3nf_branch_history'!$C:$C,SUMPRODUCT(('6_3nf_branch_history'!$A$2:$A$50=T90)*('6_3nf_branch_history'!$B$2:$B$50=U90)*ROW('6_3nf_branch_history'!$A$2:$A$50))))</f>
        <v/>
      </c>
      <c r="W90" s="2">
        <f>IF(U90="NOT FOUND","NOT FOUND",INDEX('6_3nf_branch_history'!$D:$D,SUMPRODUCT(('6_3nf_branch_history'!$A$2:$A$50=T90)*('6_3nf_branch_history'!$B$2:$B$50=U90)*ROW('6_3nf_branch_history'!$A$2:$A$50))))</f>
        <v/>
      </c>
      <c r="X90" s="2">
        <f>IF(U90="NOT FOUND","NOT FOUND",INDEX('6_3nf_branch_history'!$E:$E,SUMPRODUCT(('6_3nf_branch_history'!$A$2:$A$50=T90)*('6_3nf_branch_history'!$B$2:$B$50=U90)*ROW('6_3nf_branch_history'!$A$2:$A$50))))</f>
        <v/>
      </c>
      <c r="Y90" s="2">
        <f>UPPER(TRIM(D90))</f>
        <v/>
      </c>
      <c r="Z90" s="2">
        <f>IFERROR(INDEX('7_3nf_product'!$B:$B,MATCH(Y90,'7_3nf_product'!$A:$A,0)),"NOT FOUND")</f>
        <v/>
      </c>
      <c r="AA90" s="2">
        <f>IFERROR(INDEX('7_3nf_product'!$C:$C,MATCH(Y90,'7_3nf_product'!$A:$A,0)),"NOT FOUND")</f>
        <v/>
      </c>
      <c r="AB90" s="2">
        <f>IFERROR(INDEX('7_3nf_product'!$D:$D,MATCH(Y90,'7_3nf_product'!$A:$A,0)),"NOT FOUND")</f>
        <v/>
      </c>
      <c r="AC90" s="6">
        <f>IFERROR(INDEX('7_3nf_product'!$E:$E,MATCH(Y90,'7_3nf_product'!$A:$A,0)),"NOT FOUND")</f>
        <v/>
      </c>
      <c r="AD90" s="33">
        <f>IF(LEN(TRIM(E90))=10,TRIM(E90),IF(LEN(TRIM(E90))=8,"00"&amp;TRIM(E90),"CHECK"))</f>
        <v/>
      </c>
      <c r="AE90" s="2">
        <f>IFERROR(INDEX('8_3nf_customer'!$C:$C,MATCH(AD90,'8_3nf_customer'!$B:$B,0)),"NOT FOUND")</f>
        <v/>
      </c>
      <c r="AF90" s="30">
        <f>IFERROR(INDEX('8_3nf_customer'!$D:$D,MATCH(AD90,'8_3nf_customer'!$B:$B,0)),"NOT FOUND")</f>
        <v/>
      </c>
      <c r="AG90" s="4">
        <f>IF(ISNUMBER(AF90),DATEDIF(AF90,L90,"y"),"NOT FOUND")</f>
        <v/>
      </c>
      <c r="AH90" s="2">
        <f>IFERROR(INDEX('8_3nf_customer'!$E:$E,MATCH(AD90,'8_3nf_customer'!$B:$B,0)),"NOT FOUND")</f>
        <v/>
      </c>
      <c r="AI90" s="30">
        <f>IF(_xlfn.MAXIFS('9_3nf_customer_history'!$B$2:$B$500,'9_3nf_customer_history'!$A$2:$A$500,AD90,'9_3nf_customer_history'!$B$2:$B$500,"&lt;="&amp;L90)=0,"NOT FOUND",_xlfn.MAXIFS('9_3nf_customer_history'!$B$2:$B$500,'9_3nf_customer_history'!$A$2:$A$500,AD90,'9_3nf_customer_history'!$B$2:$B$500,"&lt;="&amp;L90))</f>
        <v/>
      </c>
      <c r="AJ90" s="2">
        <f>IF(AI90="NOT FOUND","NOT FOUND",INDEX('9_3nf_customer_history'!$C:$C,SUMPRODUCT(('9_3nf_customer_history'!$A$2:$A$500=AD90)*('9_3nf_customer_history'!$B$2:$B$500=AI90)*ROW('9_3nf_customer_history'!$A$2:$A$500))))</f>
        <v/>
      </c>
      <c r="AK90" s="2">
        <f>IF(AI90="NOT FOUND","NOT FOUND",INDEX('9_3nf_customer_history'!$D:$D,SUMPRODUCT(('9_3nf_customer_history'!$A$2:$A$500=AD90)*('9_3nf_customer_history'!$B$2:$B$500=AI90)*ROW('9_3nf_customer_history'!$A$2:$A$500))))</f>
        <v/>
      </c>
      <c r="AL90" s="2">
        <f>UPPER(TRIM(H90))</f>
        <v/>
      </c>
      <c r="AM90" s="30">
        <f>IF(_xlfn.MAXIFS('10_ref_fx_rate'!$B$2:$B$2000,'10_ref_fx_rate'!$A$2:$A$2000,AL90,'10_ref_fx_rate'!$B$2:$B$2000,"&lt;="&amp;L90)=0,"NOT FOUND",_xlfn.MAXIFS('10_ref_fx_rate'!$B$2:$B$2000,'10_ref_fx_rate'!$A$2:$A$2000,AL90,'10_ref_fx_rate'!$B$2:$B$2000,"&lt;="&amp;L90))</f>
        <v/>
      </c>
      <c r="AN90" s="8">
        <f>IF(AM90="NOT FOUND","NOT FOUND",SUMIFS('10_ref_fx_rate'!$D$2:$D$2000,'10_ref_fx_rate'!$A$2:$A$2000,AL90,'10_ref_fx_rate'!$B$2:$B$2000,AM90))</f>
        <v/>
      </c>
      <c r="AO90" s="37">
        <f>IF(ISNUMBER(AN90),I90*AN90,"NOT FOUND")</f>
        <v/>
      </c>
      <c r="AP90" s="2">
        <f>UPPER(TRIM(J90))</f>
        <v/>
      </c>
      <c r="AQ90" s="2">
        <f>IF(AP90="","SELF-DIRECTED",IF(ISNUMBER(MATCH(AP90,'11_3nf_sales_person'!$A:$A,0)),IF(EXACT(AP90,J90),"OK","OK (auto-fixed)"),IF(ISNA(MATCH($A90,'12_sales_person_confirmation'!$A:$A,0)),"CONFIRM (not logged)",IF(INDEX('12_sales_person_confirmation'!$I:$I,MATCH($A90,'12_sales_person_confirmation'!$A:$A,0))="CONFIRMED","CONFIRMED ("&amp;LOWER(INDEX('12_sales_person_confirmation'!$E:$E,MATCH($A90,'12_sales_person_confirmation'!$A:$A,0)))&amp;")","PENDING CONFIRM"))))</f>
        <v/>
      </c>
      <c r="AR90" s="2">
        <f>IF(OR(AQ90="OK",AQ90="OK (auto-fixed)"),AP90,IF(LEFT(AQ90,9)="CONFIRMED",INDEX('12_sales_person_confirmation'!$F:$F,MATCH($A90,'12_sales_person_confirmation'!$A:$A,0)),""))</f>
        <v/>
      </c>
      <c r="AS90" s="2">
        <f>IF(AR90="","",INDEX('11_3nf_sales_person'!$B:$B,MATCH(AR90,'11_3nf_sales_person'!$A:$A,0)))</f>
        <v/>
      </c>
    </row>
    <row r="91">
      <c r="A91" s="2">
        <f>IF(ISBLANK('1_raw_log'!A91),"",'1_raw_log'!A91)</f>
        <v/>
      </c>
      <c r="B91" s="3">
        <f>IF(ISBLANK('1_raw_log'!B91),"",'1_raw_log'!B91)</f>
        <v/>
      </c>
      <c r="C91" s="2">
        <f>IF(ISBLANK('1_raw_log'!C91),"",'1_raw_log'!C91)</f>
        <v/>
      </c>
      <c r="D91" s="2">
        <f>IF(ISBLANK('1_raw_log'!D91),"",'1_raw_log'!D91)</f>
        <v/>
      </c>
      <c r="E91" s="4">
        <f>IF(ISBLANK('1_raw_log'!E91),"",'1_raw_log'!E91)</f>
        <v/>
      </c>
      <c r="F91" s="2">
        <f>IF(ISBLANK('1_raw_log'!F91),"",'1_raw_log'!F91)</f>
        <v/>
      </c>
      <c r="G91" s="2">
        <f>IF(ISBLANK('1_raw_log'!G91),"",'1_raw_log'!G91)</f>
        <v/>
      </c>
      <c r="H91" s="2">
        <f>IF(ISBLANK('1_raw_log'!H91),"",'1_raw_log'!H91)</f>
        <v/>
      </c>
      <c r="I91" s="7">
        <f>IF(ISBLANK('1_raw_log'!I91),"",'1_raw_log'!I91)</f>
        <v/>
      </c>
      <c r="J91" s="2">
        <f>IF(ISBLANK('1_raw_log'!J91),"",'1_raw_log'!J91)</f>
        <v/>
      </c>
      <c r="K91" s="2">
        <f>IF(ISBLANK('1_raw_log'!K91),"",'1_raw_log'!K91)</f>
        <v/>
      </c>
      <c r="L91" s="30">
        <f>INT(B91)</f>
        <v/>
      </c>
      <c r="M91" s="20">
        <f>ROUND(MOD(B91,1)*1440,0)/1440</f>
        <v/>
      </c>
      <c r="N91" s="4">
        <f>IFERROR(INDEX('3_ref_date'!$B:$B,MATCH(L91,'3_ref_date'!$A:$A,0)),"NOT FOUND")</f>
        <v/>
      </c>
      <c r="O91" s="2">
        <f>IFERROR(INDEX('3_ref_date'!$C:$C,MATCH(L91,'3_ref_date'!$A:$A,0)),"NOT FOUND")</f>
        <v/>
      </c>
      <c r="P91" s="4">
        <f>IFERROR(INDEX('3_ref_date'!$D:$D,MATCH(L91,'3_ref_date'!$A:$A,0)),"NOT FOUND")</f>
        <v/>
      </c>
      <c r="Q91" s="4">
        <f>IFERROR(INDEX('3_ref_date'!$E:$E,MATCH(L91,'3_ref_date'!$A:$A,0)),"NOT FOUND")</f>
        <v/>
      </c>
      <c r="R91" s="2">
        <f>IFERROR(INDEX('3_ref_date'!$F:$F,MATCH(L91,'3_ref_date'!$A:$A,0)),"NOT FOUND")</f>
        <v/>
      </c>
      <c r="S91" s="2">
        <f>IFERROR(INDEX('4_ref_time'!$D:$D,MATCH(ROUND(M91*1440,0),'4_ref_time'!$A:$A,0)),"NOT FOUND")</f>
        <v/>
      </c>
      <c r="T91" s="2">
        <f>UPPER(TRIM(C91))</f>
        <v/>
      </c>
      <c r="U91" s="30">
        <f>IF(_xlfn.MAXIFS('6_3nf_branch_history'!$B$2:$B$50,'6_3nf_branch_history'!$A$2:$A$50,T91,'6_3nf_branch_history'!$B$2:$B$50,"&lt;="&amp;L91)=0,"NOT FOUND",_xlfn.MAXIFS('6_3nf_branch_history'!$B$2:$B$50,'6_3nf_branch_history'!$A$2:$A$50,T91,'6_3nf_branch_history'!$B$2:$B$50,"&lt;="&amp;L91))</f>
        <v/>
      </c>
      <c r="V91" s="2">
        <f>IF(U91="NOT FOUND","NOT FOUND",INDEX('6_3nf_branch_history'!$C:$C,SUMPRODUCT(('6_3nf_branch_history'!$A$2:$A$50=T91)*('6_3nf_branch_history'!$B$2:$B$50=U91)*ROW('6_3nf_branch_history'!$A$2:$A$50))))</f>
        <v/>
      </c>
      <c r="W91" s="2">
        <f>IF(U91="NOT FOUND","NOT FOUND",INDEX('6_3nf_branch_history'!$D:$D,SUMPRODUCT(('6_3nf_branch_history'!$A$2:$A$50=T91)*('6_3nf_branch_history'!$B$2:$B$50=U91)*ROW('6_3nf_branch_history'!$A$2:$A$50))))</f>
        <v/>
      </c>
      <c r="X91" s="2">
        <f>IF(U91="NOT FOUND","NOT FOUND",INDEX('6_3nf_branch_history'!$E:$E,SUMPRODUCT(('6_3nf_branch_history'!$A$2:$A$50=T91)*('6_3nf_branch_history'!$B$2:$B$50=U91)*ROW('6_3nf_branch_history'!$A$2:$A$50))))</f>
        <v/>
      </c>
      <c r="Y91" s="2">
        <f>UPPER(TRIM(D91))</f>
        <v/>
      </c>
      <c r="Z91" s="2">
        <f>IFERROR(INDEX('7_3nf_product'!$B:$B,MATCH(Y91,'7_3nf_product'!$A:$A,0)),"NOT FOUND")</f>
        <v/>
      </c>
      <c r="AA91" s="2">
        <f>IFERROR(INDEX('7_3nf_product'!$C:$C,MATCH(Y91,'7_3nf_product'!$A:$A,0)),"NOT FOUND")</f>
        <v/>
      </c>
      <c r="AB91" s="2">
        <f>IFERROR(INDEX('7_3nf_product'!$D:$D,MATCH(Y91,'7_3nf_product'!$A:$A,0)),"NOT FOUND")</f>
        <v/>
      </c>
      <c r="AC91" s="6">
        <f>IFERROR(INDEX('7_3nf_product'!$E:$E,MATCH(Y91,'7_3nf_product'!$A:$A,0)),"NOT FOUND")</f>
        <v/>
      </c>
      <c r="AD91" s="33">
        <f>IF(LEN(TRIM(E91))=10,TRIM(E91),IF(LEN(TRIM(E91))=8,"00"&amp;TRIM(E91),"CHECK"))</f>
        <v/>
      </c>
      <c r="AE91" s="2">
        <f>IFERROR(INDEX('8_3nf_customer'!$C:$C,MATCH(AD91,'8_3nf_customer'!$B:$B,0)),"NOT FOUND")</f>
        <v/>
      </c>
      <c r="AF91" s="30">
        <f>IFERROR(INDEX('8_3nf_customer'!$D:$D,MATCH(AD91,'8_3nf_customer'!$B:$B,0)),"NOT FOUND")</f>
        <v/>
      </c>
      <c r="AG91" s="4">
        <f>IF(ISNUMBER(AF91),DATEDIF(AF91,L91,"y"),"NOT FOUND")</f>
        <v/>
      </c>
      <c r="AH91" s="2">
        <f>IFERROR(INDEX('8_3nf_customer'!$E:$E,MATCH(AD91,'8_3nf_customer'!$B:$B,0)),"NOT FOUND")</f>
        <v/>
      </c>
      <c r="AI91" s="30">
        <f>IF(_xlfn.MAXIFS('9_3nf_customer_history'!$B$2:$B$500,'9_3nf_customer_history'!$A$2:$A$500,AD91,'9_3nf_customer_history'!$B$2:$B$500,"&lt;="&amp;L91)=0,"NOT FOUND",_xlfn.MAXIFS('9_3nf_customer_history'!$B$2:$B$500,'9_3nf_customer_history'!$A$2:$A$500,AD91,'9_3nf_customer_history'!$B$2:$B$500,"&lt;="&amp;L91))</f>
        <v/>
      </c>
      <c r="AJ91" s="2">
        <f>IF(AI91="NOT FOUND","NOT FOUND",INDEX('9_3nf_customer_history'!$C:$C,SUMPRODUCT(('9_3nf_customer_history'!$A$2:$A$500=AD91)*('9_3nf_customer_history'!$B$2:$B$500=AI91)*ROW('9_3nf_customer_history'!$A$2:$A$500))))</f>
        <v/>
      </c>
      <c r="AK91" s="2">
        <f>IF(AI91="NOT FOUND","NOT FOUND",INDEX('9_3nf_customer_history'!$D:$D,SUMPRODUCT(('9_3nf_customer_history'!$A$2:$A$500=AD91)*('9_3nf_customer_history'!$B$2:$B$500=AI91)*ROW('9_3nf_customer_history'!$A$2:$A$500))))</f>
        <v/>
      </c>
      <c r="AL91" s="2">
        <f>UPPER(TRIM(H91))</f>
        <v/>
      </c>
      <c r="AM91" s="30">
        <f>IF(_xlfn.MAXIFS('10_ref_fx_rate'!$B$2:$B$2000,'10_ref_fx_rate'!$A$2:$A$2000,AL91,'10_ref_fx_rate'!$B$2:$B$2000,"&lt;="&amp;L91)=0,"NOT FOUND",_xlfn.MAXIFS('10_ref_fx_rate'!$B$2:$B$2000,'10_ref_fx_rate'!$A$2:$A$2000,AL91,'10_ref_fx_rate'!$B$2:$B$2000,"&lt;="&amp;L91))</f>
        <v/>
      </c>
      <c r="AN91" s="8">
        <f>IF(AM91="NOT FOUND","NOT FOUND",SUMIFS('10_ref_fx_rate'!$D$2:$D$2000,'10_ref_fx_rate'!$A$2:$A$2000,AL91,'10_ref_fx_rate'!$B$2:$B$2000,AM91))</f>
        <v/>
      </c>
      <c r="AO91" s="37">
        <f>IF(ISNUMBER(AN91),I91*AN91,"NOT FOUND")</f>
        <v/>
      </c>
      <c r="AP91" s="2">
        <f>UPPER(TRIM(J91))</f>
        <v/>
      </c>
      <c r="AQ91" s="2">
        <f>IF(AP91="","SELF-DIRECTED",IF(ISNUMBER(MATCH(AP91,'11_3nf_sales_person'!$A:$A,0)),IF(EXACT(AP91,J91),"OK","OK (auto-fixed)"),IF(ISNA(MATCH($A91,'12_sales_person_confirmation'!$A:$A,0)),"CONFIRM (not logged)",IF(INDEX('12_sales_person_confirmation'!$I:$I,MATCH($A91,'12_sales_person_confirmation'!$A:$A,0))="CONFIRMED","CONFIRMED ("&amp;LOWER(INDEX('12_sales_person_confirmation'!$E:$E,MATCH($A91,'12_sales_person_confirmation'!$A:$A,0)))&amp;")","PENDING CONFIRM"))))</f>
        <v/>
      </c>
      <c r="AR91" s="2">
        <f>IF(OR(AQ91="OK",AQ91="OK (auto-fixed)"),AP91,IF(LEFT(AQ91,9)="CONFIRMED",INDEX('12_sales_person_confirmation'!$F:$F,MATCH($A91,'12_sales_person_confirmation'!$A:$A,0)),""))</f>
        <v/>
      </c>
      <c r="AS91" s="2">
        <f>IF(AR91="","",INDEX('11_3nf_sales_person'!$B:$B,MATCH(AR91,'11_3nf_sales_person'!$A:$A,0)))</f>
        <v/>
      </c>
    </row>
    <row r="92">
      <c r="A92" s="2">
        <f>IF(ISBLANK('1_raw_log'!A92),"",'1_raw_log'!A92)</f>
        <v/>
      </c>
      <c r="B92" s="3">
        <f>IF(ISBLANK('1_raw_log'!B92),"",'1_raw_log'!B92)</f>
        <v/>
      </c>
      <c r="C92" s="2">
        <f>IF(ISBLANK('1_raw_log'!C92),"",'1_raw_log'!C92)</f>
        <v/>
      </c>
      <c r="D92" s="2">
        <f>IF(ISBLANK('1_raw_log'!D92),"",'1_raw_log'!D92)</f>
        <v/>
      </c>
      <c r="E92" s="4">
        <f>IF(ISBLANK('1_raw_log'!E92),"",'1_raw_log'!E92)</f>
        <v/>
      </c>
      <c r="F92" s="2">
        <f>IF(ISBLANK('1_raw_log'!F92),"",'1_raw_log'!F92)</f>
        <v/>
      </c>
      <c r="G92" s="2">
        <f>IF(ISBLANK('1_raw_log'!G92),"",'1_raw_log'!G92)</f>
        <v/>
      </c>
      <c r="H92" s="2">
        <f>IF(ISBLANK('1_raw_log'!H92),"",'1_raw_log'!H92)</f>
        <v/>
      </c>
      <c r="I92" s="7">
        <f>IF(ISBLANK('1_raw_log'!I92),"",'1_raw_log'!I92)</f>
        <v/>
      </c>
      <c r="J92" s="2">
        <f>IF(ISBLANK('1_raw_log'!J92),"",'1_raw_log'!J92)</f>
        <v/>
      </c>
      <c r="K92" s="2">
        <f>IF(ISBLANK('1_raw_log'!K92),"",'1_raw_log'!K92)</f>
        <v/>
      </c>
      <c r="L92" s="30">
        <f>INT(B92)</f>
        <v/>
      </c>
      <c r="M92" s="20">
        <f>ROUND(MOD(B92,1)*1440,0)/1440</f>
        <v/>
      </c>
      <c r="N92" s="4">
        <f>IFERROR(INDEX('3_ref_date'!$B:$B,MATCH(L92,'3_ref_date'!$A:$A,0)),"NOT FOUND")</f>
        <v/>
      </c>
      <c r="O92" s="2">
        <f>IFERROR(INDEX('3_ref_date'!$C:$C,MATCH(L92,'3_ref_date'!$A:$A,0)),"NOT FOUND")</f>
        <v/>
      </c>
      <c r="P92" s="4">
        <f>IFERROR(INDEX('3_ref_date'!$D:$D,MATCH(L92,'3_ref_date'!$A:$A,0)),"NOT FOUND")</f>
        <v/>
      </c>
      <c r="Q92" s="4">
        <f>IFERROR(INDEX('3_ref_date'!$E:$E,MATCH(L92,'3_ref_date'!$A:$A,0)),"NOT FOUND")</f>
        <v/>
      </c>
      <c r="R92" s="2">
        <f>IFERROR(INDEX('3_ref_date'!$F:$F,MATCH(L92,'3_ref_date'!$A:$A,0)),"NOT FOUND")</f>
        <v/>
      </c>
      <c r="S92" s="2">
        <f>IFERROR(INDEX('4_ref_time'!$D:$D,MATCH(ROUND(M92*1440,0),'4_ref_time'!$A:$A,0)),"NOT FOUND")</f>
        <v/>
      </c>
      <c r="T92" s="2">
        <f>UPPER(TRIM(C92))</f>
        <v/>
      </c>
      <c r="U92" s="30">
        <f>IF(_xlfn.MAXIFS('6_3nf_branch_history'!$B$2:$B$50,'6_3nf_branch_history'!$A$2:$A$50,T92,'6_3nf_branch_history'!$B$2:$B$50,"&lt;="&amp;L92)=0,"NOT FOUND",_xlfn.MAXIFS('6_3nf_branch_history'!$B$2:$B$50,'6_3nf_branch_history'!$A$2:$A$50,T92,'6_3nf_branch_history'!$B$2:$B$50,"&lt;="&amp;L92))</f>
        <v/>
      </c>
      <c r="V92" s="2">
        <f>IF(U92="NOT FOUND","NOT FOUND",INDEX('6_3nf_branch_history'!$C:$C,SUMPRODUCT(('6_3nf_branch_history'!$A$2:$A$50=T92)*('6_3nf_branch_history'!$B$2:$B$50=U92)*ROW('6_3nf_branch_history'!$A$2:$A$50))))</f>
        <v/>
      </c>
      <c r="W92" s="2">
        <f>IF(U92="NOT FOUND","NOT FOUND",INDEX('6_3nf_branch_history'!$D:$D,SUMPRODUCT(('6_3nf_branch_history'!$A$2:$A$50=T92)*('6_3nf_branch_history'!$B$2:$B$50=U92)*ROW('6_3nf_branch_history'!$A$2:$A$50))))</f>
        <v/>
      </c>
      <c r="X92" s="2">
        <f>IF(U92="NOT FOUND","NOT FOUND",INDEX('6_3nf_branch_history'!$E:$E,SUMPRODUCT(('6_3nf_branch_history'!$A$2:$A$50=T92)*('6_3nf_branch_history'!$B$2:$B$50=U92)*ROW('6_3nf_branch_history'!$A$2:$A$50))))</f>
        <v/>
      </c>
      <c r="Y92" s="2">
        <f>UPPER(TRIM(D92))</f>
        <v/>
      </c>
      <c r="Z92" s="2">
        <f>IFERROR(INDEX('7_3nf_product'!$B:$B,MATCH(Y92,'7_3nf_product'!$A:$A,0)),"NOT FOUND")</f>
        <v/>
      </c>
      <c r="AA92" s="2">
        <f>IFERROR(INDEX('7_3nf_product'!$C:$C,MATCH(Y92,'7_3nf_product'!$A:$A,0)),"NOT FOUND")</f>
        <v/>
      </c>
      <c r="AB92" s="2">
        <f>IFERROR(INDEX('7_3nf_product'!$D:$D,MATCH(Y92,'7_3nf_product'!$A:$A,0)),"NOT FOUND")</f>
        <v/>
      </c>
      <c r="AC92" s="6">
        <f>IFERROR(INDEX('7_3nf_product'!$E:$E,MATCH(Y92,'7_3nf_product'!$A:$A,0)),"NOT FOUND")</f>
        <v/>
      </c>
      <c r="AD92" s="33">
        <f>IF(LEN(TRIM(E92))=10,TRIM(E92),IF(LEN(TRIM(E92))=8,"00"&amp;TRIM(E92),"CHECK"))</f>
        <v/>
      </c>
      <c r="AE92" s="2">
        <f>IFERROR(INDEX('8_3nf_customer'!$C:$C,MATCH(AD92,'8_3nf_customer'!$B:$B,0)),"NOT FOUND")</f>
        <v/>
      </c>
      <c r="AF92" s="30">
        <f>IFERROR(INDEX('8_3nf_customer'!$D:$D,MATCH(AD92,'8_3nf_customer'!$B:$B,0)),"NOT FOUND")</f>
        <v/>
      </c>
      <c r="AG92" s="4">
        <f>IF(ISNUMBER(AF92),DATEDIF(AF92,L92,"y"),"NOT FOUND")</f>
        <v/>
      </c>
      <c r="AH92" s="2">
        <f>IFERROR(INDEX('8_3nf_customer'!$E:$E,MATCH(AD92,'8_3nf_customer'!$B:$B,0)),"NOT FOUND")</f>
        <v/>
      </c>
      <c r="AI92" s="30">
        <f>IF(_xlfn.MAXIFS('9_3nf_customer_history'!$B$2:$B$500,'9_3nf_customer_history'!$A$2:$A$500,AD92,'9_3nf_customer_history'!$B$2:$B$500,"&lt;="&amp;L92)=0,"NOT FOUND",_xlfn.MAXIFS('9_3nf_customer_history'!$B$2:$B$500,'9_3nf_customer_history'!$A$2:$A$500,AD92,'9_3nf_customer_history'!$B$2:$B$500,"&lt;="&amp;L92))</f>
        <v/>
      </c>
      <c r="AJ92" s="2">
        <f>IF(AI92="NOT FOUND","NOT FOUND",INDEX('9_3nf_customer_history'!$C:$C,SUMPRODUCT(('9_3nf_customer_history'!$A$2:$A$500=AD92)*('9_3nf_customer_history'!$B$2:$B$500=AI92)*ROW('9_3nf_customer_history'!$A$2:$A$500))))</f>
        <v/>
      </c>
      <c r="AK92" s="2">
        <f>IF(AI92="NOT FOUND","NOT FOUND",INDEX('9_3nf_customer_history'!$D:$D,SUMPRODUCT(('9_3nf_customer_history'!$A$2:$A$500=AD92)*('9_3nf_customer_history'!$B$2:$B$500=AI92)*ROW('9_3nf_customer_history'!$A$2:$A$500))))</f>
        <v/>
      </c>
      <c r="AL92" s="2">
        <f>UPPER(TRIM(H92))</f>
        <v/>
      </c>
      <c r="AM92" s="30">
        <f>IF(_xlfn.MAXIFS('10_ref_fx_rate'!$B$2:$B$2000,'10_ref_fx_rate'!$A$2:$A$2000,AL92,'10_ref_fx_rate'!$B$2:$B$2000,"&lt;="&amp;L92)=0,"NOT FOUND",_xlfn.MAXIFS('10_ref_fx_rate'!$B$2:$B$2000,'10_ref_fx_rate'!$A$2:$A$2000,AL92,'10_ref_fx_rate'!$B$2:$B$2000,"&lt;="&amp;L92))</f>
        <v/>
      </c>
      <c r="AN92" s="8">
        <f>IF(AM92="NOT FOUND","NOT FOUND",SUMIFS('10_ref_fx_rate'!$D$2:$D$2000,'10_ref_fx_rate'!$A$2:$A$2000,AL92,'10_ref_fx_rate'!$B$2:$B$2000,AM92))</f>
        <v/>
      </c>
      <c r="AO92" s="37">
        <f>IF(ISNUMBER(AN92),I92*AN92,"NOT FOUND")</f>
        <v/>
      </c>
      <c r="AP92" s="2">
        <f>UPPER(TRIM(J92))</f>
        <v/>
      </c>
      <c r="AQ92" s="2">
        <f>IF(AP92="","SELF-DIRECTED",IF(ISNUMBER(MATCH(AP92,'11_3nf_sales_person'!$A:$A,0)),IF(EXACT(AP92,J92),"OK","OK (auto-fixed)"),IF(ISNA(MATCH($A92,'12_sales_person_confirmation'!$A:$A,0)),"CONFIRM (not logged)",IF(INDEX('12_sales_person_confirmation'!$I:$I,MATCH($A92,'12_sales_person_confirmation'!$A:$A,0))="CONFIRMED","CONFIRMED ("&amp;LOWER(INDEX('12_sales_person_confirmation'!$E:$E,MATCH($A92,'12_sales_person_confirmation'!$A:$A,0)))&amp;")","PENDING CONFIRM"))))</f>
        <v/>
      </c>
      <c r="AR92" s="2">
        <f>IF(OR(AQ92="OK",AQ92="OK (auto-fixed)"),AP92,IF(LEFT(AQ92,9)="CONFIRMED",INDEX('12_sales_person_confirmation'!$F:$F,MATCH($A92,'12_sales_person_confirmation'!$A:$A,0)),""))</f>
        <v/>
      </c>
      <c r="AS92" s="2">
        <f>IF(AR92="","",INDEX('11_3nf_sales_person'!$B:$B,MATCH(AR92,'11_3nf_sales_person'!$A:$A,0)))</f>
        <v/>
      </c>
    </row>
    <row r="93">
      <c r="A93" s="2">
        <f>IF(ISBLANK('1_raw_log'!A93),"",'1_raw_log'!A93)</f>
        <v/>
      </c>
      <c r="B93" s="3">
        <f>IF(ISBLANK('1_raw_log'!B93),"",'1_raw_log'!B93)</f>
        <v/>
      </c>
      <c r="C93" s="2">
        <f>IF(ISBLANK('1_raw_log'!C93),"",'1_raw_log'!C93)</f>
        <v/>
      </c>
      <c r="D93" s="2">
        <f>IF(ISBLANK('1_raw_log'!D93),"",'1_raw_log'!D93)</f>
        <v/>
      </c>
      <c r="E93" s="4">
        <f>IF(ISBLANK('1_raw_log'!E93),"",'1_raw_log'!E93)</f>
        <v/>
      </c>
      <c r="F93" s="2">
        <f>IF(ISBLANK('1_raw_log'!F93),"",'1_raw_log'!F93)</f>
        <v/>
      </c>
      <c r="G93" s="2">
        <f>IF(ISBLANK('1_raw_log'!G93),"",'1_raw_log'!G93)</f>
        <v/>
      </c>
      <c r="H93" s="2">
        <f>IF(ISBLANK('1_raw_log'!H93),"",'1_raw_log'!H93)</f>
        <v/>
      </c>
      <c r="I93" s="7">
        <f>IF(ISBLANK('1_raw_log'!I93),"",'1_raw_log'!I93)</f>
        <v/>
      </c>
      <c r="J93" s="2">
        <f>IF(ISBLANK('1_raw_log'!J93),"",'1_raw_log'!J93)</f>
        <v/>
      </c>
      <c r="K93" s="2">
        <f>IF(ISBLANK('1_raw_log'!K93),"",'1_raw_log'!K93)</f>
        <v/>
      </c>
      <c r="L93" s="30">
        <f>INT(B93)</f>
        <v/>
      </c>
      <c r="M93" s="20">
        <f>ROUND(MOD(B93,1)*1440,0)/1440</f>
        <v/>
      </c>
      <c r="N93" s="4">
        <f>IFERROR(INDEX('3_ref_date'!$B:$B,MATCH(L93,'3_ref_date'!$A:$A,0)),"NOT FOUND")</f>
        <v/>
      </c>
      <c r="O93" s="2">
        <f>IFERROR(INDEX('3_ref_date'!$C:$C,MATCH(L93,'3_ref_date'!$A:$A,0)),"NOT FOUND")</f>
        <v/>
      </c>
      <c r="P93" s="4">
        <f>IFERROR(INDEX('3_ref_date'!$D:$D,MATCH(L93,'3_ref_date'!$A:$A,0)),"NOT FOUND")</f>
        <v/>
      </c>
      <c r="Q93" s="4">
        <f>IFERROR(INDEX('3_ref_date'!$E:$E,MATCH(L93,'3_ref_date'!$A:$A,0)),"NOT FOUND")</f>
        <v/>
      </c>
      <c r="R93" s="2">
        <f>IFERROR(INDEX('3_ref_date'!$F:$F,MATCH(L93,'3_ref_date'!$A:$A,0)),"NOT FOUND")</f>
        <v/>
      </c>
      <c r="S93" s="2">
        <f>IFERROR(INDEX('4_ref_time'!$D:$D,MATCH(ROUND(M93*1440,0),'4_ref_time'!$A:$A,0)),"NOT FOUND")</f>
        <v/>
      </c>
      <c r="T93" s="2">
        <f>UPPER(TRIM(C93))</f>
        <v/>
      </c>
      <c r="U93" s="30">
        <f>IF(_xlfn.MAXIFS('6_3nf_branch_history'!$B$2:$B$50,'6_3nf_branch_history'!$A$2:$A$50,T93,'6_3nf_branch_history'!$B$2:$B$50,"&lt;="&amp;L93)=0,"NOT FOUND",_xlfn.MAXIFS('6_3nf_branch_history'!$B$2:$B$50,'6_3nf_branch_history'!$A$2:$A$50,T93,'6_3nf_branch_history'!$B$2:$B$50,"&lt;="&amp;L93))</f>
        <v/>
      </c>
      <c r="V93" s="2">
        <f>IF(U93="NOT FOUND","NOT FOUND",INDEX('6_3nf_branch_history'!$C:$C,SUMPRODUCT(('6_3nf_branch_history'!$A$2:$A$50=T93)*('6_3nf_branch_history'!$B$2:$B$50=U93)*ROW('6_3nf_branch_history'!$A$2:$A$50))))</f>
        <v/>
      </c>
      <c r="W93" s="2">
        <f>IF(U93="NOT FOUND","NOT FOUND",INDEX('6_3nf_branch_history'!$D:$D,SUMPRODUCT(('6_3nf_branch_history'!$A$2:$A$50=T93)*('6_3nf_branch_history'!$B$2:$B$50=U93)*ROW('6_3nf_branch_history'!$A$2:$A$50))))</f>
        <v/>
      </c>
      <c r="X93" s="2">
        <f>IF(U93="NOT FOUND","NOT FOUND",INDEX('6_3nf_branch_history'!$E:$E,SUMPRODUCT(('6_3nf_branch_history'!$A$2:$A$50=T93)*('6_3nf_branch_history'!$B$2:$B$50=U93)*ROW('6_3nf_branch_history'!$A$2:$A$50))))</f>
        <v/>
      </c>
      <c r="Y93" s="2">
        <f>UPPER(TRIM(D93))</f>
        <v/>
      </c>
      <c r="Z93" s="2">
        <f>IFERROR(INDEX('7_3nf_product'!$B:$B,MATCH(Y93,'7_3nf_product'!$A:$A,0)),"NOT FOUND")</f>
        <v/>
      </c>
      <c r="AA93" s="2">
        <f>IFERROR(INDEX('7_3nf_product'!$C:$C,MATCH(Y93,'7_3nf_product'!$A:$A,0)),"NOT FOUND")</f>
        <v/>
      </c>
      <c r="AB93" s="2">
        <f>IFERROR(INDEX('7_3nf_product'!$D:$D,MATCH(Y93,'7_3nf_product'!$A:$A,0)),"NOT FOUND")</f>
        <v/>
      </c>
      <c r="AC93" s="6">
        <f>IFERROR(INDEX('7_3nf_product'!$E:$E,MATCH(Y93,'7_3nf_product'!$A:$A,0)),"NOT FOUND")</f>
        <v/>
      </c>
      <c r="AD93" s="33">
        <f>IF(LEN(TRIM(E93))=10,TRIM(E93),IF(LEN(TRIM(E93))=8,"00"&amp;TRIM(E93),"CHECK"))</f>
        <v/>
      </c>
      <c r="AE93" s="2">
        <f>IFERROR(INDEX('8_3nf_customer'!$C:$C,MATCH(AD93,'8_3nf_customer'!$B:$B,0)),"NOT FOUND")</f>
        <v/>
      </c>
      <c r="AF93" s="30">
        <f>IFERROR(INDEX('8_3nf_customer'!$D:$D,MATCH(AD93,'8_3nf_customer'!$B:$B,0)),"NOT FOUND")</f>
        <v/>
      </c>
      <c r="AG93" s="4">
        <f>IF(ISNUMBER(AF93),DATEDIF(AF93,L93,"y"),"NOT FOUND")</f>
        <v/>
      </c>
      <c r="AH93" s="2">
        <f>IFERROR(INDEX('8_3nf_customer'!$E:$E,MATCH(AD93,'8_3nf_customer'!$B:$B,0)),"NOT FOUND")</f>
        <v/>
      </c>
      <c r="AI93" s="30">
        <f>IF(_xlfn.MAXIFS('9_3nf_customer_history'!$B$2:$B$500,'9_3nf_customer_history'!$A$2:$A$500,AD93,'9_3nf_customer_history'!$B$2:$B$500,"&lt;="&amp;L93)=0,"NOT FOUND",_xlfn.MAXIFS('9_3nf_customer_history'!$B$2:$B$500,'9_3nf_customer_history'!$A$2:$A$500,AD93,'9_3nf_customer_history'!$B$2:$B$500,"&lt;="&amp;L93))</f>
        <v/>
      </c>
      <c r="AJ93" s="2">
        <f>IF(AI93="NOT FOUND","NOT FOUND",INDEX('9_3nf_customer_history'!$C:$C,SUMPRODUCT(('9_3nf_customer_history'!$A$2:$A$500=AD93)*('9_3nf_customer_history'!$B$2:$B$500=AI93)*ROW('9_3nf_customer_history'!$A$2:$A$500))))</f>
        <v/>
      </c>
      <c r="AK93" s="2">
        <f>IF(AI93="NOT FOUND","NOT FOUND",INDEX('9_3nf_customer_history'!$D:$D,SUMPRODUCT(('9_3nf_customer_history'!$A$2:$A$500=AD93)*('9_3nf_customer_history'!$B$2:$B$500=AI93)*ROW('9_3nf_customer_history'!$A$2:$A$500))))</f>
        <v/>
      </c>
      <c r="AL93" s="2">
        <f>UPPER(TRIM(H93))</f>
        <v/>
      </c>
      <c r="AM93" s="30">
        <f>IF(_xlfn.MAXIFS('10_ref_fx_rate'!$B$2:$B$2000,'10_ref_fx_rate'!$A$2:$A$2000,AL93,'10_ref_fx_rate'!$B$2:$B$2000,"&lt;="&amp;L93)=0,"NOT FOUND",_xlfn.MAXIFS('10_ref_fx_rate'!$B$2:$B$2000,'10_ref_fx_rate'!$A$2:$A$2000,AL93,'10_ref_fx_rate'!$B$2:$B$2000,"&lt;="&amp;L93))</f>
        <v/>
      </c>
      <c r="AN93" s="8">
        <f>IF(AM93="NOT FOUND","NOT FOUND",SUMIFS('10_ref_fx_rate'!$D$2:$D$2000,'10_ref_fx_rate'!$A$2:$A$2000,AL93,'10_ref_fx_rate'!$B$2:$B$2000,AM93))</f>
        <v/>
      </c>
      <c r="AO93" s="37">
        <f>IF(ISNUMBER(AN93),I93*AN93,"NOT FOUND")</f>
        <v/>
      </c>
      <c r="AP93" s="2">
        <f>UPPER(TRIM(J93))</f>
        <v/>
      </c>
      <c r="AQ93" s="2">
        <f>IF(AP93="","SELF-DIRECTED",IF(ISNUMBER(MATCH(AP93,'11_3nf_sales_person'!$A:$A,0)),IF(EXACT(AP93,J93),"OK","OK (auto-fixed)"),IF(ISNA(MATCH($A93,'12_sales_person_confirmation'!$A:$A,0)),"CONFIRM (not logged)",IF(INDEX('12_sales_person_confirmation'!$I:$I,MATCH($A93,'12_sales_person_confirmation'!$A:$A,0))="CONFIRMED","CONFIRMED ("&amp;LOWER(INDEX('12_sales_person_confirmation'!$E:$E,MATCH($A93,'12_sales_person_confirmation'!$A:$A,0)))&amp;")","PENDING CONFIRM"))))</f>
        <v/>
      </c>
      <c r="AR93" s="2">
        <f>IF(OR(AQ93="OK",AQ93="OK (auto-fixed)"),AP93,IF(LEFT(AQ93,9)="CONFIRMED",INDEX('12_sales_person_confirmation'!$F:$F,MATCH($A93,'12_sales_person_confirmation'!$A:$A,0)),""))</f>
        <v/>
      </c>
      <c r="AS93" s="2">
        <f>IF(AR93="","",INDEX('11_3nf_sales_person'!$B:$B,MATCH(AR93,'11_3nf_sales_person'!$A:$A,0)))</f>
        <v/>
      </c>
    </row>
    <row r="94">
      <c r="A94" s="2">
        <f>IF(ISBLANK('1_raw_log'!A94),"",'1_raw_log'!A94)</f>
        <v/>
      </c>
      <c r="B94" s="3">
        <f>IF(ISBLANK('1_raw_log'!B94),"",'1_raw_log'!B94)</f>
        <v/>
      </c>
      <c r="C94" s="2">
        <f>IF(ISBLANK('1_raw_log'!C94),"",'1_raw_log'!C94)</f>
        <v/>
      </c>
      <c r="D94" s="2">
        <f>IF(ISBLANK('1_raw_log'!D94),"",'1_raw_log'!D94)</f>
        <v/>
      </c>
      <c r="E94" s="4">
        <f>IF(ISBLANK('1_raw_log'!E94),"",'1_raw_log'!E94)</f>
        <v/>
      </c>
      <c r="F94" s="2">
        <f>IF(ISBLANK('1_raw_log'!F94),"",'1_raw_log'!F94)</f>
        <v/>
      </c>
      <c r="G94" s="2">
        <f>IF(ISBLANK('1_raw_log'!G94),"",'1_raw_log'!G94)</f>
        <v/>
      </c>
      <c r="H94" s="2">
        <f>IF(ISBLANK('1_raw_log'!H94),"",'1_raw_log'!H94)</f>
        <v/>
      </c>
      <c r="I94" s="7">
        <f>IF(ISBLANK('1_raw_log'!I94),"",'1_raw_log'!I94)</f>
        <v/>
      </c>
      <c r="J94" s="2">
        <f>IF(ISBLANK('1_raw_log'!J94),"",'1_raw_log'!J94)</f>
        <v/>
      </c>
      <c r="K94" s="2">
        <f>IF(ISBLANK('1_raw_log'!K94),"",'1_raw_log'!K94)</f>
        <v/>
      </c>
      <c r="L94" s="30">
        <f>INT(B94)</f>
        <v/>
      </c>
      <c r="M94" s="20">
        <f>ROUND(MOD(B94,1)*1440,0)/1440</f>
        <v/>
      </c>
      <c r="N94" s="4">
        <f>IFERROR(INDEX('3_ref_date'!$B:$B,MATCH(L94,'3_ref_date'!$A:$A,0)),"NOT FOUND")</f>
        <v/>
      </c>
      <c r="O94" s="2">
        <f>IFERROR(INDEX('3_ref_date'!$C:$C,MATCH(L94,'3_ref_date'!$A:$A,0)),"NOT FOUND")</f>
        <v/>
      </c>
      <c r="P94" s="4">
        <f>IFERROR(INDEX('3_ref_date'!$D:$D,MATCH(L94,'3_ref_date'!$A:$A,0)),"NOT FOUND")</f>
        <v/>
      </c>
      <c r="Q94" s="4">
        <f>IFERROR(INDEX('3_ref_date'!$E:$E,MATCH(L94,'3_ref_date'!$A:$A,0)),"NOT FOUND")</f>
        <v/>
      </c>
      <c r="R94" s="2">
        <f>IFERROR(INDEX('3_ref_date'!$F:$F,MATCH(L94,'3_ref_date'!$A:$A,0)),"NOT FOUND")</f>
        <v/>
      </c>
      <c r="S94" s="2">
        <f>IFERROR(INDEX('4_ref_time'!$D:$D,MATCH(ROUND(M94*1440,0),'4_ref_time'!$A:$A,0)),"NOT FOUND")</f>
        <v/>
      </c>
      <c r="T94" s="2">
        <f>UPPER(TRIM(C94))</f>
        <v/>
      </c>
      <c r="U94" s="30">
        <f>IF(_xlfn.MAXIFS('6_3nf_branch_history'!$B$2:$B$50,'6_3nf_branch_history'!$A$2:$A$50,T94,'6_3nf_branch_history'!$B$2:$B$50,"&lt;="&amp;L94)=0,"NOT FOUND",_xlfn.MAXIFS('6_3nf_branch_history'!$B$2:$B$50,'6_3nf_branch_history'!$A$2:$A$50,T94,'6_3nf_branch_history'!$B$2:$B$50,"&lt;="&amp;L94))</f>
        <v/>
      </c>
      <c r="V94" s="2">
        <f>IF(U94="NOT FOUND","NOT FOUND",INDEX('6_3nf_branch_history'!$C:$C,SUMPRODUCT(('6_3nf_branch_history'!$A$2:$A$50=T94)*('6_3nf_branch_history'!$B$2:$B$50=U94)*ROW('6_3nf_branch_history'!$A$2:$A$50))))</f>
        <v/>
      </c>
      <c r="W94" s="2">
        <f>IF(U94="NOT FOUND","NOT FOUND",INDEX('6_3nf_branch_history'!$D:$D,SUMPRODUCT(('6_3nf_branch_history'!$A$2:$A$50=T94)*('6_3nf_branch_history'!$B$2:$B$50=U94)*ROW('6_3nf_branch_history'!$A$2:$A$50))))</f>
        <v/>
      </c>
      <c r="X94" s="2">
        <f>IF(U94="NOT FOUND","NOT FOUND",INDEX('6_3nf_branch_history'!$E:$E,SUMPRODUCT(('6_3nf_branch_history'!$A$2:$A$50=T94)*('6_3nf_branch_history'!$B$2:$B$50=U94)*ROW('6_3nf_branch_history'!$A$2:$A$50))))</f>
        <v/>
      </c>
      <c r="Y94" s="2">
        <f>UPPER(TRIM(D94))</f>
        <v/>
      </c>
      <c r="Z94" s="2">
        <f>IFERROR(INDEX('7_3nf_product'!$B:$B,MATCH(Y94,'7_3nf_product'!$A:$A,0)),"NOT FOUND")</f>
        <v/>
      </c>
      <c r="AA94" s="2">
        <f>IFERROR(INDEX('7_3nf_product'!$C:$C,MATCH(Y94,'7_3nf_product'!$A:$A,0)),"NOT FOUND")</f>
        <v/>
      </c>
      <c r="AB94" s="2">
        <f>IFERROR(INDEX('7_3nf_product'!$D:$D,MATCH(Y94,'7_3nf_product'!$A:$A,0)),"NOT FOUND")</f>
        <v/>
      </c>
      <c r="AC94" s="6">
        <f>IFERROR(INDEX('7_3nf_product'!$E:$E,MATCH(Y94,'7_3nf_product'!$A:$A,0)),"NOT FOUND")</f>
        <v/>
      </c>
      <c r="AD94" s="33">
        <f>IF(LEN(TRIM(E94))=10,TRIM(E94),IF(LEN(TRIM(E94))=8,"00"&amp;TRIM(E94),"CHECK"))</f>
        <v/>
      </c>
      <c r="AE94" s="2">
        <f>IFERROR(INDEX('8_3nf_customer'!$C:$C,MATCH(AD94,'8_3nf_customer'!$B:$B,0)),"NOT FOUND")</f>
        <v/>
      </c>
      <c r="AF94" s="30">
        <f>IFERROR(INDEX('8_3nf_customer'!$D:$D,MATCH(AD94,'8_3nf_customer'!$B:$B,0)),"NOT FOUND")</f>
        <v/>
      </c>
      <c r="AG94" s="4">
        <f>IF(ISNUMBER(AF94),DATEDIF(AF94,L94,"y"),"NOT FOUND")</f>
        <v/>
      </c>
      <c r="AH94" s="2">
        <f>IFERROR(INDEX('8_3nf_customer'!$E:$E,MATCH(AD94,'8_3nf_customer'!$B:$B,0)),"NOT FOUND")</f>
        <v/>
      </c>
      <c r="AI94" s="30">
        <f>IF(_xlfn.MAXIFS('9_3nf_customer_history'!$B$2:$B$500,'9_3nf_customer_history'!$A$2:$A$500,AD94,'9_3nf_customer_history'!$B$2:$B$500,"&lt;="&amp;L94)=0,"NOT FOUND",_xlfn.MAXIFS('9_3nf_customer_history'!$B$2:$B$500,'9_3nf_customer_history'!$A$2:$A$500,AD94,'9_3nf_customer_history'!$B$2:$B$500,"&lt;="&amp;L94))</f>
        <v/>
      </c>
      <c r="AJ94" s="2">
        <f>IF(AI94="NOT FOUND","NOT FOUND",INDEX('9_3nf_customer_history'!$C:$C,SUMPRODUCT(('9_3nf_customer_history'!$A$2:$A$500=AD94)*('9_3nf_customer_history'!$B$2:$B$500=AI94)*ROW('9_3nf_customer_history'!$A$2:$A$500))))</f>
        <v/>
      </c>
      <c r="AK94" s="2">
        <f>IF(AI94="NOT FOUND","NOT FOUND",INDEX('9_3nf_customer_history'!$D:$D,SUMPRODUCT(('9_3nf_customer_history'!$A$2:$A$500=AD94)*('9_3nf_customer_history'!$B$2:$B$500=AI94)*ROW('9_3nf_customer_history'!$A$2:$A$500))))</f>
        <v/>
      </c>
      <c r="AL94" s="2">
        <f>UPPER(TRIM(H94))</f>
        <v/>
      </c>
      <c r="AM94" s="30">
        <f>IF(_xlfn.MAXIFS('10_ref_fx_rate'!$B$2:$B$2000,'10_ref_fx_rate'!$A$2:$A$2000,AL94,'10_ref_fx_rate'!$B$2:$B$2000,"&lt;="&amp;L94)=0,"NOT FOUND",_xlfn.MAXIFS('10_ref_fx_rate'!$B$2:$B$2000,'10_ref_fx_rate'!$A$2:$A$2000,AL94,'10_ref_fx_rate'!$B$2:$B$2000,"&lt;="&amp;L94))</f>
        <v/>
      </c>
      <c r="AN94" s="8">
        <f>IF(AM94="NOT FOUND","NOT FOUND",SUMIFS('10_ref_fx_rate'!$D$2:$D$2000,'10_ref_fx_rate'!$A$2:$A$2000,AL94,'10_ref_fx_rate'!$B$2:$B$2000,AM94))</f>
        <v/>
      </c>
      <c r="AO94" s="37">
        <f>IF(ISNUMBER(AN94),I94*AN94,"NOT FOUND")</f>
        <v/>
      </c>
      <c r="AP94" s="2">
        <f>UPPER(TRIM(J94))</f>
        <v/>
      </c>
      <c r="AQ94" s="2">
        <f>IF(AP94="","SELF-DIRECTED",IF(ISNUMBER(MATCH(AP94,'11_3nf_sales_person'!$A:$A,0)),IF(EXACT(AP94,J94),"OK","OK (auto-fixed)"),IF(ISNA(MATCH($A94,'12_sales_person_confirmation'!$A:$A,0)),"CONFIRM (not logged)",IF(INDEX('12_sales_person_confirmation'!$I:$I,MATCH($A94,'12_sales_person_confirmation'!$A:$A,0))="CONFIRMED","CONFIRMED ("&amp;LOWER(INDEX('12_sales_person_confirmation'!$E:$E,MATCH($A94,'12_sales_person_confirmation'!$A:$A,0)))&amp;")","PENDING CONFIRM"))))</f>
        <v/>
      </c>
      <c r="AR94" s="2">
        <f>IF(OR(AQ94="OK",AQ94="OK (auto-fixed)"),AP94,IF(LEFT(AQ94,9)="CONFIRMED",INDEX('12_sales_person_confirmation'!$F:$F,MATCH($A94,'12_sales_person_confirmation'!$A:$A,0)),""))</f>
        <v/>
      </c>
      <c r="AS94" s="2">
        <f>IF(AR94="","",INDEX('11_3nf_sales_person'!$B:$B,MATCH(AR94,'11_3nf_sales_person'!$A:$A,0)))</f>
        <v/>
      </c>
    </row>
    <row r="95">
      <c r="A95" s="2">
        <f>IF(ISBLANK('1_raw_log'!A95),"",'1_raw_log'!A95)</f>
        <v/>
      </c>
      <c r="B95" s="3">
        <f>IF(ISBLANK('1_raw_log'!B95),"",'1_raw_log'!B95)</f>
        <v/>
      </c>
      <c r="C95" s="2">
        <f>IF(ISBLANK('1_raw_log'!C95),"",'1_raw_log'!C95)</f>
        <v/>
      </c>
      <c r="D95" s="2">
        <f>IF(ISBLANK('1_raw_log'!D95),"",'1_raw_log'!D95)</f>
        <v/>
      </c>
      <c r="E95" s="4">
        <f>IF(ISBLANK('1_raw_log'!E95),"",'1_raw_log'!E95)</f>
        <v/>
      </c>
      <c r="F95" s="2">
        <f>IF(ISBLANK('1_raw_log'!F95),"",'1_raw_log'!F95)</f>
        <v/>
      </c>
      <c r="G95" s="2">
        <f>IF(ISBLANK('1_raw_log'!G95),"",'1_raw_log'!G95)</f>
        <v/>
      </c>
      <c r="H95" s="2">
        <f>IF(ISBLANK('1_raw_log'!H95),"",'1_raw_log'!H95)</f>
        <v/>
      </c>
      <c r="I95" s="7">
        <f>IF(ISBLANK('1_raw_log'!I95),"",'1_raw_log'!I95)</f>
        <v/>
      </c>
      <c r="J95" s="2">
        <f>IF(ISBLANK('1_raw_log'!J95),"",'1_raw_log'!J95)</f>
        <v/>
      </c>
      <c r="K95" s="2">
        <f>IF(ISBLANK('1_raw_log'!K95),"",'1_raw_log'!K95)</f>
        <v/>
      </c>
      <c r="L95" s="30">
        <f>INT(B95)</f>
        <v/>
      </c>
      <c r="M95" s="20">
        <f>ROUND(MOD(B95,1)*1440,0)/1440</f>
        <v/>
      </c>
      <c r="N95" s="4">
        <f>IFERROR(INDEX('3_ref_date'!$B:$B,MATCH(L95,'3_ref_date'!$A:$A,0)),"NOT FOUND")</f>
        <v/>
      </c>
      <c r="O95" s="2">
        <f>IFERROR(INDEX('3_ref_date'!$C:$C,MATCH(L95,'3_ref_date'!$A:$A,0)),"NOT FOUND")</f>
        <v/>
      </c>
      <c r="P95" s="4">
        <f>IFERROR(INDEX('3_ref_date'!$D:$D,MATCH(L95,'3_ref_date'!$A:$A,0)),"NOT FOUND")</f>
        <v/>
      </c>
      <c r="Q95" s="4">
        <f>IFERROR(INDEX('3_ref_date'!$E:$E,MATCH(L95,'3_ref_date'!$A:$A,0)),"NOT FOUND")</f>
        <v/>
      </c>
      <c r="R95" s="2">
        <f>IFERROR(INDEX('3_ref_date'!$F:$F,MATCH(L95,'3_ref_date'!$A:$A,0)),"NOT FOUND")</f>
        <v/>
      </c>
      <c r="S95" s="2">
        <f>IFERROR(INDEX('4_ref_time'!$D:$D,MATCH(ROUND(M95*1440,0),'4_ref_time'!$A:$A,0)),"NOT FOUND")</f>
        <v/>
      </c>
      <c r="T95" s="2">
        <f>UPPER(TRIM(C95))</f>
        <v/>
      </c>
      <c r="U95" s="30">
        <f>IF(_xlfn.MAXIFS('6_3nf_branch_history'!$B$2:$B$50,'6_3nf_branch_history'!$A$2:$A$50,T95,'6_3nf_branch_history'!$B$2:$B$50,"&lt;="&amp;L95)=0,"NOT FOUND",_xlfn.MAXIFS('6_3nf_branch_history'!$B$2:$B$50,'6_3nf_branch_history'!$A$2:$A$50,T95,'6_3nf_branch_history'!$B$2:$B$50,"&lt;="&amp;L95))</f>
        <v/>
      </c>
      <c r="V95" s="2">
        <f>IF(U95="NOT FOUND","NOT FOUND",INDEX('6_3nf_branch_history'!$C:$C,SUMPRODUCT(('6_3nf_branch_history'!$A$2:$A$50=T95)*('6_3nf_branch_history'!$B$2:$B$50=U95)*ROW('6_3nf_branch_history'!$A$2:$A$50))))</f>
        <v/>
      </c>
      <c r="W95" s="2">
        <f>IF(U95="NOT FOUND","NOT FOUND",INDEX('6_3nf_branch_history'!$D:$D,SUMPRODUCT(('6_3nf_branch_history'!$A$2:$A$50=T95)*('6_3nf_branch_history'!$B$2:$B$50=U95)*ROW('6_3nf_branch_history'!$A$2:$A$50))))</f>
        <v/>
      </c>
      <c r="X95" s="2">
        <f>IF(U95="NOT FOUND","NOT FOUND",INDEX('6_3nf_branch_history'!$E:$E,SUMPRODUCT(('6_3nf_branch_history'!$A$2:$A$50=T95)*('6_3nf_branch_history'!$B$2:$B$50=U95)*ROW('6_3nf_branch_history'!$A$2:$A$50))))</f>
        <v/>
      </c>
      <c r="Y95" s="2">
        <f>UPPER(TRIM(D95))</f>
        <v/>
      </c>
      <c r="Z95" s="2">
        <f>IFERROR(INDEX('7_3nf_product'!$B:$B,MATCH(Y95,'7_3nf_product'!$A:$A,0)),"NOT FOUND")</f>
        <v/>
      </c>
      <c r="AA95" s="2">
        <f>IFERROR(INDEX('7_3nf_product'!$C:$C,MATCH(Y95,'7_3nf_product'!$A:$A,0)),"NOT FOUND")</f>
        <v/>
      </c>
      <c r="AB95" s="2">
        <f>IFERROR(INDEX('7_3nf_product'!$D:$D,MATCH(Y95,'7_3nf_product'!$A:$A,0)),"NOT FOUND")</f>
        <v/>
      </c>
      <c r="AC95" s="6">
        <f>IFERROR(INDEX('7_3nf_product'!$E:$E,MATCH(Y95,'7_3nf_product'!$A:$A,0)),"NOT FOUND")</f>
        <v/>
      </c>
      <c r="AD95" s="33">
        <f>IF(LEN(TRIM(E95))=10,TRIM(E95),IF(LEN(TRIM(E95))=8,"00"&amp;TRIM(E95),"CHECK"))</f>
        <v/>
      </c>
      <c r="AE95" s="2">
        <f>IFERROR(INDEX('8_3nf_customer'!$C:$C,MATCH(AD95,'8_3nf_customer'!$B:$B,0)),"NOT FOUND")</f>
        <v/>
      </c>
      <c r="AF95" s="30">
        <f>IFERROR(INDEX('8_3nf_customer'!$D:$D,MATCH(AD95,'8_3nf_customer'!$B:$B,0)),"NOT FOUND")</f>
        <v/>
      </c>
      <c r="AG95" s="4">
        <f>IF(ISNUMBER(AF95),DATEDIF(AF95,L95,"y"),"NOT FOUND")</f>
        <v/>
      </c>
      <c r="AH95" s="2">
        <f>IFERROR(INDEX('8_3nf_customer'!$E:$E,MATCH(AD95,'8_3nf_customer'!$B:$B,0)),"NOT FOUND")</f>
        <v/>
      </c>
      <c r="AI95" s="30">
        <f>IF(_xlfn.MAXIFS('9_3nf_customer_history'!$B$2:$B$500,'9_3nf_customer_history'!$A$2:$A$500,AD95,'9_3nf_customer_history'!$B$2:$B$500,"&lt;="&amp;L95)=0,"NOT FOUND",_xlfn.MAXIFS('9_3nf_customer_history'!$B$2:$B$500,'9_3nf_customer_history'!$A$2:$A$500,AD95,'9_3nf_customer_history'!$B$2:$B$500,"&lt;="&amp;L95))</f>
        <v/>
      </c>
      <c r="AJ95" s="2">
        <f>IF(AI95="NOT FOUND","NOT FOUND",INDEX('9_3nf_customer_history'!$C:$C,SUMPRODUCT(('9_3nf_customer_history'!$A$2:$A$500=AD95)*('9_3nf_customer_history'!$B$2:$B$500=AI95)*ROW('9_3nf_customer_history'!$A$2:$A$500))))</f>
        <v/>
      </c>
      <c r="AK95" s="2">
        <f>IF(AI95="NOT FOUND","NOT FOUND",INDEX('9_3nf_customer_history'!$D:$D,SUMPRODUCT(('9_3nf_customer_history'!$A$2:$A$500=AD95)*('9_3nf_customer_history'!$B$2:$B$500=AI95)*ROW('9_3nf_customer_history'!$A$2:$A$500))))</f>
        <v/>
      </c>
      <c r="AL95" s="2">
        <f>UPPER(TRIM(H95))</f>
        <v/>
      </c>
      <c r="AM95" s="30">
        <f>IF(_xlfn.MAXIFS('10_ref_fx_rate'!$B$2:$B$2000,'10_ref_fx_rate'!$A$2:$A$2000,AL95,'10_ref_fx_rate'!$B$2:$B$2000,"&lt;="&amp;L95)=0,"NOT FOUND",_xlfn.MAXIFS('10_ref_fx_rate'!$B$2:$B$2000,'10_ref_fx_rate'!$A$2:$A$2000,AL95,'10_ref_fx_rate'!$B$2:$B$2000,"&lt;="&amp;L95))</f>
        <v/>
      </c>
      <c r="AN95" s="8">
        <f>IF(AM95="NOT FOUND","NOT FOUND",SUMIFS('10_ref_fx_rate'!$D$2:$D$2000,'10_ref_fx_rate'!$A$2:$A$2000,AL95,'10_ref_fx_rate'!$B$2:$B$2000,AM95))</f>
        <v/>
      </c>
      <c r="AO95" s="37">
        <f>IF(ISNUMBER(AN95),I95*AN95,"NOT FOUND")</f>
        <v/>
      </c>
      <c r="AP95" s="2">
        <f>UPPER(TRIM(J95))</f>
        <v/>
      </c>
      <c r="AQ95" s="2">
        <f>IF(AP95="","SELF-DIRECTED",IF(ISNUMBER(MATCH(AP95,'11_3nf_sales_person'!$A:$A,0)),IF(EXACT(AP95,J95),"OK","OK (auto-fixed)"),IF(ISNA(MATCH($A95,'12_sales_person_confirmation'!$A:$A,0)),"CONFIRM (not logged)",IF(INDEX('12_sales_person_confirmation'!$I:$I,MATCH($A95,'12_sales_person_confirmation'!$A:$A,0))="CONFIRMED","CONFIRMED ("&amp;LOWER(INDEX('12_sales_person_confirmation'!$E:$E,MATCH($A95,'12_sales_person_confirmation'!$A:$A,0)))&amp;")","PENDING CONFIRM"))))</f>
        <v/>
      </c>
      <c r="AR95" s="2">
        <f>IF(OR(AQ95="OK",AQ95="OK (auto-fixed)"),AP95,IF(LEFT(AQ95,9)="CONFIRMED",INDEX('12_sales_person_confirmation'!$F:$F,MATCH($A95,'12_sales_person_confirmation'!$A:$A,0)),""))</f>
        <v/>
      </c>
      <c r="AS95" s="2">
        <f>IF(AR95="","",INDEX('11_3nf_sales_person'!$B:$B,MATCH(AR95,'11_3nf_sales_person'!$A:$A,0)))</f>
        <v/>
      </c>
    </row>
    <row r="96">
      <c r="A96" s="2">
        <f>IF(ISBLANK('1_raw_log'!A96),"",'1_raw_log'!A96)</f>
        <v/>
      </c>
      <c r="B96" s="3">
        <f>IF(ISBLANK('1_raw_log'!B96),"",'1_raw_log'!B96)</f>
        <v/>
      </c>
      <c r="C96" s="2">
        <f>IF(ISBLANK('1_raw_log'!C96),"",'1_raw_log'!C96)</f>
        <v/>
      </c>
      <c r="D96" s="2">
        <f>IF(ISBLANK('1_raw_log'!D96),"",'1_raw_log'!D96)</f>
        <v/>
      </c>
      <c r="E96" s="4">
        <f>IF(ISBLANK('1_raw_log'!E96),"",'1_raw_log'!E96)</f>
        <v/>
      </c>
      <c r="F96" s="2">
        <f>IF(ISBLANK('1_raw_log'!F96),"",'1_raw_log'!F96)</f>
        <v/>
      </c>
      <c r="G96" s="2">
        <f>IF(ISBLANK('1_raw_log'!G96),"",'1_raw_log'!G96)</f>
        <v/>
      </c>
      <c r="H96" s="2">
        <f>IF(ISBLANK('1_raw_log'!H96),"",'1_raw_log'!H96)</f>
        <v/>
      </c>
      <c r="I96" s="7">
        <f>IF(ISBLANK('1_raw_log'!I96),"",'1_raw_log'!I96)</f>
        <v/>
      </c>
      <c r="J96" s="2">
        <f>IF(ISBLANK('1_raw_log'!J96),"",'1_raw_log'!J96)</f>
        <v/>
      </c>
      <c r="K96" s="2">
        <f>IF(ISBLANK('1_raw_log'!K96),"",'1_raw_log'!K96)</f>
        <v/>
      </c>
      <c r="L96" s="30">
        <f>INT(B96)</f>
        <v/>
      </c>
      <c r="M96" s="20">
        <f>ROUND(MOD(B96,1)*1440,0)/1440</f>
        <v/>
      </c>
      <c r="N96" s="4">
        <f>IFERROR(INDEX('3_ref_date'!$B:$B,MATCH(L96,'3_ref_date'!$A:$A,0)),"NOT FOUND")</f>
        <v/>
      </c>
      <c r="O96" s="2">
        <f>IFERROR(INDEX('3_ref_date'!$C:$C,MATCH(L96,'3_ref_date'!$A:$A,0)),"NOT FOUND")</f>
        <v/>
      </c>
      <c r="P96" s="4">
        <f>IFERROR(INDEX('3_ref_date'!$D:$D,MATCH(L96,'3_ref_date'!$A:$A,0)),"NOT FOUND")</f>
        <v/>
      </c>
      <c r="Q96" s="4">
        <f>IFERROR(INDEX('3_ref_date'!$E:$E,MATCH(L96,'3_ref_date'!$A:$A,0)),"NOT FOUND")</f>
        <v/>
      </c>
      <c r="R96" s="2">
        <f>IFERROR(INDEX('3_ref_date'!$F:$F,MATCH(L96,'3_ref_date'!$A:$A,0)),"NOT FOUND")</f>
        <v/>
      </c>
      <c r="S96" s="2">
        <f>IFERROR(INDEX('4_ref_time'!$D:$D,MATCH(ROUND(M96*1440,0),'4_ref_time'!$A:$A,0)),"NOT FOUND")</f>
        <v/>
      </c>
      <c r="T96" s="2">
        <f>UPPER(TRIM(C96))</f>
        <v/>
      </c>
      <c r="U96" s="30">
        <f>IF(_xlfn.MAXIFS('6_3nf_branch_history'!$B$2:$B$50,'6_3nf_branch_history'!$A$2:$A$50,T96,'6_3nf_branch_history'!$B$2:$B$50,"&lt;="&amp;L96)=0,"NOT FOUND",_xlfn.MAXIFS('6_3nf_branch_history'!$B$2:$B$50,'6_3nf_branch_history'!$A$2:$A$50,T96,'6_3nf_branch_history'!$B$2:$B$50,"&lt;="&amp;L96))</f>
        <v/>
      </c>
      <c r="V96" s="2">
        <f>IF(U96="NOT FOUND","NOT FOUND",INDEX('6_3nf_branch_history'!$C:$C,SUMPRODUCT(('6_3nf_branch_history'!$A$2:$A$50=T96)*('6_3nf_branch_history'!$B$2:$B$50=U96)*ROW('6_3nf_branch_history'!$A$2:$A$50))))</f>
        <v/>
      </c>
      <c r="W96" s="2">
        <f>IF(U96="NOT FOUND","NOT FOUND",INDEX('6_3nf_branch_history'!$D:$D,SUMPRODUCT(('6_3nf_branch_history'!$A$2:$A$50=T96)*('6_3nf_branch_history'!$B$2:$B$50=U96)*ROW('6_3nf_branch_history'!$A$2:$A$50))))</f>
        <v/>
      </c>
      <c r="X96" s="2">
        <f>IF(U96="NOT FOUND","NOT FOUND",INDEX('6_3nf_branch_history'!$E:$E,SUMPRODUCT(('6_3nf_branch_history'!$A$2:$A$50=T96)*('6_3nf_branch_history'!$B$2:$B$50=U96)*ROW('6_3nf_branch_history'!$A$2:$A$50))))</f>
        <v/>
      </c>
      <c r="Y96" s="2">
        <f>UPPER(TRIM(D96))</f>
        <v/>
      </c>
      <c r="Z96" s="2">
        <f>IFERROR(INDEX('7_3nf_product'!$B:$B,MATCH(Y96,'7_3nf_product'!$A:$A,0)),"NOT FOUND")</f>
        <v/>
      </c>
      <c r="AA96" s="2">
        <f>IFERROR(INDEX('7_3nf_product'!$C:$C,MATCH(Y96,'7_3nf_product'!$A:$A,0)),"NOT FOUND")</f>
        <v/>
      </c>
      <c r="AB96" s="2">
        <f>IFERROR(INDEX('7_3nf_product'!$D:$D,MATCH(Y96,'7_3nf_product'!$A:$A,0)),"NOT FOUND")</f>
        <v/>
      </c>
      <c r="AC96" s="6">
        <f>IFERROR(INDEX('7_3nf_product'!$E:$E,MATCH(Y96,'7_3nf_product'!$A:$A,0)),"NOT FOUND")</f>
        <v/>
      </c>
      <c r="AD96" s="33">
        <f>IF(LEN(TRIM(E96))=10,TRIM(E96),IF(LEN(TRIM(E96))=8,"00"&amp;TRIM(E96),"CHECK"))</f>
        <v/>
      </c>
      <c r="AE96" s="2">
        <f>IFERROR(INDEX('8_3nf_customer'!$C:$C,MATCH(AD96,'8_3nf_customer'!$B:$B,0)),"NOT FOUND")</f>
        <v/>
      </c>
      <c r="AF96" s="30">
        <f>IFERROR(INDEX('8_3nf_customer'!$D:$D,MATCH(AD96,'8_3nf_customer'!$B:$B,0)),"NOT FOUND")</f>
        <v/>
      </c>
      <c r="AG96" s="4">
        <f>IF(ISNUMBER(AF96),DATEDIF(AF96,L96,"y"),"NOT FOUND")</f>
        <v/>
      </c>
      <c r="AH96" s="2">
        <f>IFERROR(INDEX('8_3nf_customer'!$E:$E,MATCH(AD96,'8_3nf_customer'!$B:$B,0)),"NOT FOUND")</f>
        <v/>
      </c>
      <c r="AI96" s="30">
        <f>IF(_xlfn.MAXIFS('9_3nf_customer_history'!$B$2:$B$500,'9_3nf_customer_history'!$A$2:$A$500,AD96,'9_3nf_customer_history'!$B$2:$B$500,"&lt;="&amp;L96)=0,"NOT FOUND",_xlfn.MAXIFS('9_3nf_customer_history'!$B$2:$B$500,'9_3nf_customer_history'!$A$2:$A$500,AD96,'9_3nf_customer_history'!$B$2:$B$500,"&lt;="&amp;L96))</f>
        <v/>
      </c>
      <c r="AJ96" s="2">
        <f>IF(AI96="NOT FOUND","NOT FOUND",INDEX('9_3nf_customer_history'!$C:$C,SUMPRODUCT(('9_3nf_customer_history'!$A$2:$A$500=AD96)*('9_3nf_customer_history'!$B$2:$B$500=AI96)*ROW('9_3nf_customer_history'!$A$2:$A$500))))</f>
        <v/>
      </c>
      <c r="AK96" s="2">
        <f>IF(AI96="NOT FOUND","NOT FOUND",INDEX('9_3nf_customer_history'!$D:$D,SUMPRODUCT(('9_3nf_customer_history'!$A$2:$A$500=AD96)*('9_3nf_customer_history'!$B$2:$B$500=AI96)*ROW('9_3nf_customer_history'!$A$2:$A$500))))</f>
        <v/>
      </c>
      <c r="AL96" s="2">
        <f>UPPER(TRIM(H96))</f>
        <v/>
      </c>
      <c r="AM96" s="30">
        <f>IF(_xlfn.MAXIFS('10_ref_fx_rate'!$B$2:$B$2000,'10_ref_fx_rate'!$A$2:$A$2000,AL96,'10_ref_fx_rate'!$B$2:$B$2000,"&lt;="&amp;L96)=0,"NOT FOUND",_xlfn.MAXIFS('10_ref_fx_rate'!$B$2:$B$2000,'10_ref_fx_rate'!$A$2:$A$2000,AL96,'10_ref_fx_rate'!$B$2:$B$2000,"&lt;="&amp;L96))</f>
        <v/>
      </c>
      <c r="AN96" s="8">
        <f>IF(AM96="NOT FOUND","NOT FOUND",SUMIFS('10_ref_fx_rate'!$D$2:$D$2000,'10_ref_fx_rate'!$A$2:$A$2000,AL96,'10_ref_fx_rate'!$B$2:$B$2000,AM96))</f>
        <v/>
      </c>
      <c r="AO96" s="37">
        <f>IF(ISNUMBER(AN96),I96*AN96,"NOT FOUND")</f>
        <v/>
      </c>
      <c r="AP96" s="2">
        <f>UPPER(TRIM(J96))</f>
        <v/>
      </c>
      <c r="AQ96" s="2">
        <f>IF(AP96="","SELF-DIRECTED",IF(ISNUMBER(MATCH(AP96,'11_3nf_sales_person'!$A:$A,0)),IF(EXACT(AP96,J96),"OK","OK (auto-fixed)"),IF(ISNA(MATCH($A96,'12_sales_person_confirmation'!$A:$A,0)),"CONFIRM (not logged)",IF(INDEX('12_sales_person_confirmation'!$I:$I,MATCH($A96,'12_sales_person_confirmation'!$A:$A,0))="CONFIRMED","CONFIRMED ("&amp;LOWER(INDEX('12_sales_person_confirmation'!$E:$E,MATCH($A96,'12_sales_person_confirmation'!$A:$A,0)))&amp;")","PENDING CONFIRM"))))</f>
        <v/>
      </c>
      <c r="AR96" s="2">
        <f>IF(OR(AQ96="OK",AQ96="OK (auto-fixed)"),AP96,IF(LEFT(AQ96,9)="CONFIRMED",INDEX('12_sales_person_confirmation'!$F:$F,MATCH($A96,'12_sales_person_confirmation'!$A:$A,0)),""))</f>
        <v/>
      </c>
      <c r="AS96" s="2">
        <f>IF(AR96="","",INDEX('11_3nf_sales_person'!$B:$B,MATCH(AR96,'11_3nf_sales_person'!$A:$A,0)))</f>
        <v/>
      </c>
    </row>
    <row r="97">
      <c r="A97" s="2">
        <f>IF(ISBLANK('1_raw_log'!A97),"",'1_raw_log'!A97)</f>
        <v/>
      </c>
      <c r="B97" s="3">
        <f>IF(ISBLANK('1_raw_log'!B97),"",'1_raw_log'!B97)</f>
        <v/>
      </c>
      <c r="C97" s="2">
        <f>IF(ISBLANK('1_raw_log'!C97),"",'1_raw_log'!C97)</f>
        <v/>
      </c>
      <c r="D97" s="2">
        <f>IF(ISBLANK('1_raw_log'!D97),"",'1_raw_log'!D97)</f>
        <v/>
      </c>
      <c r="E97" s="4">
        <f>IF(ISBLANK('1_raw_log'!E97),"",'1_raw_log'!E97)</f>
        <v/>
      </c>
      <c r="F97" s="2">
        <f>IF(ISBLANK('1_raw_log'!F97),"",'1_raw_log'!F97)</f>
        <v/>
      </c>
      <c r="G97" s="2">
        <f>IF(ISBLANK('1_raw_log'!G97),"",'1_raw_log'!G97)</f>
        <v/>
      </c>
      <c r="H97" s="2">
        <f>IF(ISBLANK('1_raw_log'!H97),"",'1_raw_log'!H97)</f>
        <v/>
      </c>
      <c r="I97" s="7">
        <f>IF(ISBLANK('1_raw_log'!I97),"",'1_raw_log'!I97)</f>
        <v/>
      </c>
      <c r="J97" s="2">
        <f>IF(ISBLANK('1_raw_log'!J97),"",'1_raw_log'!J97)</f>
        <v/>
      </c>
      <c r="K97" s="2">
        <f>IF(ISBLANK('1_raw_log'!K97),"",'1_raw_log'!K97)</f>
        <v/>
      </c>
      <c r="L97" s="30">
        <f>INT(B97)</f>
        <v/>
      </c>
      <c r="M97" s="20">
        <f>ROUND(MOD(B97,1)*1440,0)/1440</f>
        <v/>
      </c>
      <c r="N97" s="4">
        <f>IFERROR(INDEX('3_ref_date'!$B:$B,MATCH(L97,'3_ref_date'!$A:$A,0)),"NOT FOUND")</f>
        <v/>
      </c>
      <c r="O97" s="2">
        <f>IFERROR(INDEX('3_ref_date'!$C:$C,MATCH(L97,'3_ref_date'!$A:$A,0)),"NOT FOUND")</f>
        <v/>
      </c>
      <c r="P97" s="4">
        <f>IFERROR(INDEX('3_ref_date'!$D:$D,MATCH(L97,'3_ref_date'!$A:$A,0)),"NOT FOUND")</f>
        <v/>
      </c>
      <c r="Q97" s="4">
        <f>IFERROR(INDEX('3_ref_date'!$E:$E,MATCH(L97,'3_ref_date'!$A:$A,0)),"NOT FOUND")</f>
        <v/>
      </c>
      <c r="R97" s="2">
        <f>IFERROR(INDEX('3_ref_date'!$F:$F,MATCH(L97,'3_ref_date'!$A:$A,0)),"NOT FOUND")</f>
        <v/>
      </c>
      <c r="S97" s="2">
        <f>IFERROR(INDEX('4_ref_time'!$D:$D,MATCH(ROUND(M97*1440,0),'4_ref_time'!$A:$A,0)),"NOT FOUND")</f>
        <v/>
      </c>
      <c r="T97" s="2">
        <f>UPPER(TRIM(C97))</f>
        <v/>
      </c>
      <c r="U97" s="30">
        <f>IF(_xlfn.MAXIFS('6_3nf_branch_history'!$B$2:$B$50,'6_3nf_branch_history'!$A$2:$A$50,T97,'6_3nf_branch_history'!$B$2:$B$50,"&lt;="&amp;L97)=0,"NOT FOUND",_xlfn.MAXIFS('6_3nf_branch_history'!$B$2:$B$50,'6_3nf_branch_history'!$A$2:$A$50,T97,'6_3nf_branch_history'!$B$2:$B$50,"&lt;="&amp;L97))</f>
        <v/>
      </c>
      <c r="V97" s="2">
        <f>IF(U97="NOT FOUND","NOT FOUND",INDEX('6_3nf_branch_history'!$C:$C,SUMPRODUCT(('6_3nf_branch_history'!$A$2:$A$50=T97)*('6_3nf_branch_history'!$B$2:$B$50=U97)*ROW('6_3nf_branch_history'!$A$2:$A$50))))</f>
        <v/>
      </c>
      <c r="W97" s="2">
        <f>IF(U97="NOT FOUND","NOT FOUND",INDEX('6_3nf_branch_history'!$D:$D,SUMPRODUCT(('6_3nf_branch_history'!$A$2:$A$50=T97)*('6_3nf_branch_history'!$B$2:$B$50=U97)*ROW('6_3nf_branch_history'!$A$2:$A$50))))</f>
        <v/>
      </c>
      <c r="X97" s="2">
        <f>IF(U97="NOT FOUND","NOT FOUND",INDEX('6_3nf_branch_history'!$E:$E,SUMPRODUCT(('6_3nf_branch_history'!$A$2:$A$50=T97)*('6_3nf_branch_history'!$B$2:$B$50=U97)*ROW('6_3nf_branch_history'!$A$2:$A$50))))</f>
        <v/>
      </c>
      <c r="Y97" s="2">
        <f>UPPER(TRIM(D97))</f>
        <v/>
      </c>
      <c r="Z97" s="2">
        <f>IFERROR(INDEX('7_3nf_product'!$B:$B,MATCH(Y97,'7_3nf_product'!$A:$A,0)),"NOT FOUND")</f>
        <v/>
      </c>
      <c r="AA97" s="2">
        <f>IFERROR(INDEX('7_3nf_product'!$C:$C,MATCH(Y97,'7_3nf_product'!$A:$A,0)),"NOT FOUND")</f>
        <v/>
      </c>
      <c r="AB97" s="2">
        <f>IFERROR(INDEX('7_3nf_product'!$D:$D,MATCH(Y97,'7_3nf_product'!$A:$A,0)),"NOT FOUND")</f>
        <v/>
      </c>
      <c r="AC97" s="6">
        <f>IFERROR(INDEX('7_3nf_product'!$E:$E,MATCH(Y97,'7_3nf_product'!$A:$A,0)),"NOT FOUND")</f>
        <v/>
      </c>
      <c r="AD97" s="33">
        <f>IF(LEN(TRIM(E97))=10,TRIM(E97),IF(LEN(TRIM(E97))=8,"00"&amp;TRIM(E97),"CHECK"))</f>
        <v/>
      </c>
      <c r="AE97" s="2">
        <f>IFERROR(INDEX('8_3nf_customer'!$C:$C,MATCH(AD97,'8_3nf_customer'!$B:$B,0)),"NOT FOUND")</f>
        <v/>
      </c>
      <c r="AF97" s="30">
        <f>IFERROR(INDEX('8_3nf_customer'!$D:$D,MATCH(AD97,'8_3nf_customer'!$B:$B,0)),"NOT FOUND")</f>
        <v/>
      </c>
      <c r="AG97" s="4">
        <f>IF(ISNUMBER(AF97),DATEDIF(AF97,L97,"y"),"NOT FOUND")</f>
        <v/>
      </c>
      <c r="AH97" s="2">
        <f>IFERROR(INDEX('8_3nf_customer'!$E:$E,MATCH(AD97,'8_3nf_customer'!$B:$B,0)),"NOT FOUND")</f>
        <v/>
      </c>
      <c r="AI97" s="30">
        <f>IF(_xlfn.MAXIFS('9_3nf_customer_history'!$B$2:$B$500,'9_3nf_customer_history'!$A$2:$A$500,AD97,'9_3nf_customer_history'!$B$2:$B$500,"&lt;="&amp;L97)=0,"NOT FOUND",_xlfn.MAXIFS('9_3nf_customer_history'!$B$2:$B$500,'9_3nf_customer_history'!$A$2:$A$500,AD97,'9_3nf_customer_history'!$B$2:$B$500,"&lt;="&amp;L97))</f>
        <v/>
      </c>
      <c r="AJ97" s="2">
        <f>IF(AI97="NOT FOUND","NOT FOUND",INDEX('9_3nf_customer_history'!$C:$C,SUMPRODUCT(('9_3nf_customer_history'!$A$2:$A$500=AD97)*('9_3nf_customer_history'!$B$2:$B$500=AI97)*ROW('9_3nf_customer_history'!$A$2:$A$500))))</f>
        <v/>
      </c>
      <c r="AK97" s="2">
        <f>IF(AI97="NOT FOUND","NOT FOUND",INDEX('9_3nf_customer_history'!$D:$D,SUMPRODUCT(('9_3nf_customer_history'!$A$2:$A$500=AD97)*('9_3nf_customer_history'!$B$2:$B$500=AI97)*ROW('9_3nf_customer_history'!$A$2:$A$500))))</f>
        <v/>
      </c>
      <c r="AL97" s="2">
        <f>UPPER(TRIM(H97))</f>
        <v/>
      </c>
      <c r="AM97" s="30">
        <f>IF(_xlfn.MAXIFS('10_ref_fx_rate'!$B$2:$B$2000,'10_ref_fx_rate'!$A$2:$A$2000,AL97,'10_ref_fx_rate'!$B$2:$B$2000,"&lt;="&amp;L97)=0,"NOT FOUND",_xlfn.MAXIFS('10_ref_fx_rate'!$B$2:$B$2000,'10_ref_fx_rate'!$A$2:$A$2000,AL97,'10_ref_fx_rate'!$B$2:$B$2000,"&lt;="&amp;L97))</f>
        <v/>
      </c>
      <c r="AN97" s="8">
        <f>IF(AM97="NOT FOUND","NOT FOUND",SUMIFS('10_ref_fx_rate'!$D$2:$D$2000,'10_ref_fx_rate'!$A$2:$A$2000,AL97,'10_ref_fx_rate'!$B$2:$B$2000,AM97))</f>
        <v/>
      </c>
      <c r="AO97" s="37">
        <f>IF(ISNUMBER(AN97),I97*AN97,"NOT FOUND")</f>
        <v/>
      </c>
      <c r="AP97" s="2">
        <f>UPPER(TRIM(J97))</f>
        <v/>
      </c>
      <c r="AQ97" s="2">
        <f>IF(AP97="","SELF-DIRECTED",IF(ISNUMBER(MATCH(AP97,'11_3nf_sales_person'!$A:$A,0)),IF(EXACT(AP97,J97),"OK","OK (auto-fixed)"),IF(ISNA(MATCH($A97,'12_sales_person_confirmation'!$A:$A,0)),"CONFIRM (not logged)",IF(INDEX('12_sales_person_confirmation'!$I:$I,MATCH($A97,'12_sales_person_confirmation'!$A:$A,0))="CONFIRMED","CONFIRMED ("&amp;LOWER(INDEX('12_sales_person_confirmation'!$E:$E,MATCH($A97,'12_sales_person_confirmation'!$A:$A,0)))&amp;")","PENDING CONFIRM"))))</f>
        <v/>
      </c>
      <c r="AR97" s="2">
        <f>IF(OR(AQ97="OK",AQ97="OK (auto-fixed)"),AP97,IF(LEFT(AQ97,9)="CONFIRMED",INDEX('12_sales_person_confirmation'!$F:$F,MATCH($A97,'12_sales_person_confirmation'!$A:$A,0)),""))</f>
        <v/>
      </c>
      <c r="AS97" s="2">
        <f>IF(AR97="","",INDEX('11_3nf_sales_person'!$B:$B,MATCH(AR97,'11_3nf_sales_person'!$A:$A,0)))</f>
        <v/>
      </c>
    </row>
    <row r="98">
      <c r="A98" s="2">
        <f>IF(ISBLANK('1_raw_log'!A98),"",'1_raw_log'!A98)</f>
        <v/>
      </c>
      <c r="B98" s="3">
        <f>IF(ISBLANK('1_raw_log'!B98),"",'1_raw_log'!B98)</f>
        <v/>
      </c>
      <c r="C98" s="2">
        <f>IF(ISBLANK('1_raw_log'!C98),"",'1_raw_log'!C98)</f>
        <v/>
      </c>
      <c r="D98" s="2">
        <f>IF(ISBLANK('1_raw_log'!D98),"",'1_raw_log'!D98)</f>
        <v/>
      </c>
      <c r="E98" s="4">
        <f>IF(ISBLANK('1_raw_log'!E98),"",'1_raw_log'!E98)</f>
        <v/>
      </c>
      <c r="F98" s="2">
        <f>IF(ISBLANK('1_raw_log'!F98),"",'1_raw_log'!F98)</f>
        <v/>
      </c>
      <c r="G98" s="2">
        <f>IF(ISBLANK('1_raw_log'!G98),"",'1_raw_log'!G98)</f>
        <v/>
      </c>
      <c r="H98" s="2">
        <f>IF(ISBLANK('1_raw_log'!H98),"",'1_raw_log'!H98)</f>
        <v/>
      </c>
      <c r="I98" s="7">
        <f>IF(ISBLANK('1_raw_log'!I98),"",'1_raw_log'!I98)</f>
        <v/>
      </c>
      <c r="J98" s="2">
        <f>IF(ISBLANK('1_raw_log'!J98),"",'1_raw_log'!J98)</f>
        <v/>
      </c>
      <c r="K98" s="2">
        <f>IF(ISBLANK('1_raw_log'!K98),"",'1_raw_log'!K98)</f>
        <v/>
      </c>
      <c r="L98" s="30">
        <f>INT(B98)</f>
        <v/>
      </c>
      <c r="M98" s="20">
        <f>ROUND(MOD(B98,1)*1440,0)/1440</f>
        <v/>
      </c>
      <c r="N98" s="4">
        <f>IFERROR(INDEX('3_ref_date'!$B:$B,MATCH(L98,'3_ref_date'!$A:$A,0)),"NOT FOUND")</f>
        <v/>
      </c>
      <c r="O98" s="2">
        <f>IFERROR(INDEX('3_ref_date'!$C:$C,MATCH(L98,'3_ref_date'!$A:$A,0)),"NOT FOUND")</f>
        <v/>
      </c>
      <c r="P98" s="4">
        <f>IFERROR(INDEX('3_ref_date'!$D:$D,MATCH(L98,'3_ref_date'!$A:$A,0)),"NOT FOUND")</f>
        <v/>
      </c>
      <c r="Q98" s="4">
        <f>IFERROR(INDEX('3_ref_date'!$E:$E,MATCH(L98,'3_ref_date'!$A:$A,0)),"NOT FOUND")</f>
        <v/>
      </c>
      <c r="R98" s="2">
        <f>IFERROR(INDEX('3_ref_date'!$F:$F,MATCH(L98,'3_ref_date'!$A:$A,0)),"NOT FOUND")</f>
        <v/>
      </c>
      <c r="S98" s="2">
        <f>IFERROR(INDEX('4_ref_time'!$D:$D,MATCH(ROUND(M98*1440,0),'4_ref_time'!$A:$A,0)),"NOT FOUND")</f>
        <v/>
      </c>
      <c r="T98" s="2">
        <f>UPPER(TRIM(C98))</f>
        <v/>
      </c>
      <c r="U98" s="30">
        <f>IF(_xlfn.MAXIFS('6_3nf_branch_history'!$B$2:$B$50,'6_3nf_branch_history'!$A$2:$A$50,T98,'6_3nf_branch_history'!$B$2:$B$50,"&lt;="&amp;L98)=0,"NOT FOUND",_xlfn.MAXIFS('6_3nf_branch_history'!$B$2:$B$50,'6_3nf_branch_history'!$A$2:$A$50,T98,'6_3nf_branch_history'!$B$2:$B$50,"&lt;="&amp;L98))</f>
        <v/>
      </c>
      <c r="V98" s="2">
        <f>IF(U98="NOT FOUND","NOT FOUND",INDEX('6_3nf_branch_history'!$C:$C,SUMPRODUCT(('6_3nf_branch_history'!$A$2:$A$50=T98)*('6_3nf_branch_history'!$B$2:$B$50=U98)*ROW('6_3nf_branch_history'!$A$2:$A$50))))</f>
        <v/>
      </c>
      <c r="W98" s="2">
        <f>IF(U98="NOT FOUND","NOT FOUND",INDEX('6_3nf_branch_history'!$D:$D,SUMPRODUCT(('6_3nf_branch_history'!$A$2:$A$50=T98)*('6_3nf_branch_history'!$B$2:$B$50=U98)*ROW('6_3nf_branch_history'!$A$2:$A$50))))</f>
        <v/>
      </c>
      <c r="X98" s="2">
        <f>IF(U98="NOT FOUND","NOT FOUND",INDEX('6_3nf_branch_history'!$E:$E,SUMPRODUCT(('6_3nf_branch_history'!$A$2:$A$50=T98)*('6_3nf_branch_history'!$B$2:$B$50=U98)*ROW('6_3nf_branch_history'!$A$2:$A$50))))</f>
        <v/>
      </c>
      <c r="Y98" s="2">
        <f>UPPER(TRIM(D98))</f>
        <v/>
      </c>
      <c r="Z98" s="2">
        <f>IFERROR(INDEX('7_3nf_product'!$B:$B,MATCH(Y98,'7_3nf_product'!$A:$A,0)),"NOT FOUND")</f>
        <v/>
      </c>
      <c r="AA98" s="2">
        <f>IFERROR(INDEX('7_3nf_product'!$C:$C,MATCH(Y98,'7_3nf_product'!$A:$A,0)),"NOT FOUND")</f>
        <v/>
      </c>
      <c r="AB98" s="2">
        <f>IFERROR(INDEX('7_3nf_product'!$D:$D,MATCH(Y98,'7_3nf_product'!$A:$A,0)),"NOT FOUND")</f>
        <v/>
      </c>
      <c r="AC98" s="6">
        <f>IFERROR(INDEX('7_3nf_product'!$E:$E,MATCH(Y98,'7_3nf_product'!$A:$A,0)),"NOT FOUND")</f>
        <v/>
      </c>
      <c r="AD98" s="33">
        <f>IF(LEN(TRIM(E98))=10,TRIM(E98),IF(LEN(TRIM(E98))=8,"00"&amp;TRIM(E98),"CHECK"))</f>
        <v/>
      </c>
      <c r="AE98" s="2">
        <f>IFERROR(INDEX('8_3nf_customer'!$C:$C,MATCH(AD98,'8_3nf_customer'!$B:$B,0)),"NOT FOUND")</f>
        <v/>
      </c>
      <c r="AF98" s="30">
        <f>IFERROR(INDEX('8_3nf_customer'!$D:$D,MATCH(AD98,'8_3nf_customer'!$B:$B,0)),"NOT FOUND")</f>
        <v/>
      </c>
      <c r="AG98" s="4">
        <f>IF(ISNUMBER(AF98),DATEDIF(AF98,L98,"y"),"NOT FOUND")</f>
        <v/>
      </c>
      <c r="AH98" s="2">
        <f>IFERROR(INDEX('8_3nf_customer'!$E:$E,MATCH(AD98,'8_3nf_customer'!$B:$B,0)),"NOT FOUND")</f>
        <v/>
      </c>
      <c r="AI98" s="30">
        <f>IF(_xlfn.MAXIFS('9_3nf_customer_history'!$B$2:$B$500,'9_3nf_customer_history'!$A$2:$A$500,AD98,'9_3nf_customer_history'!$B$2:$B$500,"&lt;="&amp;L98)=0,"NOT FOUND",_xlfn.MAXIFS('9_3nf_customer_history'!$B$2:$B$500,'9_3nf_customer_history'!$A$2:$A$500,AD98,'9_3nf_customer_history'!$B$2:$B$500,"&lt;="&amp;L98))</f>
        <v/>
      </c>
      <c r="AJ98" s="2">
        <f>IF(AI98="NOT FOUND","NOT FOUND",INDEX('9_3nf_customer_history'!$C:$C,SUMPRODUCT(('9_3nf_customer_history'!$A$2:$A$500=AD98)*('9_3nf_customer_history'!$B$2:$B$500=AI98)*ROW('9_3nf_customer_history'!$A$2:$A$500))))</f>
        <v/>
      </c>
      <c r="AK98" s="2">
        <f>IF(AI98="NOT FOUND","NOT FOUND",INDEX('9_3nf_customer_history'!$D:$D,SUMPRODUCT(('9_3nf_customer_history'!$A$2:$A$500=AD98)*('9_3nf_customer_history'!$B$2:$B$500=AI98)*ROW('9_3nf_customer_history'!$A$2:$A$500))))</f>
        <v/>
      </c>
      <c r="AL98" s="2">
        <f>UPPER(TRIM(H98))</f>
        <v/>
      </c>
      <c r="AM98" s="30">
        <f>IF(_xlfn.MAXIFS('10_ref_fx_rate'!$B$2:$B$2000,'10_ref_fx_rate'!$A$2:$A$2000,AL98,'10_ref_fx_rate'!$B$2:$B$2000,"&lt;="&amp;L98)=0,"NOT FOUND",_xlfn.MAXIFS('10_ref_fx_rate'!$B$2:$B$2000,'10_ref_fx_rate'!$A$2:$A$2000,AL98,'10_ref_fx_rate'!$B$2:$B$2000,"&lt;="&amp;L98))</f>
        <v/>
      </c>
      <c r="AN98" s="8">
        <f>IF(AM98="NOT FOUND","NOT FOUND",SUMIFS('10_ref_fx_rate'!$D$2:$D$2000,'10_ref_fx_rate'!$A$2:$A$2000,AL98,'10_ref_fx_rate'!$B$2:$B$2000,AM98))</f>
        <v/>
      </c>
      <c r="AO98" s="37">
        <f>IF(ISNUMBER(AN98),I98*AN98,"NOT FOUND")</f>
        <v/>
      </c>
      <c r="AP98" s="2">
        <f>UPPER(TRIM(J98))</f>
        <v/>
      </c>
      <c r="AQ98" s="2">
        <f>IF(AP98="","SELF-DIRECTED",IF(ISNUMBER(MATCH(AP98,'11_3nf_sales_person'!$A:$A,0)),IF(EXACT(AP98,J98),"OK","OK (auto-fixed)"),IF(ISNA(MATCH($A98,'12_sales_person_confirmation'!$A:$A,0)),"CONFIRM (not logged)",IF(INDEX('12_sales_person_confirmation'!$I:$I,MATCH($A98,'12_sales_person_confirmation'!$A:$A,0))="CONFIRMED","CONFIRMED ("&amp;LOWER(INDEX('12_sales_person_confirmation'!$E:$E,MATCH($A98,'12_sales_person_confirmation'!$A:$A,0)))&amp;")","PENDING CONFIRM"))))</f>
        <v/>
      </c>
      <c r="AR98" s="2">
        <f>IF(OR(AQ98="OK",AQ98="OK (auto-fixed)"),AP98,IF(LEFT(AQ98,9)="CONFIRMED",INDEX('12_sales_person_confirmation'!$F:$F,MATCH($A98,'12_sales_person_confirmation'!$A:$A,0)),""))</f>
        <v/>
      </c>
      <c r="AS98" s="2">
        <f>IF(AR98="","",INDEX('11_3nf_sales_person'!$B:$B,MATCH(AR98,'11_3nf_sales_person'!$A:$A,0)))</f>
        <v/>
      </c>
    </row>
    <row r="99">
      <c r="A99" s="2">
        <f>IF(ISBLANK('1_raw_log'!A99),"",'1_raw_log'!A99)</f>
        <v/>
      </c>
      <c r="B99" s="3">
        <f>IF(ISBLANK('1_raw_log'!B99),"",'1_raw_log'!B99)</f>
        <v/>
      </c>
      <c r="C99" s="2">
        <f>IF(ISBLANK('1_raw_log'!C99),"",'1_raw_log'!C99)</f>
        <v/>
      </c>
      <c r="D99" s="2">
        <f>IF(ISBLANK('1_raw_log'!D99),"",'1_raw_log'!D99)</f>
        <v/>
      </c>
      <c r="E99" s="4">
        <f>IF(ISBLANK('1_raw_log'!E99),"",'1_raw_log'!E99)</f>
        <v/>
      </c>
      <c r="F99" s="2">
        <f>IF(ISBLANK('1_raw_log'!F99),"",'1_raw_log'!F99)</f>
        <v/>
      </c>
      <c r="G99" s="2">
        <f>IF(ISBLANK('1_raw_log'!G99),"",'1_raw_log'!G99)</f>
        <v/>
      </c>
      <c r="H99" s="2">
        <f>IF(ISBLANK('1_raw_log'!H99),"",'1_raw_log'!H99)</f>
        <v/>
      </c>
      <c r="I99" s="7">
        <f>IF(ISBLANK('1_raw_log'!I99),"",'1_raw_log'!I99)</f>
        <v/>
      </c>
      <c r="J99" s="2">
        <f>IF(ISBLANK('1_raw_log'!J99),"",'1_raw_log'!J99)</f>
        <v/>
      </c>
      <c r="K99" s="2">
        <f>IF(ISBLANK('1_raw_log'!K99),"",'1_raw_log'!K99)</f>
        <v/>
      </c>
      <c r="L99" s="30">
        <f>INT(B99)</f>
        <v/>
      </c>
      <c r="M99" s="20">
        <f>ROUND(MOD(B99,1)*1440,0)/1440</f>
        <v/>
      </c>
      <c r="N99" s="4">
        <f>IFERROR(INDEX('3_ref_date'!$B:$B,MATCH(L99,'3_ref_date'!$A:$A,0)),"NOT FOUND")</f>
        <v/>
      </c>
      <c r="O99" s="2">
        <f>IFERROR(INDEX('3_ref_date'!$C:$C,MATCH(L99,'3_ref_date'!$A:$A,0)),"NOT FOUND")</f>
        <v/>
      </c>
      <c r="P99" s="4">
        <f>IFERROR(INDEX('3_ref_date'!$D:$D,MATCH(L99,'3_ref_date'!$A:$A,0)),"NOT FOUND")</f>
        <v/>
      </c>
      <c r="Q99" s="4">
        <f>IFERROR(INDEX('3_ref_date'!$E:$E,MATCH(L99,'3_ref_date'!$A:$A,0)),"NOT FOUND")</f>
        <v/>
      </c>
      <c r="R99" s="2">
        <f>IFERROR(INDEX('3_ref_date'!$F:$F,MATCH(L99,'3_ref_date'!$A:$A,0)),"NOT FOUND")</f>
        <v/>
      </c>
      <c r="S99" s="2">
        <f>IFERROR(INDEX('4_ref_time'!$D:$D,MATCH(ROUND(M99*1440,0),'4_ref_time'!$A:$A,0)),"NOT FOUND")</f>
        <v/>
      </c>
      <c r="T99" s="2">
        <f>UPPER(TRIM(C99))</f>
        <v/>
      </c>
      <c r="U99" s="30">
        <f>IF(_xlfn.MAXIFS('6_3nf_branch_history'!$B$2:$B$50,'6_3nf_branch_history'!$A$2:$A$50,T99,'6_3nf_branch_history'!$B$2:$B$50,"&lt;="&amp;L99)=0,"NOT FOUND",_xlfn.MAXIFS('6_3nf_branch_history'!$B$2:$B$50,'6_3nf_branch_history'!$A$2:$A$50,T99,'6_3nf_branch_history'!$B$2:$B$50,"&lt;="&amp;L99))</f>
        <v/>
      </c>
      <c r="V99" s="2">
        <f>IF(U99="NOT FOUND","NOT FOUND",INDEX('6_3nf_branch_history'!$C:$C,SUMPRODUCT(('6_3nf_branch_history'!$A$2:$A$50=T99)*('6_3nf_branch_history'!$B$2:$B$50=U99)*ROW('6_3nf_branch_history'!$A$2:$A$50))))</f>
        <v/>
      </c>
      <c r="W99" s="2">
        <f>IF(U99="NOT FOUND","NOT FOUND",INDEX('6_3nf_branch_history'!$D:$D,SUMPRODUCT(('6_3nf_branch_history'!$A$2:$A$50=T99)*('6_3nf_branch_history'!$B$2:$B$50=U99)*ROW('6_3nf_branch_history'!$A$2:$A$50))))</f>
        <v/>
      </c>
      <c r="X99" s="2">
        <f>IF(U99="NOT FOUND","NOT FOUND",INDEX('6_3nf_branch_history'!$E:$E,SUMPRODUCT(('6_3nf_branch_history'!$A$2:$A$50=T99)*('6_3nf_branch_history'!$B$2:$B$50=U99)*ROW('6_3nf_branch_history'!$A$2:$A$50))))</f>
        <v/>
      </c>
      <c r="Y99" s="2">
        <f>UPPER(TRIM(D99))</f>
        <v/>
      </c>
      <c r="Z99" s="2">
        <f>IFERROR(INDEX('7_3nf_product'!$B:$B,MATCH(Y99,'7_3nf_product'!$A:$A,0)),"NOT FOUND")</f>
        <v/>
      </c>
      <c r="AA99" s="2">
        <f>IFERROR(INDEX('7_3nf_product'!$C:$C,MATCH(Y99,'7_3nf_product'!$A:$A,0)),"NOT FOUND")</f>
        <v/>
      </c>
      <c r="AB99" s="2">
        <f>IFERROR(INDEX('7_3nf_product'!$D:$D,MATCH(Y99,'7_3nf_product'!$A:$A,0)),"NOT FOUND")</f>
        <v/>
      </c>
      <c r="AC99" s="6">
        <f>IFERROR(INDEX('7_3nf_product'!$E:$E,MATCH(Y99,'7_3nf_product'!$A:$A,0)),"NOT FOUND")</f>
        <v/>
      </c>
      <c r="AD99" s="33">
        <f>IF(LEN(TRIM(E99))=10,TRIM(E99),IF(LEN(TRIM(E99))=8,"00"&amp;TRIM(E99),"CHECK"))</f>
        <v/>
      </c>
      <c r="AE99" s="2">
        <f>IFERROR(INDEX('8_3nf_customer'!$C:$C,MATCH(AD99,'8_3nf_customer'!$B:$B,0)),"NOT FOUND")</f>
        <v/>
      </c>
      <c r="AF99" s="30">
        <f>IFERROR(INDEX('8_3nf_customer'!$D:$D,MATCH(AD99,'8_3nf_customer'!$B:$B,0)),"NOT FOUND")</f>
        <v/>
      </c>
      <c r="AG99" s="4">
        <f>IF(ISNUMBER(AF99),DATEDIF(AF99,L99,"y"),"NOT FOUND")</f>
        <v/>
      </c>
      <c r="AH99" s="2">
        <f>IFERROR(INDEX('8_3nf_customer'!$E:$E,MATCH(AD99,'8_3nf_customer'!$B:$B,0)),"NOT FOUND")</f>
        <v/>
      </c>
      <c r="AI99" s="30">
        <f>IF(_xlfn.MAXIFS('9_3nf_customer_history'!$B$2:$B$500,'9_3nf_customer_history'!$A$2:$A$500,AD99,'9_3nf_customer_history'!$B$2:$B$500,"&lt;="&amp;L99)=0,"NOT FOUND",_xlfn.MAXIFS('9_3nf_customer_history'!$B$2:$B$500,'9_3nf_customer_history'!$A$2:$A$500,AD99,'9_3nf_customer_history'!$B$2:$B$500,"&lt;="&amp;L99))</f>
        <v/>
      </c>
      <c r="AJ99" s="2">
        <f>IF(AI99="NOT FOUND","NOT FOUND",INDEX('9_3nf_customer_history'!$C:$C,SUMPRODUCT(('9_3nf_customer_history'!$A$2:$A$500=AD99)*('9_3nf_customer_history'!$B$2:$B$500=AI99)*ROW('9_3nf_customer_history'!$A$2:$A$500))))</f>
        <v/>
      </c>
      <c r="AK99" s="2">
        <f>IF(AI99="NOT FOUND","NOT FOUND",INDEX('9_3nf_customer_history'!$D:$D,SUMPRODUCT(('9_3nf_customer_history'!$A$2:$A$500=AD99)*('9_3nf_customer_history'!$B$2:$B$500=AI99)*ROW('9_3nf_customer_history'!$A$2:$A$500))))</f>
        <v/>
      </c>
      <c r="AL99" s="2">
        <f>UPPER(TRIM(H99))</f>
        <v/>
      </c>
      <c r="AM99" s="30">
        <f>IF(_xlfn.MAXIFS('10_ref_fx_rate'!$B$2:$B$2000,'10_ref_fx_rate'!$A$2:$A$2000,AL99,'10_ref_fx_rate'!$B$2:$B$2000,"&lt;="&amp;L99)=0,"NOT FOUND",_xlfn.MAXIFS('10_ref_fx_rate'!$B$2:$B$2000,'10_ref_fx_rate'!$A$2:$A$2000,AL99,'10_ref_fx_rate'!$B$2:$B$2000,"&lt;="&amp;L99))</f>
        <v/>
      </c>
      <c r="AN99" s="8">
        <f>IF(AM99="NOT FOUND","NOT FOUND",SUMIFS('10_ref_fx_rate'!$D$2:$D$2000,'10_ref_fx_rate'!$A$2:$A$2000,AL99,'10_ref_fx_rate'!$B$2:$B$2000,AM99))</f>
        <v/>
      </c>
      <c r="AO99" s="37">
        <f>IF(ISNUMBER(AN99),I99*AN99,"NOT FOUND")</f>
        <v/>
      </c>
      <c r="AP99" s="2">
        <f>UPPER(TRIM(J99))</f>
        <v/>
      </c>
      <c r="AQ99" s="2">
        <f>IF(AP99="","SELF-DIRECTED",IF(ISNUMBER(MATCH(AP99,'11_3nf_sales_person'!$A:$A,0)),IF(EXACT(AP99,J99),"OK","OK (auto-fixed)"),IF(ISNA(MATCH($A99,'12_sales_person_confirmation'!$A:$A,0)),"CONFIRM (not logged)",IF(INDEX('12_sales_person_confirmation'!$I:$I,MATCH($A99,'12_sales_person_confirmation'!$A:$A,0))="CONFIRMED","CONFIRMED ("&amp;LOWER(INDEX('12_sales_person_confirmation'!$E:$E,MATCH($A99,'12_sales_person_confirmation'!$A:$A,0)))&amp;")","PENDING CONFIRM"))))</f>
        <v/>
      </c>
      <c r="AR99" s="2">
        <f>IF(OR(AQ99="OK",AQ99="OK (auto-fixed)"),AP99,IF(LEFT(AQ99,9)="CONFIRMED",INDEX('12_sales_person_confirmation'!$F:$F,MATCH($A99,'12_sales_person_confirmation'!$A:$A,0)),""))</f>
        <v/>
      </c>
      <c r="AS99" s="2">
        <f>IF(AR99="","",INDEX('11_3nf_sales_person'!$B:$B,MATCH(AR99,'11_3nf_sales_person'!$A:$A,0)))</f>
        <v/>
      </c>
    </row>
    <row r="100">
      <c r="A100" s="2">
        <f>IF(ISBLANK('1_raw_log'!A100),"",'1_raw_log'!A100)</f>
        <v/>
      </c>
      <c r="B100" s="3">
        <f>IF(ISBLANK('1_raw_log'!B100),"",'1_raw_log'!B100)</f>
        <v/>
      </c>
      <c r="C100" s="2">
        <f>IF(ISBLANK('1_raw_log'!C100),"",'1_raw_log'!C100)</f>
        <v/>
      </c>
      <c r="D100" s="2">
        <f>IF(ISBLANK('1_raw_log'!D100),"",'1_raw_log'!D100)</f>
        <v/>
      </c>
      <c r="E100" s="4">
        <f>IF(ISBLANK('1_raw_log'!E100),"",'1_raw_log'!E100)</f>
        <v/>
      </c>
      <c r="F100" s="2">
        <f>IF(ISBLANK('1_raw_log'!F100),"",'1_raw_log'!F100)</f>
        <v/>
      </c>
      <c r="G100" s="2">
        <f>IF(ISBLANK('1_raw_log'!G100),"",'1_raw_log'!G100)</f>
        <v/>
      </c>
      <c r="H100" s="2">
        <f>IF(ISBLANK('1_raw_log'!H100),"",'1_raw_log'!H100)</f>
        <v/>
      </c>
      <c r="I100" s="7">
        <f>IF(ISBLANK('1_raw_log'!I100),"",'1_raw_log'!I100)</f>
        <v/>
      </c>
      <c r="J100" s="2">
        <f>IF(ISBLANK('1_raw_log'!J100),"",'1_raw_log'!J100)</f>
        <v/>
      </c>
      <c r="K100" s="2">
        <f>IF(ISBLANK('1_raw_log'!K100),"",'1_raw_log'!K100)</f>
        <v/>
      </c>
      <c r="L100" s="30">
        <f>INT(B100)</f>
        <v/>
      </c>
      <c r="M100" s="20">
        <f>ROUND(MOD(B100,1)*1440,0)/1440</f>
        <v/>
      </c>
      <c r="N100" s="4">
        <f>IFERROR(INDEX('3_ref_date'!$B:$B,MATCH(L100,'3_ref_date'!$A:$A,0)),"NOT FOUND")</f>
        <v/>
      </c>
      <c r="O100" s="2">
        <f>IFERROR(INDEX('3_ref_date'!$C:$C,MATCH(L100,'3_ref_date'!$A:$A,0)),"NOT FOUND")</f>
        <v/>
      </c>
      <c r="P100" s="4">
        <f>IFERROR(INDEX('3_ref_date'!$D:$D,MATCH(L100,'3_ref_date'!$A:$A,0)),"NOT FOUND")</f>
        <v/>
      </c>
      <c r="Q100" s="4">
        <f>IFERROR(INDEX('3_ref_date'!$E:$E,MATCH(L100,'3_ref_date'!$A:$A,0)),"NOT FOUND")</f>
        <v/>
      </c>
      <c r="R100" s="2">
        <f>IFERROR(INDEX('3_ref_date'!$F:$F,MATCH(L100,'3_ref_date'!$A:$A,0)),"NOT FOUND")</f>
        <v/>
      </c>
      <c r="S100" s="2">
        <f>IFERROR(INDEX('4_ref_time'!$D:$D,MATCH(ROUND(M100*1440,0),'4_ref_time'!$A:$A,0)),"NOT FOUND")</f>
        <v/>
      </c>
      <c r="T100" s="2">
        <f>UPPER(TRIM(C100))</f>
        <v/>
      </c>
      <c r="U100" s="30">
        <f>IF(_xlfn.MAXIFS('6_3nf_branch_history'!$B$2:$B$50,'6_3nf_branch_history'!$A$2:$A$50,T100,'6_3nf_branch_history'!$B$2:$B$50,"&lt;="&amp;L100)=0,"NOT FOUND",_xlfn.MAXIFS('6_3nf_branch_history'!$B$2:$B$50,'6_3nf_branch_history'!$A$2:$A$50,T100,'6_3nf_branch_history'!$B$2:$B$50,"&lt;="&amp;L100))</f>
        <v/>
      </c>
      <c r="V100" s="2">
        <f>IF(U100="NOT FOUND","NOT FOUND",INDEX('6_3nf_branch_history'!$C:$C,SUMPRODUCT(('6_3nf_branch_history'!$A$2:$A$50=T100)*('6_3nf_branch_history'!$B$2:$B$50=U100)*ROW('6_3nf_branch_history'!$A$2:$A$50))))</f>
        <v/>
      </c>
      <c r="W100" s="2">
        <f>IF(U100="NOT FOUND","NOT FOUND",INDEX('6_3nf_branch_history'!$D:$D,SUMPRODUCT(('6_3nf_branch_history'!$A$2:$A$50=T100)*('6_3nf_branch_history'!$B$2:$B$50=U100)*ROW('6_3nf_branch_history'!$A$2:$A$50))))</f>
        <v/>
      </c>
      <c r="X100" s="2">
        <f>IF(U100="NOT FOUND","NOT FOUND",INDEX('6_3nf_branch_history'!$E:$E,SUMPRODUCT(('6_3nf_branch_history'!$A$2:$A$50=T100)*('6_3nf_branch_history'!$B$2:$B$50=U100)*ROW('6_3nf_branch_history'!$A$2:$A$50))))</f>
        <v/>
      </c>
      <c r="Y100" s="2">
        <f>UPPER(TRIM(D100))</f>
        <v/>
      </c>
      <c r="Z100" s="2">
        <f>IFERROR(INDEX('7_3nf_product'!$B:$B,MATCH(Y100,'7_3nf_product'!$A:$A,0)),"NOT FOUND")</f>
        <v/>
      </c>
      <c r="AA100" s="2">
        <f>IFERROR(INDEX('7_3nf_product'!$C:$C,MATCH(Y100,'7_3nf_product'!$A:$A,0)),"NOT FOUND")</f>
        <v/>
      </c>
      <c r="AB100" s="2">
        <f>IFERROR(INDEX('7_3nf_product'!$D:$D,MATCH(Y100,'7_3nf_product'!$A:$A,0)),"NOT FOUND")</f>
        <v/>
      </c>
      <c r="AC100" s="6">
        <f>IFERROR(INDEX('7_3nf_product'!$E:$E,MATCH(Y100,'7_3nf_product'!$A:$A,0)),"NOT FOUND")</f>
        <v/>
      </c>
      <c r="AD100" s="33">
        <f>IF(LEN(TRIM(E100))=10,TRIM(E100),IF(LEN(TRIM(E100))=8,"00"&amp;TRIM(E100),"CHECK"))</f>
        <v/>
      </c>
      <c r="AE100" s="2">
        <f>IFERROR(INDEX('8_3nf_customer'!$C:$C,MATCH(AD100,'8_3nf_customer'!$B:$B,0)),"NOT FOUND")</f>
        <v/>
      </c>
      <c r="AF100" s="30">
        <f>IFERROR(INDEX('8_3nf_customer'!$D:$D,MATCH(AD100,'8_3nf_customer'!$B:$B,0)),"NOT FOUND")</f>
        <v/>
      </c>
      <c r="AG100" s="4">
        <f>IF(ISNUMBER(AF100),DATEDIF(AF100,L100,"y"),"NOT FOUND")</f>
        <v/>
      </c>
      <c r="AH100" s="2">
        <f>IFERROR(INDEX('8_3nf_customer'!$E:$E,MATCH(AD100,'8_3nf_customer'!$B:$B,0)),"NOT FOUND")</f>
        <v/>
      </c>
      <c r="AI100" s="30">
        <f>IF(_xlfn.MAXIFS('9_3nf_customer_history'!$B$2:$B$500,'9_3nf_customer_history'!$A$2:$A$500,AD100,'9_3nf_customer_history'!$B$2:$B$500,"&lt;="&amp;L100)=0,"NOT FOUND",_xlfn.MAXIFS('9_3nf_customer_history'!$B$2:$B$500,'9_3nf_customer_history'!$A$2:$A$500,AD100,'9_3nf_customer_history'!$B$2:$B$500,"&lt;="&amp;L100))</f>
        <v/>
      </c>
      <c r="AJ100" s="2">
        <f>IF(AI100="NOT FOUND","NOT FOUND",INDEX('9_3nf_customer_history'!$C:$C,SUMPRODUCT(('9_3nf_customer_history'!$A$2:$A$500=AD100)*('9_3nf_customer_history'!$B$2:$B$500=AI100)*ROW('9_3nf_customer_history'!$A$2:$A$500))))</f>
        <v/>
      </c>
      <c r="AK100" s="2">
        <f>IF(AI100="NOT FOUND","NOT FOUND",INDEX('9_3nf_customer_history'!$D:$D,SUMPRODUCT(('9_3nf_customer_history'!$A$2:$A$500=AD100)*('9_3nf_customer_history'!$B$2:$B$500=AI100)*ROW('9_3nf_customer_history'!$A$2:$A$500))))</f>
        <v/>
      </c>
      <c r="AL100" s="2">
        <f>UPPER(TRIM(H100))</f>
        <v/>
      </c>
      <c r="AM100" s="30">
        <f>IF(_xlfn.MAXIFS('10_ref_fx_rate'!$B$2:$B$2000,'10_ref_fx_rate'!$A$2:$A$2000,AL100,'10_ref_fx_rate'!$B$2:$B$2000,"&lt;="&amp;L100)=0,"NOT FOUND",_xlfn.MAXIFS('10_ref_fx_rate'!$B$2:$B$2000,'10_ref_fx_rate'!$A$2:$A$2000,AL100,'10_ref_fx_rate'!$B$2:$B$2000,"&lt;="&amp;L100))</f>
        <v/>
      </c>
      <c r="AN100" s="8">
        <f>IF(AM100="NOT FOUND","NOT FOUND",SUMIFS('10_ref_fx_rate'!$D$2:$D$2000,'10_ref_fx_rate'!$A$2:$A$2000,AL100,'10_ref_fx_rate'!$B$2:$B$2000,AM100))</f>
        <v/>
      </c>
      <c r="AO100" s="37">
        <f>IF(ISNUMBER(AN100),I100*AN100,"NOT FOUND")</f>
        <v/>
      </c>
      <c r="AP100" s="2">
        <f>UPPER(TRIM(J100))</f>
        <v/>
      </c>
      <c r="AQ100" s="2">
        <f>IF(AP100="","SELF-DIRECTED",IF(ISNUMBER(MATCH(AP100,'11_3nf_sales_person'!$A:$A,0)),IF(EXACT(AP100,J100),"OK","OK (auto-fixed)"),IF(ISNA(MATCH($A100,'12_sales_person_confirmation'!$A:$A,0)),"CONFIRM (not logged)",IF(INDEX('12_sales_person_confirmation'!$I:$I,MATCH($A100,'12_sales_person_confirmation'!$A:$A,0))="CONFIRMED","CONFIRMED ("&amp;LOWER(INDEX('12_sales_person_confirmation'!$E:$E,MATCH($A100,'12_sales_person_confirmation'!$A:$A,0)))&amp;")","PENDING CONFIRM"))))</f>
        <v/>
      </c>
      <c r="AR100" s="2">
        <f>IF(OR(AQ100="OK",AQ100="OK (auto-fixed)"),AP100,IF(LEFT(AQ100,9)="CONFIRMED",INDEX('12_sales_person_confirmation'!$F:$F,MATCH($A100,'12_sales_person_confirmation'!$A:$A,0)),""))</f>
        <v/>
      </c>
      <c r="AS100" s="2">
        <f>IF(AR100="","",INDEX('11_3nf_sales_person'!$B:$B,MATCH(AR100,'11_3nf_sales_person'!$A:$A,0)))</f>
        <v/>
      </c>
    </row>
    <row r="101">
      <c r="A101" s="2">
        <f>IF(ISBLANK('1_raw_log'!A101),"",'1_raw_log'!A101)</f>
        <v/>
      </c>
      <c r="B101" s="3">
        <f>IF(ISBLANK('1_raw_log'!B101),"",'1_raw_log'!B101)</f>
        <v/>
      </c>
      <c r="C101" s="2">
        <f>IF(ISBLANK('1_raw_log'!C101),"",'1_raw_log'!C101)</f>
        <v/>
      </c>
      <c r="D101" s="2">
        <f>IF(ISBLANK('1_raw_log'!D101),"",'1_raw_log'!D101)</f>
        <v/>
      </c>
      <c r="E101" s="4">
        <f>IF(ISBLANK('1_raw_log'!E101),"",'1_raw_log'!E101)</f>
        <v/>
      </c>
      <c r="F101" s="2">
        <f>IF(ISBLANK('1_raw_log'!F101),"",'1_raw_log'!F101)</f>
        <v/>
      </c>
      <c r="G101" s="2">
        <f>IF(ISBLANK('1_raw_log'!G101),"",'1_raw_log'!G101)</f>
        <v/>
      </c>
      <c r="H101" s="2">
        <f>IF(ISBLANK('1_raw_log'!H101),"",'1_raw_log'!H101)</f>
        <v/>
      </c>
      <c r="I101" s="7">
        <f>IF(ISBLANK('1_raw_log'!I101),"",'1_raw_log'!I101)</f>
        <v/>
      </c>
      <c r="J101" s="2">
        <f>IF(ISBLANK('1_raw_log'!J101),"",'1_raw_log'!J101)</f>
        <v/>
      </c>
      <c r="K101" s="2">
        <f>IF(ISBLANK('1_raw_log'!K101),"",'1_raw_log'!K101)</f>
        <v/>
      </c>
      <c r="L101" s="30">
        <f>INT(B101)</f>
        <v/>
      </c>
      <c r="M101" s="20">
        <f>ROUND(MOD(B101,1)*1440,0)/1440</f>
        <v/>
      </c>
      <c r="N101" s="4">
        <f>IFERROR(INDEX('3_ref_date'!$B:$B,MATCH(L101,'3_ref_date'!$A:$A,0)),"NOT FOUND")</f>
        <v/>
      </c>
      <c r="O101" s="2">
        <f>IFERROR(INDEX('3_ref_date'!$C:$C,MATCH(L101,'3_ref_date'!$A:$A,0)),"NOT FOUND")</f>
        <v/>
      </c>
      <c r="P101" s="4">
        <f>IFERROR(INDEX('3_ref_date'!$D:$D,MATCH(L101,'3_ref_date'!$A:$A,0)),"NOT FOUND")</f>
        <v/>
      </c>
      <c r="Q101" s="4">
        <f>IFERROR(INDEX('3_ref_date'!$E:$E,MATCH(L101,'3_ref_date'!$A:$A,0)),"NOT FOUND")</f>
        <v/>
      </c>
      <c r="R101" s="2">
        <f>IFERROR(INDEX('3_ref_date'!$F:$F,MATCH(L101,'3_ref_date'!$A:$A,0)),"NOT FOUND")</f>
        <v/>
      </c>
      <c r="S101" s="2">
        <f>IFERROR(INDEX('4_ref_time'!$D:$D,MATCH(ROUND(M101*1440,0),'4_ref_time'!$A:$A,0)),"NOT FOUND")</f>
        <v/>
      </c>
      <c r="T101" s="2">
        <f>UPPER(TRIM(C101))</f>
        <v/>
      </c>
      <c r="U101" s="30">
        <f>IF(_xlfn.MAXIFS('6_3nf_branch_history'!$B$2:$B$50,'6_3nf_branch_history'!$A$2:$A$50,T101,'6_3nf_branch_history'!$B$2:$B$50,"&lt;="&amp;L101)=0,"NOT FOUND",_xlfn.MAXIFS('6_3nf_branch_history'!$B$2:$B$50,'6_3nf_branch_history'!$A$2:$A$50,T101,'6_3nf_branch_history'!$B$2:$B$50,"&lt;="&amp;L101))</f>
        <v/>
      </c>
      <c r="V101" s="2">
        <f>IF(U101="NOT FOUND","NOT FOUND",INDEX('6_3nf_branch_history'!$C:$C,SUMPRODUCT(('6_3nf_branch_history'!$A$2:$A$50=T101)*('6_3nf_branch_history'!$B$2:$B$50=U101)*ROW('6_3nf_branch_history'!$A$2:$A$50))))</f>
        <v/>
      </c>
      <c r="W101" s="2">
        <f>IF(U101="NOT FOUND","NOT FOUND",INDEX('6_3nf_branch_history'!$D:$D,SUMPRODUCT(('6_3nf_branch_history'!$A$2:$A$50=T101)*('6_3nf_branch_history'!$B$2:$B$50=U101)*ROW('6_3nf_branch_history'!$A$2:$A$50))))</f>
        <v/>
      </c>
      <c r="X101" s="2">
        <f>IF(U101="NOT FOUND","NOT FOUND",INDEX('6_3nf_branch_history'!$E:$E,SUMPRODUCT(('6_3nf_branch_history'!$A$2:$A$50=T101)*('6_3nf_branch_history'!$B$2:$B$50=U101)*ROW('6_3nf_branch_history'!$A$2:$A$50))))</f>
        <v/>
      </c>
      <c r="Y101" s="2">
        <f>UPPER(TRIM(D101))</f>
        <v/>
      </c>
      <c r="Z101" s="2">
        <f>IFERROR(INDEX('7_3nf_product'!$B:$B,MATCH(Y101,'7_3nf_product'!$A:$A,0)),"NOT FOUND")</f>
        <v/>
      </c>
      <c r="AA101" s="2">
        <f>IFERROR(INDEX('7_3nf_product'!$C:$C,MATCH(Y101,'7_3nf_product'!$A:$A,0)),"NOT FOUND")</f>
        <v/>
      </c>
      <c r="AB101" s="2">
        <f>IFERROR(INDEX('7_3nf_product'!$D:$D,MATCH(Y101,'7_3nf_product'!$A:$A,0)),"NOT FOUND")</f>
        <v/>
      </c>
      <c r="AC101" s="6">
        <f>IFERROR(INDEX('7_3nf_product'!$E:$E,MATCH(Y101,'7_3nf_product'!$A:$A,0)),"NOT FOUND")</f>
        <v/>
      </c>
      <c r="AD101" s="33">
        <f>IF(LEN(TRIM(E101))=10,TRIM(E101),IF(LEN(TRIM(E101))=8,"00"&amp;TRIM(E101),"CHECK"))</f>
        <v/>
      </c>
      <c r="AE101" s="2">
        <f>IFERROR(INDEX('8_3nf_customer'!$C:$C,MATCH(AD101,'8_3nf_customer'!$B:$B,0)),"NOT FOUND")</f>
        <v/>
      </c>
      <c r="AF101" s="30">
        <f>IFERROR(INDEX('8_3nf_customer'!$D:$D,MATCH(AD101,'8_3nf_customer'!$B:$B,0)),"NOT FOUND")</f>
        <v/>
      </c>
      <c r="AG101" s="4">
        <f>IF(ISNUMBER(AF101),DATEDIF(AF101,L101,"y"),"NOT FOUND")</f>
        <v/>
      </c>
      <c r="AH101" s="2">
        <f>IFERROR(INDEX('8_3nf_customer'!$E:$E,MATCH(AD101,'8_3nf_customer'!$B:$B,0)),"NOT FOUND")</f>
        <v/>
      </c>
      <c r="AI101" s="30">
        <f>IF(_xlfn.MAXIFS('9_3nf_customer_history'!$B$2:$B$500,'9_3nf_customer_history'!$A$2:$A$500,AD101,'9_3nf_customer_history'!$B$2:$B$500,"&lt;="&amp;L101)=0,"NOT FOUND",_xlfn.MAXIFS('9_3nf_customer_history'!$B$2:$B$500,'9_3nf_customer_history'!$A$2:$A$500,AD101,'9_3nf_customer_history'!$B$2:$B$500,"&lt;="&amp;L101))</f>
        <v/>
      </c>
      <c r="AJ101" s="2">
        <f>IF(AI101="NOT FOUND","NOT FOUND",INDEX('9_3nf_customer_history'!$C:$C,SUMPRODUCT(('9_3nf_customer_history'!$A$2:$A$500=AD101)*('9_3nf_customer_history'!$B$2:$B$500=AI101)*ROW('9_3nf_customer_history'!$A$2:$A$500))))</f>
        <v/>
      </c>
      <c r="AK101" s="2">
        <f>IF(AI101="NOT FOUND","NOT FOUND",INDEX('9_3nf_customer_history'!$D:$D,SUMPRODUCT(('9_3nf_customer_history'!$A$2:$A$500=AD101)*('9_3nf_customer_history'!$B$2:$B$500=AI101)*ROW('9_3nf_customer_history'!$A$2:$A$500))))</f>
        <v/>
      </c>
      <c r="AL101" s="2">
        <f>UPPER(TRIM(H101))</f>
        <v/>
      </c>
      <c r="AM101" s="30">
        <f>IF(_xlfn.MAXIFS('10_ref_fx_rate'!$B$2:$B$2000,'10_ref_fx_rate'!$A$2:$A$2000,AL101,'10_ref_fx_rate'!$B$2:$B$2000,"&lt;="&amp;L101)=0,"NOT FOUND",_xlfn.MAXIFS('10_ref_fx_rate'!$B$2:$B$2000,'10_ref_fx_rate'!$A$2:$A$2000,AL101,'10_ref_fx_rate'!$B$2:$B$2000,"&lt;="&amp;L101))</f>
        <v/>
      </c>
      <c r="AN101" s="8">
        <f>IF(AM101="NOT FOUND","NOT FOUND",SUMIFS('10_ref_fx_rate'!$D$2:$D$2000,'10_ref_fx_rate'!$A$2:$A$2000,AL101,'10_ref_fx_rate'!$B$2:$B$2000,AM101))</f>
        <v/>
      </c>
      <c r="AO101" s="37">
        <f>IF(ISNUMBER(AN101),I101*AN101,"NOT FOUND")</f>
        <v/>
      </c>
      <c r="AP101" s="2">
        <f>UPPER(TRIM(J101))</f>
        <v/>
      </c>
      <c r="AQ101" s="2">
        <f>IF(AP101="","SELF-DIRECTED",IF(ISNUMBER(MATCH(AP101,'11_3nf_sales_person'!$A:$A,0)),IF(EXACT(AP101,J101),"OK","OK (auto-fixed)"),IF(ISNA(MATCH($A101,'12_sales_person_confirmation'!$A:$A,0)),"CONFIRM (not logged)",IF(INDEX('12_sales_person_confirmation'!$I:$I,MATCH($A101,'12_sales_person_confirmation'!$A:$A,0))="CONFIRMED","CONFIRMED ("&amp;LOWER(INDEX('12_sales_person_confirmation'!$E:$E,MATCH($A101,'12_sales_person_confirmation'!$A:$A,0)))&amp;")","PENDING CONFIRM"))))</f>
        <v/>
      </c>
      <c r="AR101" s="2">
        <f>IF(OR(AQ101="OK",AQ101="OK (auto-fixed)"),AP101,IF(LEFT(AQ101,9)="CONFIRMED",INDEX('12_sales_person_confirmation'!$F:$F,MATCH($A101,'12_sales_person_confirmation'!$A:$A,0)),""))</f>
        <v/>
      </c>
      <c r="AS101" s="2">
        <f>IF(AR101="","",INDEX('11_3nf_sales_person'!$B:$B,MATCH(AR101,'11_3nf_sales_person'!$A:$A,0)))</f>
        <v/>
      </c>
    </row>
    <row r="102">
      <c r="A102" s="2">
        <f>IF(ISBLANK('1_raw_log'!A102),"",'1_raw_log'!A102)</f>
        <v/>
      </c>
      <c r="B102" s="3">
        <f>IF(ISBLANK('1_raw_log'!B102),"",'1_raw_log'!B102)</f>
        <v/>
      </c>
      <c r="C102" s="2">
        <f>IF(ISBLANK('1_raw_log'!C102),"",'1_raw_log'!C102)</f>
        <v/>
      </c>
      <c r="D102" s="2">
        <f>IF(ISBLANK('1_raw_log'!D102),"",'1_raw_log'!D102)</f>
        <v/>
      </c>
      <c r="E102" s="4">
        <f>IF(ISBLANK('1_raw_log'!E102),"",'1_raw_log'!E102)</f>
        <v/>
      </c>
      <c r="F102" s="2">
        <f>IF(ISBLANK('1_raw_log'!F102),"",'1_raw_log'!F102)</f>
        <v/>
      </c>
      <c r="G102" s="2">
        <f>IF(ISBLANK('1_raw_log'!G102),"",'1_raw_log'!G102)</f>
        <v/>
      </c>
      <c r="H102" s="2">
        <f>IF(ISBLANK('1_raw_log'!H102),"",'1_raw_log'!H102)</f>
        <v/>
      </c>
      <c r="I102" s="7">
        <f>IF(ISBLANK('1_raw_log'!I102),"",'1_raw_log'!I102)</f>
        <v/>
      </c>
      <c r="J102" s="2">
        <f>IF(ISBLANK('1_raw_log'!J102),"",'1_raw_log'!J102)</f>
        <v/>
      </c>
      <c r="K102" s="2">
        <f>IF(ISBLANK('1_raw_log'!K102),"",'1_raw_log'!K102)</f>
        <v/>
      </c>
      <c r="L102" s="30">
        <f>INT(B102)</f>
        <v/>
      </c>
      <c r="M102" s="20">
        <f>ROUND(MOD(B102,1)*1440,0)/1440</f>
        <v/>
      </c>
      <c r="N102" s="4">
        <f>IFERROR(INDEX('3_ref_date'!$B:$B,MATCH(L102,'3_ref_date'!$A:$A,0)),"NOT FOUND")</f>
        <v/>
      </c>
      <c r="O102" s="2">
        <f>IFERROR(INDEX('3_ref_date'!$C:$C,MATCH(L102,'3_ref_date'!$A:$A,0)),"NOT FOUND")</f>
        <v/>
      </c>
      <c r="P102" s="4">
        <f>IFERROR(INDEX('3_ref_date'!$D:$D,MATCH(L102,'3_ref_date'!$A:$A,0)),"NOT FOUND")</f>
        <v/>
      </c>
      <c r="Q102" s="4">
        <f>IFERROR(INDEX('3_ref_date'!$E:$E,MATCH(L102,'3_ref_date'!$A:$A,0)),"NOT FOUND")</f>
        <v/>
      </c>
      <c r="R102" s="2">
        <f>IFERROR(INDEX('3_ref_date'!$F:$F,MATCH(L102,'3_ref_date'!$A:$A,0)),"NOT FOUND")</f>
        <v/>
      </c>
      <c r="S102" s="2">
        <f>IFERROR(INDEX('4_ref_time'!$D:$D,MATCH(ROUND(M102*1440,0),'4_ref_time'!$A:$A,0)),"NOT FOUND")</f>
        <v/>
      </c>
      <c r="T102" s="2">
        <f>UPPER(TRIM(C102))</f>
        <v/>
      </c>
      <c r="U102" s="30">
        <f>IF(_xlfn.MAXIFS('6_3nf_branch_history'!$B$2:$B$50,'6_3nf_branch_history'!$A$2:$A$50,T102,'6_3nf_branch_history'!$B$2:$B$50,"&lt;="&amp;L102)=0,"NOT FOUND",_xlfn.MAXIFS('6_3nf_branch_history'!$B$2:$B$50,'6_3nf_branch_history'!$A$2:$A$50,T102,'6_3nf_branch_history'!$B$2:$B$50,"&lt;="&amp;L102))</f>
        <v/>
      </c>
      <c r="V102" s="2">
        <f>IF(U102="NOT FOUND","NOT FOUND",INDEX('6_3nf_branch_history'!$C:$C,SUMPRODUCT(('6_3nf_branch_history'!$A$2:$A$50=T102)*('6_3nf_branch_history'!$B$2:$B$50=U102)*ROW('6_3nf_branch_history'!$A$2:$A$50))))</f>
        <v/>
      </c>
      <c r="W102" s="2">
        <f>IF(U102="NOT FOUND","NOT FOUND",INDEX('6_3nf_branch_history'!$D:$D,SUMPRODUCT(('6_3nf_branch_history'!$A$2:$A$50=T102)*('6_3nf_branch_history'!$B$2:$B$50=U102)*ROW('6_3nf_branch_history'!$A$2:$A$50))))</f>
        <v/>
      </c>
      <c r="X102" s="2">
        <f>IF(U102="NOT FOUND","NOT FOUND",INDEX('6_3nf_branch_history'!$E:$E,SUMPRODUCT(('6_3nf_branch_history'!$A$2:$A$50=T102)*('6_3nf_branch_history'!$B$2:$B$50=U102)*ROW('6_3nf_branch_history'!$A$2:$A$50))))</f>
        <v/>
      </c>
      <c r="Y102" s="2">
        <f>UPPER(TRIM(D102))</f>
        <v/>
      </c>
      <c r="Z102" s="2">
        <f>IFERROR(INDEX('7_3nf_product'!$B:$B,MATCH(Y102,'7_3nf_product'!$A:$A,0)),"NOT FOUND")</f>
        <v/>
      </c>
      <c r="AA102" s="2">
        <f>IFERROR(INDEX('7_3nf_product'!$C:$C,MATCH(Y102,'7_3nf_product'!$A:$A,0)),"NOT FOUND")</f>
        <v/>
      </c>
      <c r="AB102" s="2">
        <f>IFERROR(INDEX('7_3nf_product'!$D:$D,MATCH(Y102,'7_3nf_product'!$A:$A,0)),"NOT FOUND")</f>
        <v/>
      </c>
      <c r="AC102" s="6">
        <f>IFERROR(INDEX('7_3nf_product'!$E:$E,MATCH(Y102,'7_3nf_product'!$A:$A,0)),"NOT FOUND")</f>
        <v/>
      </c>
      <c r="AD102" s="33">
        <f>IF(LEN(TRIM(E102))=10,TRIM(E102),IF(LEN(TRIM(E102))=8,"00"&amp;TRIM(E102),"CHECK"))</f>
        <v/>
      </c>
      <c r="AE102" s="2">
        <f>IFERROR(INDEX('8_3nf_customer'!$C:$C,MATCH(AD102,'8_3nf_customer'!$B:$B,0)),"NOT FOUND")</f>
        <v/>
      </c>
      <c r="AF102" s="30">
        <f>IFERROR(INDEX('8_3nf_customer'!$D:$D,MATCH(AD102,'8_3nf_customer'!$B:$B,0)),"NOT FOUND")</f>
        <v/>
      </c>
      <c r="AG102" s="4">
        <f>IF(ISNUMBER(AF102),DATEDIF(AF102,L102,"y"),"NOT FOUND")</f>
        <v/>
      </c>
      <c r="AH102" s="2">
        <f>IFERROR(INDEX('8_3nf_customer'!$E:$E,MATCH(AD102,'8_3nf_customer'!$B:$B,0)),"NOT FOUND")</f>
        <v/>
      </c>
      <c r="AI102" s="30">
        <f>IF(_xlfn.MAXIFS('9_3nf_customer_history'!$B$2:$B$500,'9_3nf_customer_history'!$A$2:$A$500,AD102,'9_3nf_customer_history'!$B$2:$B$500,"&lt;="&amp;L102)=0,"NOT FOUND",_xlfn.MAXIFS('9_3nf_customer_history'!$B$2:$B$500,'9_3nf_customer_history'!$A$2:$A$500,AD102,'9_3nf_customer_history'!$B$2:$B$500,"&lt;="&amp;L102))</f>
        <v/>
      </c>
      <c r="AJ102" s="2">
        <f>IF(AI102="NOT FOUND","NOT FOUND",INDEX('9_3nf_customer_history'!$C:$C,SUMPRODUCT(('9_3nf_customer_history'!$A$2:$A$500=AD102)*('9_3nf_customer_history'!$B$2:$B$500=AI102)*ROW('9_3nf_customer_history'!$A$2:$A$500))))</f>
        <v/>
      </c>
      <c r="AK102" s="2">
        <f>IF(AI102="NOT FOUND","NOT FOUND",INDEX('9_3nf_customer_history'!$D:$D,SUMPRODUCT(('9_3nf_customer_history'!$A$2:$A$500=AD102)*('9_3nf_customer_history'!$B$2:$B$500=AI102)*ROW('9_3nf_customer_history'!$A$2:$A$500))))</f>
        <v/>
      </c>
      <c r="AL102" s="2">
        <f>UPPER(TRIM(H102))</f>
        <v/>
      </c>
      <c r="AM102" s="30">
        <f>IF(_xlfn.MAXIFS('10_ref_fx_rate'!$B$2:$B$2000,'10_ref_fx_rate'!$A$2:$A$2000,AL102,'10_ref_fx_rate'!$B$2:$B$2000,"&lt;="&amp;L102)=0,"NOT FOUND",_xlfn.MAXIFS('10_ref_fx_rate'!$B$2:$B$2000,'10_ref_fx_rate'!$A$2:$A$2000,AL102,'10_ref_fx_rate'!$B$2:$B$2000,"&lt;="&amp;L102))</f>
        <v/>
      </c>
      <c r="AN102" s="8">
        <f>IF(AM102="NOT FOUND","NOT FOUND",SUMIFS('10_ref_fx_rate'!$D$2:$D$2000,'10_ref_fx_rate'!$A$2:$A$2000,AL102,'10_ref_fx_rate'!$B$2:$B$2000,AM102))</f>
        <v/>
      </c>
      <c r="AO102" s="37">
        <f>IF(ISNUMBER(AN102),I102*AN102,"NOT FOUND")</f>
        <v/>
      </c>
      <c r="AP102" s="2">
        <f>UPPER(TRIM(J102))</f>
        <v/>
      </c>
      <c r="AQ102" s="2">
        <f>IF(AP102="","SELF-DIRECTED",IF(ISNUMBER(MATCH(AP102,'11_3nf_sales_person'!$A:$A,0)),IF(EXACT(AP102,J102),"OK","OK (auto-fixed)"),IF(ISNA(MATCH($A102,'12_sales_person_confirmation'!$A:$A,0)),"CONFIRM (not logged)",IF(INDEX('12_sales_person_confirmation'!$I:$I,MATCH($A102,'12_sales_person_confirmation'!$A:$A,0))="CONFIRMED","CONFIRMED ("&amp;LOWER(INDEX('12_sales_person_confirmation'!$E:$E,MATCH($A102,'12_sales_person_confirmation'!$A:$A,0)))&amp;")","PENDING CONFIRM"))))</f>
        <v/>
      </c>
      <c r="AR102" s="2">
        <f>IF(OR(AQ102="OK",AQ102="OK (auto-fixed)"),AP102,IF(LEFT(AQ102,9)="CONFIRMED",INDEX('12_sales_person_confirmation'!$F:$F,MATCH($A102,'12_sales_person_confirmation'!$A:$A,0)),""))</f>
        <v/>
      </c>
      <c r="AS102" s="2">
        <f>IF(AR102="","",INDEX('11_3nf_sales_person'!$B:$B,MATCH(AR102,'11_3nf_sales_person'!$A:$A,0)))</f>
        <v/>
      </c>
    </row>
    <row r="103">
      <c r="A103" s="2">
        <f>IF(ISBLANK('1_raw_log'!A103),"",'1_raw_log'!A103)</f>
        <v/>
      </c>
      <c r="B103" s="3">
        <f>IF(ISBLANK('1_raw_log'!B103),"",'1_raw_log'!B103)</f>
        <v/>
      </c>
      <c r="C103" s="2">
        <f>IF(ISBLANK('1_raw_log'!C103),"",'1_raw_log'!C103)</f>
        <v/>
      </c>
      <c r="D103" s="2">
        <f>IF(ISBLANK('1_raw_log'!D103),"",'1_raw_log'!D103)</f>
        <v/>
      </c>
      <c r="E103" s="4">
        <f>IF(ISBLANK('1_raw_log'!E103),"",'1_raw_log'!E103)</f>
        <v/>
      </c>
      <c r="F103" s="2">
        <f>IF(ISBLANK('1_raw_log'!F103),"",'1_raw_log'!F103)</f>
        <v/>
      </c>
      <c r="G103" s="2">
        <f>IF(ISBLANK('1_raw_log'!G103),"",'1_raw_log'!G103)</f>
        <v/>
      </c>
      <c r="H103" s="2">
        <f>IF(ISBLANK('1_raw_log'!H103),"",'1_raw_log'!H103)</f>
        <v/>
      </c>
      <c r="I103" s="7">
        <f>IF(ISBLANK('1_raw_log'!I103),"",'1_raw_log'!I103)</f>
        <v/>
      </c>
      <c r="J103" s="2">
        <f>IF(ISBLANK('1_raw_log'!J103),"",'1_raw_log'!J103)</f>
        <v/>
      </c>
      <c r="K103" s="2">
        <f>IF(ISBLANK('1_raw_log'!K103),"",'1_raw_log'!K103)</f>
        <v/>
      </c>
      <c r="L103" s="30">
        <f>INT(B103)</f>
        <v/>
      </c>
      <c r="M103" s="20">
        <f>ROUND(MOD(B103,1)*1440,0)/1440</f>
        <v/>
      </c>
      <c r="N103" s="4">
        <f>IFERROR(INDEX('3_ref_date'!$B:$B,MATCH(L103,'3_ref_date'!$A:$A,0)),"NOT FOUND")</f>
        <v/>
      </c>
      <c r="O103" s="2">
        <f>IFERROR(INDEX('3_ref_date'!$C:$C,MATCH(L103,'3_ref_date'!$A:$A,0)),"NOT FOUND")</f>
        <v/>
      </c>
      <c r="P103" s="4">
        <f>IFERROR(INDEX('3_ref_date'!$D:$D,MATCH(L103,'3_ref_date'!$A:$A,0)),"NOT FOUND")</f>
        <v/>
      </c>
      <c r="Q103" s="4">
        <f>IFERROR(INDEX('3_ref_date'!$E:$E,MATCH(L103,'3_ref_date'!$A:$A,0)),"NOT FOUND")</f>
        <v/>
      </c>
      <c r="R103" s="2">
        <f>IFERROR(INDEX('3_ref_date'!$F:$F,MATCH(L103,'3_ref_date'!$A:$A,0)),"NOT FOUND")</f>
        <v/>
      </c>
      <c r="S103" s="2">
        <f>IFERROR(INDEX('4_ref_time'!$D:$D,MATCH(ROUND(M103*1440,0),'4_ref_time'!$A:$A,0)),"NOT FOUND")</f>
        <v/>
      </c>
      <c r="T103" s="2">
        <f>UPPER(TRIM(C103))</f>
        <v/>
      </c>
      <c r="U103" s="30">
        <f>IF(_xlfn.MAXIFS('6_3nf_branch_history'!$B$2:$B$50,'6_3nf_branch_history'!$A$2:$A$50,T103,'6_3nf_branch_history'!$B$2:$B$50,"&lt;="&amp;L103)=0,"NOT FOUND",_xlfn.MAXIFS('6_3nf_branch_history'!$B$2:$B$50,'6_3nf_branch_history'!$A$2:$A$50,T103,'6_3nf_branch_history'!$B$2:$B$50,"&lt;="&amp;L103))</f>
        <v/>
      </c>
      <c r="V103" s="2">
        <f>IF(U103="NOT FOUND","NOT FOUND",INDEX('6_3nf_branch_history'!$C:$C,SUMPRODUCT(('6_3nf_branch_history'!$A$2:$A$50=T103)*('6_3nf_branch_history'!$B$2:$B$50=U103)*ROW('6_3nf_branch_history'!$A$2:$A$50))))</f>
        <v/>
      </c>
      <c r="W103" s="2">
        <f>IF(U103="NOT FOUND","NOT FOUND",INDEX('6_3nf_branch_history'!$D:$D,SUMPRODUCT(('6_3nf_branch_history'!$A$2:$A$50=T103)*('6_3nf_branch_history'!$B$2:$B$50=U103)*ROW('6_3nf_branch_history'!$A$2:$A$50))))</f>
        <v/>
      </c>
      <c r="X103" s="2">
        <f>IF(U103="NOT FOUND","NOT FOUND",INDEX('6_3nf_branch_history'!$E:$E,SUMPRODUCT(('6_3nf_branch_history'!$A$2:$A$50=T103)*('6_3nf_branch_history'!$B$2:$B$50=U103)*ROW('6_3nf_branch_history'!$A$2:$A$50))))</f>
        <v/>
      </c>
      <c r="Y103" s="2">
        <f>UPPER(TRIM(D103))</f>
        <v/>
      </c>
      <c r="Z103" s="2">
        <f>IFERROR(INDEX('7_3nf_product'!$B:$B,MATCH(Y103,'7_3nf_product'!$A:$A,0)),"NOT FOUND")</f>
        <v/>
      </c>
      <c r="AA103" s="2">
        <f>IFERROR(INDEX('7_3nf_product'!$C:$C,MATCH(Y103,'7_3nf_product'!$A:$A,0)),"NOT FOUND")</f>
        <v/>
      </c>
      <c r="AB103" s="2">
        <f>IFERROR(INDEX('7_3nf_product'!$D:$D,MATCH(Y103,'7_3nf_product'!$A:$A,0)),"NOT FOUND")</f>
        <v/>
      </c>
      <c r="AC103" s="6">
        <f>IFERROR(INDEX('7_3nf_product'!$E:$E,MATCH(Y103,'7_3nf_product'!$A:$A,0)),"NOT FOUND")</f>
        <v/>
      </c>
      <c r="AD103" s="33">
        <f>IF(LEN(TRIM(E103))=10,TRIM(E103),IF(LEN(TRIM(E103))=8,"00"&amp;TRIM(E103),"CHECK"))</f>
        <v/>
      </c>
      <c r="AE103" s="2">
        <f>IFERROR(INDEX('8_3nf_customer'!$C:$C,MATCH(AD103,'8_3nf_customer'!$B:$B,0)),"NOT FOUND")</f>
        <v/>
      </c>
      <c r="AF103" s="30">
        <f>IFERROR(INDEX('8_3nf_customer'!$D:$D,MATCH(AD103,'8_3nf_customer'!$B:$B,0)),"NOT FOUND")</f>
        <v/>
      </c>
      <c r="AG103" s="4">
        <f>IF(ISNUMBER(AF103),DATEDIF(AF103,L103,"y"),"NOT FOUND")</f>
        <v/>
      </c>
      <c r="AH103" s="2">
        <f>IFERROR(INDEX('8_3nf_customer'!$E:$E,MATCH(AD103,'8_3nf_customer'!$B:$B,0)),"NOT FOUND")</f>
        <v/>
      </c>
      <c r="AI103" s="30">
        <f>IF(_xlfn.MAXIFS('9_3nf_customer_history'!$B$2:$B$500,'9_3nf_customer_history'!$A$2:$A$500,AD103,'9_3nf_customer_history'!$B$2:$B$500,"&lt;="&amp;L103)=0,"NOT FOUND",_xlfn.MAXIFS('9_3nf_customer_history'!$B$2:$B$500,'9_3nf_customer_history'!$A$2:$A$500,AD103,'9_3nf_customer_history'!$B$2:$B$500,"&lt;="&amp;L103))</f>
        <v/>
      </c>
      <c r="AJ103" s="2">
        <f>IF(AI103="NOT FOUND","NOT FOUND",INDEX('9_3nf_customer_history'!$C:$C,SUMPRODUCT(('9_3nf_customer_history'!$A$2:$A$500=AD103)*('9_3nf_customer_history'!$B$2:$B$500=AI103)*ROW('9_3nf_customer_history'!$A$2:$A$500))))</f>
        <v/>
      </c>
      <c r="AK103" s="2">
        <f>IF(AI103="NOT FOUND","NOT FOUND",INDEX('9_3nf_customer_history'!$D:$D,SUMPRODUCT(('9_3nf_customer_history'!$A$2:$A$500=AD103)*('9_3nf_customer_history'!$B$2:$B$500=AI103)*ROW('9_3nf_customer_history'!$A$2:$A$500))))</f>
        <v/>
      </c>
      <c r="AL103" s="2">
        <f>UPPER(TRIM(H103))</f>
        <v/>
      </c>
      <c r="AM103" s="30">
        <f>IF(_xlfn.MAXIFS('10_ref_fx_rate'!$B$2:$B$2000,'10_ref_fx_rate'!$A$2:$A$2000,AL103,'10_ref_fx_rate'!$B$2:$B$2000,"&lt;="&amp;L103)=0,"NOT FOUND",_xlfn.MAXIFS('10_ref_fx_rate'!$B$2:$B$2000,'10_ref_fx_rate'!$A$2:$A$2000,AL103,'10_ref_fx_rate'!$B$2:$B$2000,"&lt;="&amp;L103))</f>
        <v/>
      </c>
      <c r="AN103" s="8">
        <f>IF(AM103="NOT FOUND","NOT FOUND",SUMIFS('10_ref_fx_rate'!$D$2:$D$2000,'10_ref_fx_rate'!$A$2:$A$2000,AL103,'10_ref_fx_rate'!$B$2:$B$2000,AM103))</f>
        <v/>
      </c>
      <c r="AO103" s="37">
        <f>IF(ISNUMBER(AN103),I103*AN103,"NOT FOUND")</f>
        <v/>
      </c>
      <c r="AP103" s="2">
        <f>UPPER(TRIM(J103))</f>
        <v/>
      </c>
      <c r="AQ103" s="2">
        <f>IF(AP103="","SELF-DIRECTED",IF(ISNUMBER(MATCH(AP103,'11_3nf_sales_person'!$A:$A,0)),IF(EXACT(AP103,J103),"OK","OK (auto-fixed)"),IF(ISNA(MATCH($A103,'12_sales_person_confirmation'!$A:$A,0)),"CONFIRM (not logged)",IF(INDEX('12_sales_person_confirmation'!$I:$I,MATCH($A103,'12_sales_person_confirmation'!$A:$A,0))="CONFIRMED","CONFIRMED ("&amp;LOWER(INDEX('12_sales_person_confirmation'!$E:$E,MATCH($A103,'12_sales_person_confirmation'!$A:$A,0)))&amp;")","PENDING CONFIRM"))))</f>
        <v/>
      </c>
      <c r="AR103" s="2">
        <f>IF(OR(AQ103="OK",AQ103="OK (auto-fixed)"),AP103,IF(LEFT(AQ103,9)="CONFIRMED",INDEX('12_sales_person_confirmation'!$F:$F,MATCH($A103,'12_sales_person_confirmation'!$A:$A,0)),""))</f>
        <v/>
      </c>
      <c r="AS103" s="2">
        <f>IF(AR103="","",INDEX('11_3nf_sales_person'!$B:$B,MATCH(AR103,'11_3nf_sales_person'!$A:$A,0)))</f>
        <v/>
      </c>
    </row>
    <row r="104">
      <c r="A104" s="2">
        <f>IF(ISBLANK('1_raw_log'!A104),"",'1_raw_log'!A104)</f>
        <v/>
      </c>
      <c r="B104" s="3">
        <f>IF(ISBLANK('1_raw_log'!B104),"",'1_raw_log'!B104)</f>
        <v/>
      </c>
      <c r="C104" s="2">
        <f>IF(ISBLANK('1_raw_log'!C104),"",'1_raw_log'!C104)</f>
        <v/>
      </c>
      <c r="D104" s="2">
        <f>IF(ISBLANK('1_raw_log'!D104),"",'1_raw_log'!D104)</f>
        <v/>
      </c>
      <c r="E104" s="4">
        <f>IF(ISBLANK('1_raw_log'!E104),"",'1_raw_log'!E104)</f>
        <v/>
      </c>
      <c r="F104" s="2">
        <f>IF(ISBLANK('1_raw_log'!F104),"",'1_raw_log'!F104)</f>
        <v/>
      </c>
      <c r="G104" s="2">
        <f>IF(ISBLANK('1_raw_log'!G104),"",'1_raw_log'!G104)</f>
        <v/>
      </c>
      <c r="H104" s="2">
        <f>IF(ISBLANK('1_raw_log'!H104),"",'1_raw_log'!H104)</f>
        <v/>
      </c>
      <c r="I104" s="7">
        <f>IF(ISBLANK('1_raw_log'!I104),"",'1_raw_log'!I104)</f>
        <v/>
      </c>
      <c r="J104" s="2">
        <f>IF(ISBLANK('1_raw_log'!J104),"",'1_raw_log'!J104)</f>
        <v/>
      </c>
      <c r="K104" s="2">
        <f>IF(ISBLANK('1_raw_log'!K104),"",'1_raw_log'!K104)</f>
        <v/>
      </c>
      <c r="L104" s="30">
        <f>INT(B104)</f>
        <v/>
      </c>
      <c r="M104" s="20">
        <f>ROUND(MOD(B104,1)*1440,0)/1440</f>
        <v/>
      </c>
      <c r="N104" s="4">
        <f>IFERROR(INDEX('3_ref_date'!$B:$B,MATCH(L104,'3_ref_date'!$A:$A,0)),"NOT FOUND")</f>
        <v/>
      </c>
      <c r="O104" s="2">
        <f>IFERROR(INDEX('3_ref_date'!$C:$C,MATCH(L104,'3_ref_date'!$A:$A,0)),"NOT FOUND")</f>
        <v/>
      </c>
      <c r="P104" s="4">
        <f>IFERROR(INDEX('3_ref_date'!$D:$D,MATCH(L104,'3_ref_date'!$A:$A,0)),"NOT FOUND")</f>
        <v/>
      </c>
      <c r="Q104" s="4">
        <f>IFERROR(INDEX('3_ref_date'!$E:$E,MATCH(L104,'3_ref_date'!$A:$A,0)),"NOT FOUND")</f>
        <v/>
      </c>
      <c r="R104" s="2">
        <f>IFERROR(INDEX('3_ref_date'!$F:$F,MATCH(L104,'3_ref_date'!$A:$A,0)),"NOT FOUND")</f>
        <v/>
      </c>
      <c r="S104" s="2">
        <f>IFERROR(INDEX('4_ref_time'!$D:$D,MATCH(ROUND(M104*1440,0),'4_ref_time'!$A:$A,0)),"NOT FOUND")</f>
        <v/>
      </c>
      <c r="T104" s="2">
        <f>UPPER(TRIM(C104))</f>
        <v/>
      </c>
      <c r="U104" s="30">
        <f>IF(_xlfn.MAXIFS('6_3nf_branch_history'!$B$2:$B$50,'6_3nf_branch_history'!$A$2:$A$50,T104,'6_3nf_branch_history'!$B$2:$B$50,"&lt;="&amp;L104)=0,"NOT FOUND",_xlfn.MAXIFS('6_3nf_branch_history'!$B$2:$B$50,'6_3nf_branch_history'!$A$2:$A$50,T104,'6_3nf_branch_history'!$B$2:$B$50,"&lt;="&amp;L104))</f>
        <v/>
      </c>
      <c r="V104" s="2">
        <f>IF(U104="NOT FOUND","NOT FOUND",INDEX('6_3nf_branch_history'!$C:$C,SUMPRODUCT(('6_3nf_branch_history'!$A$2:$A$50=T104)*('6_3nf_branch_history'!$B$2:$B$50=U104)*ROW('6_3nf_branch_history'!$A$2:$A$50))))</f>
        <v/>
      </c>
      <c r="W104" s="2">
        <f>IF(U104="NOT FOUND","NOT FOUND",INDEX('6_3nf_branch_history'!$D:$D,SUMPRODUCT(('6_3nf_branch_history'!$A$2:$A$50=T104)*('6_3nf_branch_history'!$B$2:$B$50=U104)*ROW('6_3nf_branch_history'!$A$2:$A$50))))</f>
        <v/>
      </c>
      <c r="X104" s="2">
        <f>IF(U104="NOT FOUND","NOT FOUND",INDEX('6_3nf_branch_history'!$E:$E,SUMPRODUCT(('6_3nf_branch_history'!$A$2:$A$50=T104)*('6_3nf_branch_history'!$B$2:$B$50=U104)*ROW('6_3nf_branch_history'!$A$2:$A$50))))</f>
        <v/>
      </c>
      <c r="Y104" s="2">
        <f>UPPER(TRIM(D104))</f>
        <v/>
      </c>
      <c r="Z104" s="2">
        <f>IFERROR(INDEX('7_3nf_product'!$B:$B,MATCH(Y104,'7_3nf_product'!$A:$A,0)),"NOT FOUND")</f>
        <v/>
      </c>
      <c r="AA104" s="2">
        <f>IFERROR(INDEX('7_3nf_product'!$C:$C,MATCH(Y104,'7_3nf_product'!$A:$A,0)),"NOT FOUND")</f>
        <v/>
      </c>
      <c r="AB104" s="2">
        <f>IFERROR(INDEX('7_3nf_product'!$D:$D,MATCH(Y104,'7_3nf_product'!$A:$A,0)),"NOT FOUND")</f>
        <v/>
      </c>
      <c r="AC104" s="6">
        <f>IFERROR(INDEX('7_3nf_product'!$E:$E,MATCH(Y104,'7_3nf_product'!$A:$A,0)),"NOT FOUND")</f>
        <v/>
      </c>
      <c r="AD104" s="33">
        <f>IF(LEN(TRIM(E104))=10,TRIM(E104),IF(LEN(TRIM(E104))=8,"00"&amp;TRIM(E104),"CHECK"))</f>
        <v/>
      </c>
      <c r="AE104" s="2">
        <f>IFERROR(INDEX('8_3nf_customer'!$C:$C,MATCH(AD104,'8_3nf_customer'!$B:$B,0)),"NOT FOUND")</f>
        <v/>
      </c>
      <c r="AF104" s="30">
        <f>IFERROR(INDEX('8_3nf_customer'!$D:$D,MATCH(AD104,'8_3nf_customer'!$B:$B,0)),"NOT FOUND")</f>
        <v/>
      </c>
      <c r="AG104" s="4">
        <f>IF(ISNUMBER(AF104),DATEDIF(AF104,L104,"y"),"NOT FOUND")</f>
        <v/>
      </c>
      <c r="AH104" s="2">
        <f>IFERROR(INDEX('8_3nf_customer'!$E:$E,MATCH(AD104,'8_3nf_customer'!$B:$B,0)),"NOT FOUND")</f>
        <v/>
      </c>
      <c r="AI104" s="30">
        <f>IF(_xlfn.MAXIFS('9_3nf_customer_history'!$B$2:$B$500,'9_3nf_customer_history'!$A$2:$A$500,AD104,'9_3nf_customer_history'!$B$2:$B$500,"&lt;="&amp;L104)=0,"NOT FOUND",_xlfn.MAXIFS('9_3nf_customer_history'!$B$2:$B$500,'9_3nf_customer_history'!$A$2:$A$500,AD104,'9_3nf_customer_history'!$B$2:$B$500,"&lt;="&amp;L104))</f>
        <v/>
      </c>
      <c r="AJ104" s="2">
        <f>IF(AI104="NOT FOUND","NOT FOUND",INDEX('9_3nf_customer_history'!$C:$C,SUMPRODUCT(('9_3nf_customer_history'!$A$2:$A$500=AD104)*('9_3nf_customer_history'!$B$2:$B$500=AI104)*ROW('9_3nf_customer_history'!$A$2:$A$500))))</f>
        <v/>
      </c>
      <c r="AK104" s="2">
        <f>IF(AI104="NOT FOUND","NOT FOUND",INDEX('9_3nf_customer_history'!$D:$D,SUMPRODUCT(('9_3nf_customer_history'!$A$2:$A$500=AD104)*('9_3nf_customer_history'!$B$2:$B$500=AI104)*ROW('9_3nf_customer_history'!$A$2:$A$500))))</f>
        <v/>
      </c>
      <c r="AL104" s="2">
        <f>UPPER(TRIM(H104))</f>
        <v/>
      </c>
      <c r="AM104" s="30">
        <f>IF(_xlfn.MAXIFS('10_ref_fx_rate'!$B$2:$B$2000,'10_ref_fx_rate'!$A$2:$A$2000,AL104,'10_ref_fx_rate'!$B$2:$B$2000,"&lt;="&amp;L104)=0,"NOT FOUND",_xlfn.MAXIFS('10_ref_fx_rate'!$B$2:$B$2000,'10_ref_fx_rate'!$A$2:$A$2000,AL104,'10_ref_fx_rate'!$B$2:$B$2000,"&lt;="&amp;L104))</f>
        <v/>
      </c>
      <c r="AN104" s="8">
        <f>IF(AM104="NOT FOUND","NOT FOUND",SUMIFS('10_ref_fx_rate'!$D$2:$D$2000,'10_ref_fx_rate'!$A$2:$A$2000,AL104,'10_ref_fx_rate'!$B$2:$B$2000,AM104))</f>
        <v/>
      </c>
      <c r="AO104" s="37">
        <f>IF(ISNUMBER(AN104),I104*AN104,"NOT FOUND")</f>
        <v/>
      </c>
      <c r="AP104" s="2">
        <f>UPPER(TRIM(J104))</f>
        <v/>
      </c>
      <c r="AQ104" s="2">
        <f>IF(AP104="","SELF-DIRECTED",IF(ISNUMBER(MATCH(AP104,'11_3nf_sales_person'!$A:$A,0)),IF(EXACT(AP104,J104),"OK","OK (auto-fixed)"),IF(ISNA(MATCH($A104,'12_sales_person_confirmation'!$A:$A,0)),"CONFIRM (not logged)",IF(INDEX('12_sales_person_confirmation'!$I:$I,MATCH($A104,'12_sales_person_confirmation'!$A:$A,0))="CONFIRMED","CONFIRMED ("&amp;LOWER(INDEX('12_sales_person_confirmation'!$E:$E,MATCH($A104,'12_sales_person_confirmation'!$A:$A,0)))&amp;")","PENDING CONFIRM"))))</f>
        <v/>
      </c>
      <c r="AR104" s="2">
        <f>IF(OR(AQ104="OK",AQ104="OK (auto-fixed)"),AP104,IF(LEFT(AQ104,9)="CONFIRMED",INDEX('12_sales_person_confirmation'!$F:$F,MATCH($A104,'12_sales_person_confirmation'!$A:$A,0)),""))</f>
        <v/>
      </c>
      <c r="AS104" s="2">
        <f>IF(AR104="","",INDEX('11_3nf_sales_person'!$B:$B,MATCH(AR104,'11_3nf_sales_person'!$A:$A,0)))</f>
        <v/>
      </c>
    </row>
    <row r="105">
      <c r="A105" s="2">
        <f>IF(ISBLANK('1_raw_log'!A105),"",'1_raw_log'!A105)</f>
        <v/>
      </c>
      <c r="B105" s="3">
        <f>IF(ISBLANK('1_raw_log'!B105),"",'1_raw_log'!B105)</f>
        <v/>
      </c>
      <c r="C105" s="2">
        <f>IF(ISBLANK('1_raw_log'!C105),"",'1_raw_log'!C105)</f>
        <v/>
      </c>
      <c r="D105" s="2">
        <f>IF(ISBLANK('1_raw_log'!D105),"",'1_raw_log'!D105)</f>
        <v/>
      </c>
      <c r="E105" s="4">
        <f>IF(ISBLANK('1_raw_log'!E105),"",'1_raw_log'!E105)</f>
        <v/>
      </c>
      <c r="F105" s="2">
        <f>IF(ISBLANK('1_raw_log'!F105),"",'1_raw_log'!F105)</f>
        <v/>
      </c>
      <c r="G105" s="2">
        <f>IF(ISBLANK('1_raw_log'!G105),"",'1_raw_log'!G105)</f>
        <v/>
      </c>
      <c r="H105" s="2">
        <f>IF(ISBLANK('1_raw_log'!H105),"",'1_raw_log'!H105)</f>
        <v/>
      </c>
      <c r="I105" s="7">
        <f>IF(ISBLANK('1_raw_log'!I105),"",'1_raw_log'!I105)</f>
        <v/>
      </c>
      <c r="J105" s="2">
        <f>IF(ISBLANK('1_raw_log'!J105),"",'1_raw_log'!J105)</f>
        <v/>
      </c>
      <c r="K105" s="2">
        <f>IF(ISBLANK('1_raw_log'!K105),"",'1_raw_log'!K105)</f>
        <v/>
      </c>
      <c r="L105" s="30">
        <f>INT(B105)</f>
        <v/>
      </c>
      <c r="M105" s="20">
        <f>ROUND(MOD(B105,1)*1440,0)/1440</f>
        <v/>
      </c>
      <c r="N105" s="4">
        <f>IFERROR(INDEX('3_ref_date'!$B:$B,MATCH(L105,'3_ref_date'!$A:$A,0)),"NOT FOUND")</f>
        <v/>
      </c>
      <c r="O105" s="2">
        <f>IFERROR(INDEX('3_ref_date'!$C:$C,MATCH(L105,'3_ref_date'!$A:$A,0)),"NOT FOUND")</f>
        <v/>
      </c>
      <c r="P105" s="4">
        <f>IFERROR(INDEX('3_ref_date'!$D:$D,MATCH(L105,'3_ref_date'!$A:$A,0)),"NOT FOUND")</f>
        <v/>
      </c>
      <c r="Q105" s="4">
        <f>IFERROR(INDEX('3_ref_date'!$E:$E,MATCH(L105,'3_ref_date'!$A:$A,0)),"NOT FOUND")</f>
        <v/>
      </c>
      <c r="R105" s="2">
        <f>IFERROR(INDEX('3_ref_date'!$F:$F,MATCH(L105,'3_ref_date'!$A:$A,0)),"NOT FOUND")</f>
        <v/>
      </c>
      <c r="S105" s="2">
        <f>IFERROR(INDEX('4_ref_time'!$D:$D,MATCH(ROUND(M105*1440,0),'4_ref_time'!$A:$A,0)),"NOT FOUND")</f>
        <v/>
      </c>
      <c r="T105" s="2">
        <f>UPPER(TRIM(C105))</f>
        <v/>
      </c>
      <c r="U105" s="30">
        <f>IF(_xlfn.MAXIFS('6_3nf_branch_history'!$B$2:$B$50,'6_3nf_branch_history'!$A$2:$A$50,T105,'6_3nf_branch_history'!$B$2:$B$50,"&lt;="&amp;L105)=0,"NOT FOUND",_xlfn.MAXIFS('6_3nf_branch_history'!$B$2:$B$50,'6_3nf_branch_history'!$A$2:$A$50,T105,'6_3nf_branch_history'!$B$2:$B$50,"&lt;="&amp;L105))</f>
        <v/>
      </c>
      <c r="V105" s="2">
        <f>IF(U105="NOT FOUND","NOT FOUND",INDEX('6_3nf_branch_history'!$C:$C,SUMPRODUCT(('6_3nf_branch_history'!$A$2:$A$50=T105)*('6_3nf_branch_history'!$B$2:$B$50=U105)*ROW('6_3nf_branch_history'!$A$2:$A$50))))</f>
        <v/>
      </c>
      <c r="W105" s="2">
        <f>IF(U105="NOT FOUND","NOT FOUND",INDEX('6_3nf_branch_history'!$D:$D,SUMPRODUCT(('6_3nf_branch_history'!$A$2:$A$50=T105)*('6_3nf_branch_history'!$B$2:$B$50=U105)*ROW('6_3nf_branch_history'!$A$2:$A$50))))</f>
        <v/>
      </c>
      <c r="X105" s="2">
        <f>IF(U105="NOT FOUND","NOT FOUND",INDEX('6_3nf_branch_history'!$E:$E,SUMPRODUCT(('6_3nf_branch_history'!$A$2:$A$50=T105)*('6_3nf_branch_history'!$B$2:$B$50=U105)*ROW('6_3nf_branch_history'!$A$2:$A$50))))</f>
        <v/>
      </c>
      <c r="Y105" s="2">
        <f>UPPER(TRIM(D105))</f>
        <v/>
      </c>
      <c r="Z105" s="2">
        <f>IFERROR(INDEX('7_3nf_product'!$B:$B,MATCH(Y105,'7_3nf_product'!$A:$A,0)),"NOT FOUND")</f>
        <v/>
      </c>
      <c r="AA105" s="2">
        <f>IFERROR(INDEX('7_3nf_product'!$C:$C,MATCH(Y105,'7_3nf_product'!$A:$A,0)),"NOT FOUND")</f>
        <v/>
      </c>
      <c r="AB105" s="2">
        <f>IFERROR(INDEX('7_3nf_product'!$D:$D,MATCH(Y105,'7_3nf_product'!$A:$A,0)),"NOT FOUND")</f>
        <v/>
      </c>
      <c r="AC105" s="6">
        <f>IFERROR(INDEX('7_3nf_product'!$E:$E,MATCH(Y105,'7_3nf_product'!$A:$A,0)),"NOT FOUND")</f>
        <v/>
      </c>
      <c r="AD105" s="33">
        <f>IF(LEN(TRIM(E105))=10,TRIM(E105),IF(LEN(TRIM(E105))=8,"00"&amp;TRIM(E105),"CHECK"))</f>
        <v/>
      </c>
      <c r="AE105" s="2">
        <f>IFERROR(INDEX('8_3nf_customer'!$C:$C,MATCH(AD105,'8_3nf_customer'!$B:$B,0)),"NOT FOUND")</f>
        <v/>
      </c>
      <c r="AF105" s="30">
        <f>IFERROR(INDEX('8_3nf_customer'!$D:$D,MATCH(AD105,'8_3nf_customer'!$B:$B,0)),"NOT FOUND")</f>
        <v/>
      </c>
      <c r="AG105" s="4">
        <f>IF(ISNUMBER(AF105),DATEDIF(AF105,L105,"y"),"NOT FOUND")</f>
        <v/>
      </c>
      <c r="AH105" s="2">
        <f>IFERROR(INDEX('8_3nf_customer'!$E:$E,MATCH(AD105,'8_3nf_customer'!$B:$B,0)),"NOT FOUND")</f>
        <v/>
      </c>
      <c r="AI105" s="30">
        <f>IF(_xlfn.MAXIFS('9_3nf_customer_history'!$B$2:$B$500,'9_3nf_customer_history'!$A$2:$A$500,AD105,'9_3nf_customer_history'!$B$2:$B$500,"&lt;="&amp;L105)=0,"NOT FOUND",_xlfn.MAXIFS('9_3nf_customer_history'!$B$2:$B$500,'9_3nf_customer_history'!$A$2:$A$500,AD105,'9_3nf_customer_history'!$B$2:$B$500,"&lt;="&amp;L105))</f>
        <v/>
      </c>
      <c r="AJ105" s="2">
        <f>IF(AI105="NOT FOUND","NOT FOUND",INDEX('9_3nf_customer_history'!$C:$C,SUMPRODUCT(('9_3nf_customer_history'!$A$2:$A$500=AD105)*('9_3nf_customer_history'!$B$2:$B$500=AI105)*ROW('9_3nf_customer_history'!$A$2:$A$500))))</f>
        <v/>
      </c>
      <c r="AK105" s="2">
        <f>IF(AI105="NOT FOUND","NOT FOUND",INDEX('9_3nf_customer_history'!$D:$D,SUMPRODUCT(('9_3nf_customer_history'!$A$2:$A$500=AD105)*('9_3nf_customer_history'!$B$2:$B$500=AI105)*ROW('9_3nf_customer_history'!$A$2:$A$500))))</f>
        <v/>
      </c>
      <c r="AL105" s="2">
        <f>UPPER(TRIM(H105))</f>
        <v/>
      </c>
      <c r="AM105" s="30">
        <f>IF(_xlfn.MAXIFS('10_ref_fx_rate'!$B$2:$B$2000,'10_ref_fx_rate'!$A$2:$A$2000,AL105,'10_ref_fx_rate'!$B$2:$B$2000,"&lt;="&amp;L105)=0,"NOT FOUND",_xlfn.MAXIFS('10_ref_fx_rate'!$B$2:$B$2000,'10_ref_fx_rate'!$A$2:$A$2000,AL105,'10_ref_fx_rate'!$B$2:$B$2000,"&lt;="&amp;L105))</f>
        <v/>
      </c>
      <c r="AN105" s="8">
        <f>IF(AM105="NOT FOUND","NOT FOUND",SUMIFS('10_ref_fx_rate'!$D$2:$D$2000,'10_ref_fx_rate'!$A$2:$A$2000,AL105,'10_ref_fx_rate'!$B$2:$B$2000,AM105))</f>
        <v/>
      </c>
      <c r="AO105" s="37">
        <f>IF(ISNUMBER(AN105),I105*AN105,"NOT FOUND")</f>
        <v/>
      </c>
      <c r="AP105" s="2">
        <f>UPPER(TRIM(J105))</f>
        <v/>
      </c>
      <c r="AQ105" s="2">
        <f>IF(AP105="","SELF-DIRECTED",IF(ISNUMBER(MATCH(AP105,'11_3nf_sales_person'!$A:$A,0)),IF(EXACT(AP105,J105),"OK","OK (auto-fixed)"),IF(ISNA(MATCH($A105,'12_sales_person_confirmation'!$A:$A,0)),"CONFIRM (not logged)",IF(INDEX('12_sales_person_confirmation'!$I:$I,MATCH($A105,'12_sales_person_confirmation'!$A:$A,0))="CONFIRMED","CONFIRMED ("&amp;LOWER(INDEX('12_sales_person_confirmation'!$E:$E,MATCH($A105,'12_sales_person_confirmation'!$A:$A,0)))&amp;")","PENDING CONFIRM"))))</f>
        <v/>
      </c>
      <c r="AR105" s="2">
        <f>IF(OR(AQ105="OK",AQ105="OK (auto-fixed)"),AP105,IF(LEFT(AQ105,9)="CONFIRMED",INDEX('12_sales_person_confirmation'!$F:$F,MATCH($A105,'12_sales_person_confirmation'!$A:$A,0)),""))</f>
        <v/>
      </c>
      <c r="AS105" s="2">
        <f>IF(AR105="","",INDEX('11_3nf_sales_person'!$B:$B,MATCH(AR105,'11_3nf_sales_person'!$A:$A,0)))</f>
        <v/>
      </c>
    </row>
    <row r="106">
      <c r="A106" s="2">
        <f>IF(ISBLANK('1_raw_log'!A106),"",'1_raw_log'!A106)</f>
        <v/>
      </c>
      <c r="B106" s="3">
        <f>IF(ISBLANK('1_raw_log'!B106),"",'1_raw_log'!B106)</f>
        <v/>
      </c>
      <c r="C106" s="2">
        <f>IF(ISBLANK('1_raw_log'!C106),"",'1_raw_log'!C106)</f>
        <v/>
      </c>
      <c r="D106" s="2">
        <f>IF(ISBLANK('1_raw_log'!D106),"",'1_raw_log'!D106)</f>
        <v/>
      </c>
      <c r="E106" s="4">
        <f>IF(ISBLANK('1_raw_log'!E106),"",'1_raw_log'!E106)</f>
        <v/>
      </c>
      <c r="F106" s="2">
        <f>IF(ISBLANK('1_raw_log'!F106),"",'1_raw_log'!F106)</f>
        <v/>
      </c>
      <c r="G106" s="2">
        <f>IF(ISBLANK('1_raw_log'!G106),"",'1_raw_log'!G106)</f>
        <v/>
      </c>
      <c r="H106" s="2">
        <f>IF(ISBLANK('1_raw_log'!H106),"",'1_raw_log'!H106)</f>
        <v/>
      </c>
      <c r="I106" s="7">
        <f>IF(ISBLANK('1_raw_log'!I106),"",'1_raw_log'!I106)</f>
        <v/>
      </c>
      <c r="J106" s="2">
        <f>IF(ISBLANK('1_raw_log'!J106),"",'1_raw_log'!J106)</f>
        <v/>
      </c>
      <c r="K106" s="2">
        <f>IF(ISBLANK('1_raw_log'!K106),"",'1_raw_log'!K106)</f>
        <v/>
      </c>
      <c r="L106" s="30">
        <f>INT(B106)</f>
        <v/>
      </c>
      <c r="M106" s="20">
        <f>ROUND(MOD(B106,1)*1440,0)/1440</f>
        <v/>
      </c>
      <c r="N106" s="4">
        <f>IFERROR(INDEX('3_ref_date'!$B:$B,MATCH(L106,'3_ref_date'!$A:$A,0)),"NOT FOUND")</f>
        <v/>
      </c>
      <c r="O106" s="2">
        <f>IFERROR(INDEX('3_ref_date'!$C:$C,MATCH(L106,'3_ref_date'!$A:$A,0)),"NOT FOUND")</f>
        <v/>
      </c>
      <c r="P106" s="4">
        <f>IFERROR(INDEX('3_ref_date'!$D:$D,MATCH(L106,'3_ref_date'!$A:$A,0)),"NOT FOUND")</f>
        <v/>
      </c>
      <c r="Q106" s="4">
        <f>IFERROR(INDEX('3_ref_date'!$E:$E,MATCH(L106,'3_ref_date'!$A:$A,0)),"NOT FOUND")</f>
        <v/>
      </c>
      <c r="R106" s="2">
        <f>IFERROR(INDEX('3_ref_date'!$F:$F,MATCH(L106,'3_ref_date'!$A:$A,0)),"NOT FOUND")</f>
        <v/>
      </c>
      <c r="S106" s="2">
        <f>IFERROR(INDEX('4_ref_time'!$D:$D,MATCH(ROUND(M106*1440,0),'4_ref_time'!$A:$A,0)),"NOT FOUND")</f>
        <v/>
      </c>
      <c r="T106" s="2">
        <f>UPPER(TRIM(C106))</f>
        <v/>
      </c>
      <c r="U106" s="30">
        <f>IF(_xlfn.MAXIFS('6_3nf_branch_history'!$B$2:$B$50,'6_3nf_branch_history'!$A$2:$A$50,T106,'6_3nf_branch_history'!$B$2:$B$50,"&lt;="&amp;L106)=0,"NOT FOUND",_xlfn.MAXIFS('6_3nf_branch_history'!$B$2:$B$50,'6_3nf_branch_history'!$A$2:$A$50,T106,'6_3nf_branch_history'!$B$2:$B$50,"&lt;="&amp;L106))</f>
        <v/>
      </c>
      <c r="V106" s="2">
        <f>IF(U106="NOT FOUND","NOT FOUND",INDEX('6_3nf_branch_history'!$C:$C,SUMPRODUCT(('6_3nf_branch_history'!$A$2:$A$50=T106)*('6_3nf_branch_history'!$B$2:$B$50=U106)*ROW('6_3nf_branch_history'!$A$2:$A$50))))</f>
        <v/>
      </c>
      <c r="W106" s="2">
        <f>IF(U106="NOT FOUND","NOT FOUND",INDEX('6_3nf_branch_history'!$D:$D,SUMPRODUCT(('6_3nf_branch_history'!$A$2:$A$50=T106)*('6_3nf_branch_history'!$B$2:$B$50=U106)*ROW('6_3nf_branch_history'!$A$2:$A$50))))</f>
        <v/>
      </c>
      <c r="X106" s="2">
        <f>IF(U106="NOT FOUND","NOT FOUND",INDEX('6_3nf_branch_history'!$E:$E,SUMPRODUCT(('6_3nf_branch_history'!$A$2:$A$50=T106)*('6_3nf_branch_history'!$B$2:$B$50=U106)*ROW('6_3nf_branch_history'!$A$2:$A$50))))</f>
        <v/>
      </c>
      <c r="Y106" s="2">
        <f>UPPER(TRIM(D106))</f>
        <v/>
      </c>
      <c r="Z106" s="2">
        <f>IFERROR(INDEX('7_3nf_product'!$B:$B,MATCH(Y106,'7_3nf_product'!$A:$A,0)),"NOT FOUND")</f>
        <v/>
      </c>
      <c r="AA106" s="2">
        <f>IFERROR(INDEX('7_3nf_product'!$C:$C,MATCH(Y106,'7_3nf_product'!$A:$A,0)),"NOT FOUND")</f>
        <v/>
      </c>
      <c r="AB106" s="2">
        <f>IFERROR(INDEX('7_3nf_product'!$D:$D,MATCH(Y106,'7_3nf_product'!$A:$A,0)),"NOT FOUND")</f>
        <v/>
      </c>
      <c r="AC106" s="6">
        <f>IFERROR(INDEX('7_3nf_product'!$E:$E,MATCH(Y106,'7_3nf_product'!$A:$A,0)),"NOT FOUND")</f>
        <v/>
      </c>
      <c r="AD106" s="33">
        <f>IF(LEN(TRIM(E106))=10,TRIM(E106),IF(LEN(TRIM(E106))=8,"00"&amp;TRIM(E106),"CHECK"))</f>
        <v/>
      </c>
      <c r="AE106" s="2">
        <f>IFERROR(INDEX('8_3nf_customer'!$C:$C,MATCH(AD106,'8_3nf_customer'!$B:$B,0)),"NOT FOUND")</f>
        <v/>
      </c>
      <c r="AF106" s="30">
        <f>IFERROR(INDEX('8_3nf_customer'!$D:$D,MATCH(AD106,'8_3nf_customer'!$B:$B,0)),"NOT FOUND")</f>
        <v/>
      </c>
      <c r="AG106" s="4">
        <f>IF(ISNUMBER(AF106),DATEDIF(AF106,L106,"y"),"NOT FOUND")</f>
        <v/>
      </c>
      <c r="AH106" s="2">
        <f>IFERROR(INDEX('8_3nf_customer'!$E:$E,MATCH(AD106,'8_3nf_customer'!$B:$B,0)),"NOT FOUND")</f>
        <v/>
      </c>
      <c r="AI106" s="30">
        <f>IF(_xlfn.MAXIFS('9_3nf_customer_history'!$B$2:$B$500,'9_3nf_customer_history'!$A$2:$A$500,AD106,'9_3nf_customer_history'!$B$2:$B$500,"&lt;="&amp;L106)=0,"NOT FOUND",_xlfn.MAXIFS('9_3nf_customer_history'!$B$2:$B$500,'9_3nf_customer_history'!$A$2:$A$500,AD106,'9_3nf_customer_history'!$B$2:$B$500,"&lt;="&amp;L106))</f>
        <v/>
      </c>
      <c r="AJ106" s="2">
        <f>IF(AI106="NOT FOUND","NOT FOUND",INDEX('9_3nf_customer_history'!$C:$C,SUMPRODUCT(('9_3nf_customer_history'!$A$2:$A$500=AD106)*('9_3nf_customer_history'!$B$2:$B$500=AI106)*ROW('9_3nf_customer_history'!$A$2:$A$500))))</f>
        <v/>
      </c>
      <c r="AK106" s="2">
        <f>IF(AI106="NOT FOUND","NOT FOUND",INDEX('9_3nf_customer_history'!$D:$D,SUMPRODUCT(('9_3nf_customer_history'!$A$2:$A$500=AD106)*('9_3nf_customer_history'!$B$2:$B$500=AI106)*ROW('9_3nf_customer_history'!$A$2:$A$500))))</f>
        <v/>
      </c>
      <c r="AL106" s="2">
        <f>UPPER(TRIM(H106))</f>
        <v/>
      </c>
      <c r="AM106" s="30">
        <f>IF(_xlfn.MAXIFS('10_ref_fx_rate'!$B$2:$B$2000,'10_ref_fx_rate'!$A$2:$A$2000,AL106,'10_ref_fx_rate'!$B$2:$B$2000,"&lt;="&amp;L106)=0,"NOT FOUND",_xlfn.MAXIFS('10_ref_fx_rate'!$B$2:$B$2000,'10_ref_fx_rate'!$A$2:$A$2000,AL106,'10_ref_fx_rate'!$B$2:$B$2000,"&lt;="&amp;L106))</f>
        <v/>
      </c>
      <c r="AN106" s="8">
        <f>IF(AM106="NOT FOUND","NOT FOUND",SUMIFS('10_ref_fx_rate'!$D$2:$D$2000,'10_ref_fx_rate'!$A$2:$A$2000,AL106,'10_ref_fx_rate'!$B$2:$B$2000,AM106))</f>
        <v/>
      </c>
      <c r="AO106" s="37">
        <f>IF(ISNUMBER(AN106),I106*AN106,"NOT FOUND")</f>
        <v/>
      </c>
      <c r="AP106" s="2">
        <f>UPPER(TRIM(J106))</f>
        <v/>
      </c>
      <c r="AQ106" s="2">
        <f>IF(AP106="","SELF-DIRECTED",IF(ISNUMBER(MATCH(AP106,'11_3nf_sales_person'!$A:$A,0)),IF(EXACT(AP106,J106),"OK","OK (auto-fixed)"),IF(ISNA(MATCH($A106,'12_sales_person_confirmation'!$A:$A,0)),"CONFIRM (not logged)",IF(INDEX('12_sales_person_confirmation'!$I:$I,MATCH($A106,'12_sales_person_confirmation'!$A:$A,0))="CONFIRMED","CONFIRMED ("&amp;LOWER(INDEX('12_sales_person_confirmation'!$E:$E,MATCH($A106,'12_sales_person_confirmation'!$A:$A,0)))&amp;")","PENDING CONFIRM"))))</f>
        <v/>
      </c>
      <c r="AR106" s="2">
        <f>IF(OR(AQ106="OK",AQ106="OK (auto-fixed)"),AP106,IF(LEFT(AQ106,9)="CONFIRMED",INDEX('12_sales_person_confirmation'!$F:$F,MATCH($A106,'12_sales_person_confirmation'!$A:$A,0)),""))</f>
        <v/>
      </c>
      <c r="AS106" s="2">
        <f>IF(AR106="","",INDEX('11_3nf_sales_person'!$B:$B,MATCH(AR106,'11_3nf_sales_person'!$A:$A,0)))</f>
        <v/>
      </c>
    </row>
    <row r="107">
      <c r="A107" s="2">
        <f>IF(ISBLANK('1_raw_log'!A107),"",'1_raw_log'!A107)</f>
        <v/>
      </c>
      <c r="B107" s="3">
        <f>IF(ISBLANK('1_raw_log'!B107),"",'1_raw_log'!B107)</f>
        <v/>
      </c>
      <c r="C107" s="2">
        <f>IF(ISBLANK('1_raw_log'!C107),"",'1_raw_log'!C107)</f>
        <v/>
      </c>
      <c r="D107" s="2">
        <f>IF(ISBLANK('1_raw_log'!D107),"",'1_raw_log'!D107)</f>
        <v/>
      </c>
      <c r="E107" s="4">
        <f>IF(ISBLANK('1_raw_log'!E107),"",'1_raw_log'!E107)</f>
        <v/>
      </c>
      <c r="F107" s="2">
        <f>IF(ISBLANK('1_raw_log'!F107),"",'1_raw_log'!F107)</f>
        <v/>
      </c>
      <c r="G107" s="2">
        <f>IF(ISBLANK('1_raw_log'!G107),"",'1_raw_log'!G107)</f>
        <v/>
      </c>
      <c r="H107" s="2">
        <f>IF(ISBLANK('1_raw_log'!H107),"",'1_raw_log'!H107)</f>
        <v/>
      </c>
      <c r="I107" s="7">
        <f>IF(ISBLANK('1_raw_log'!I107),"",'1_raw_log'!I107)</f>
        <v/>
      </c>
      <c r="J107" s="2">
        <f>IF(ISBLANK('1_raw_log'!J107),"",'1_raw_log'!J107)</f>
        <v/>
      </c>
      <c r="K107" s="2">
        <f>IF(ISBLANK('1_raw_log'!K107),"",'1_raw_log'!K107)</f>
        <v/>
      </c>
      <c r="L107" s="30">
        <f>INT(B107)</f>
        <v/>
      </c>
      <c r="M107" s="20">
        <f>ROUND(MOD(B107,1)*1440,0)/1440</f>
        <v/>
      </c>
      <c r="N107" s="4">
        <f>IFERROR(INDEX('3_ref_date'!$B:$B,MATCH(L107,'3_ref_date'!$A:$A,0)),"NOT FOUND")</f>
        <v/>
      </c>
      <c r="O107" s="2">
        <f>IFERROR(INDEX('3_ref_date'!$C:$C,MATCH(L107,'3_ref_date'!$A:$A,0)),"NOT FOUND")</f>
        <v/>
      </c>
      <c r="P107" s="4">
        <f>IFERROR(INDEX('3_ref_date'!$D:$D,MATCH(L107,'3_ref_date'!$A:$A,0)),"NOT FOUND")</f>
        <v/>
      </c>
      <c r="Q107" s="4">
        <f>IFERROR(INDEX('3_ref_date'!$E:$E,MATCH(L107,'3_ref_date'!$A:$A,0)),"NOT FOUND")</f>
        <v/>
      </c>
      <c r="R107" s="2">
        <f>IFERROR(INDEX('3_ref_date'!$F:$F,MATCH(L107,'3_ref_date'!$A:$A,0)),"NOT FOUND")</f>
        <v/>
      </c>
      <c r="S107" s="2">
        <f>IFERROR(INDEX('4_ref_time'!$D:$D,MATCH(ROUND(M107*1440,0),'4_ref_time'!$A:$A,0)),"NOT FOUND")</f>
        <v/>
      </c>
      <c r="T107" s="2">
        <f>UPPER(TRIM(C107))</f>
        <v/>
      </c>
      <c r="U107" s="30">
        <f>IF(_xlfn.MAXIFS('6_3nf_branch_history'!$B$2:$B$50,'6_3nf_branch_history'!$A$2:$A$50,T107,'6_3nf_branch_history'!$B$2:$B$50,"&lt;="&amp;L107)=0,"NOT FOUND",_xlfn.MAXIFS('6_3nf_branch_history'!$B$2:$B$50,'6_3nf_branch_history'!$A$2:$A$50,T107,'6_3nf_branch_history'!$B$2:$B$50,"&lt;="&amp;L107))</f>
        <v/>
      </c>
      <c r="V107" s="2">
        <f>IF(U107="NOT FOUND","NOT FOUND",INDEX('6_3nf_branch_history'!$C:$C,SUMPRODUCT(('6_3nf_branch_history'!$A$2:$A$50=T107)*('6_3nf_branch_history'!$B$2:$B$50=U107)*ROW('6_3nf_branch_history'!$A$2:$A$50))))</f>
        <v/>
      </c>
      <c r="W107" s="2">
        <f>IF(U107="NOT FOUND","NOT FOUND",INDEX('6_3nf_branch_history'!$D:$D,SUMPRODUCT(('6_3nf_branch_history'!$A$2:$A$50=T107)*('6_3nf_branch_history'!$B$2:$B$50=U107)*ROW('6_3nf_branch_history'!$A$2:$A$50))))</f>
        <v/>
      </c>
      <c r="X107" s="2">
        <f>IF(U107="NOT FOUND","NOT FOUND",INDEX('6_3nf_branch_history'!$E:$E,SUMPRODUCT(('6_3nf_branch_history'!$A$2:$A$50=T107)*('6_3nf_branch_history'!$B$2:$B$50=U107)*ROW('6_3nf_branch_history'!$A$2:$A$50))))</f>
        <v/>
      </c>
      <c r="Y107" s="2">
        <f>UPPER(TRIM(D107))</f>
        <v/>
      </c>
      <c r="Z107" s="2">
        <f>IFERROR(INDEX('7_3nf_product'!$B:$B,MATCH(Y107,'7_3nf_product'!$A:$A,0)),"NOT FOUND")</f>
        <v/>
      </c>
      <c r="AA107" s="2">
        <f>IFERROR(INDEX('7_3nf_product'!$C:$C,MATCH(Y107,'7_3nf_product'!$A:$A,0)),"NOT FOUND")</f>
        <v/>
      </c>
      <c r="AB107" s="2">
        <f>IFERROR(INDEX('7_3nf_product'!$D:$D,MATCH(Y107,'7_3nf_product'!$A:$A,0)),"NOT FOUND")</f>
        <v/>
      </c>
      <c r="AC107" s="6">
        <f>IFERROR(INDEX('7_3nf_product'!$E:$E,MATCH(Y107,'7_3nf_product'!$A:$A,0)),"NOT FOUND")</f>
        <v/>
      </c>
      <c r="AD107" s="33">
        <f>IF(LEN(TRIM(E107))=10,TRIM(E107),IF(LEN(TRIM(E107))=8,"00"&amp;TRIM(E107),"CHECK"))</f>
        <v/>
      </c>
      <c r="AE107" s="2">
        <f>IFERROR(INDEX('8_3nf_customer'!$C:$C,MATCH(AD107,'8_3nf_customer'!$B:$B,0)),"NOT FOUND")</f>
        <v/>
      </c>
      <c r="AF107" s="30">
        <f>IFERROR(INDEX('8_3nf_customer'!$D:$D,MATCH(AD107,'8_3nf_customer'!$B:$B,0)),"NOT FOUND")</f>
        <v/>
      </c>
      <c r="AG107" s="4">
        <f>IF(ISNUMBER(AF107),DATEDIF(AF107,L107,"y"),"NOT FOUND")</f>
        <v/>
      </c>
      <c r="AH107" s="2">
        <f>IFERROR(INDEX('8_3nf_customer'!$E:$E,MATCH(AD107,'8_3nf_customer'!$B:$B,0)),"NOT FOUND")</f>
        <v/>
      </c>
      <c r="AI107" s="30">
        <f>IF(_xlfn.MAXIFS('9_3nf_customer_history'!$B$2:$B$500,'9_3nf_customer_history'!$A$2:$A$500,AD107,'9_3nf_customer_history'!$B$2:$B$500,"&lt;="&amp;L107)=0,"NOT FOUND",_xlfn.MAXIFS('9_3nf_customer_history'!$B$2:$B$500,'9_3nf_customer_history'!$A$2:$A$500,AD107,'9_3nf_customer_history'!$B$2:$B$500,"&lt;="&amp;L107))</f>
        <v/>
      </c>
      <c r="AJ107" s="2">
        <f>IF(AI107="NOT FOUND","NOT FOUND",INDEX('9_3nf_customer_history'!$C:$C,SUMPRODUCT(('9_3nf_customer_history'!$A$2:$A$500=AD107)*('9_3nf_customer_history'!$B$2:$B$500=AI107)*ROW('9_3nf_customer_history'!$A$2:$A$500))))</f>
        <v/>
      </c>
      <c r="AK107" s="2">
        <f>IF(AI107="NOT FOUND","NOT FOUND",INDEX('9_3nf_customer_history'!$D:$D,SUMPRODUCT(('9_3nf_customer_history'!$A$2:$A$500=AD107)*('9_3nf_customer_history'!$B$2:$B$500=AI107)*ROW('9_3nf_customer_history'!$A$2:$A$500))))</f>
        <v/>
      </c>
      <c r="AL107" s="2">
        <f>UPPER(TRIM(H107))</f>
        <v/>
      </c>
      <c r="AM107" s="30">
        <f>IF(_xlfn.MAXIFS('10_ref_fx_rate'!$B$2:$B$2000,'10_ref_fx_rate'!$A$2:$A$2000,AL107,'10_ref_fx_rate'!$B$2:$B$2000,"&lt;="&amp;L107)=0,"NOT FOUND",_xlfn.MAXIFS('10_ref_fx_rate'!$B$2:$B$2000,'10_ref_fx_rate'!$A$2:$A$2000,AL107,'10_ref_fx_rate'!$B$2:$B$2000,"&lt;="&amp;L107))</f>
        <v/>
      </c>
      <c r="AN107" s="8">
        <f>IF(AM107="NOT FOUND","NOT FOUND",SUMIFS('10_ref_fx_rate'!$D$2:$D$2000,'10_ref_fx_rate'!$A$2:$A$2000,AL107,'10_ref_fx_rate'!$B$2:$B$2000,AM107))</f>
        <v/>
      </c>
      <c r="AO107" s="37">
        <f>IF(ISNUMBER(AN107),I107*AN107,"NOT FOUND")</f>
        <v/>
      </c>
      <c r="AP107" s="2">
        <f>UPPER(TRIM(J107))</f>
        <v/>
      </c>
      <c r="AQ107" s="2">
        <f>IF(AP107="","SELF-DIRECTED",IF(ISNUMBER(MATCH(AP107,'11_3nf_sales_person'!$A:$A,0)),IF(EXACT(AP107,J107),"OK","OK (auto-fixed)"),IF(ISNA(MATCH($A107,'12_sales_person_confirmation'!$A:$A,0)),"CONFIRM (not logged)",IF(INDEX('12_sales_person_confirmation'!$I:$I,MATCH($A107,'12_sales_person_confirmation'!$A:$A,0))="CONFIRMED","CONFIRMED ("&amp;LOWER(INDEX('12_sales_person_confirmation'!$E:$E,MATCH($A107,'12_sales_person_confirmation'!$A:$A,0)))&amp;")","PENDING CONFIRM"))))</f>
        <v/>
      </c>
      <c r="AR107" s="2">
        <f>IF(OR(AQ107="OK",AQ107="OK (auto-fixed)"),AP107,IF(LEFT(AQ107,9)="CONFIRMED",INDEX('12_sales_person_confirmation'!$F:$F,MATCH($A107,'12_sales_person_confirmation'!$A:$A,0)),""))</f>
        <v/>
      </c>
      <c r="AS107" s="2">
        <f>IF(AR107="","",INDEX('11_3nf_sales_person'!$B:$B,MATCH(AR107,'11_3nf_sales_person'!$A:$A,0)))</f>
        <v/>
      </c>
    </row>
    <row r="108">
      <c r="A108" s="2">
        <f>IF(ISBLANK('1_raw_log'!A108),"",'1_raw_log'!A108)</f>
        <v/>
      </c>
      <c r="B108" s="3">
        <f>IF(ISBLANK('1_raw_log'!B108),"",'1_raw_log'!B108)</f>
        <v/>
      </c>
      <c r="C108" s="2">
        <f>IF(ISBLANK('1_raw_log'!C108),"",'1_raw_log'!C108)</f>
        <v/>
      </c>
      <c r="D108" s="2">
        <f>IF(ISBLANK('1_raw_log'!D108),"",'1_raw_log'!D108)</f>
        <v/>
      </c>
      <c r="E108" s="4">
        <f>IF(ISBLANK('1_raw_log'!E108),"",'1_raw_log'!E108)</f>
        <v/>
      </c>
      <c r="F108" s="2">
        <f>IF(ISBLANK('1_raw_log'!F108),"",'1_raw_log'!F108)</f>
        <v/>
      </c>
      <c r="G108" s="2">
        <f>IF(ISBLANK('1_raw_log'!G108),"",'1_raw_log'!G108)</f>
        <v/>
      </c>
      <c r="H108" s="2">
        <f>IF(ISBLANK('1_raw_log'!H108),"",'1_raw_log'!H108)</f>
        <v/>
      </c>
      <c r="I108" s="7">
        <f>IF(ISBLANK('1_raw_log'!I108),"",'1_raw_log'!I108)</f>
        <v/>
      </c>
      <c r="J108" s="2">
        <f>IF(ISBLANK('1_raw_log'!J108),"",'1_raw_log'!J108)</f>
        <v/>
      </c>
      <c r="K108" s="2">
        <f>IF(ISBLANK('1_raw_log'!K108),"",'1_raw_log'!K108)</f>
        <v/>
      </c>
      <c r="L108" s="30">
        <f>INT(B108)</f>
        <v/>
      </c>
      <c r="M108" s="20">
        <f>ROUND(MOD(B108,1)*1440,0)/1440</f>
        <v/>
      </c>
      <c r="N108" s="4">
        <f>IFERROR(INDEX('3_ref_date'!$B:$B,MATCH(L108,'3_ref_date'!$A:$A,0)),"NOT FOUND")</f>
        <v/>
      </c>
      <c r="O108" s="2">
        <f>IFERROR(INDEX('3_ref_date'!$C:$C,MATCH(L108,'3_ref_date'!$A:$A,0)),"NOT FOUND")</f>
        <v/>
      </c>
      <c r="P108" s="4">
        <f>IFERROR(INDEX('3_ref_date'!$D:$D,MATCH(L108,'3_ref_date'!$A:$A,0)),"NOT FOUND")</f>
        <v/>
      </c>
      <c r="Q108" s="4">
        <f>IFERROR(INDEX('3_ref_date'!$E:$E,MATCH(L108,'3_ref_date'!$A:$A,0)),"NOT FOUND")</f>
        <v/>
      </c>
      <c r="R108" s="2">
        <f>IFERROR(INDEX('3_ref_date'!$F:$F,MATCH(L108,'3_ref_date'!$A:$A,0)),"NOT FOUND")</f>
        <v/>
      </c>
      <c r="S108" s="2">
        <f>IFERROR(INDEX('4_ref_time'!$D:$D,MATCH(ROUND(M108*1440,0),'4_ref_time'!$A:$A,0)),"NOT FOUND")</f>
        <v/>
      </c>
      <c r="T108" s="2">
        <f>UPPER(TRIM(C108))</f>
        <v/>
      </c>
      <c r="U108" s="30">
        <f>IF(_xlfn.MAXIFS('6_3nf_branch_history'!$B$2:$B$50,'6_3nf_branch_history'!$A$2:$A$50,T108,'6_3nf_branch_history'!$B$2:$B$50,"&lt;="&amp;L108)=0,"NOT FOUND",_xlfn.MAXIFS('6_3nf_branch_history'!$B$2:$B$50,'6_3nf_branch_history'!$A$2:$A$50,T108,'6_3nf_branch_history'!$B$2:$B$50,"&lt;="&amp;L108))</f>
        <v/>
      </c>
      <c r="V108" s="2">
        <f>IF(U108="NOT FOUND","NOT FOUND",INDEX('6_3nf_branch_history'!$C:$C,SUMPRODUCT(('6_3nf_branch_history'!$A$2:$A$50=T108)*('6_3nf_branch_history'!$B$2:$B$50=U108)*ROW('6_3nf_branch_history'!$A$2:$A$50))))</f>
        <v/>
      </c>
      <c r="W108" s="2">
        <f>IF(U108="NOT FOUND","NOT FOUND",INDEX('6_3nf_branch_history'!$D:$D,SUMPRODUCT(('6_3nf_branch_history'!$A$2:$A$50=T108)*('6_3nf_branch_history'!$B$2:$B$50=U108)*ROW('6_3nf_branch_history'!$A$2:$A$50))))</f>
        <v/>
      </c>
      <c r="X108" s="2">
        <f>IF(U108="NOT FOUND","NOT FOUND",INDEX('6_3nf_branch_history'!$E:$E,SUMPRODUCT(('6_3nf_branch_history'!$A$2:$A$50=T108)*('6_3nf_branch_history'!$B$2:$B$50=U108)*ROW('6_3nf_branch_history'!$A$2:$A$50))))</f>
        <v/>
      </c>
      <c r="Y108" s="2">
        <f>UPPER(TRIM(D108))</f>
        <v/>
      </c>
      <c r="Z108" s="2">
        <f>IFERROR(INDEX('7_3nf_product'!$B:$B,MATCH(Y108,'7_3nf_product'!$A:$A,0)),"NOT FOUND")</f>
        <v/>
      </c>
      <c r="AA108" s="2">
        <f>IFERROR(INDEX('7_3nf_product'!$C:$C,MATCH(Y108,'7_3nf_product'!$A:$A,0)),"NOT FOUND")</f>
        <v/>
      </c>
      <c r="AB108" s="2">
        <f>IFERROR(INDEX('7_3nf_product'!$D:$D,MATCH(Y108,'7_3nf_product'!$A:$A,0)),"NOT FOUND")</f>
        <v/>
      </c>
      <c r="AC108" s="6">
        <f>IFERROR(INDEX('7_3nf_product'!$E:$E,MATCH(Y108,'7_3nf_product'!$A:$A,0)),"NOT FOUND")</f>
        <v/>
      </c>
      <c r="AD108" s="33">
        <f>IF(LEN(TRIM(E108))=10,TRIM(E108),IF(LEN(TRIM(E108))=8,"00"&amp;TRIM(E108),"CHECK"))</f>
        <v/>
      </c>
      <c r="AE108" s="2">
        <f>IFERROR(INDEX('8_3nf_customer'!$C:$C,MATCH(AD108,'8_3nf_customer'!$B:$B,0)),"NOT FOUND")</f>
        <v/>
      </c>
      <c r="AF108" s="30">
        <f>IFERROR(INDEX('8_3nf_customer'!$D:$D,MATCH(AD108,'8_3nf_customer'!$B:$B,0)),"NOT FOUND")</f>
        <v/>
      </c>
      <c r="AG108" s="4">
        <f>IF(ISNUMBER(AF108),DATEDIF(AF108,L108,"y"),"NOT FOUND")</f>
        <v/>
      </c>
      <c r="AH108" s="2">
        <f>IFERROR(INDEX('8_3nf_customer'!$E:$E,MATCH(AD108,'8_3nf_customer'!$B:$B,0)),"NOT FOUND")</f>
        <v/>
      </c>
      <c r="AI108" s="30">
        <f>IF(_xlfn.MAXIFS('9_3nf_customer_history'!$B$2:$B$500,'9_3nf_customer_history'!$A$2:$A$500,AD108,'9_3nf_customer_history'!$B$2:$B$500,"&lt;="&amp;L108)=0,"NOT FOUND",_xlfn.MAXIFS('9_3nf_customer_history'!$B$2:$B$500,'9_3nf_customer_history'!$A$2:$A$500,AD108,'9_3nf_customer_history'!$B$2:$B$500,"&lt;="&amp;L108))</f>
        <v/>
      </c>
      <c r="AJ108" s="2">
        <f>IF(AI108="NOT FOUND","NOT FOUND",INDEX('9_3nf_customer_history'!$C:$C,SUMPRODUCT(('9_3nf_customer_history'!$A$2:$A$500=AD108)*('9_3nf_customer_history'!$B$2:$B$500=AI108)*ROW('9_3nf_customer_history'!$A$2:$A$500))))</f>
        <v/>
      </c>
      <c r="AK108" s="2">
        <f>IF(AI108="NOT FOUND","NOT FOUND",INDEX('9_3nf_customer_history'!$D:$D,SUMPRODUCT(('9_3nf_customer_history'!$A$2:$A$500=AD108)*('9_3nf_customer_history'!$B$2:$B$500=AI108)*ROW('9_3nf_customer_history'!$A$2:$A$500))))</f>
        <v/>
      </c>
      <c r="AL108" s="2">
        <f>UPPER(TRIM(H108))</f>
        <v/>
      </c>
      <c r="AM108" s="30">
        <f>IF(_xlfn.MAXIFS('10_ref_fx_rate'!$B$2:$B$2000,'10_ref_fx_rate'!$A$2:$A$2000,AL108,'10_ref_fx_rate'!$B$2:$B$2000,"&lt;="&amp;L108)=0,"NOT FOUND",_xlfn.MAXIFS('10_ref_fx_rate'!$B$2:$B$2000,'10_ref_fx_rate'!$A$2:$A$2000,AL108,'10_ref_fx_rate'!$B$2:$B$2000,"&lt;="&amp;L108))</f>
        <v/>
      </c>
      <c r="AN108" s="8">
        <f>IF(AM108="NOT FOUND","NOT FOUND",SUMIFS('10_ref_fx_rate'!$D$2:$D$2000,'10_ref_fx_rate'!$A$2:$A$2000,AL108,'10_ref_fx_rate'!$B$2:$B$2000,AM108))</f>
        <v/>
      </c>
      <c r="AO108" s="37">
        <f>IF(ISNUMBER(AN108),I108*AN108,"NOT FOUND")</f>
        <v/>
      </c>
      <c r="AP108" s="2">
        <f>UPPER(TRIM(J108))</f>
        <v/>
      </c>
      <c r="AQ108" s="2">
        <f>IF(AP108="","SELF-DIRECTED",IF(ISNUMBER(MATCH(AP108,'11_3nf_sales_person'!$A:$A,0)),IF(EXACT(AP108,J108),"OK","OK (auto-fixed)"),IF(ISNA(MATCH($A108,'12_sales_person_confirmation'!$A:$A,0)),"CONFIRM (not logged)",IF(INDEX('12_sales_person_confirmation'!$I:$I,MATCH($A108,'12_sales_person_confirmation'!$A:$A,0))="CONFIRMED","CONFIRMED ("&amp;LOWER(INDEX('12_sales_person_confirmation'!$E:$E,MATCH($A108,'12_sales_person_confirmation'!$A:$A,0)))&amp;")","PENDING CONFIRM"))))</f>
        <v/>
      </c>
      <c r="AR108" s="2">
        <f>IF(OR(AQ108="OK",AQ108="OK (auto-fixed)"),AP108,IF(LEFT(AQ108,9)="CONFIRMED",INDEX('12_sales_person_confirmation'!$F:$F,MATCH($A108,'12_sales_person_confirmation'!$A:$A,0)),""))</f>
        <v/>
      </c>
      <c r="AS108" s="2">
        <f>IF(AR108="","",INDEX('11_3nf_sales_person'!$B:$B,MATCH(AR108,'11_3nf_sales_person'!$A:$A,0)))</f>
        <v/>
      </c>
    </row>
    <row r="109">
      <c r="A109" s="2">
        <f>IF(ISBLANK('1_raw_log'!A109),"",'1_raw_log'!A109)</f>
        <v/>
      </c>
      <c r="B109" s="3">
        <f>IF(ISBLANK('1_raw_log'!B109),"",'1_raw_log'!B109)</f>
        <v/>
      </c>
      <c r="C109" s="2">
        <f>IF(ISBLANK('1_raw_log'!C109),"",'1_raw_log'!C109)</f>
        <v/>
      </c>
      <c r="D109" s="2">
        <f>IF(ISBLANK('1_raw_log'!D109),"",'1_raw_log'!D109)</f>
        <v/>
      </c>
      <c r="E109" s="4">
        <f>IF(ISBLANK('1_raw_log'!E109),"",'1_raw_log'!E109)</f>
        <v/>
      </c>
      <c r="F109" s="2">
        <f>IF(ISBLANK('1_raw_log'!F109),"",'1_raw_log'!F109)</f>
        <v/>
      </c>
      <c r="G109" s="2">
        <f>IF(ISBLANK('1_raw_log'!G109),"",'1_raw_log'!G109)</f>
        <v/>
      </c>
      <c r="H109" s="2">
        <f>IF(ISBLANK('1_raw_log'!H109),"",'1_raw_log'!H109)</f>
        <v/>
      </c>
      <c r="I109" s="7">
        <f>IF(ISBLANK('1_raw_log'!I109),"",'1_raw_log'!I109)</f>
        <v/>
      </c>
      <c r="J109" s="2">
        <f>IF(ISBLANK('1_raw_log'!J109),"",'1_raw_log'!J109)</f>
        <v/>
      </c>
      <c r="K109" s="2">
        <f>IF(ISBLANK('1_raw_log'!K109),"",'1_raw_log'!K109)</f>
        <v/>
      </c>
      <c r="L109" s="30">
        <f>INT(B109)</f>
        <v/>
      </c>
      <c r="M109" s="20">
        <f>ROUND(MOD(B109,1)*1440,0)/1440</f>
        <v/>
      </c>
      <c r="N109" s="4">
        <f>IFERROR(INDEX('3_ref_date'!$B:$B,MATCH(L109,'3_ref_date'!$A:$A,0)),"NOT FOUND")</f>
        <v/>
      </c>
      <c r="O109" s="2">
        <f>IFERROR(INDEX('3_ref_date'!$C:$C,MATCH(L109,'3_ref_date'!$A:$A,0)),"NOT FOUND")</f>
        <v/>
      </c>
      <c r="P109" s="4">
        <f>IFERROR(INDEX('3_ref_date'!$D:$D,MATCH(L109,'3_ref_date'!$A:$A,0)),"NOT FOUND")</f>
        <v/>
      </c>
      <c r="Q109" s="4">
        <f>IFERROR(INDEX('3_ref_date'!$E:$E,MATCH(L109,'3_ref_date'!$A:$A,0)),"NOT FOUND")</f>
        <v/>
      </c>
      <c r="R109" s="2">
        <f>IFERROR(INDEX('3_ref_date'!$F:$F,MATCH(L109,'3_ref_date'!$A:$A,0)),"NOT FOUND")</f>
        <v/>
      </c>
      <c r="S109" s="2">
        <f>IFERROR(INDEX('4_ref_time'!$D:$D,MATCH(ROUND(M109*1440,0),'4_ref_time'!$A:$A,0)),"NOT FOUND")</f>
        <v/>
      </c>
      <c r="T109" s="2">
        <f>UPPER(TRIM(C109))</f>
        <v/>
      </c>
      <c r="U109" s="30">
        <f>IF(_xlfn.MAXIFS('6_3nf_branch_history'!$B$2:$B$50,'6_3nf_branch_history'!$A$2:$A$50,T109,'6_3nf_branch_history'!$B$2:$B$50,"&lt;="&amp;L109)=0,"NOT FOUND",_xlfn.MAXIFS('6_3nf_branch_history'!$B$2:$B$50,'6_3nf_branch_history'!$A$2:$A$50,T109,'6_3nf_branch_history'!$B$2:$B$50,"&lt;="&amp;L109))</f>
        <v/>
      </c>
      <c r="V109" s="2">
        <f>IF(U109="NOT FOUND","NOT FOUND",INDEX('6_3nf_branch_history'!$C:$C,SUMPRODUCT(('6_3nf_branch_history'!$A$2:$A$50=T109)*('6_3nf_branch_history'!$B$2:$B$50=U109)*ROW('6_3nf_branch_history'!$A$2:$A$50))))</f>
        <v/>
      </c>
      <c r="W109" s="2">
        <f>IF(U109="NOT FOUND","NOT FOUND",INDEX('6_3nf_branch_history'!$D:$D,SUMPRODUCT(('6_3nf_branch_history'!$A$2:$A$50=T109)*('6_3nf_branch_history'!$B$2:$B$50=U109)*ROW('6_3nf_branch_history'!$A$2:$A$50))))</f>
        <v/>
      </c>
      <c r="X109" s="2">
        <f>IF(U109="NOT FOUND","NOT FOUND",INDEX('6_3nf_branch_history'!$E:$E,SUMPRODUCT(('6_3nf_branch_history'!$A$2:$A$50=T109)*('6_3nf_branch_history'!$B$2:$B$50=U109)*ROW('6_3nf_branch_history'!$A$2:$A$50))))</f>
        <v/>
      </c>
      <c r="Y109" s="2">
        <f>UPPER(TRIM(D109))</f>
        <v/>
      </c>
      <c r="Z109" s="2">
        <f>IFERROR(INDEX('7_3nf_product'!$B:$B,MATCH(Y109,'7_3nf_product'!$A:$A,0)),"NOT FOUND")</f>
        <v/>
      </c>
      <c r="AA109" s="2">
        <f>IFERROR(INDEX('7_3nf_product'!$C:$C,MATCH(Y109,'7_3nf_product'!$A:$A,0)),"NOT FOUND")</f>
        <v/>
      </c>
      <c r="AB109" s="2">
        <f>IFERROR(INDEX('7_3nf_product'!$D:$D,MATCH(Y109,'7_3nf_product'!$A:$A,0)),"NOT FOUND")</f>
        <v/>
      </c>
      <c r="AC109" s="6">
        <f>IFERROR(INDEX('7_3nf_product'!$E:$E,MATCH(Y109,'7_3nf_product'!$A:$A,0)),"NOT FOUND")</f>
        <v/>
      </c>
      <c r="AD109" s="33">
        <f>IF(LEN(TRIM(E109))=10,TRIM(E109),IF(LEN(TRIM(E109))=8,"00"&amp;TRIM(E109),"CHECK"))</f>
        <v/>
      </c>
      <c r="AE109" s="2">
        <f>IFERROR(INDEX('8_3nf_customer'!$C:$C,MATCH(AD109,'8_3nf_customer'!$B:$B,0)),"NOT FOUND")</f>
        <v/>
      </c>
      <c r="AF109" s="30">
        <f>IFERROR(INDEX('8_3nf_customer'!$D:$D,MATCH(AD109,'8_3nf_customer'!$B:$B,0)),"NOT FOUND")</f>
        <v/>
      </c>
      <c r="AG109" s="4">
        <f>IF(ISNUMBER(AF109),DATEDIF(AF109,L109,"y"),"NOT FOUND")</f>
        <v/>
      </c>
      <c r="AH109" s="2">
        <f>IFERROR(INDEX('8_3nf_customer'!$E:$E,MATCH(AD109,'8_3nf_customer'!$B:$B,0)),"NOT FOUND")</f>
        <v/>
      </c>
      <c r="AI109" s="30">
        <f>IF(_xlfn.MAXIFS('9_3nf_customer_history'!$B$2:$B$500,'9_3nf_customer_history'!$A$2:$A$500,AD109,'9_3nf_customer_history'!$B$2:$B$500,"&lt;="&amp;L109)=0,"NOT FOUND",_xlfn.MAXIFS('9_3nf_customer_history'!$B$2:$B$500,'9_3nf_customer_history'!$A$2:$A$500,AD109,'9_3nf_customer_history'!$B$2:$B$500,"&lt;="&amp;L109))</f>
        <v/>
      </c>
      <c r="AJ109" s="2">
        <f>IF(AI109="NOT FOUND","NOT FOUND",INDEX('9_3nf_customer_history'!$C:$C,SUMPRODUCT(('9_3nf_customer_history'!$A$2:$A$500=AD109)*('9_3nf_customer_history'!$B$2:$B$500=AI109)*ROW('9_3nf_customer_history'!$A$2:$A$500))))</f>
        <v/>
      </c>
      <c r="AK109" s="2">
        <f>IF(AI109="NOT FOUND","NOT FOUND",INDEX('9_3nf_customer_history'!$D:$D,SUMPRODUCT(('9_3nf_customer_history'!$A$2:$A$500=AD109)*('9_3nf_customer_history'!$B$2:$B$500=AI109)*ROW('9_3nf_customer_history'!$A$2:$A$500))))</f>
        <v/>
      </c>
      <c r="AL109" s="2">
        <f>UPPER(TRIM(H109))</f>
        <v/>
      </c>
      <c r="AM109" s="30">
        <f>IF(_xlfn.MAXIFS('10_ref_fx_rate'!$B$2:$B$2000,'10_ref_fx_rate'!$A$2:$A$2000,AL109,'10_ref_fx_rate'!$B$2:$B$2000,"&lt;="&amp;L109)=0,"NOT FOUND",_xlfn.MAXIFS('10_ref_fx_rate'!$B$2:$B$2000,'10_ref_fx_rate'!$A$2:$A$2000,AL109,'10_ref_fx_rate'!$B$2:$B$2000,"&lt;="&amp;L109))</f>
        <v/>
      </c>
      <c r="AN109" s="8">
        <f>IF(AM109="NOT FOUND","NOT FOUND",SUMIFS('10_ref_fx_rate'!$D$2:$D$2000,'10_ref_fx_rate'!$A$2:$A$2000,AL109,'10_ref_fx_rate'!$B$2:$B$2000,AM109))</f>
        <v/>
      </c>
      <c r="AO109" s="37">
        <f>IF(ISNUMBER(AN109),I109*AN109,"NOT FOUND")</f>
        <v/>
      </c>
      <c r="AP109" s="2">
        <f>UPPER(TRIM(J109))</f>
        <v/>
      </c>
      <c r="AQ109" s="2">
        <f>IF(AP109="","SELF-DIRECTED",IF(ISNUMBER(MATCH(AP109,'11_3nf_sales_person'!$A:$A,0)),IF(EXACT(AP109,J109),"OK","OK (auto-fixed)"),IF(ISNA(MATCH($A109,'12_sales_person_confirmation'!$A:$A,0)),"CONFIRM (not logged)",IF(INDEX('12_sales_person_confirmation'!$I:$I,MATCH($A109,'12_sales_person_confirmation'!$A:$A,0))="CONFIRMED","CONFIRMED ("&amp;LOWER(INDEX('12_sales_person_confirmation'!$E:$E,MATCH($A109,'12_sales_person_confirmation'!$A:$A,0)))&amp;")","PENDING CONFIRM"))))</f>
        <v/>
      </c>
      <c r="AR109" s="2">
        <f>IF(OR(AQ109="OK",AQ109="OK (auto-fixed)"),AP109,IF(LEFT(AQ109,9)="CONFIRMED",INDEX('12_sales_person_confirmation'!$F:$F,MATCH($A109,'12_sales_person_confirmation'!$A:$A,0)),""))</f>
        <v/>
      </c>
      <c r="AS109" s="2">
        <f>IF(AR109="","",INDEX('11_3nf_sales_person'!$B:$B,MATCH(AR109,'11_3nf_sales_person'!$A:$A,0)))</f>
        <v/>
      </c>
    </row>
    <row r="110">
      <c r="A110" s="2">
        <f>IF(ISBLANK('1_raw_log'!A110),"",'1_raw_log'!A110)</f>
        <v/>
      </c>
      <c r="B110" s="3">
        <f>IF(ISBLANK('1_raw_log'!B110),"",'1_raw_log'!B110)</f>
        <v/>
      </c>
      <c r="C110" s="2">
        <f>IF(ISBLANK('1_raw_log'!C110),"",'1_raw_log'!C110)</f>
        <v/>
      </c>
      <c r="D110" s="2">
        <f>IF(ISBLANK('1_raw_log'!D110),"",'1_raw_log'!D110)</f>
        <v/>
      </c>
      <c r="E110" s="4">
        <f>IF(ISBLANK('1_raw_log'!E110),"",'1_raw_log'!E110)</f>
        <v/>
      </c>
      <c r="F110" s="2">
        <f>IF(ISBLANK('1_raw_log'!F110),"",'1_raw_log'!F110)</f>
        <v/>
      </c>
      <c r="G110" s="2">
        <f>IF(ISBLANK('1_raw_log'!G110),"",'1_raw_log'!G110)</f>
        <v/>
      </c>
      <c r="H110" s="2">
        <f>IF(ISBLANK('1_raw_log'!H110),"",'1_raw_log'!H110)</f>
        <v/>
      </c>
      <c r="I110" s="7">
        <f>IF(ISBLANK('1_raw_log'!I110),"",'1_raw_log'!I110)</f>
        <v/>
      </c>
      <c r="J110" s="2">
        <f>IF(ISBLANK('1_raw_log'!J110),"",'1_raw_log'!J110)</f>
        <v/>
      </c>
      <c r="K110" s="2">
        <f>IF(ISBLANK('1_raw_log'!K110),"",'1_raw_log'!K110)</f>
        <v/>
      </c>
      <c r="L110" s="30">
        <f>INT(B110)</f>
        <v/>
      </c>
      <c r="M110" s="20">
        <f>ROUND(MOD(B110,1)*1440,0)/1440</f>
        <v/>
      </c>
      <c r="N110" s="4">
        <f>IFERROR(INDEX('3_ref_date'!$B:$B,MATCH(L110,'3_ref_date'!$A:$A,0)),"NOT FOUND")</f>
        <v/>
      </c>
      <c r="O110" s="2">
        <f>IFERROR(INDEX('3_ref_date'!$C:$C,MATCH(L110,'3_ref_date'!$A:$A,0)),"NOT FOUND")</f>
        <v/>
      </c>
      <c r="P110" s="4">
        <f>IFERROR(INDEX('3_ref_date'!$D:$D,MATCH(L110,'3_ref_date'!$A:$A,0)),"NOT FOUND")</f>
        <v/>
      </c>
      <c r="Q110" s="4">
        <f>IFERROR(INDEX('3_ref_date'!$E:$E,MATCH(L110,'3_ref_date'!$A:$A,0)),"NOT FOUND")</f>
        <v/>
      </c>
      <c r="R110" s="2">
        <f>IFERROR(INDEX('3_ref_date'!$F:$F,MATCH(L110,'3_ref_date'!$A:$A,0)),"NOT FOUND")</f>
        <v/>
      </c>
      <c r="S110" s="2">
        <f>IFERROR(INDEX('4_ref_time'!$D:$D,MATCH(ROUND(M110*1440,0),'4_ref_time'!$A:$A,0)),"NOT FOUND")</f>
        <v/>
      </c>
      <c r="T110" s="2">
        <f>UPPER(TRIM(C110))</f>
        <v/>
      </c>
      <c r="U110" s="30">
        <f>IF(_xlfn.MAXIFS('6_3nf_branch_history'!$B$2:$B$50,'6_3nf_branch_history'!$A$2:$A$50,T110,'6_3nf_branch_history'!$B$2:$B$50,"&lt;="&amp;L110)=0,"NOT FOUND",_xlfn.MAXIFS('6_3nf_branch_history'!$B$2:$B$50,'6_3nf_branch_history'!$A$2:$A$50,T110,'6_3nf_branch_history'!$B$2:$B$50,"&lt;="&amp;L110))</f>
        <v/>
      </c>
      <c r="V110" s="2">
        <f>IF(U110="NOT FOUND","NOT FOUND",INDEX('6_3nf_branch_history'!$C:$C,SUMPRODUCT(('6_3nf_branch_history'!$A$2:$A$50=T110)*('6_3nf_branch_history'!$B$2:$B$50=U110)*ROW('6_3nf_branch_history'!$A$2:$A$50))))</f>
        <v/>
      </c>
      <c r="W110" s="2">
        <f>IF(U110="NOT FOUND","NOT FOUND",INDEX('6_3nf_branch_history'!$D:$D,SUMPRODUCT(('6_3nf_branch_history'!$A$2:$A$50=T110)*('6_3nf_branch_history'!$B$2:$B$50=U110)*ROW('6_3nf_branch_history'!$A$2:$A$50))))</f>
        <v/>
      </c>
      <c r="X110" s="2">
        <f>IF(U110="NOT FOUND","NOT FOUND",INDEX('6_3nf_branch_history'!$E:$E,SUMPRODUCT(('6_3nf_branch_history'!$A$2:$A$50=T110)*('6_3nf_branch_history'!$B$2:$B$50=U110)*ROW('6_3nf_branch_history'!$A$2:$A$50))))</f>
        <v/>
      </c>
      <c r="Y110" s="2">
        <f>UPPER(TRIM(D110))</f>
        <v/>
      </c>
      <c r="Z110" s="2">
        <f>IFERROR(INDEX('7_3nf_product'!$B:$B,MATCH(Y110,'7_3nf_product'!$A:$A,0)),"NOT FOUND")</f>
        <v/>
      </c>
      <c r="AA110" s="2">
        <f>IFERROR(INDEX('7_3nf_product'!$C:$C,MATCH(Y110,'7_3nf_product'!$A:$A,0)),"NOT FOUND")</f>
        <v/>
      </c>
      <c r="AB110" s="2">
        <f>IFERROR(INDEX('7_3nf_product'!$D:$D,MATCH(Y110,'7_3nf_product'!$A:$A,0)),"NOT FOUND")</f>
        <v/>
      </c>
      <c r="AC110" s="6">
        <f>IFERROR(INDEX('7_3nf_product'!$E:$E,MATCH(Y110,'7_3nf_product'!$A:$A,0)),"NOT FOUND")</f>
        <v/>
      </c>
      <c r="AD110" s="33">
        <f>IF(LEN(TRIM(E110))=10,TRIM(E110),IF(LEN(TRIM(E110))=8,"00"&amp;TRIM(E110),"CHECK"))</f>
        <v/>
      </c>
      <c r="AE110" s="2">
        <f>IFERROR(INDEX('8_3nf_customer'!$C:$C,MATCH(AD110,'8_3nf_customer'!$B:$B,0)),"NOT FOUND")</f>
        <v/>
      </c>
      <c r="AF110" s="30">
        <f>IFERROR(INDEX('8_3nf_customer'!$D:$D,MATCH(AD110,'8_3nf_customer'!$B:$B,0)),"NOT FOUND")</f>
        <v/>
      </c>
      <c r="AG110" s="4">
        <f>IF(ISNUMBER(AF110),DATEDIF(AF110,L110,"y"),"NOT FOUND")</f>
        <v/>
      </c>
      <c r="AH110" s="2">
        <f>IFERROR(INDEX('8_3nf_customer'!$E:$E,MATCH(AD110,'8_3nf_customer'!$B:$B,0)),"NOT FOUND")</f>
        <v/>
      </c>
      <c r="AI110" s="30">
        <f>IF(_xlfn.MAXIFS('9_3nf_customer_history'!$B$2:$B$500,'9_3nf_customer_history'!$A$2:$A$500,AD110,'9_3nf_customer_history'!$B$2:$B$500,"&lt;="&amp;L110)=0,"NOT FOUND",_xlfn.MAXIFS('9_3nf_customer_history'!$B$2:$B$500,'9_3nf_customer_history'!$A$2:$A$500,AD110,'9_3nf_customer_history'!$B$2:$B$500,"&lt;="&amp;L110))</f>
        <v/>
      </c>
      <c r="AJ110" s="2">
        <f>IF(AI110="NOT FOUND","NOT FOUND",INDEX('9_3nf_customer_history'!$C:$C,SUMPRODUCT(('9_3nf_customer_history'!$A$2:$A$500=AD110)*('9_3nf_customer_history'!$B$2:$B$500=AI110)*ROW('9_3nf_customer_history'!$A$2:$A$500))))</f>
        <v/>
      </c>
      <c r="AK110" s="2">
        <f>IF(AI110="NOT FOUND","NOT FOUND",INDEX('9_3nf_customer_history'!$D:$D,SUMPRODUCT(('9_3nf_customer_history'!$A$2:$A$500=AD110)*('9_3nf_customer_history'!$B$2:$B$500=AI110)*ROW('9_3nf_customer_history'!$A$2:$A$500))))</f>
        <v/>
      </c>
      <c r="AL110" s="2">
        <f>UPPER(TRIM(H110))</f>
        <v/>
      </c>
      <c r="AM110" s="30">
        <f>IF(_xlfn.MAXIFS('10_ref_fx_rate'!$B$2:$B$2000,'10_ref_fx_rate'!$A$2:$A$2000,AL110,'10_ref_fx_rate'!$B$2:$B$2000,"&lt;="&amp;L110)=0,"NOT FOUND",_xlfn.MAXIFS('10_ref_fx_rate'!$B$2:$B$2000,'10_ref_fx_rate'!$A$2:$A$2000,AL110,'10_ref_fx_rate'!$B$2:$B$2000,"&lt;="&amp;L110))</f>
        <v/>
      </c>
      <c r="AN110" s="8">
        <f>IF(AM110="NOT FOUND","NOT FOUND",SUMIFS('10_ref_fx_rate'!$D$2:$D$2000,'10_ref_fx_rate'!$A$2:$A$2000,AL110,'10_ref_fx_rate'!$B$2:$B$2000,AM110))</f>
        <v/>
      </c>
      <c r="AO110" s="37">
        <f>IF(ISNUMBER(AN110),I110*AN110,"NOT FOUND")</f>
        <v/>
      </c>
      <c r="AP110" s="2">
        <f>UPPER(TRIM(J110))</f>
        <v/>
      </c>
      <c r="AQ110" s="2">
        <f>IF(AP110="","SELF-DIRECTED",IF(ISNUMBER(MATCH(AP110,'11_3nf_sales_person'!$A:$A,0)),IF(EXACT(AP110,J110),"OK","OK (auto-fixed)"),IF(ISNA(MATCH($A110,'12_sales_person_confirmation'!$A:$A,0)),"CONFIRM (not logged)",IF(INDEX('12_sales_person_confirmation'!$I:$I,MATCH($A110,'12_sales_person_confirmation'!$A:$A,0))="CONFIRMED","CONFIRMED ("&amp;LOWER(INDEX('12_sales_person_confirmation'!$E:$E,MATCH($A110,'12_sales_person_confirmation'!$A:$A,0)))&amp;")","PENDING CONFIRM"))))</f>
        <v/>
      </c>
      <c r="AR110" s="2">
        <f>IF(OR(AQ110="OK",AQ110="OK (auto-fixed)"),AP110,IF(LEFT(AQ110,9)="CONFIRMED",INDEX('12_sales_person_confirmation'!$F:$F,MATCH($A110,'12_sales_person_confirmation'!$A:$A,0)),""))</f>
        <v/>
      </c>
      <c r="AS110" s="2">
        <f>IF(AR110="","",INDEX('11_3nf_sales_person'!$B:$B,MATCH(AR110,'11_3nf_sales_person'!$A:$A,0)))</f>
        <v/>
      </c>
    </row>
    <row r="111">
      <c r="A111" s="2">
        <f>IF(ISBLANK('1_raw_log'!A111),"",'1_raw_log'!A111)</f>
        <v/>
      </c>
      <c r="B111" s="3">
        <f>IF(ISBLANK('1_raw_log'!B111),"",'1_raw_log'!B111)</f>
        <v/>
      </c>
      <c r="C111" s="2">
        <f>IF(ISBLANK('1_raw_log'!C111),"",'1_raw_log'!C111)</f>
        <v/>
      </c>
      <c r="D111" s="2">
        <f>IF(ISBLANK('1_raw_log'!D111),"",'1_raw_log'!D111)</f>
        <v/>
      </c>
      <c r="E111" s="4">
        <f>IF(ISBLANK('1_raw_log'!E111),"",'1_raw_log'!E111)</f>
        <v/>
      </c>
      <c r="F111" s="2">
        <f>IF(ISBLANK('1_raw_log'!F111),"",'1_raw_log'!F111)</f>
        <v/>
      </c>
      <c r="G111" s="2">
        <f>IF(ISBLANK('1_raw_log'!G111),"",'1_raw_log'!G111)</f>
        <v/>
      </c>
      <c r="H111" s="2">
        <f>IF(ISBLANK('1_raw_log'!H111),"",'1_raw_log'!H111)</f>
        <v/>
      </c>
      <c r="I111" s="7">
        <f>IF(ISBLANK('1_raw_log'!I111),"",'1_raw_log'!I111)</f>
        <v/>
      </c>
      <c r="J111" s="2">
        <f>IF(ISBLANK('1_raw_log'!J111),"",'1_raw_log'!J111)</f>
        <v/>
      </c>
      <c r="K111" s="2">
        <f>IF(ISBLANK('1_raw_log'!K111),"",'1_raw_log'!K111)</f>
        <v/>
      </c>
      <c r="L111" s="30">
        <f>INT(B111)</f>
        <v/>
      </c>
      <c r="M111" s="20">
        <f>ROUND(MOD(B111,1)*1440,0)/1440</f>
        <v/>
      </c>
      <c r="N111" s="4">
        <f>IFERROR(INDEX('3_ref_date'!$B:$B,MATCH(L111,'3_ref_date'!$A:$A,0)),"NOT FOUND")</f>
        <v/>
      </c>
      <c r="O111" s="2">
        <f>IFERROR(INDEX('3_ref_date'!$C:$C,MATCH(L111,'3_ref_date'!$A:$A,0)),"NOT FOUND")</f>
        <v/>
      </c>
      <c r="P111" s="4">
        <f>IFERROR(INDEX('3_ref_date'!$D:$D,MATCH(L111,'3_ref_date'!$A:$A,0)),"NOT FOUND")</f>
        <v/>
      </c>
      <c r="Q111" s="4">
        <f>IFERROR(INDEX('3_ref_date'!$E:$E,MATCH(L111,'3_ref_date'!$A:$A,0)),"NOT FOUND")</f>
        <v/>
      </c>
      <c r="R111" s="2">
        <f>IFERROR(INDEX('3_ref_date'!$F:$F,MATCH(L111,'3_ref_date'!$A:$A,0)),"NOT FOUND")</f>
        <v/>
      </c>
      <c r="S111" s="2">
        <f>IFERROR(INDEX('4_ref_time'!$D:$D,MATCH(ROUND(M111*1440,0),'4_ref_time'!$A:$A,0)),"NOT FOUND")</f>
        <v/>
      </c>
      <c r="T111" s="2">
        <f>UPPER(TRIM(C111))</f>
        <v/>
      </c>
      <c r="U111" s="30">
        <f>IF(_xlfn.MAXIFS('6_3nf_branch_history'!$B$2:$B$50,'6_3nf_branch_history'!$A$2:$A$50,T111,'6_3nf_branch_history'!$B$2:$B$50,"&lt;="&amp;L111)=0,"NOT FOUND",_xlfn.MAXIFS('6_3nf_branch_history'!$B$2:$B$50,'6_3nf_branch_history'!$A$2:$A$50,T111,'6_3nf_branch_history'!$B$2:$B$50,"&lt;="&amp;L111))</f>
        <v/>
      </c>
      <c r="V111" s="2">
        <f>IF(U111="NOT FOUND","NOT FOUND",INDEX('6_3nf_branch_history'!$C:$C,SUMPRODUCT(('6_3nf_branch_history'!$A$2:$A$50=T111)*('6_3nf_branch_history'!$B$2:$B$50=U111)*ROW('6_3nf_branch_history'!$A$2:$A$50))))</f>
        <v/>
      </c>
      <c r="W111" s="2">
        <f>IF(U111="NOT FOUND","NOT FOUND",INDEX('6_3nf_branch_history'!$D:$D,SUMPRODUCT(('6_3nf_branch_history'!$A$2:$A$50=T111)*('6_3nf_branch_history'!$B$2:$B$50=U111)*ROW('6_3nf_branch_history'!$A$2:$A$50))))</f>
        <v/>
      </c>
      <c r="X111" s="2">
        <f>IF(U111="NOT FOUND","NOT FOUND",INDEX('6_3nf_branch_history'!$E:$E,SUMPRODUCT(('6_3nf_branch_history'!$A$2:$A$50=T111)*('6_3nf_branch_history'!$B$2:$B$50=U111)*ROW('6_3nf_branch_history'!$A$2:$A$50))))</f>
        <v/>
      </c>
      <c r="Y111" s="2">
        <f>UPPER(TRIM(D111))</f>
        <v/>
      </c>
      <c r="Z111" s="2">
        <f>IFERROR(INDEX('7_3nf_product'!$B:$B,MATCH(Y111,'7_3nf_product'!$A:$A,0)),"NOT FOUND")</f>
        <v/>
      </c>
      <c r="AA111" s="2">
        <f>IFERROR(INDEX('7_3nf_product'!$C:$C,MATCH(Y111,'7_3nf_product'!$A:$A,0)),"NOT FOUND")</f>
        <v/>
      </c>
      <c r="AB111" s="2">
        <f>IFERROR(INDEX('7_3nf_product'!$D:$D,MATCH(Y111,'7_3nf_product'!$A:$A,0)),"NOT FOUND")</f>
        <v/>
      </c>
      <c r="AC111" s="6">
        <f>IFERROR(INDEX('7_3nf_product'!$E:$E,MATCH(Y111,'7_3nf_product'!$A:$A,0)),"NOT FOUND")</f>
        <v/>
      </c>
      <c r="AD111" s="33">
        <f>IF(LEN(TRIM(E111))=10,TRIM(E111),IF(LEN(TRIM(E111))=8,"00"&amp;TRIM(E111),"CHECK"))</f>
        <v/>
      </c>
      <c r="AE111" s="2">
        <f>IFERROR(INDEX('8_3nf_customer'!$C:$C,MATCH(AD111,'8_3nf_customer'!$B:$B,0)),"NOT FOUND")</f>
        <v/>
      </c>
      <c r="AF111" s="30">
        <f>IFERROR(INDEX('8_3nf_customer'!$D:$D,MATCH(AD111,'8_3nf_customer'!$B:$B,0)),"NOT FOUND")</f>
        <v/>
      </c>
      <c r="AG111" s="4">
        <f>IF(ISNUMBER(AF111),DATEDIF(AF111,L111,"y"),"NOT FOUND")</f>
        <v/>
      </c>
      <c r="AH111" s="2">
        <f>IFERROR(INDEX('8_3nf_customer'!$E:$E,MATCH(AD111,'8_3nf_customer'!$B:$B,0)),"NOT FOUND")</f>
        <v/>
      </c>
      <c r="AI111" s="30">
        <f>IF(_xlfn.MAXIFS('9_3nf_customer_history'!$B$2:$B$500,'9_3nf_customer_history'!$A$2:$A$500,AD111,'9_3nf_customer_history'!$B$2:$B$500,"&lt;="&amp;L111)=0,"NOT FOUND",_xlfn.MAXIFS('9_3nf_customer_history'!$B$2:$B$500,'9_3nf_customer_history'!$A$2:$A$500,AD111,'9_3nf_customer_history'!$B$2:$B$500,"&lt;="&amp;L111))</f>
        <v/>
      </c>
      <c r="AJ111" s="2">
        <f>IF(AI111="NOT FOUND","NOT FOUND",INDEX('9_3nf_customer_history'!$C:$C,SUMPRODUCT(('9_3nf_customer_history'!$A$2:$A$500=AD111)*('9_3nf_customer_history'!$B$2:$B$500=AI111)*ROW('9_3nf_customer_history'!$A$2:$A$500))))</f>
        <v/>
      </c>
      <c r="AK111" s="2">
        <f>IF(AI111="NOT FOUND","NOT FOUND",INDEX('9_3nf_customer_history'!$D:$D,SUMPRODUCT(('9_3nf_customer_history'!$A$2:$A$500=AD111)*('9_3nf_customer_history'!$B$2:$B$500=AI111)*ROW('9_3nf_customer_history'!$A$2:$A$500))))</f>
        <v/>
      </c>
      <c r="AL111" s="2">
        <f>UPPER(TRIM(H111))</f>
        <v/>
      </c>
      <c r="AM111" s="30">
        <f>IF(_xlfn.MAXIFS('10_ref_fx_rate'!$B$2:$B$2000,'10_ref_fx_rate'!$A$2:$A$2000,AL111,'10_ref_fx_rate'!$B$2:$B$2000,"&lt;="&amp;L111)=0,"NOT FOUND",_xlfn.MAXIFS('10_ref_fx_rate'!$B$2:$B$2000,'10_ref_fx_rate'!$A$2:$A$2000,AL111,'10_ref_fx_rate'!$B$2:$B$2000,"&lt;="&amp;L111))</f>
        <v/>
      </c>
      <c r="AN111" s="8">
        <f>IF(AM111="NOT FOUND","NOT FOUND",SUMIFS('10_ref_fx_rate'!$D$2:$D$2000,'10_ref_fx_rate'!$A$2:$A$2000,AL111,'10_ref_fx_rate'!$B$2:$B$2000,AM111))</f>
        <v/>
      </c>
      <c r="AO111" s="37">
        <f>IF(ISNUMBER(AN111),I111*AN111,"NOT FOUND")</f>
        <v/>
      </c>
      <c r="AP111" s="2">
        <f>UPPER(TRIM(J111))</f>
        <v/>
      </c>
      <c r="AQ111" s="2">
        <f>IF(AP111="","SELF-DIRECTED",IF(ISNUMBER(MATCH(AP111,'11_3nf_sales_person'!$A:$A,0)),IF(EXACT(AP111,J111),"OK","OK (auto-fixed)"),IF(ISNA(MATCH($A111,'12_sales_person_confirmation'!$A:$A,0)),"CONFIRM (not logged)",IF(INDEX('12_sales_person_confirmation'!$I:$I,MATCH($A111,'12_sales_person_confirmation'!$A:$A,0))="CONFIRMED","CONFIRMED ("&amp;LOWER(INDEX('12_sales_person_confirmation'!$E:$E,MATCH($A111,'12_sales_person_confirmation'!$A:$A,0)))&amp;")","PENDING CONFIRM"))))</f>
        <v/>
      </c>
      <c r="AR111" s="2">
        <f>IF(OR(AQ111="OK",AQ111="OK (auto-fixed)"),AP111,IF(LEFT(AQ111,9)="CONFIRMED",INDEX('12_sales_person_confirmation'!$F:$F,MATCH($A111,'12_sales_person_confirmation'!$A:$A,0)),""))</f>
        <v/>
      </c>
      <c r="AS111" s="2">
        <f>IF(AR111="","",INDEX('11_3nf_sales_person'!$B:$B,MATCH(AR111,'11_3nf_sales_person'!$A:$A,0)))</f>
        <v/>
      </c>
    </row>
    <row r="112">
      <c r="A112" s="2">
        <f>IF(ISBLANK('1_raw_log'!A112),"",'1_raw_log'!A112)</f>
        <v/>
      </c>
      <c r="B112" s="3">
        <f>IF(ISBLANK('1_raw_log'!B112),"",'1_raw_log'!B112)</f>
        <v/>
      </c>
      <c r="C112" s="2">
        <f>IF(ISBLANK('1_raw_log'!C112),"",'1_raw_log'!C112)</f>
        <v/>
      </c>
      <c r="D112" s="2">
        <f>IF(ISBLANK('1_raw_log'!D112),"",'1_raw_log'!D112)</f>
        <v/>
      </c>
      <c r="E112" s="4">
        <f>IF(ISBLANK('1_raw_log'!E112),"",'1_raw_log'!E112)</f>
        <v/>
      </c>
      <c r="F112" s="2">
        <f>IF(ISBLANK('1_raw_log'!F112),"",'1_raw_log'!F112)</f>
        <v/>
      </c>
      <c r="G112" s="2">
        <f>IF(ISBLANK('1_raw_log'!G112),"",'1_raw_log'!G112)</f>
        <v/>
      </c>
      <c r="H112" s="2">
        <f>IF(ISBLANK('1_raw_log'!H112),"",'1_raw_log'!H112)</f>
        <v/>
      </c>
      <c r="I112" s="7">
        <f>IF(ISBLANK('1_raw_log'!I112),"",'1_raw_log'!I112)</f>
        <v/>
      </c>
      <c r="J112" s="2">
        <f>IF(ISBLANK('1_raw_log'!J112),"",'1_raw_log'!J112)</f>
        <v/>
      </c>
      <c r="K112" s="2">
        <f>IF(ISBLANK('1_raw_log'!K112),"",'1_raw_log'!K112)</f>
        <v/>
      </c>
      <c r="L112" s="30">
        <f>INT(B112)</f>
        <v/>
      </c>
      <c r="M112" s="20">
        <f>ROUND(MOD(B112,1)*1440,0)/1440</f>
        <v/>
      </c>
      <c r="N112" s="4">
        <f>IFERROR(INDEX('3_ref_date'!$B:$B,MATCH(L112,'3_ref_date'!$A:$A,0)),"NOT FOUND")</f>
        <v/>
      </c>
      <c r="O112" s="2">
        <f>IFERROR(INDEX('3_ref_date'!$C:$C,MATCH(L112,'3_ref_date'!$A:$A,0)),"NOT FOUND")</f>
        <v/>
      </c>
      <c r="P112" s="4">
        <f>IFERROR(INDEX('3_ref_date'!$D:$D,MATCH(L112,'3_ref_date'!$A:$A,0)),"NOT FOUND")</f>
        <v/>
      </c>
      <c r="Q112" s="4">
        <f>IFERROR(INDEX('3_ref_date'!$E:$E,MATCH(L112,'3_ref_date'!$A:$A,0)),"NOT FOUND")</f>
        <v/>
      </c>
      <c r="R112" s="2">
        <f>IFERROR(INDEX('3_ref_date'!$F:$F,MATCH(L112,'3_ref_date'!$A:$A,0)),"NOT FOUND")</f>
        <v/>
      </c>
      <c r="S112" s="2">
        <f>IFERROR(INDEX('4_ref_time'!$D:$D,MATCH(ROUND(M112*1440,0),'4_ref_time'!$A:$A,0)),"NOT FOUND")</f>
        <v/>
      </c>
      <c r="T112" s="2">
        <f>UPPER(TRIM(C112))</f>
        <v/>
      </c>
      <c r="U112" s="30">
        <f>IF(_xlfn.MAXIFS('6_3nf_branch_history'!$B$2:$B$50,'6_3nf_branch_history'!$A$2:$A$50,T112,'6_3nf_branch_history'!$B$2:$B$50,"&lt;="&amp;L112)=0,"NOT FOUND",_xlfn.MAXIFS('6_3nf_branch_history'!$B$2:$B$50,'6_3nf_branch_history'!$A$2:$A$50,T112,'6_3nf_branch_history'!$B$2:$B$50,"&lt;="&amp;L112))</f>
        <v/>
      </c>
      <c r="V112" s="2">
        <f>IF(U112="NOT FOUND","NOT FOUND",INDEX('6_3nf_branch_history'!$C:$C,SUMPRODUCT(('6_3nf_branch_history'!$A$2:$A$50=T112)*('6_3nf_branch_history'!$B$2:$B$50=U112)*ROW('6_3nf_branch_history'!$A$2:$A$50))))</f>
        <v/>
      </c>
      <c r="W112" s="2">
        <f>IF(U112="NOT FOUND","NOT FOUND",INDEX('6_3nf_branch_history'!$D:$D,SUMPRODUCT(('6_3nf_branch_history'!$A$2:$A$50=T112)*('6_3nf_branch_history'!$B$2:$B$50=U112)*ROW('6_3nf_branch_history'!$A$2:$A$50))))</f>
        <v/>
      </c>
      <c r="X112" s="2">
        <f>IF(U112="NOT FOUND","NOT FOUND",INDEX('6_3nf_branch_history'!$E:$E,SUMPRODUCT(('6_3nf_branch_history'!$A$2:$A$50=T112)*('6_3nf_branch_history'!$B$2:$B$50=U112)*ROW('6_3nf_branch_history'!$A$2:$A$50))))</f>
        <v/>
      </c>
      <c r="Y112" s="2">
        <f>UPPER(TRIM(D112))</f>
        <v/>
      </c>
      <c r="Z112" s="2">
        <f>IFERROR(INDEX('7_3nf_product'!$B:$B,MATCH(Y112,'7_3nf_product'!$A:$A,0)),"NOT FOUND")</f>
        <v/>
      </c>
      <c r="AA112" s="2">
        <f>IFERROR(INDEX('7_3nf_product'!$C:$C,MATCH(Y112,'7_3nf_product'!$A:$A,0)),"NOT FOUND")</f>
        <v/>
      </c>
      <c r="AB112" s="2">
        <f>IFERROR(INDEX('7_3nf_product'!$D:$D,MATCH(Y112,'7_3nf_product'!$A:$A,0)),"NOT FOUND")</f>
        <v/>
      </c>
      <c r="AC112" s="6">
        <f>IFERROR(INDEX('7_3nf_product'!$E:$E,MATCH(Y112,'7_3nf_product'!$A:$A,0)),"NOT FOUND")</f>
        <v/>
      </c>
      <c r="AD112" s="33">
        <f>IF(LEN(TRIM(E112))=10,TRIM(E112),IF(LEN(TRIM(E112))=8,"00"&amp;TRIM(E112),"CHECK"))</f>
        <v/>
      </c>
      <c r="AE112" s="2">
        <f>IFERROR(INDEX('8_3nf_customer'!$C:$C,MATCH(AD112,'8_3nf_customer'!$B:$B,0)),"NOT FOUND")</f>
        <v/>
      </c>
      <c r="AF112" s="30">
        <f>IFERROR(INDEX('8_3nf_customer'!$D:$D,MATCH(AD112,'8_3nf_customer'!$B:$B,0)),"NOT FOUND")</f>
        <v/>
      </c>
      <c r="AG112" s="4">
        <f>IF(ISNUMBER(AF112),DATEDIF(AF112,L112,"y"),"NOT FOUND")</f>
        <v/>
      </c>
      <c r="AH112" s="2">
        <f>IFERROR(INDEX('8_3nf_customer'!$E:$E,MATCH(AD112,'8_3nf_customer'!$B:$B,0)),"NOT FOUND")</f>
        <v/>
      </c>
      <c r="AI112" s="30">
        <f>IF(_xlfn.MAXIFS('9_3nf_customer_history'!$B$2:$B$500,'9_3nf_customer_history'!$A$2:$A$500,AD112,'9_3nf_customer_history'!$B$2:$B$500,"&lt;="&amp;L112)=0,"NOT FOUND",_xlfn.MAXIFS('9_3nf_customer_history'!$B$2:$B$500,'9_3nf_customer_history'!$A$2:$A$500,AD112,'9_3nf_customer_history'!$B$2:$B$500,"&lt;="&amp;L112))</f>
        <v/>
      </c>
      <c r="AJ112" s="2">
        <f>IF(AI112="NOT FOUND","NOT FOUND",INDEX('9_3nf_customer_history'!$C:$C,SUMPRODUCT(('9_3nf_customer_history'!$A$2:$A$500=AD112)*('9_3nf_customer_history'!$B$2:$B$500=AI112)*ROW('9_3nf_customer_history'!$A$2:$A$500))))</f>
        <v/>
      </c>
      <c r="AK112" s="2">
        <f>IF(AI112="NOT FOUND","NOT FOUND",INDEX('9_3nf_customer_history'!$D:$D,SUMPRODUCT(('9_3nf_customer_history'!$A$2:$A$500=AD112)*('9_3nf_customer_history'!$B$2:$B$500=AI112)*ROW('9_3nf_customer_history'!$A$2:$A$500))))</f>
        <v/>
      </c>
      <c r="AL112" s="2">
        <f>UPPER(TRIM(H112))</f>
        <v/>
      </c>
      <c r="AM112" s="30">
        <f>IF(_xlfn.MAXIFS('10_ref_fx_rate'!$B$2:$B$2000,'10_ref_fx_rate'!$A$2:$A$2000,AL112,'10_ref_fx_rate'!$B$2:$B$2000,"&lt;="&amp;L112)=0,"NOT FOUND",_xlfn.MAXIFS('10_ref_fx_rate'!$B$2:$B$2000,'10_ref_fx_rate'!$A$2:$A$2000,AL112,'10_ref_fx_rate'!$B$2:$B$2000,"&lt;="&amp;L112))</f>
        <v/>
      </c>
      <c r="AN112" s="8">
        <f>IF(AM112="NOT FOUND","NOT FOUND",SUMIFS('10_ref_fx_rate'!$D$2:$D$2000,'10_ref_fx_rate'!$A$2:$A$2000,AL112,'10_ref_fx_rate'!$B$2:$B$2000,AM112))</f>
        <v/>
      </c>
      <c r="AO112" s="37">
        <f>IF(ISNUMBER(AN112),I112*AN112,"NOT FOUND")</f>
        <v/>
      </c>
      <c r="AP112" s="2">
        <f>UPPER(TRIM(J112))</f>
        <v/>
      </c>
      <c r="AQ112" s="2">
        <f>IF(AP112="","SELF-DIRECTED",IF(ISNUMBER(MATCH(AP112,'11_3nf_sales_person'!$A:$A,0)),IF(EXACT(AP112,J112),"OK","OK (auto-fixed)"),IF(ISNA(MATCH($A112,'12_sales_person_confirmation'!$A:$A,0)),"CONFIRM (not logged)",IF(INDEX('12_sales_person_confirmation'!$I:$I,MATCH($A112,'12_sales_person_confirmation'!$A:$A,0))="CONFIRMED","CONFIRMED ("&amp;LOWER(INDEX('12_sales_person_confirmation'!$E:$E,MATCH($A112,'12_sales_person_confirmation'!$A:$A,0)))&amp;")","PENDING CONFIRM"))))</f>
        <v/>
      </c>
      <c r="AR112" s="2">
        <f>IF(OR(AQ112="OK",AQ112="OK (auto-fixed)"),AP112,IF(LEFT(AQ112,9)="CONFIRMED",INDEX('12_sales_person_confirmation'!$F:$F,MATCH($A112,'12_sales_person_confirmation'!$A:$A,0)),""))</f>
        <v/>
      </c>
      <c r="AS112" s="2">
        <f>IF(AR112="","",INDEX('11_3nf_sales_person'!$B:$B,MATCH(AR112,'11_3nf_sales_person'!$A:$A,0)))</f>
        <v/>
      </c>
    </row>
    <row r="113">
      <c r="A113" s="2">
        <f>IF(ISBLANK('1_raw_log'!A113),"",'1_raw_log'!A113)</f>
        <v/>
      </c>
      <c r="B113" s="3">
        <f>IF(ISBLANK('1_raw_log'!B113),"",'1_raw_log'!B113)</f>
        <v/>
      </c>
      <c r="C113" s="2">
        <f>IF(ISBLANK('1_raw_log'!C113),"",'1_raw_log'!C113)</f>
        <v/>
      </c>
      <c r="D113" s="2">
        <f>IF(ISBLANK('1_raw_log'!D113),"",'1_raw_log'!D113)</f>
        <v/>
      </c>
      <c r="E113" s="4">
        <f>IF(ISBLANK('1_raw_log'!E113),"",'1_raw_log'!E113)</f>
        <v/>
      </c>
      <c r="F113" s="2">
        <f>IF(ISBLANK('1_raw_log'!F113),"",'1_raw_log'!F113)</f>
        <v/>
      </c>
      <c r="G113" s="2">
        <f>IF(ISBLANK('1_raw_log'!G113),"",'1_raw_log'!G113)</f>
        <v/>
      </c>
      <c r="H113" s="2">
        <f>IF(ISBLANK('1_raw_log'!H113),"",'1_raw_log'!H113)</f>
        <v/>
      </c>
      <c r="I113" s="7">
        <f>IF(ISBLANK('1_raw_log'!I113),"",'1_raw_log'!I113)</f>
        <v/>
      </c>
      <c r="J113" s="2">
        <f>IF(ISBLANK('1_raw_log'!J113),"",'1_raw_log'!J113)</f>
        <v/>
      </c>
      <c r="K113" s="2">
        <f>IF(ISBLANK('1_raw_log'!K113),"",'1_raw_log'!K113)</f>
        <v/>
      </c>
      <c r="L113" s="30">
        <f>INT(B113)</f>
        <v/>
      </c>
      <c r="M113" s="20">
        <f>ROUND(MOD(B113,1)*1440,0)/1440</f>
        <v/>
      </c>
      <c r="N113" s="4">
        <f>IFERROR(INDEX('3_ref_date'!$B:$B,MATCH(L113,'3_ref_date'!$A:$A,0)),"NOT FOUND")</f>
        <v/>
      </c>
      <c r="O113" s="2">
        <f>IFERROR(INDEX('3_ref_date'!$C:$C,MATCH(L113,'3_ref_date'!$A:$A,0)),"NOT FOUND")</f>
        <v/>
      </c>
      <c r="P113" s="4">
        <f>IFERROR(INDEX('3_ref_date'!$D:$D,MATCH(L113,'3_ref_date'!$A:$A,0)),"NOT FOUND")</f>
        <v/>
      </c>
      <c r="Q113" s="4">
        <f>IFERROR(INDEX('3_ref_date'!$E:$E,MATCH(L113,'3_ref_date'!$A:$A,0)),"NOT FOUND")</f>
        <v/>
      </c>
      <c r="R113" s="2">
        <f>IFERROR(INDEX('3_ref_date'!$F:$F,MATCH(L113,'3_ref_date'!$A:$A,0)),"NOT FOUND")</f>
        <v/>
      </c>
      <c r="S113" s="2">
        <f>IFERROR(INDEX('4_ref_time'!$D:$D,MATCH(ROUND(M113*1440,0),'4_ref_time'!$A:$A,0)),"NOT FOUND")</f>
        <v/>
      </c>
      <c r="T113" s="2">
        <f>UPPER(TRIM(C113))</f>
        <v/>
      </c>
      <c r="U113" s="30">
        <f>IF(_xlfn.MAXIFS('6_3nf_branch_history'!$B$2:$B$50,'6_3nf_branch_history'!$A$2:$A$50,T113,'6_3nf_branch_history'!$B$2:$B$50,"&lt;="&amp;L113)=0,"NOT FOUND",_xlfn.MAXIFS('6_3nf_branch_history'!$B$2:$B$50,'6_3nf_branch_history'!$A$2:$A$50,T113,'6_3nf_branch_history'!$B$2:$B$50,"&lt;="&amp;L113))</f>
        <v/>
      </c>
      <c r="V113" s="2">
        <f>IF(U113="NOT FOUND","NOT FOUND",INDEX('6_3nf_branch_history'!$C:$C,SUMPRODUCT(('6_3nf_branch_history'!$A$2:$A$50=T113)*('6_3nf_branch_history'!$B$2:$B$50=U113)*ROW('6_3nf_branch_history'!$A$2:$A$50))))</f>
        <v/>
      </c>
      <c r="W113" s="2">
        <f>IF(U113="NOT FOUND","NOT FOUND",INDEX('6_3nf_branch_history'!$D:$D,SUMPRODUCT(('6_3nf_branch_history'!$A$2:$A$50=T113)*('6_3nf_branch_history'!$B$2:$B$50=U113)*ROW('6_3nf_branch_history'!$A$2:$A$50))))</f>
        <v/>
      </c>
      <c r="X113" s="2">
        <f>IF(U113="NOT FOUND","NOT FOUND",INDEX('6_3nf_branch_history'!$E:$E,SUMPRODUCT(('6_3nf_branch_history'!$A$2:$A$50=T113)*('6_3nf_branch_history'!$B$2:$B$50=U113)*ROW('6_3nf_branch_history'!$A$2:$A$50))))</f>
        <v/>
      </c>
      <c r="Y113" s="2">
        <f>UPPER(TRIM(D113))</f>
        <v/>
      </c>
      <c r="Z113" s="2">
        <f>IFERROR(INDEX('7_3nf_product'!$B:$B,MATCH(Y113,'7_3nf_product'!$A:$A,0)),"NOT FOUND")</f>
        <v/>
      </c>
      <c r="AA113" s="2">
        <f>IFERROR(INDEX('7_3nf_product'!$C:$C,MATCH(Y113,'7_3nf_product'!$A:$A,0)),"NOT FOUND")</f>
        <v/>
      </c>
      <c r="AB113" s="2">
        <f>IFERROR(INDEX('7_3nf_product'!$D:$D,MATCH(Y113,'7_3nf_product'!$A:$A,0)),"NOT FOUND")</f>
        <v/>
      </c>
      <c r="AC113" s="6">
        <f>IFERROR(INDEX('7_3nf_product'!$E:$E,MATCH(Y113,'7_3nf_product'!$A:$A,0)),"NOT FOUND")</f>
        <v/>
      </c>
      <c r="AD113" s="33">
        <f>IF(LEN(TRIM(E113))=10,TRIM(E113),IF(LEN(TRIM(E113))=8,"00"&amp;TRIM(E113),"CHECK"))</f>
        <v/>
      </c>
      <c r="AE113" s="2">
        <f>IFERROR(INDEX('8_3nf_customer'!$C:$C,MATCH(AD113,'8_3nf_customer'!$B:$B,0)),"NOT FOUND")</f>
        <v/>
      </c>
      <c r="AF113" s="30">
        <f>IFERROR(INDEX('8_3nf_customer'!$D:$D,MATCH(AD113,'8_3nf_customer'!$B:$B,0)),"NOT FOUND")</f>
        <v/>
      </c>
      <c r="AG113" s="4">
        <f>IF(ISNUMBER(AF113),DATEDIF(AF113,L113,"y"),"NOT FOUND")</f>
        <v/>
      </c>
      <c r="AH113" s="2">
        <f>IFERROR(INDEX('8_3nf_customer'!$E:$E,MATCH(AD113,'8_3nf_customer'!$B:$B,0)),"NOT FOUND")</f>
        <v/>
      </c>
      <c r="AI113" s="30">
        <f>IF(_xlfn.MAXIFS('9_3nf_customer_history'!$B$2:$B$500,'9_3nf_customer_history'!$A$2:$A$500,AD113,'9_3nf_customer_history'!$B$2:$B$500,"&lt;="&amp;L113)=0,"NOT FOUND",_xlfn.MAXIFS('9_3nf_customer_history'!$B$2:$B$500,'9_3nf_customer_history'!$A$2:$A$500,AD113,'9_3nf_customer_history'!$B$2:$B$500,"&lt;="&amp;L113))</f>
        <v/>
      </c>
      <c r="AJ113" s="2">
        <f>IF(AI113="NOT FOUND","NOT FOUND",INDEX('9_3nf_customer_history'!$C:$C,SUMPRODUCT(('9_3nf_customer_history'!$A$2:$A$500=AD113)*('9_3nf_customer_history'!$B$2:$B$500=AI113)*ROW('9_3nf_customer_history'!$A$2:$A$500))))</f>
        <v/>
      </c>
      <c r="AK113" s="2">
        <f>IF(AI113="NOT FOUND","NOT FOUND",INDEX('9_3nf_customer_history'!$D:$D,SUMPRODUCT(('9_3nf_customer_history'!$A$2:$A$500=AD113)*('9_3nf_customer_history'!$B$2:$B$500=AI113)*ROW('9_3nf_customer_history'!$A$2:$A$500))))</f>
        <v/>
      </c>
      <c r="AL113" s="2">
        <f>UPPER(TRIM(H113))</f>
        <v/>
      </c>
      <c r="AM113" s="30">
        <f>IF(_xlfn.MAXIFS('10_ref_fx_rate'!$B$2:$B$2000,'10_ref_fx_rate'!$A$2:$A$2000,AL113,'10_ref_fx_rate'!$B$2:$B$2000,"&lt;="&amp;L113)=0,"NOT FOUND",_xlfn.MAXIFS('10_ref_fx_rate'!$B$2:$B$2000,'10_ref_fx_rate'!$A$2:$A$2000,AL113,'10_ref_fx_rate'!$B$2:$B$2000,"&lt;="&amp;L113))</f>
        <v/>
      </c>
      <c r="AN113" s="8">
        <f>IF(AM113="NOT FOUND","NOT FOUND",SUMIFS('10_ref_fx_rate'!$D$2:$D$2000,'10_ref_fx_rate'!$A$2:$A$2000,AL113,'10_ref_fx_rate'!$B$2:$B$2000,AM113))</f>
        <v/>
      </c>
      <c r="AO113" s="37">
        <f>IF(ISNUMBER(AN113),I113*AN113,"NOT FOUND")</f>
        <v/>
      </c>
      <c r="AP113" s="2">
        <f>UPPER(TRIM(J113))</f>
        <v/>
      </c>
      <c r="AQ113" s="2">
        <f>IF(AP113="","SELF-DIRECTED",IF(ISNUMBER(MATCH(AP113,'11_3nf_sales_person'!$A:$A,0)),IF(EXACT(AP113,J113),"OK","OK (auto-fixed)"),IF(ISNA(MATCH($A113,'12_sales_person_confirmation'!$A:$A,0)),"CONFIRM (not logged)",IF(INDEX('12_sales_person_confirmation'!$I:$I,MATCH($A113,'12_sales_person_confirmation'!$A:$A,0))="CONFIRMED","CONFIRMED ("&amp;LOWER(INDEX('12_sales_person_confirmation'!$E:$E,MATCH($A113,'12_sales_person_confirmation'!$A:$A,0)))&amp;")","PENDING CONFIRM"))))</f>
        <v/>
      </c>
      <c r="AR113" s="2">
        <f>IF(OR(AQ113="OK",AQ113="OK (auto-fixed)"),AP113,IF(LEFT(AQ113,9)="CONFIRMED",INDEX('12_sales_person_confirmation'!$F:$F,MATCH($A113,'12_sales_person_confirmation'!$A:$A,0)),""))</f>
        <v/>
      </c>
      <c r="AS113" s="2">
        <f>IF(AR113="","",INDEX('11_3nf_sales_person'!$B:$B,MATCH(AR113,'11_3nf_sales_person'!$A:$A,0)))</f>
        <v/>
      </c>
    </row>
    <row r="114">
      <c r="A114" s="2">
        <f>IF(ISBLANK('1_raw_log'!A114),"",'1_raw_log'!A114)</f>
        <v/>
      </c>
      <c r="B114" s="3">
        <f>IF(ISBLANK('1_raw_log'!B114),"",'1_raw_log'!B114)</f>
        <v/>
      </c>
      <c r="C114" s="2">
        <f>IF(ISBLANK('1_raw_log'!C114),"",'1_raw_log'!C114)</f>
        <v/>
      </c>
      <c r="D114" s="2">
        <f>IF(ISBLANK('1_raw_log'!D114),"",'1_raw_log'!D114)</f>
        <v/>
      </c>
      <c r="E114" s="4">
        <f>IF(ISBLANK('1_raw_log'!E114),"",'1_raw_log'!E114)</f>
        <v/>
      </c>
      <c r="F114" s="2">
        <f>IF(ISBLANK('1_raw_log'!F114),"",'1_raw_log'!F114)</f>
        <v/>
      </c>
      <c r="G114" s="2">
        <f>IF(ISBLANK('1_raw_log'!G114),"",'1_raw_log'!G114)</f>
        <v/>
      </c>
      <c r="H114" s="2">
        <f>IF(ISBLANK('1_raw_log'!H114),"",'1_raw_log'!H114)</f>
        <v/>
      </c>
      <c r="I114" s="7">
        <f>IF(ISBLANK('1_raw_log'!I114),"",'1_raw_log'!I114)</f>
        <v/>
      </c>
      <c r="J114" s="2">
        <f>IF(ISBLANK('1_raw_log'!J114),"",'1_raw_log'!J114)</f>
        <v/>
      </c>
      <c r="K114" s="2">
        <f>IF(ISBLANK('1_raw_log'!K114),"",'1_raw_log'!K114)</f>
        <v/>
      </c>
      <c r="L114" s="30">
        <f>INT(B114)</f>
        <v/>
      </c>
      <c r="M114" s="20">
        <f>ROUND(MOD(B114,1)*1440,0)/1440</f>
        <v/>
      </c>
      <c r="N114" s="4">
        <f>IFERROR(INDEX('3_ref_date'!$B:$B,MATCH(L114,'3_ref_date'!$A:$A,0)),"NOT FOUND")</f>
        <v/>
      </c>
      <c r="O114" s="2">
        <f>IFERROR(INDEX('3_ref_date'!$C:$C,MATCH(L114,'3_ref_date'!$A:$A,0)),"NOT FOUND")</f>
        <v/>
      </c>
      <c r="P114" s="4">
        <f>IFERROR(INDEX('3_ref_date'!$D:$D,MATCH(L114,'3_ref_date'!$A:$A,0)),"NOT FOUND")</f>
        <v/>
      </c>
      <c r="Q114" s="4">
        <f>IFERROR(INDEX('3_ref_date'!$E:$E,MATCH(L114,'3_ref_date'!$A:$A,0)),"NOT FOUND")</f>
        <v/>
      </c>
      <c r="R114" s="2">
        <f>IFERROR(INDEX('3_ref_date'!$F:$F,MATCH(L114,'3_ref_date'!$A:$A,0)),"NOT FOUND")</f>
        <v/>
      </c>
      <c r="S114" s="2">
        <f>IFERROR(INDEX('4_ref_time'!$D:$D,MATCH(ROUND(M114*1440,0),'4_ref_time'!$A:$A,0)),"NOT FOUND")</f>
        <v/>
      </c>
      <c r="T114" s="2">
        <f>UPPER(TRIM(C114))</f>
        <v/>
      </c>
      <c r="U114" s="30">
        <f>IF(_xlfn.MAXIFS('6_3nf_branch_history'!$B$2:$B$50,'6_3nf_branch_history'!$A$2:$A$50,T114,'6_3nf_branch_history'!$B$2:$B$50,"&lt;="&amp;L114)=0,"NOT FOUND",_xlfn.MAXIFS('6_3nf_branch_history'!$B$2:$B$50,'6_3nf_branch_history'!$A$2:$A$50,T114,'6_3nf_branch_history'!$B$2:$B$50,"&lt;="&amp;L114))</f>
        <v/>
      </c>
      <c r="V114" s="2">
        <f>IF(U114="NOT FOUND","NOT FOUND",INDEX('6_3nf_branch_history'!$C:$C,SUMPRODUCT(('6_3nf_branch_history'!$A$2:$A$50=T114)*('6_3nf_branch_history'!$B$2:$B$50=U114)*ROW('6_3nf_branch_history'!$A$2:$A$50))))</f>
        <v/>
      </c>
      <c r="W114" s="2">
        <f>IF(U114="NOT FOUND","NOT FOUND",INDEX('6_3nf_branch_history'!$D:$D,SUMPRODUCT(('6_3nf_branch_history'!$A$2:$A$50=T114)*('6_3nf_branch_history'!$B$2:$B$50=U114)*ROW('6_3nf_branch_history'!$A$2:$A$50))))</f>
        <v/>
      </c>
      <c r="X114" s="2">
        <f>IF(U114="NOT FOUND","NOT FOUND",INDEX('6_3nf_branch_history'!$E:$E,SUMPRODUCT(('6_3nf_branch_history'!$A$2:$A$50=T114)*('6_3nf_branch_history'!$B$2:$B$50=U114)*ROW('6_3nf_branch_history'!$A$2:$A$50))))</f>
        <v/>
      </c>
      <c r="Y114" s="2">
        <f>UPPER(TRIM(D114))</f>
        <v/>
      </c>
      <c r="Z114" s="2">
        <f>IFERROR(INDEX('7_3nf_product'!$B:$B,MATCH(Y114,'7_3nf_product'!$A:$A,0)),"NOT FOUND")</f>
        <v/>
      </c>
      <c r="AA114" s="2">
        <f>IFERROR(INDEX('7_3nf_product'!$C:$C,MATCH(Y114,'7_3nf_product'!$A:$A,0)),"NOT FOUND")</f>
        <v/>
      </c>
      <c r="AB114" s="2">
        <f>IFERROR(INDEX('7_3nf_product'!$D:$D,MATCH(Y114,'7_3nf_product'!$A:$A,0)),"NOT FOUND")</f>
        <v/>
      </c>
      <c r="AC114" s="6">
        <f>IFERROR(INDEX('7_3nf_product'!$E:$E,MATCH(Y114,'7_3nf_product'!$A:$A,0)),"NOT FOUND")</f>
        <v/>
      </c>
      <c r="AD114" s="33">
        <f>IF(LEN(TRIM(E114))=10,TRIM(E114),IF(LEN(TRIM(E114))=8,"00"&amp;TRIM(E114),"CHECK"))</f>
        <v/>
      </c>
      <c r="AE114" s="2">
        <f>IFERROR(INDEX('8_3nf_customer'!$C:$C,MATCH(AD114,'8_3nf_customer'!$B:$B,0)),"NOT FOUND")</f>
        <v/>
      </c>
      <c r="AF114" s="30">
        <f>IFERROR(INDEX('8_3nf_customer'!$D:$D,MATCH(AD114,'8_3nf_customer'!$B:$B,0)),"NOT FOUND")</f>
        <v/>
      </c>
      <c r="AG114" s="4">
        <f>IF(ISNUMBER(AF114),DATEDIF(AF114,L114,"y"),"NOT FOUND")</f>
        <v/>
      </c>
      <c r="AH114" s="2">
        <f>IFERROR(INDEX('8_3nf_customer'!$E:$E,MATCH(AD114,'8_3nf_customer'!$B:$B,0)),"NOT FOUND")</f>
        <v/>
      </c>
      <c r="AI114" s="30">
        <f>IF(_xlfn.MAXIFS('9_3nf_customer_history'!$B$2:$B$500,'9_3nf_customer_history'!$A$2:$A$500,AD114,'9_3nf_customer_history'!$B$2:$B$500,"&lt;="&amp;L114)=0,"NOT FOUND",_xlfn.MAXIFS('9_3nf_customer_history'!$B$2:$B$500,'9_3nf_customer_history'!$A$2:$A$500,AD114,'9_3nf_customer_history'!$B$2:$B$500,"&lt;="&amp;L114))</f>
        <v/>
      </c>
      <c r="AJ114" s="2">
        <f>IF(AI114="NOT FOUND","NOT FOUND",INDEX('9_3nf_customer_history'!$C:$C,SUMPRODUCT(('9_3nf_customer_history'!$A$2:$A$500=AD114)*('9_3nf_customer_history'!$B$2:$B$500=AI114)*ROW('9_3nf_customer_history'!$A$2:$A$500))))</f>
        <v/>
      </c>
      <c r="AK114" s="2">
        <f>IF(AI114="NOT FOUND","NOT FOUND",INDEX('9_3nf_customer_history'!$D:$D,SUMPRODUCT(('9_3nf_customer_history'!$A$2:$A$500=AD114)*('9_3nf_customer_history'!$B$2:$B$500=AI114)*ROW('9_3nf_customer_history'!$A$2:$A$500))))</f>
        <v/>
      </c>
      <c r="AL114" s="2">
        <f>UPPER(TRIM(H114))</f>
        <v/>
      </c>
      <c r="AM114" s="30">
        <f>IF(_xlfn.MAXIFS('10_ref_fx_rate'!$B$2:$B$2000,'10_ref_fx_rate'!$A$2:$A$2000,AL114,'10_ref_fx_rate'!$B$2:$B$2000,"&lt;="&amp;L114)=0,"NOT FOUND",_xlfn.MAXIFS('10_ref_fx_rate'!$B$2:$B$2000,'10_ref_fx_rate'!$A$2:$A$2000,AL114,'10_ref_fx_rate'!$B$2:$B$2000,"&lt;="&amp;L114))</f>
        <v/>
      </c>
      <c r="AN114" s="8">
        <f>IF(AM114="NOT FOUND","NOT FOUND",SUMIFS('10_ref_fx_rate'!$D$2:$D$2000,'10_ref_fx_rate'!$A$2:$A$2000,AL114,'10_ref_fx_rate'!$B$2:$B$2000,AM114))</f>
        <v/>
      </c>
      <c r="AO114" s="37">
        <f>IF(ISNUMBER(AN114),I114*AN114,"NOT FOUND")</f>
        <v/>
      </c>
      <c r="AP114" s="2">
        <f>UPPER(TRIM(J114))</f>
        <v/>
      </c>
      <c r="AQ114" s="2">
        <f>IF(AP114="","SELF-DIRECTED",IF(ISNUMBER(MATCH(AP114,'11_3nf_sales_person'!$A:$A,0)),IF(EXACT(AP114,J114),"OK","OK (auto-fixed)"),IF(ISNA(MATCH($A114,'12_sales_person_confirmation'!$A:$A,0)),"CONFIRM (not logged)",IF(INDEX('12_sales_person_confirmation'!$I:$I,MATCH($A114,'12_sales_person_confirmation'!$A:$A,0))="CONFIRMED","CONFIRMED ("&amp;LOWER(INDEX('12_sales_person_confirmation'!$E:$E,MATCH($A114,'12_sales_person_confirmation'!$A:$A,0)))&amp;")","PENDING CONFIRM"))))</f>
        <v/>
      </c>
      <c r="AR114" s="2">
        <f>IF(OR(AQ114="OK",AQ114="OK (auto-fixed)"),AP114,IF(LEFT(AQ114,9)="CONFIRMED",INDEX('12_sales_person_confirmation'!$F:$F,MATCH($A114,'12_sales_person_confirmation'!$A:$A,0)),""))</f>
        <v/>
      </c>
      <c r="AS114" s="2">
        <f>IF(AR114="","",INDEX('11_3nf_sales_person'!$B:$B,MATCH(AR114,'11_3nf_sales_person'!$A:$A,0)))</f>
        <v/>
      </c>
    </row>
    <row r="115">
      <c r="A115" s="2">
        <f>IF(ISBLANK('1_raw_log'!A115),"",'1_raw_log'!A115)</f>
        <v/>
      </c>
      <c r="B115" s="3">
        <f>IF(ISBLANK('1_raw_log'!B115),"",'1_raw_log'!B115)</f>
        <v/>
      </c>
      <c r="C115" s="2">
        <f>IF(ISBLANK('1_raw_log'!C115),"",'1_raw_log'!C115)</f>
        <v/>
      </c>
      <c r="D115" s="2">
        <f>IF(ISBLANK('1_raw_log'!D115),"",'1_raw_log'!D115)</f>
        <v/>
      </c>
      <c r="E115" s="4">
        <f>IF(ISBLANK('1_raw_log'!E115),"",'1_raw_log'!E115)</f>
        <v/>
      </c>
      <c r="F115" s="2">
        <f>IF(ISBLANK('1_raw_log'!F115),"",'1_raw_log'!F115)</f>
        <v/>
      </c>
      <c r="G115" s="2">
        <f>IF(ISBLANK('1_raw_log'!G115),"",'1_raw_log'!G115)</f>
        <v/>
      </c>
      <c r="H115" s="2">
        <f>IF(ISBLANK('1_raw_log'!H115),"",'1_raw_log'!H115)</f>
        <v/>
      </c>
      <c r="I115" s="7">
        <f>IF(ISBLANK('1_raw_log'!I115),"",'1_raw_log'!I115)</f>
        <v/>
      </c>
      <c r="J115" s="2">
        <f>IF(ISBLANK('1_raw_log'!J115),"",'1_raw_log'!J115)</f>
        <v/>
      </c>
      <c r="K115" s="2">
        <f>IF(ISBLANK('1_raw_log'!K115),"",'1_raw_log'!K115)</f>
        <v/>
      </c>
      <c r="L115" s="30">
        <f>INT(B115)</f>
        <v/>
      </c>
      <c r="M115" s="20">
        <f>ROUND(MOD(B115,1)*1440,0)/1440</f>
        <v/>
      </c>
      <c r="N115" s="4">
        <f>IFERROR(INDEX('3_ref_date'!$B:$B,MATCH(L115,'3_ref_date'!$A:$A,0)),"NOT FOUND")</f>
        <v/>
      </c>
      <c r="O115" s="2">
        <f>IFERROR(INDEX('3_ref_date'!$C:$C,MATCH(L115,'3_ref_date'!$A:$A,0)),"NOT FOUND")</f>
        <v/>
      </c>
      <c r="P115" s="4">
        <f>IFERROR(INDEX('3_ref_date'!$D:$D,MATCH(L115,'3_ref_date'!$A:$A,0)),"NOT FOUND")</f>
        <v/>
      </c>
      <c r="Q115" s="4">
        <f>IFERROR(INDEX('3_ref_date'!$E:$E,MATCH(L115,'3_ref_date'!$A:$A,0)),"NOT FOUND")</f>
        <v/>
      </c>
      <c r="R115" s="2">
        <f>IFERROR(INDEX('3_ref_date'!$F:$F,MATCH(L115,'3_ref_date'!$A:$A,0)),"NOT FOUND")</f>
        <v/>
      </c>
      <c r="S115" s="2">
        <f>IFERROR(INDEX('4_ref_time'!$D:$D,MATCH(ROUND(M115*1440,0),'4_ref_time'!$A:$A,0)),"NOT FOUND")</f>
        <v/>
      </c>
      <c r="T115" s="2">
        <f>UPPER(TRIM(C115))</f>
        <v/>
      </c>
      <c r="U115" s="30">
        <f>IF(_xlfn.MAXIFS('6_3nf_branch_history'!$B$2:$B$50,'6_3nf_branch_history'!$A$2:$A$50,T115,'6_3nf_branch_history'!$B$2:$B$50,"&lt;="&amp;L115)=0,"NOT FOUND",_xlfn.MAXIFS('6_3nf_branch_history'!$B$2:$B$50,'6_3nf_branch_history'!$A$2:$A$50,T115,'6_3nf_branch_history'!$B$2:$B$50,"&lt;="&amp;L115))</f>
        <v/>
      </c>
      <c r="V115" s="2">
        <f>IF(U115="NOT FOUND","NOT FOUND",INDEX('6_3nf_branch_history'!$C:$C,SUMPRODUCT(('6_3nf_branch_history'!$A$2:$A$50=T115)*('6_3nf_branch_history'!$B$2:$B$50=U115)*ROW('6_3nf_branch_history'!$A$2:$A$50))))</f>
        <v/>
      </c>
      <c r="W115" s="2">
        <f>IF(U115="NOT FOUND","NOT FOUND",INDEX('6_3nf_branch_history'!$D:$D,SUMPRODUCT(('6_3nf_branch_history'!$A$2:$A$50=T115)*('6_3nf_branch_history'!$B$2:$B$50=U115)*ROW('6_3nf_branch_history'!$A$2:$A$50))))</f>
        <v/>
      </c>
      <c r="X115" s="2">
        <f>IF(U115="NOT FOUND","NOT FOUND",INDEX('6_3nf_branch_history'!$E:$E,SUMPRODUCT(('6_3nf_branch_history'!$A$2:$A$50=T115)*('6_3nf_branch_history'!$B$2:$B$50=U115)*ROW('6_3nf_branch_history'!$A$2:$A$50))))</f>
        <v/>
      </c>
      <c r="Y115" s="2">
        <f>UPPER(TRIM(D115))</f>
        <v/>
      </c>
      <c r="Z115" s="2">
        <f>IFERROR(INDEX('7_3nf_product'!$B:$B,MATCH(Y115,'7_3nf_product'!$A:$A,0)),"NOT FOUND")</f>
        <v/>
      </c>
      <c r="AA115" s="2">
        <f>IFERROR(INDEX('7_3nf_product'!$C:$C,MATCH(Y115,'7_3nf_product'!$A:$A,0)),"NOT FOUND")</f>
        <v/>
      </c>
      <c r="AB115" s="2">
        <f>IFERROR(INDEX('7_3nf_product'!$D:$D,MATCH(Y115,'7_3nf_product'!$A:$A,0)),"NOT FOUND")</f>
        <v/>
      </c>
      <c r="AC115" s="6">
        <f>IFERROR(INDEX('7_3nf_product'!$E:$E,MATCH(Y115,'7_3nf_product'!$A:$A,0)),"NOT FOUND")</f>
        <v/>
      </c>
      <c r="AD115" s="33">
        <f>IF(LEN(TRIM(E115))=10,TRIM(E115),IF(LEN(TRIM(E115))=8,"00"&amp;TRIM(E115),"CHECK"))</f>
        <v/>
      </c>
      <c r="AE115" s="2">
        <f>IFERROR(INDEX('8_3nf_customer'!$C:$C,MATCH(AD115,'8_3nf_customer'!$B:$B,0)),"NOT FOUND")</f>
        <v/>
      </c>
      <c r="AF115" s="30">
        <f>IFERROR(INDEX('8_3nf_customer'!$D:$D,MATCH(AD115,'8_3nf_customer'!$B:$B,0)),"NOT FOUND")</f>
        <v/>
      </c>
      <c r="AG115" s="4">
        <f>IF(ISNUMBER(AF115),DATEDIF(AF115,L115,"y"),"NOT FOUND")</f>
        <v/>
      </c>
      <c r="AH115" s="2">
        <f>IFERROR(INDEX('8_3nf_customer'!$E:$E,MATCH(AD115,'8_3nf_customer'!$B:$B,0)),"NOT FOUND")</f>
        <v/>
      </c>
      <c r="AI115" s="30">
        <f>IF(_xlfn.MAXIFS('9_3nf_customer_history'!$B$2:$B$500,'9_3nf_customer_history'!$A$2:$A$500,AD115,'9_3nf_customer_history'!$B$2:$B$500,"&lt;="&amp;L115)=0,"NOT FOUND",_xlfn.MAXIFS('9_3nf_customer_history'!$B$2:$B$500,'9_3nf_customer_history'!$A$2:$A$500,AD115,'9_3nf_customer_history'!$B$2:$B$500,"&lt;="&amp;L115))</f>
        <v/>
      </c>
      <c r="AJ115" s="2">
        <f>IF(AI115="NOT FOUND","NOT FOUND",INDEX('9_3nf_customer_history'!$C:$C,SUMPRODUCT(('9_3nf_customer_history'!$A$2:$A$500=AD115)*('9_3nf_customer_history'!$B$2:$B$500=AI115)*ROW('9_3nf_customer_history'!$A$2:$A$500))))</f>
        <v/>
      </c>
      <c r="AK115" s="2">
        <f>IF(AI115="NOT FOUND","NOT FOUND",INDEX('9_3nf_customer_history'!$D:$D,SUMPRODUCT(('9_3nf_customer_history'!$A$2:$A$500=AD115)*('9_3nf_customer_history'!$B$2:$B$500=AI115)*ROW('9_3nf_customer_history'!$A$2:$A$500))))</f>
        <v/>
      </c>
      <c r="AL115" s="2">
        <f>UPPER(TRIM(H115))</f>
        <v/>
      </c>
      <c r="AM115" s="30">
        <f>IF(_xlfn.MAXIFS('10_ref_fx_rate'!$B$2:$B$2000,'10_ref_fx_rate'!$A$2:$A$2000,AL115,'10_ref_fx_rate'!$B$2:$B$2000,"&lt;="&amp;L115)=0,"NOT FOUND",_xlfn.MAXIFS('10_ref_fx_rate'!$B$2:$B$2000,'10_ref_fx_rate'!$A$2:$A$2000,AL115,'10_ref_fx_rate'!$B$2:$B$2000,"&lt;="&amp;L115))</f>
        <v/>
      </c>
      <c r="AN115" s="8">
        <f>IF(AM115="NOT FOUND","NOT FOUND",SUMIFS('10_ref_fx_rate'!$D$2:$D$2000,'10_ref_fx_rate'!$A$2:$A$2000,AL115,'10_ref_fx_rate'!$B$2:$B$2000,AM115))</f>
        <v/>
      </c>
      <c r="AO115" s="37">
        <f>IF(ISNUMBER(AN115),I115*AN115,"NOT FOUND")</f>
        <v/>
      </c>
      <c r="AP115" s="2">
        <f>UPPER(TRIM(J115))</f>
        <v/>
      </c>
      <c r="AQ115" s="2">
        <f>IF(AP115="","SELF-DIRECTED",IF(ISNUMBER(MATCH(AP115,'11_3nf_sales_person'!$A:$A,0)),IF(EXACT(AP115,J115),"OK","OK (auto-fixed)"),IF(ISNA(MATCH($A115,'12_sales_person_confirmation'!$A:$A,0)),"CONFIRM (not logged)",IF(INDEX('12_sales_person_confirmation'!$I:$I,MATCH($A115,'12_sales_person_confirmation'!$A:$A,0))="CONFIRMED","CONFIRMED ("&amp;LOWER(INDEX('12_sales_person_confirmation'!$E:$E,MATCH($A115,'12_sales_person_confirmation'!$A:$A,0)))&amp;")","PENDING CONFIRM"))))</f>
        <v/>
      </c>
      <c r="AR115" s="2">
        <f>IF(OR(AQ115="OK",AQ115="OK (auto-fixed)"),AP115,IF(LEFT(AQ115,9)="CONFIRMED",INDEX('12_sales_person_confirmation'!$F:$F,MATCH($A115,'12_sales_person_confirmation'!$A:$A,0)),""))</f>
        <v/>
      </c>
      <c r="AS115" s="2">
        <f>IF(AR115="","",INDEX('11_3nf_sales_person'!$B:$B,MATCH(AR115,'11_3nf_sales_person'!$A:$A,0)))</f>
        <v/>
      </c>
    </row>
    <row r="116">
      <c r="A116" s="2">
        <f>IF(ISBLANK('1_raw_log'!A116),"",'1_raw_log'!A116)</f>
        <v/>
      </c>
      <c r="B116" s="3">
        <f>IF(ISBLANK('1_raw_log'!B116),"",'1_raw_log'!B116)</f>
        <v/>
      </c>
      <c r="C116" s="2">
        <f>IF(ISBLANK('1_raw_log'!C116),"",'1_raw_log'!C116)</f>
        <v/>
      </c>
      <c r="D116" s="2">
        <f>IF(ISBLANK('1_raw_log'!D116),"",'1_raw_log'!D116)</f>
        <v/>
      </c>
      <c r="E116" s="4">
        <f>IF(ISBLANK('1_raw_log'!E116),"",'1_raw_log'!E116)</f>
        <v/>
      </c>
      <c r="F116" s="2">
        <f>IF(ISBLANK('1_raw_log'!F116),"",'1_raw_log'!F116)</f>
        <v/>
      </c>
      <c r="G116" s="2">
        <f>IF(ISBLANK('1_raw_log'!G116),"",'1_raw_log'!G116)</f>
        <v/>
      </c>
      <c r="H116" s="2">
        <f>IF(ISBLANK('1_raw_log'!H116),"",'1_raw_log'!H116)</f>
        <v/>
      </c>
      <c r="I116" s="7">
        <f>IF(ISBLANK('1_raw_log'!I116),"",'1_raw_log'!I116)</f>
        <v/>
      </c>
      <c r="J116" s="2">
        <f>IF(ISBLANK('1_raw_log'!J116),"",'1_raw_log'!J116)</f>
        <v/>
      </c>
      <c r="K116" s="2">
        <f>IF(ISBLANK('1_raw_log'!K116),"",'1_raw_log'!K116)</f>
        <v/>
      </c>
      <c r="L116" s="30">
        <f>INT(B116)</f>
        <v/>
      </c>
      <c r="M116" s="20">
        <f>ROUND(MOD(B116,1)*1440,0)/1440</f>
        <v/>
      </c>
      <c r="N116" s="4">
        <f>IFERROR(INDEX('3_ref_date'!$B:$B,MATCH(L116,'3_ref_date'!$A:$A,0)),"NOT FOUND")</f>
        <v/>
      </c>
      <c r="O116" s="2">
        <f>IFERROR(INDEX('3_ref_date'!$C:$C,MATCH(L116,'3_ref_date'!$A:$A,0)),"NOT FOUND")</f>
        <v/>
      </c>
      <c r="P116" s="4">
        <f>IFERROR(INDEX('3_ref_date'!$D:$D,MATCH(L116,'3_ref_date'!$A:$A,0)),"NOT FOUND")</f>
        <v/>
      </c>
      <c r="Q116" s="4">
        <f>IFERROR(INDEX('3_ref_date'!$E:$E,MATCH(L116,'3_ref_date'!$A:$A,0)),"NOT FOUND")</f>
        <v/>
      </c>
      <c r="R116" s="2">
        <f>IFERROR(INDEX('3_ref_date'!$F:$F,MATCH(L116,'3_ref_date'!$A:$A,0)),"NOT FOUND")</f>
        <v/>
      </c>
      <c r="S116" s="2">
        <f>IFERROR(INDEX('4_ref_time'!$D:$D,MATCH(ROUND(M116*1440,0),'4_ref_time'!$A:$A,0)),"NOT FOUND")</f>
        <v/>
      </c>
      <c r="T116" s="2">
        <f>UPPER(TRIM(C116))</f>
        <v/>
      </c>
      <c r="U116" s="30">
        <f>IF(_xlfn.MAXIFS('6_3nf_branch_history'!$B$2:$B$50,'6_3nf_branch_history'!$A$2:$A$50,T116,'6_3nf_branch_history'!$B$2:$B$50,"&lt;="&amp;L116)=0,"NOT FOUND",_xlfn.MAXIFS('6_3nf_branch_history'!$B$2:$B$50,'6_3nf_branch_history'!$A$2:$A$50,T116,'6_3nf_branch_history'!$B$2:$B$50,"&lt;="&amp;L116))</f>
        <v/>
      </c>
      <c r="V116" s="2">
        <f>IF(U116="NOT FOUND","NOT FOUND",INDEX('6_3nf_branch_history'!$C:$C,SUMPRODUCT(('6_3nf_branch_history'!$A$2:$A$50=T116)*('6_3nf_branch_history'!$B$2:$B$50=U116)*ROW('6_3nf_branch_history'!$A$2:$A$50))))</f>
        <v/>
      </c>
      <c r="W116" s="2">
        <f>IF(U116="NOT FOUND","NOT FOUND",INDEX('6_3nf_branch_history'!$D:$D,SUMPRODUCT(('6_3nf_branch_history'!$A$2:$A$50=T116)*('6_3nf_branch_history'!$B$2:$B$50=U116)*ROW('6_3nf_branch_history'!$A$2:$A$50))))</f>
        <v/>
      </c>
      <c r="X116" s="2">
        <f>IF(U116="NOT FOUND","NOT FOUND",INDEX('6_3nf_branch_history'!$E:$E,SUMPRODUCT(('6_3nf_branch_history'!$A$2:$A$50=T116)*('6_3nf_branch_history'!$B$2:$B$50=U116)*ROW('6_3nf_branch_history'!$A$2:$A$50))))</f>
        <v/>
      </c>
      <c r="Y116" s="2">
        <f>UPPER(TRIM(D116))</f>
        <v/>
      </c>
      <c r="Z116" s="2">
        <f>IFERROR(INDEX('7_3nf_product'!$B:$B,MATCH(Y116,'7_3nf_product'!$A:$A,0)),"NOT FOUND")</f>
        <v/>
      </c>
      <c r="AA116" s="2">
        <f>IFERROR(INDEX('7_3nf_product'!$C:$C,MATCH(Y116,'7_3nf_product'!$A:$A,0)),"NOT FOUND")</f>
        <v/>
      </c>
      <c r="AB116" s="2">
        <f>IFERROR(INDEX('7_3nf_product'!$D:$D,MATCH(Y116,'7_3nf_product'!$A:$A,0)),"NOT FOUND")</f>
        <v/>
      </c>
      <c r="AC116" s="6">
        <f>IFERROR(INDEX('7_3nf_product'!$E:$E,MATCH(Y116,'7_3nf_product'!$A:$A,0)),"NOT FOUND")</f>
        <v/>
      </c>
      <c r="AD116" s="33">
        <f>IF(LEN(TRIM(E116))=10,TRIM(E116),IF(LEN(TRIM(E116))=8,"00"&amp;TRIM(E116),"CHECK"))</f>
        <v/>
      </c>
      <c r="AE116" s="2">
        <f>IFERROR(INDEX('8_3nf_customer'!$C:$C,MATCH(AD116,'8_3nf_customer'!$B:$B,0)),"NOT FOUND")</f>
        <v/>
      </c>
      <c r="AF116" s="30">
        <f>IFERROR(INDEX('8_3nf_customer'!$D:$D,MATCH(AD116,'8_3nf_customer'!$B:$B,0)),"NOT FOUND")</f>
        <v/>
      </c>
      <c r="AG116" s="4">
        <f>IF(ISNUMBER(AF116),DATEDIF(AF116,L116,"y"),"NOT FOUND")</f>
        <v/>
      </c>
      <c r="AH116" s="2">
        <f>IFERROR(INDEX('8_3nf_customer'!$E:$E,MATCH(AD116,'8_3nf_customer'!$B:$B,0)),"NOT FOUND")</f>
        <v/>
      </c>
      <c r="AI116" s="30">
        <f>IF(_xlfn.MAXIFS('9_3nf_customer_history'!$B$2:$B$500,'9_3nf_customer_history'!$A$2:$A$500,AD116,'9_3nf_customer_history'!$B$2:$B$500,"&lt;="&amp;L116)=0,"NOT FOUND",_xlfn.MAXIFS('9_3nf_customer_history'!$B$2:$B$500,'9_3nf_customer_history'!$A$2:$A$500,AD116,'9_3nf_customer_history'!$B$2:$B$500,"&lt;="&amp;L116))</f>
        <v/>
      </c>
      <c r="AJ116" s="2">
        <f>IF(AI116="NOT FOUND","NOT FOUND",INDEX('9_3nf_customer_history'!$C:$C,SUMPRODUCT(('9_3nf_customer_history'!$A$2:$A$500=AD116)*('9_3nf_customer_history'!$B$2:$B$500=AI116)*ROW('9_3nf_customer_history'!$A$2:$A$500))))</f>
        <v/>
      </c>
      <c r="AK116" s="2">
        <f>IF(AI116="NOT FOUND","NOT FOUND",INDEX('9_3nf_customer_history'!$D:$D,SUMPRODUCT(('9_3nf_customer_history'!$A$2:$A$500=AD116)*('9_3nf_customer_history'!$B$2:$B$500=AI116)*ROW('9_3nf_customer_history'!$A$2:$A$500))))</f>
        <v/>
      </c>
      <c r="AL116" s="2">
        <f>UPPER(TRIM(H116))</f>
        <v/>
      </c>
      <c r="AM116" s="30">
        <f>IF(_xlfn.MAXIFS('10_ref_fx_rate'!$B$2:$B$2000,'10_ref_fx_rate'!$A$2:$A$2000,AL116,'10_ref_fx_rate'!$B$2:$B$2000,"&lt;="&amp;L116)=0,"NOT FOUND",_xlfn.MAXIFS('10_ref_fx_rate'!$B$2:$B$2000,'10_ref_fx_rate'!$A$2:$A$2000,AL116,'10_ref_fx_rate'!$B$2:$B$2000,"&lt;="&amp;L116))</f>
        <v/>
      </c>
      <c r="AN116" s="8">
        <f>IF(AM116="NOT FOUND","NOT FOUND",SUMIFS('10_ref_fx_rate'!$D$2:$D$2000,'10_ref_fx_rate'!$A$2:$A$2000,AL116,'10_ref_fx_rate'!$B$2:$B$2000,AM116))</f>
        <v/>
      </c>
      <c r="AO116" s="37">
        <f>IF(ISNUMBER(AN116),I116*AN116,"NOT FOUND")</f>
        <v/>
      </c>
      <c r="AP116" s="2">
        <f>UPPER(TRIM(J116))</f>
        <v/>
      </c>
      <c r="AQ116" s="2">
        <f>IF(AP116="","SELF-DIRECTED",IF(ISNUMBER(MATCH(AP116,'11_3nf_sales_person'!$A:$A,0)),IF(EXACT(AP116,J116),"OK","OK (auto-fixed)"),IF(ISNA(MATCH($A116,'12_sales_person_confirmation'!$A:$A,0)),"CONFIRM (not logged)",IF(INDEX('12_sales_person_confirmation'!$I:$I,MATCH($A116,'12_sales_person_confirmation'!$A:$A,0))="CONFIRMED","CONFIRMED ("&amp;LOWER(INDEX('12_sales_person_confirmation'!$E:$E,MATCH($A116,'12_sales_person_confirmation'!$A:$A,0)))&amp;")","PENDING CONFIRM"))))</f>
        <v/>
      </c>
      <c r="AR116" s="2">
        <f>IF(OR(AQ116="OK",AQ116="OK (auto-fixed)"),AP116,IF(LEFT(AQ116,9)="CONFIRMED",INDEX('12_sales_person_confirmation'!$F:$F,MATCH($A116,'12_sales_person_confirmation'!$A:$A,0)),""))</f>
        <v/>
      </c>
      <c r="AS116" s="2">
        <f>IF(AR116="","",INDEX('11_3nf_sales_person'!$B:$B,MATCH(AR116,'11_3nf_sales_person'!$A:$A,0)))</f>
        <v/>
      </c>
    </row>
    <row r="117">
      <c r="A117" s="2">
        <f>IF(ISBLANK('1_raw_log'!A117),"",'1_raw_log'!A117)</f>
        <v/>
      </c>
      <c r="B117" s="3">
        <f>IF(ISBLANK('1_raw_log'!B117),"",'1_raw_log'!B117)</f>
        <v/>
      </c>
      <c r="C117" s="2">
        <f>IF(ISBLANK('1_raw_log'!C117),"",'1_raw_log'!C117)</f>
        <v/>
      </c>
      <c r="D117" s="2">
        <f>IF(ISBLANK('1_raw_log'!D117),"",'1_raw_log'!D117)</f>
        <v/>
      </c>
      <c r="E117" s="4">
        <f>IF(ISBLANK('1_raw_log'!E117),"",'1_raw_log'!E117)</f>
        <v/>
      </c>
      <c r="F117" s="2">
        <f>IF(ISBLANK('1_raw_log'!F117),"",'1_raw_log'!F117)</f>
        <v/>
      </c>
      <c r="G117" s="2">
        <f>IF(ISBLANK('1_raw_log'!G117),"",'1_raw_log'!G117)</f>
        <v/>
      </c>
      <c r="H117" s="2">
        <f>IF(ISBLANK('1_raw_log'!H117),"",'1_raw_log'!H117)</f>
        <v/>
      </c>
      <c r="I117" s="7">
        <f>IF(ISBLANK('1_raw_log'!I117),"",'1_raw_log'!I117)</f>
        <v/>
      </c>
      <c r="J117" s="2">
        <f>IF(ISBLANK('1_raw_log'!J117),"",'1_raw_log'!J117)</f>
        <v/>
      </c>
      <c r="K117" s="2">
        <f>IF(ISBLANK('1_raw_log'!K117),"",'1_raw_log'!K117)</f>
        <v/>
      </c>
      <c r="L117" s="30">
        <f>INT(B117)</f>
        <v/>
      </c>
      <c r="M117" s="20">
        <f>ROUND(MOD(B117,1)*1440,0)/1440</f>
        <v/>
      </c>
      <c r="N117" s="4">
        <f>IFERROR(INDEX('3_ref_date'!$B:$B,MATCH(L117,'3_ref_date'!$A:$A,0)),"NOT FOUND")</f>
        <v/>
      </c>
      <c r="O117" s="2">
        <f>IFERROR(INDEX('3_ref_date'!$C:$C,MATCH(L117,'3_ref_date'!$A:$A,0)),"NOT FOUND")</f>
        <v/>
      </c>
      <c r="P117" s="4">
        <f>IFERROR(INDEX('3_ref_date'!$D:$D,MATCH(L117,'3_ref_date'!$A:$A,0)),"NOT FOUND")</f>
        <v/>
      </c>
      <c r="Q117" s="4">
        <f>IFERROR(INDEX('3_ref_date'!$E:$E,MATCH(L117,'3_ref_date'!$A:$A,0)),"NOT FOUND")</f>
        <v/>
      </c>
      <c r="R117" s="2">
        <f>IFERROR(INDEX('3_ref_date'!$F:$F,MATCH(L117,'3_ref_date'!$A:$A,0)),"NOT FOUND")</f>
        <v/>
      </c>
      <c r="S117" s="2">
        <f>IFERROR(INDEX('4_ref_time'!$D:$D,MATCH(ROUND(M117*1440,0),'4_ref_time'!$A:$A,0)),"NOT FOUND")</f>
        <v/>
      </c>
      <c r="T117" s="2">
        <f>UPPER(TRIM(C117))</f>
        <v/>
      </c>
      <c r="U117" s="30">
        <f>IF(_xlfn.MAXIFS('6_3nf_branch_history'!$B$2:$B$50,'6_3nf_branch_history'!$A$2:$A$50,T117,'6_3nf_branch_history'!$B$2:$B$50,"&lt;="&amp;L117)=0,"NOT FOUND",_xlfn.MAXIFS('6_3nf_branch_history'!$B$2:$B$50,'6_3nf_branch_history'!$A$2:$A$50,T117,'6_3nf_branch_history'!$B$2:$B$50,"&lt;="&amp;L117))</f>
        <v/>
      </c>
      <c r="V117" s="2">
        <f>IF(U117="NOT FOUND","NOT FOUND",INDEX('6_3nf_branch_history'!$C:$C,SUMPRODUCT(('6_3nf_branch_history'!$A$2:$A$50=T117)*('6_3nf_branch_history'!$B$2:$B$50=U117)*ROW('6_3nf_branch_history'!$A$2:$A$50))))</f>
        <v/>
      </c>
      <c r="W117" s="2">
        <f>IF(U117="NOT FOUND","NOT FOUND",INDEX('6_3nf_branch_history'!$D:$D,SUMPRODUCT(('6_3nf_branch_history'!$A$2:$A$50=T117)*('6_3nf_branch_history'!$B$2:$B$50=U117)*ROW('6_3nf_branch_history'!$A$2:$A$50))))</f>
        <v/>
      </c>
      <c r="X117" s="2">
        <f>IF(U117="NOT FOUND","NOT FOUND",INDEX('6_3nf_branch_history'!$E:$E,SUMPRODUCT(('6_3nf_branch_history'!$A$2:$A$50=T117)*('6_3nf_branch_history'!$B$2:$B$50=U117)*ROW('6_3nf_branch_history'!$A$2:$A$50))))</f>
        <v/>
      </c>
      <c r="Y117" s="2">
        <f>UPPER(TRIM(D117))</f>
        <v/>
      </c>
      <c r="Z117" s="2">
        <f>IFERROR(INDEX('7_3nf_product'!$B:$B,MATCH(Y117,'7_3nf_product'!$A:$A,0)),"NOT FOUND")</f>
        <v/>
      </c>
      <c r="AA117" s="2">
        <f>IFERROR(INDEX('7_3nf_product'!$C:$C,MATCH(Y117,'7_3nf_product'!$A:$A,0)),"NOT FOUND")</f>
        <v/>
      </c>
      <c r="AB117" s="2">
        <f>IFERROR(INDEX('7_3nf_product'!$D:$D,MATCH(Y117,'7_3nf_product'!$A:$A,0)),"NOT FOUND")</f>
        <v/>
      </c>
      <c r="AC117" s="6">
        <f>IFERROR(INDEX('7_3nf_product'!$E:$E,MATCH(Y117,'7_3nf_product'!$A:$A,0)),"NOT FOUND")</f>
        <v/>
      </c>
      <c r="AD117" s="33">
        <f>IF(LEN(TRIM(E117))=10,TRIM(E117),IF(LEN(TRIM(E117))=8,"00"&amp;TRIM(E117),"CHECK"))</f>
        <v/>
      </c>
      <c r="AE117" s="2">
        <f>IFERROR(INDEX('8_3nf_customer'!$C:$C,MATCH(AD117,'8_3nf_customer'!$B:$B,0)),"NOT FOUND")</f>
        <v/>
      </c>
      <c r="AF117" s="30">
        <f>IFERROR(INDEX('8_3nf_customer'!$D:$D,MATCH(AD117,'8_3nf_customer'!$B:$B,0)),"NOT FOUND")</f>
        <v/>
      </c>
      <c r="AG117" s="4">
        <f>IF(ISNUMBER(AF117),DATEDIF(AF117,L117,"y"),"NOT FOUND")</f>
        <v/>
      </c>
      <c r="AH117" s="2">
        <f>IFERROR(INDEX('8_3nf_customer'!$E:$E,MATCH(AD117,'8_3nf_customer'!$B:$B,0)),"NOT FOUND")</f>
        <v/>
      </c>
      <c r="AI117" s="30">
        <f>IF(_xlfn.MAXIFS('9_3nf_customer_history'!$B$2:$B$500,'9_3nf_customer_history'!$A$2:$A$500,AD117,'9_3nf_customer_history'!$B$2:$B$500,"&lt;="&amp;L117)=0,"NOT FOUND",_xlfn.MAXIFS('9_3nf_customer_history'!$B$2:$B$500,'9_3nf_customer_history'!$A$2:$A$500,AD117,'9_3nf_customer_history'!$B$2:$B$500,"&lt;="&amp;L117))</f>
        <v/>
      </c>
      <c r="AJ117" s="2">
        <f>IF(AI117="NOT FOUND","NOT FOUND",INDEX('9_3nf_customer_history'!$C:$C,SUMPRODUCT(('9_3nf_customer_history'!$A$2:$A$500=AD117)*('9_3nf_customer_history'!$B$2:$B$500=AI117)*ROW('9_3nf_customer_history'!$A$2:$A$500))))</f>
        <v/>
      </c>
      <c r="AK117" s="2">
        <f>IF(AI117="NOT FOUND","NOT FOUND",INDEX('9_3nf_customer_history'!$D:$D,SUMPRODUCT(('9_3nf_customer_history'!$A$2:$A$500=AD117)*('9_3nf_customer_history'!$B$2:$B$500=AI117)*ROW('9_3nf_customer_history'!$A$2:$A$500))))</f>
        <v/>
      </c>
      <c r="AL117" s="2">
        <f>UPPER(TRIM(H117))</f>
        <v/>
      </c>
      <c r="AM117" s="30">
        <f>IF(_xlfn.MAXIFS('10_ref_fx_rate'!$B$2:$B$2000,'10_ref_fx_rate'!$A$2:$A$2000,AL117,'10_ref_fx_rate'!$B$2:$B$2000,"&lt;="&amp;L117)=0,"NOT FOUND",_xlfn.MAXIFS('10_ref_fx_rate'!$B$2:$B$2000,'10_ref_fx_rate'!$A$2:$A$2000,AL117,'10_ref_fx_rate'!$B$2:$B$2000,"&lt;="&amp;L117))</f>
        <v/>
      </c>
      <c r="AN117" s="8">
        <f>IF(AM117="NOT FOUND","NOT FOUND",SUMIFS('10_ref_fx_rate'!$D$2:$D$2000,'10_ref_fx_rate'!$A$2:$A$2000,AL117,'10_ref_fx_rate'!$B$2:$B$2000,AM117))</f>
        <v/>
      </c>
      <c r="AO117" s="37">
        <f>IF(ISNUMBER(AN117),I117*AN117,"NOT FOUND")</f>
        <v/>
      </c>
      <c r="AP117" s="2">
        <f>UPPER(TRIM(J117))</f>
        <v/>
      </c>
      <c r="AQ117" s="2">
        <f>IF(AP117="","SELF-DIRECTED",IF(ISNUMBER(MATCH(AP117,'11_3nf_sales_person'!$A:$A,0)),IF(EXACT(AP117,J117),"OK","OK (auto-fixed)"),IF(ISNA(MATCH($A117,'12_sales_person_confirmation'!$A:$A,0)),"CONFIRM (not logged)",IF(INDEX('12_sales_person_confirmation'!$I:$I,MATCH($A117,'12_sales_person_confirmation'!$A:$A,0))="CONFIRMED","CONFIRMED ("&amp;LOWER(INDEX('12_sales_person_confirmation'!$E:$E,MATCH($A117,'12_sales_person_confirmation'!$A:$A,0)))&amp;")","PENDING CONFIRM"))))</f>
        <v/>
      </c>
      <c r="AR117" s="2">
        <f>IF(OR(AQ117="OK",AQ117="OK (auto-fixed)"),AP117,IF(LEFT(AQ117,9)="CONFIRMED",INDEX('12_sales_person_confirmation'!$F:$F,MATCH($A117,'12_sales_person_confirmation'!$A:$A,0)),""))</f>
        <v/>
      </c>
      <c r="AS117" s="2">
        <f>IF(AR117="","",INDEX('11_3nf_sales_person'!$B:$B,MATCH(AR117,'11_3nf_sales_person'!$A:$A,0)))</f>
        <v/>
      </c>
    </row>
    <row r="118">
      <c r="A118" s="2">
        <f>IF(ISBLANK('1_raw_log'!A118),"",'1_raw_log'!A118)</f>
        <v/>
      </c>
      <c r="B118" s="3">
        <f>IF(ISBLANK('1_raw_log'!B118),"",'1_raw_log'!B118)</f>
        <v/>
      </c>
      <c r="C118" s="2">
        <f>IF(ISBLANK('1_raw_log'!C118),"",'1_raw_log'!C118)</f>
        <v/>
      </c>
      <c r="D118" s="2">
        <f>IF(ISBLANK('1_raw_log'!D118),"",'1_raw_log'!D118)</f>
        <v/>
      </c>
      <c r="E118" s="4">
        <f>IF(ISBLANK('1_raw_log'!E118),"",'1_raw_log'!E118)</f>
        <v/>
      </c>
      <c r="F118" s="2">
        <f>IF(ISBLANK('1_raw_log'!F118),"",'1_raw_log'!F118)</f>
        <v/>
      </c>
      <c r="G118" s="2">
        <f>IF(ISBLANK('1_raw_log'!G118),"",'1_raw_log'!G118)</f>
        <v/>
      </c>
      <c r="H118" s="2">
        <f>IF(ISBLANK('1_raw_log'!H118),"",'1_raw_log'!H118)</f>
        <v/>
      </c>
      <c r="I118" s="7">
        <f>IF(ISBLANK('1_raw_log'!I118),"",'1_raw_log'!I118)</f>
        <v/>
      </c>
      <c r="J118" s="2">
        <f>IF(ISBLANK('1_raw_log'!J118),"",'1_raw_log'!J118)</f>
        <v/>
      </c>
      <c r="K118" s="2">
        <f>IF(ISBLANK('1_raw_log'!K118),"",'1_raw_log'!K118)</f>
        <v/>
      </c>
      <c r="L118" s="30">
        <f>INT(B118)</f>
        <v/>
      </c>
      <c r="M118" s="20">
        <f>ROUND(MOD(B118,1)*1440,0)/1440</f>
        <v/>
      </c>
      <c r="N118" s="4">
        <f>IFERROR(INDEX('3_ref_date'!$B:$B,MATCH(L118,'3_ref_date'!$A:$A,0)),"NOT FOUND")</f>
        <v/>
      </c>
      <c r="O118" s="2">
        <f>IFERROR(INDEX('3_ref_date'!$C:$C,MATCH(L118,'3_ref_date'!$A:$A,0)),"NOT FOUND")</f>
        <v/>
      </c>
      <c r="P118" s="4">
        <f>IFERROR(INDEX('3_ref_date'!$D:$D,MATCH(L118,'3_ref_date'!$A:$A,0)),"NOT FOUND")</f>
        <v/>
      </c>
      <c r="Q118" s="4">
        <f>IFERROR(INDEX('3_ref_date'!$E:$E,MATCH(L118,'3_ref_date'!$A:$A,0)),"NOT FOUND")</f>
        <v/>
      </c>
      <c r="R118" s="2">
        <f>IFERROR(INDEX('3_ref_date'!$F:$F,MATCH(L118,'3_ref_date'!$A:$A,0)),"NOT FOUND")</f>
        <v/>
      </c>
      <c r="S118" s="2">
        <f>IFERROR(INDEX('4_ref_time'!$D:$D,MATCH(ROUND(M118*1440,0),'4_ref_time'!$A:$A,0)),"NOT FOUND")</f>
        <v/>
      </c>
      <c r="T118" s="2">
        <f>UPPER(TRIM(C118))</f>
        <v/>
      </c>
      <c r="U118" s="30">
        <f>IF(_xlfn.MAXIFS('6_3nf_branch_history'!$B$2:$B$50,'6_3nf_branch_history'!$A$2:$A$50,T118,'6_3nf_branch_history'!$B$2:$B$50,"&lt;="&amp;L118)=0,"NOT FOUND",_xlfn.MAXIFS('6_3nf_branch_history'!$B$2:$B$50,'6_3nf_branch_history'!$A$2:$A$50,T118,'6_3nf_branch_history'!$B$2:$B$50,"&lt;="&amp;L118))</f>
        <v/>
      </c>
      <c r="V118" s="2">
        <f>IF(U118="NOT FOUND","NOT FOUND",INDEX('6_3nf_branch_history'!$C:$C,SUMPRODUCT(('6_3nf_branch_history'!$A$2:$A$50=T118)*('6_3nf_branch_history'!$B$2:$B$50=U118)*ROW('6_3nf_branch_history'!$A$2:$A$50))))</f>
        <v/>
      </c>
      <c r="W118" s="2">
        <f>IF(U118="NOT FOUND","NOT FOUND",INDEX('6_3nf_branch_history'!$D:$D,SUMPRODUCT(('6_3nf_branch_history'!$A$2:$A$50=T118)*('6_3nf_branch_history'!$B$2:$B$50=U118)*ROW('6_3nf_branch_history'!$A$2:$A$50))))</f>
        <v/>
      </c>
      <c r="X118" s="2">
        <f>IF(U118="NOT FOUND","NOT FOUND",INDEX('6_3nf_branch_history'!$E:$E,SUMPRODUCT(('6_3nf_branch_history'!$A$2:$A$50=T118)*('6_3nf_branch_history'!$B$2:$B$50=U118)*ROW('6_3nf_branch_history'!$A$2:$A$50))))</f>
        <v/>
      </c>
      <c r="Y118" s="2">
        <f>UPPER(TRIM(D118))</f>
        <v/>
      </c>
      <c r="Z118" s="2">
        <f>IFERROR(INDEX('7_3nf_product'!$B:$B,MATCH(Y118,'7_3nf_product'!$A:$A,0)),"NOT FOUND")</f>
        <v/>
      </c>
      <c r="AA118" s="2">
        <f>IFERROR(INDEX('7_3nf_product'!$C:$C,MATCH(Y118,'7_3nf_product'!$A:$A,0)),"NOT FOUND")</f>
        <v/>
      </c>
      <c r="AB118" s="2">
        <f>IFERROR(INDEX('7_3nf_product'!$D:$D,MATCH(Y118,'7_3nf_product'!$A:$A,0)),"NOT FOUND")</f>
        <v/>
      </c>
      <c r="AC118" s="6">
        <f>IFERROR(INDEX('7_3nf_product'!$E:$E,MATCH(Y118,'7_3nf_product'!$A:$A,0)),"NOT FOUND")</f>
        <v/>
      </c>
      <c r="AD118" s="33">
        <f>IF(LEN(TRIM(E118))=10,TRIM(E118),IF(LEN(TRIM(E118))=8,"00"&amp;TRIM(E118),"CHECK"))</f>
        <v/>
      </c>
      <c r="AE118" s="2">
        <f>IFERROR(INDEX('8_3nf_customer'!$C:$C,MATCH(AD118,'8_3nf_customer'!$B:$B,0)),"NOT FOUND")</f>
        <v/>
      </c>
      <c r="AF118" s="30">
        <f>IFERROR(INDEX('8_3nf_customer'!$D:$D,MATCH(AD118,'8_3nf_customer'!$B:$B,0)),"NOT FOUND")</f>
        <v/>
      </c>
      <c r="AG118" s="4">
        <f>IF(ISNUMBER(AF118),DATEDIF(AF118,L118,"y"),"NOT FOUND")</f>
        <v/>
      </c>
      <c r="AH118" s="2">
        <f>IFERROR(INDEX('8_3nf_customer'!$E:$E,MATCH(AD118,'8_3nf_customer'!$B:$B,0)),"NOT FOUND")</f>
        <v/>
      </c>
      <c r="AI118" s="30">
        <f>IF(_xlfn.MAXIFS('9_3nf_customer_history'!$B$2:$B$500,'9_3nf_customer_history'!$A$2:$A$500,AD118,'9_3nf_customer_history'!$B$2:$B$500,"&lt;="&amp;L118)=0,"NOT FOUND",_xlfn.MAXIFS('9_3nf_customer_history'!$B$2:$B$500,'9_3nf_customer_history'!$A$2:$A$500,AD118,'9_3nf_customer_history'!$B$2:$B$500,"&lt;="&amp;L118))</f>
        <v/>
      </c>
      <c r="AJ118" s="2">
        <f>IF(AI118="NOT FOUND","NOT FOUND",INDEX('9_3nf_customer_history'!$C:$C,SUMPRODUCT(('9_3nf_customer_history'!$A$2:$A$500=AD118)*('9_3nf_customer_history'!$B$2:$B$500=AI118)*ROW('9_3nf_customer_history'!$A$2:$A$500))))</f>
        <v/>
      </c>
      <c r="AK118" s="2">
        <f>IF(AI118="NOT FOUND","NOT FOUND",INDEX('9_3nf_customer_history'!$D:$D,SUMPRODUCT(('9_3nf_customer_history'!$A$2:$A$500=AD118)*('9_3nf_customer_history'!$B$2:$B$500=AI118)*ROW('9_3nf_customer_history'!$A$2:$A$500))))</f>
        <v/>
      </c>
      <c r="AL118" s="2">
        <f>UPPER(TRIM(H118))</f>
        <v/>
      </c>
      <c r="AM118" s="30">
        <f>IF(_xlfn.MAXIFS('10_ref_fx_rate'!$B$2:$B$2000,'10_ref_fx_rate'!$A$2:$A$2000,AL118,'10_ref_fx_rate'!$B$2:$B$2000,"&lt;="&amp;L118)=0,"NOT FOUND",_xlfn.MAXIFS('10_ref_fx_rate'!$B$2:$B$2000,'10_ref_fx_rate'!$A$2:$A$2000,AL118,'10_ref_fx_rate'!$B$2:$B$2000,"&lt;="&amp;L118))</f>
        <v/>
      </c>
      <c r="AN118" s="8">
        <f>IF(AM118="NOT FOUND","NOT FOUND",SUMIFS('10_ref_fx_rate'!$D$2:$D$2000,'10_ref_fx_rate'!$A$2:$A$2000,AL118,'10_ref_fx_rate'!$B$2:$B$2000,AM118))</f>
        <v/>
      </c>
      <c r="AO118" s="37">
        <f>IF(ISNUMBER(AN118),I118*AN118,"NOT FOUND")</f>
        <v/>
      </c>
      <c r="AP118" s="2">
        <f>UPPER(TRIM(J118))</f>
        <v/>
      </c>
      <c r="AQ118" s="2">
        <f>IF(AP118="","SELF-DIRECTED",IF(ISNUMBER(MATCH(AP118,'11_3nf_sales_person'!$A:$A,0)),IF(EXACT(AP118,J118),"OK","OK (auto-fixed)"),IF(ISNA(MATCH($A118,'12_sales_person_confirmation'!$A:$A,0)),"CONFIRM (not logged)",IF(INDEX('12_sales_person_confirmation'!$I:$I,MATCH($A118,'12_sales_person_confirmation'!$A:$A,0))="CONFIRMED","CONFIRMED ("&amp;LOWER(INDEX('12_sales_person_confirmation'!$E:$E,MATCH($A118,'12_sales_person_confirmation'!$A:$A,0)))&amp;")","PENDING CONFIRM"))))</f>
        <v/>
      </c>
      <c r="AR118" s="2">
        <f>IF(OR(AQ118="OK",AQ118="OK (auto-fixed)"),AP118,IF(LEFT(AQ118,9)="CONFIRMED",INDEX('12_sales_person_confirmation'!$F:$F,MATCH($A118,'12_sales_person_confirmation'!$A:$A,0)),""))</f>
        <v/>
      </c>
      <c r="AS118" s="2">
        <f>IF(AR118="","",INDEX('11_3nf_sales_person'!$B:$B,MATCH(AR118,'11_3nf_sales_person'!$A:$A,0)))</f>
        <v/>
      </c>
    </row>
    <row r="119">
      <c r="A119" s="2">
        <f>IF(ISBLANK('1_raw_log'!A119),"",'1_raw_log'!A119)</f>
        <v/>
      </c>
      <c r="B119" s="3">
        <f>IF(ISBLANK('1_raw_log'!B119),"",'1_raw_log'!B119)</f>
        <v/>
      </c>
      <c r="C119" s="2">
        <f>IF(ISBLANK('1_raw_log'!C119),"",'1_raw_log'!C119)</f>
        <v/>
      </c>
      <c r="D119" s="2">
        <f>IF(ISBLANK('1_raw_log'!D119),"",'1_raw_log'!D119)</f>
        <v/>
      </c>
      <c r="E119" s="4">
        <f>IF(ISBLANK('1_raw_log'!E119),"",'1_raw_log'!E119)</f>
        <v/>
      </c>
      <c r="F119" s="2">
        <f>IF(ISBLANK('1_raw_log'!F119),"",'1_raw_log'!F119)</f>
        <v/>
      </c>
      <c r="G119" s="2">
        <f>IF(ISBLANK('1_raw_log'!G119),"",'1_raw_log'!G119)</f>
        <v/>
      </c>
      <c r="H119" s="2">
        <f>IF(ISBLANK('1_raw_log'!H119),"",'1_raw_log'!H119)</f>
        <v/>
      </c>
      <c r="I119" s="7">
        <f>IF(ISBLANK('1_raw_log'!I119),"",'1_raw_log'!I119)</f>
        <v/>
      </c>
      <c r="J119" s="2">
        <f>IF(ISBLANK('1_raw_log'!J119),"",'1_raw_log'!J119)</f>
        <v/>
      </c>
      <c r="K119" s="2">
        <f>IF(ISBLANK('1_raw_log'!K119),"",'1_raw_log'!K119)</f>
        <v/>
      </c>
      <c r="L119" s="30">
        <f>INT(B119)</f>
        <v/>
      </c>
      <c r="M119" s="20">
        <f>ROUND(MOD(B119,1)*1440,0)/1440</f>
        <v/>
      </c>
      <c r="N119" s="4">
        <f>IFERROR(INDEX('3_ref_date'!$B:$B,MATCH(L119,'3_ref_date'!$A:$A,0)),"NOT FOUND")</f>
        <v/>
      </c>
      <c r="O119" s="2">
        <f>IFERROR(INDEX('3_ref_date'!$C:$C,MATCH(L119,'3_ref_date'!$A:$A,0)),"NOT FOUND")</f>
        <v/>
      </c>
      <c r="P119" s="4">
        <f>IFERROR(INDEX('3_ref_date'!$D:$D,MATCH(L119,'3_ref_date'!$A:$A,0)),"NOT FOUND")</f>
        <v/>
      </c>
      <c r="Q119" s="4">
        <f>IFERROR(INDEX('3_ref_date'!$E:$E,MATCH(L119,'3_ref_date'!$A:$A,0)),"NOT FOUND")</f>
        <v/>
      </c>
      <c r="R119" s="2">
        <f>IFERROR(INDEX('3_ref_date'!$F:$F,MATCH(L119,'3_ref_date'!$A:$A,0)),"NOT FOUND")</f>
        <v/>
      </c>
      <c r="S119" s="2">
        <f>IFERROR(INDEX('4_ref_time'!$D:$D,MATCH(ROUND(M119*1440,0),'4_ref_time'!$A:$A,0)),"NOT FOUND")</f>
        <v/>
      </c>
      <c r="T119" s="2">
        <f>UPPER(TRIM(C119))</f>
        <v/>
      </c>
      <c r="U119" s="30">
        <f>IF(_xlfn.MAXIFS('6_3nf_branch_history'!$B$2:$B$50,'6_3nf_branch_history'!$A$2:$A$50,T119,'6_3nf_branch_history'!$B$2:$B$50,"&lt;="&amp;L119)=0,"NOT FOUND",_xlfn.MAXIFS('6_3nf_branch_history'!$B$2:$B$50,'6_3nf_branch_history'!$A$2:$A$50,T119,'6_3nf_branch_history'!$B$2:$B$50,"&lt;="&amp;L119))</f>
        <v/>
      </c>
      <c r="V119" s="2">
        <f>IF(U119="NOT FOUND","NOT FOUND",INDEX('6_3nf_branch_history'!$C:$C,SUMPRODUCT(('6_3nf_branch_history'!$A$2:$A$50=T119)*('6_3nf_branch_history'!$B$2:$B$50=U119)*ROW('6_3nf_branch_history'!$A$2:$A$50))))</f>
        <v/>
      </c>
      <c r="W119" s="2">
        <f>IF(U119="NOT FOUND","NOT FOUND",INDEX('6_3nf_branch_history'!$D:$D,SUMPRODUCT(('6_3nf_branch_history'!$A$2:$A$50=T119)*('6_3nf_branch_history'!$B$2:$B$50=U119)*ROW('6_3nf_branch_history'!$A$2:$A$50))))</f>
        <v/>
      </c>
      <c r="X119" s="2">
        <f>IF(U119="NOT FOUND","NOT FOUND",INDEX('6_3nf_branch_history'!$E:$E,SUMPRODUCT(('6_3nf_branch_history'!$A$2:$A$50=T119)*('6_3nf_branch_history'!$B$2:$B$50=U119)*ROW('6_3nf_branch_history'!$A$2:$A$50))))</f>
        <v/>
      </c>
      <c r="Y119" s="2">
        <f>UPPER(TRIM(D119))</f>
        <v/>
      </c>
      <c r="Z119" s="2">
        <f>IFERROR(INDEX('7_3nf_product'!$B:$B,MATCH(Y119,'7_3nf_product'!$A:$A,0)),"NOT FOUND")</f>
        <v/>
      </c>
      <c r="AA119" s="2">
        <f>IFERROR(INDEX('7_3nf_product'!$C:$C,MATCH(Y119,'7_3nf_product'!$A:$A,0)),"NOT FOUND")</f>
        <v/>
      </c>
      <c r="AB119" s="2">
        <f>IFERROR(INDEX('7_3nf_product'!$D:$D,MATCH(Y119,'7_3nf_product'!$A:$A,0)),"NOT FOUND")</f>
        <v/>
      </c>
      <c r="AC119" s="6">
        <f>IFERROR(INDEX('7_3nf_product'!$E:$E,MATCH(Y119,'7_3nf_product'!$A:$A,0)),"NOT FOUND")</f>
        <v/>
      </c>
      <c r="AD119" s="33">
        <f>IF(LEN(TRIM(E119))=10,TRIM(E119),IF(LEN(TRIM(E119))=8,"00"&amp;TRIM(E119),"CHECK"))</f>
        <v/>
      </c>
      <c r="AE119" s="2">
        <f>IFERROR(INDEX('8_3nf_customer'!$C:$C,MATCH(AD119,'8_3nf_customer'!$B:$B,0)),"NOT FOUND")</f>
        <v/>
      </c>
      <c r="AF119" s="30">
        <f>IFERROR(INDEX('8_3nf_customer'!$D:$D,MATCH(AD119,'8_3nf_customer'!$B:$B,0)),"NOT FOUND")</f>
        <v/>
      </c>
      <c r="AG119" s="4">
        <f>IF(ISNUMBER(AF119),DATEDIF(AF119,L119,"y"),"NOT FOUND")</f>
        <v/>
      </c>
      <c r="AH119" s="2">
        <f>IFERROR(INDEX('8_3nf_customer'!$E:$E,MATCH(AD119,'8_3nf_customer'!$B:$B,0)),"NOT FOUND")</f>
        <v/>
      </c>
      <c r="AI119" s="30">
        <f>IF(_xlfn.MAXIFS('9_3nf_customer_history'!$B$2:$B$500,'9_3nf_customer_history'!$A$2:$A$500,AD119,'9_3nf_customer_history'!$B$2:$B$500,"&lt;="&amp;L119)=0,"NOT FOUND",_xlfn.MAXIFS('9_3nf_customer_history'!$B$2:$B$500,'9_3nf_customer_history'!$A$2:$A$500,AD119,'9_3nf_customer_history'!$B$2:$B$500,"&lt;="&amp;L119))</f>
        <v/>
      </c>
      <c r="AJ119" s="2">
        <f>IF(AI119="NOT FOUND","NOT FOUND",INDEX('9_3nf_customer_history'!$C:$C,SUMPRODUCT(('9_3nf_customer_history'!$A$2:$A$500=AD119)*('9_3nf_customer_history'!$B$2:$B$500=AI119)*ROW('9_3nf_customer_history'!$A$2:$A$500))))</f>
        <v/>
      </c>
      <c r="AK119" s="2">
        <f>IF(AI119="NOT FOUND","NOT FOUND",INDEX('9_3nf_customer_history'!$D:$D,SUMPRODUCT(('9_3nf_customer_history'!$A$2:$A$500=AD119)*('9_3nf_customer_history'!$B$2:$B$500=AI119)*ROW('9_3nf_customer_history'!$A$2:$A$500))))</f>
        <v/>
      </c>
      <c r="AL119" s="2">
        <f>UPPER(TRIM(H119))</f>
        <v/>
      </c>
      <c r="AM119" s="30">
        <f>IF(_xlfn.MAXIFS('10_ref_fx_rate'!$B$2:$B$2000,'10_ref_fx_rate'!$A$2:$A$2000,AL119,'10_ref_fx_rate'!$B$2:$B$2000,"&lt;="&amp;L119)=0,"NOT FOUND",_xlfn.MAXIFS('10_ref_fx_rate'!$B$2:$B$2000,'10_ref_fx_rate'!$A$2:$A$2000,AL119,'10_ref_fx_rate'!$B$2:$B$2000,"&lt;="&amp;L119))</f>
        <v/>
      </c>
      <c r="AN119" s="8">
        <f>IF(AM119="NOT FOUND","NOT FOUND",SUMIFS('10_ref_fx_rate'!$D$2:$D$2000,'10_ref_fx_rate'!$A$2:$A$2000,AL119,'10_ref_fx_rate'!$B$2:$B$2000,AM119))</f>
        <v/>
      </c>
      <c r="AO119" s="37">
        <f>IF(ISNUMBER(AN119),I119*AN119,"NOT FOUND")</f>
        <v/>
      </c>
      <c r="AP119" s="2">
        <f>UPPER(TRIM(J119))</f>
        <v/>
      </c>
      <c r="AQ119" s="2">
        <f>IF(AP119="","SELF-DIRECTED",IF(ISNUMBER(MATCH(AP119,'11_3nf_sales_person'!$A:$A,0)),IF(EXACT(AP119,J119),"OK","OK (auto-fixed)"),IF(ISNA(MATCH($A119,'12_sales_person_confirmation'!$A:$A,0)),"CONFIRM (not logged)",IF(INDEX('12_sales_person_confirmation'!$I:$I,MATCH($A119,'12_sales_person_confirmation'!$A:$A,0))="CONFIRMED","CONFIRMED ("&amp;LOWER(INDEX('12_sales_person_confirmation'!$E:$E,MATCH($A119,'12_sales_person_confirmation'!$A:$A,0)))&amp;")","PENDING CONFIRM"))))</f>
        <v/>
      </c>
      <c r="AR119" s="2">
        <f>IF(OR(AQ119="OK",AQ119="OK (auto-fixed)"),AP119,IF(LEFT(AQ119,9)="CONFIRMED",INDEX('12_sales_person_confirmation'!$F:$F,MATCH($A119,'12_sales_person_confirmation'!$A:$A,0)),""))</f>
        <v/>
      </c>
      <c r="AS119" s="2">
        <f>IF(AR119="","",INDEX('11_3nf_sales_person'!$B:$B,MATCH(AR119,'11_3nf_sales_person'!$A:$A,0)))</f>
        <v/>
      </c>
    </row>
    <row r="120">
      <c r="A120" s="2">
        <f>IF(ISBLANK('1_raw_log'!A120),"",'1_raw_log'!A120)</f>
        <v/>
      </c>
      <c r="B120" s="3">
        <f>IF(ISBLANK('1_raw_log'!B120),"",'1_raw_log'!B120)</f>
        <v/>
      </c>
      <c r="C120" s="2">
        <f>IF(ISBLANK('1_raw_log'!C120),"",'1_raw_log'!C120)</f>
        <v/>
      </c>
      <c r="D120" s="2">
        <f>IF(ISBLANK('1_raw_log'!D120),"",'1_raw_log'!D120)</f>
        <v/>
      </c>
      <c r="E120" s="4">
        <f>IF(ISBLANK('1_raw_log'!E120),"",'1_raw_log'!E120)</f>
        <v/>
      </c>
      <c r="F120" s="2">
        <f>IF(ISBLANK('1_raw_log'!F120),"",'1_raw_log'!F120)</f>
        <v/>
      </c>
      <c r="G120" s="2">
        <f>IF(ISBLANK('1_raw_log'!G120),"",'1_raw_log'!G120)</f>
        <v/>
      </c>
      <c r="H120" s="2">
        <f>IF(ISBLANK('1_raw_log'!H120),"",'1_raw_log'!H120)</f>
        <v/>
      </c>
      <c r="I120" s="7">
        <f>IF(ISBLANK('1_raw_log'!I120),"",'1_raw_log'!I120)</f>
        <v/>
      </c>
      <c r="J120" s="2">
        <f>IF(ISBLANK('1_raw_log'!J120),"",'1_raw_log'!J120)</f>
        <v/>
      </c>
      <c r="K120" s="2">
        <f>IF(ISBLANK('1_raw_log'!K120),"",'1_raw_log'!K120)</f>
        <v/>
      </c>
      <c r="L120" s="30">
        <f>INT(B120)</f>
        <v/>
      </c>
      <c r="M120" s="20">
        <f>ROUND(MOD(B120,1)*1440,0)/1440</f>
        <v/>
      </c>
      <c r="N120" s="4">
        <f>IFERROR(INDEX('3_ref_date'!$B:$B,MATCH(L120,'3_ref_date'!$A:$A,0)),"NOT FOUND")</f>
        <v/>
      </c>
      <c r="O120" s="2">
        <f>IFERROR(INDEX('3_ref_date'!$C:$C,MATCH(L120,'3_ref_date'!$A:$A,0)),"NOT FOUND")</f>
        <v/>
      </c>
      <c r="P120" s="4">
        <f>IFERROR(INDEX('3_ref_date'!$D:$D,MATCH(L120,'3_ref_date'!$A:$A,0)),"NOT FOUND")</f>
        <v/>
      </c>
      <c r="Q120" s="4">
        <f>IFERROR(INDEX('3_ref_date'!$E:$E,MATCH(L120,'3_ref_date'!$A:$A,0)),"NOT FOUND")</f>
        <v/>
      </c>
      <c r="R120" s="2">
        <f>IFERROR(INDEX('3_ref_date'!$F:$F,MATCH(L120,'3_ref_date'!$A:$A,0)),"NOT FOUND")</f>
        <v/>
      </c>
      <c r="S120" s="2">
        <f>IFERROR(INDEX('4_ref_time'!$D:$D,MATCH(ROUND(M120*1440,0),'4_ref_time'!$A:$A,0)),"NOT FOUND")</f>
        <v/>
      </c>
      <c r="T120" s="2">
        <f>UPPER(TRIM(C120))</f>
        <v/>
      </c>
      <c r="U120" s="30">
        <f>IF(_xlfn.MAXIFS('6_3nf_branch_history'!$B$2:$B$50,'6_3nf_branch_history'!$A$2:$A$50,T120,'6_3nf_branch_history'!$B$2:$B$50,"&lt;="&amp;L120)=0,"NOT FOUND",_xlfn.MAXIFS('6_3nf_branch_history'!$B$2:$B$50,'6_3nf_branch_history'!$A$2:$A$50,T120,'6_3nf_branch_history'!$B$2:$B$50,"&lt;="&amp;L120))</f>
        <v/>
      </c>
      <c r="V120" s="2">
        <f>IF(U120="NOT FOUND","NOT FOUND",INDEX('6_3nf_branch_history'!$C:$C,SUMPRODUCT(('6_3nf_branch_history'!$A$2:$A$50=T120)*('6_3nf_branch_history'!$B$2:$B$50=U120)*ROW('6_3nf_branch_history'!$A$2:$A$50))))</f>
        <v/>
      </c>
      <c r="W120" s="2">
        <f>IF(U120="NOT FOUND","NOT FOUND",INDEX('6_3nf_branch_history'!$D:$D,SUMPRODUCT(('6_3nf_branch_history'!$A$2:$A$50=T120)*('6_3nf_branch_history'!$B$2:$B$50=U120)*ROW('6_3nf_branch_history'!$A$2:$A$50))))</f>
        <v/>
      </c>
      <c r="X120" s="2">
        <f>IF(U120="NOT FOUND","NOT FOUND",INDEX('6_3nf_branch_history'!$E:$E,SUMPRODUCT(('6_3nf_branch_history'!$A$2:$A$50=T120)*('6_3nf_branch_history'!$B$2:$B$50=U120)*ROW('6_3nf_branch_history'!$A$2:$A$50))))</f>
        <v/>
      </c>
      <c r="Y120" s="2">
        <f>UPPER(TRIM(D120))</f>
        <v/>
      </c>
      <c r="Z120" s="2">
        <f>IFERROR(INDEX('7_3nf_product'!$B:$B,MATCH(Y120,'7_3nf_product'!$A:$A,0)),"NOT FOUND")</f>
        <v/>
      </c>
      <c r="AA120" s="2">
        <f>IFERROR(INDEX('7_3nf_product'!$C:$C,MATCH(Y120,'7_3nf_product'!$A:$A,0)),"NOT FOUND")</f>
        <v/>
      </c>
      <c r="AB120" s="2">
        <f>IFERROR(INDEX('7_3nf_product'!$D:$D,MATCH(Y120,'7_3nf_product'!$A:$A,0)),"NOT FOUND")</f>
        <v/>
      </c>
      <c r="AC120" s="6">
        <f>IFERROR(INDEX('7_3nf_product'!$E:$E,MATCH(Y120,'7_3nf_product'!$A:$A,0)),"NOT FOUND")</f>
        <v/>
      </c>
      <c r="AD120" s="33">
        <f>IF(LEN(TRIM(E120))=10,TRIM(E120),IF(LEN(TRIM(E120))=8,"00"&amp;TRIM(E120),"CHECK"))</f>
        <v/>
      </c>
      <c r="AE120" s="2">
        <f>IFERROR(INDEX('8_3nf_customer'!$C:$C,MATCH(AD120,'8_3nf_customer'!$B:$B,0)),"NOT FOUND")</f>
        <v/>
      </c>
      <c r="AF120" s="30">
        <f>IFERROR(INDEX('8_3nf_customer'!$D:$D,MATCH(AD120,'8_3nf_customer'!$B:$B,0)),"NOT FOUND")</f>
        <v/>
      </c>
      <c r="AG120" s="4">
        <f>IF(ISNUMBER(AF120),DATEDIF(AF120,L120,"y"),"NOT FOUND")</f>
        <v/>
      </c>
      <c r="AH120" s="2">
        <f>IFERROR(INDEX('8_3nf_customer'!$E:$E,MATCH(AD120,'8_3nf_customer'!$B:$B,0)),"NOT FOUND")</f>
        <v/>
      </c>
      <c r="AI120" s="30">
        <f>IF(_xlfn.MAXIFS('9_3nf_customer_history'!$B$2:$B$500,'9_3nf_customer_history'!$A$2:$A$500,AD120,'9_3nf_customer_history'!$B$2:$B$500,"&lt;="&amp;L120)=0,"NOT FOUND",_xlfn.MAXIFS('9_3nf_customer_history'!$B$2:$B$500,'9_3nf_customer_history'!$A$2:$A$500,AD120,'9_3nf_customer_history'!$B$2:$B$500,"&lt;="&amp;L120))</f>
        <v/>
      </c>
      <c r="AJ120" s="2">
        <f>IF(AI120="NOT FOUND","NOT FOUND",INDEX('9_3nf_customer_history'!$C:$C,SUMPRODUCT(('9_3nf_customer_history'!$A$2:$A$500=AD120)*('9_3nf_customer_history'!$B$2:$B$500=AI120)*ROW('9_3nf_customer_history'!$A$2:$A$500))))</f>
        <v/>
      </c>
      <c r="AK120" s="2">
        <f>IF(AI120="NOT FOUND","NOT FOUND",INDEX('9_3nf_customer_history'!$D:$D,SUMPRODUCT(('9_3nf_customer_history'!$A$2:$A$500=AD120)*('9_3nf_customer_history'!$B$2:$B$500=AI120)*ROW('9_3nf_customer_history'!$A$2:$A$500))))</f>
        <v/>
      </c>
      <c r="AL120" s="2">
        <f>UPPER(TRIM(H120))</f>
        <v/>
      </c>
      <c r="AM120" s="30">
        <f>IF(_xlfn.MAXIFS('10_ref_fx_rate'!$B$2:$B$2000,'10_ref_fx_rate'!$A$2:$A$2000,AL120,'10_ref_fx_rate'!$B$2:$B$2000,"&lt;="&amp;L120)=0,"NOT FOUND",_xlfn.MAXIFS('10_ref_fx_rate'!$B$2:$B$2000,'10_ref_fx_rate'!$A$2:$A$2000,AL120,'10_ref_fx_rate'!$B$2:$B$2000,"&lt;="&amp;L120))</f>
        <v/>
      </c>
      <c r="AN120" s="8">
        <f>IF(AM120="NOT FOUND","NOT FOUND",SUMIFS('10_ref_fx_rate'!$D$2:$D$2000,'10_ref_fx_rate'!$A$2:$A$2000,AL120,'10_ref_fx_rate'!$B$2:$B$2000,AM120))</f>
        <v/>
      </c>
      <c r="AO120" s="37">
        <f>IF(ISNUMBER(AN120),I120*AN120,"NOT FOUND")</f>
        <v/>
      </c>
      <c r="AP120" s="2">
        <f>UPPER(TRIM(J120))</f>
        <v/>
      </c>
      <c r="AQ120" s="2">
        <f>IF(AP120="","SELF-DIRECTED",IF(ISNUMBER(MATCH(AP120,'11_3nf_sales_person'!$A:$A,0)),IF(EXACT(AP120,J120),"OK","OK (auto-fixed)"),IF(ISNA(MATCH($A120,'12_sales_person_confirmation'!$A:$A,0)),"CONFIRM (not logged)",IF(INDEX('12_sales_person_confirmation'!$I:$I,MATCH($A120,'12_sales_person_confirmation'!$A:$A,0))="CONFIRMED","CONFIRMED ("&amp;LOWER(INDEX('12_sales_person_confirmation'!$E:$E,MATCH($A120,'12_sales_person_confirmation'!$A:$A,0)))&amp;")","PENDING CONFIRM"))))</f>
        <v/>
      </c>
      <c r="AR120" s="2">
        <f>IF(OR(AQ120="OK",AQ120="OK (auto-fixed)"),AP120,IF(LEFT(AQ120,9)="CONFIRMED",INDEX('12_sales_person_confirmation'!$F:$F,MATCH($A120,'12_sales_person_confirmation'!$A:$A,0)),""))</f>
        <v/>
      </c>
      <c r="AS120" s="2">
        <f>IF(AR120="","",INDEX('11_3nf_sales_person'!$B:$B,MATCH(AR120,'11_3nf_sales_person'!$A:$A,0)))</f>
        <v/>
      </c>
    </row>
    <row r="121">
      <c r="A121" s="2">
        <f>IF(ISBLANK('1_raw_log'!A121),"",'1_raw_log'!A121)</f>
        <v/>
      </c>
      <c r="B121" s="3">
        <f>IF(ISBLANK('1_raw_log'!B121),"",'1_raw_log'!B121)</f>
        <v/>
      </c>
      <c r="C121" s="2">
        <f>IF(ISBLANK('1_raw_log'!C121),"",'1_raw_log'!C121)</f>
        <v/>
      </c>
      <c r="D121" s="2">
        <f>IF(ISBLANK('1_raw_log'!D121),"",'1_raw_log'!D121)</f>
        <v/>
      </c>
      <c r="E121" s="4">
        <f>IF(ISBLANK('1_raw_log'!E121),"",'1_raw_log'!E121)</f>
        <v/>
      </c>
      <c r="F121" s="2">
        <f>IF(ISBLANK('1_raw_log'!F121),"",'1_raw_log'!F121)</f>
        <v/>
      </c>
      <c r="G121" s="2">
        <f>IF(ISBLANK('1_raw_log'!G121),"",'1_raw_log'!G121)</f>
        <v/>
      </c>
      <c r="H121" s="2">
        <f>IF(ISBLANK('1_raw_log'!H121),"",'1_raw_log'!H121)</f>
        <v/>
      </c>
      <c r="I121" s="7">
        <f>IF(ISBLANK('1_raw_log'!I121),"",'1_raw_log'!I121)</f>
        <v/>
      </c>
      <c r="J121" s="2">
        <f>IF(ISBLANK('1_raw_log'!J121),"",'1_raw_log'!J121)</f>
        <v/>
      </c>
      <c r="K121" s="2">
        <f>IF(ISBLANK('1_raw_log'!K121),"",'1_raw_log'!K121)</f>
        <v/>
      </c>
      <c r="L121" s="30">
        <f>INT(B121)</f>
        <v/>
      </c>
      <c r="M121" s="20">
        <f>ROUND(MOD(B121,1)*1440,0)/1440</f>
        <v/>
      </c>
      <c r="N121" s="4">
        <f>IFERROR(INDEX('3_ref_date'!$B:$B,MATCH(L121,'3_ref_date'!$A:$A,0)),"NOT FOUND")</f>
        <v/>
      </c>
      <c r="O121" s="2">
        <f>IFERROR(INDEX('3_ref_date'!$C:$C,MATCH(L121,'3_ref_date'!$A:$A,0)),"NOT FOUND")</f>
        <v/>
      </c>
      <c r="P121" s="4">
        <f>IFERROR(INDEX('3_ref_date'!$D:$D,MATCH(L121,'3_ref_date'!$A:$A,0)),"NOT FOUND")</f>
        <v/>
      </c>
      <c r="Q121" s="4">
        <f>IFERROR(INDEX('3_ref_date'!$E:$E,MATCH(L121,'3_ref_date'!$A:$A,0)),"NOT FOUND")</f>
        <v/>
      </c>
      <c r="R121" s="2">
        <f>IFERROR(INDEX('3_ref_date'!$F:$F,MATCH(L121,'3_ref_date'!$A:$A,0)),"NOT FOUND")</f>
        <v/>
      </c>
      <c r="S121" s="2">
        <f>IFERROR(INDEX('4_ref_time'!$D:$D,MATCH(ROUND(M121*1440,0),'4_ref_time'!$A:$A,0)),"NOT FOUND")</f>
        <v/>
      </c>
      <c r="T121" s="2">
        <f>UPPER(TRIM(C121))</f>
        <v/>
      </c>
      <c r="U121" s="30">
        <f>IF(_xlfn.MAXIFS('6_3nf_branch_history'!$B$2:$B$50,'6_3nf_branch_history'!$A$2:$A$50,T121,'6_3nf_branch_history'!$B$2:$B$50,"&lt;="&amp;L121)=0,"NOT FOUND",_xlfn.MAXIFS('6_3nf_branch_history'!$B$2:$B$50,'6_3nf_branch_history'!$A$2:$A$50,T121,'6_3nf_branch_history'!$B$2:$B$50,"&lt;="&amp;L121))</f>
        <v/>
      </c>
      <c r="V121" s="2">
        <f>IF(U121="NOT FOUND","NOT FOUND",INDEX('6_3nf_branch_history'!$C:$C,SUMPRODUCT(('6_3nf_branch_history'!$A$2:$A$50=T121)*('6_3nf_branch_history'!$B$2:$B$50=U121)*ROW('6_3nf_branch_history'!$A$2:$A$50))))</f>
        <v/>
      </c>
      <c r="W121" s="2">
        <f>IF(U121="NOT FOUND","NOT FOUND",INDEX('6_3nf_branch_history'!$D:$D,SUMPRODUCT(('6_3nf_branch_history'!$A$2:$A$50=T121)*('6_3nf_branch_history'!$B$2:$B$50=U121)*ROW('6_3nf_branch_history'!$A$2:$A$50))))</f>
        <v/>
      </c>
      <c r="X121" s="2">
        <f>IF(U121="NOT FOUND","NOT FOUND",INDEX('6_3nf_branch_history'!$E:$E,SUMPRODUCT(('6_3nf_branch_history'!$A$2:$A$50=T121)*('6_3nf_branch_history'!$B$2:$B$50=U121)*ROW('6_3nf_branch_history'!$A$2:$A$50))))</f>
        <v/>
      </c>
      <c r="Y121" s="2">
        <f>UPPER(TRIM(D121))</f>
        <v/>
      </c>
      <c r="Z121" s="2">
        <f>IFERROR(INDEX('7_3nf_product'!$B:$B,MATCH(Y121,'7_3nf_product'!$A:$A,0)),"NOT FOUND")</f>
        <v/>
      </c>
      <c r="AA121" s="2">
        <f>IFERROR(INDEX('7_3nf_product'!$C:$C,MATCH(Y121,'7_3nf_product'!$A:$A,0)),"NOT FOUND")</f>
        <v/>
      </c>
      <c r="AB121" s="2">
        <f>IFERROR(INDEX('7_3nf_product'!$D:$D,MATCH(Y121,'7_3nf_product'!$A:$A,0)),"NOT FOUND")</f>
        <v/>
      </c>
      <c r="AC121" s="6">
        <f>IFERROR(INDEX('7_3nf_product'!$E:$E,MATCH(Y121,'7_3nf_product'!$A:$A,0)),"NOT FOUND")</f>
        <v/>
      </c>
      <c r="AD121" s="33">
        <f>IF(LEN(TRIM(E121))=10,TRIM(E121),IF(LEN(TRIM(E121))=8,"00"&amp;TRIM(E121),"CHECK"))</f>
        <v/>
      </c>
      <c r="AE121" s="2">
        <f>IFERROR(INDEX('8_3nf_customer'!$C:$C,MATCH(AD121,'8_3nf_customer'!$B:$B,0)),"NOT FOUND")</f>
        <v/>
      </c>
      <c r="AF121" s="30">
        <f>IFERROR(INDEX('8_3nf_customer'!$D:$D,MATCH(AD121,'8_3nf_customer'!$B:$B,0)),"NOT FOUND")</f>
        <v/>
      </c>
      <c r="AG121" s="4">
        <f>IF(ISNUMBER(AF121),DATEDIF(AF121,L121,"y"),"NOT FOUND")</f>
        <v/>
      </c>
      <c r="AH121" s="2">
        <f>IFERROR(INDEX('8_3nf_customer'!$E:$E,MATCH(AD121,'8_3nf_customer'!$B:$B,0)),"NOT FOUND")</f>
        <v/>
      </c>
      <c r="AI121" s="30">
        <f>IF(_xlfn.MAXIFS('9_3nf_customer_history'!$B$2:$B$500,'9_3nf_customer_history'!$A$2:$A$500,AD121,'9_3nf_customer_history'!$B$2:$B$500,"&lt;="&amp;L121)=0,"NOT FOUND",_xlfn.MAXIFS('9_3nf_customer_history'!$B$2:$B$500,'9_3nf_customer_history'!$A$2:$A$500,AD121,'9_3nf_customer_history'!$B$2:$B$500,"&lt;="&amp;L121))</f>
        <v/>
      </c>
      <c r="AJ121" s="2">
        <f>IF(AI121="NOT FOUND","NOT FOUND",INDEX('9_3nf_customer_history'!$C:$C,SUMPRODUCT(('9_3nf_customer_history'!$A$2:$A$500=AD121)*('9_3nf_customer_history'!$B$2:$B$500=AI121)*ROW('9_3nf_customer_history'!$A$2:$A$500))))</f>
        <v/>
      </c>
      <c r="AK121" s="2">
        <f>IF(AI121="NOT FOUND","NOT FOUND",INDEX('9_3nf_customer_history'!$D:$D,SUMPRODUCT(('9_3nf_customer_history'!$A$2:$A$500=AD121)*('9_3nf_customer_history'!$B$2:$B$500=AI121)*ROW('9_3nf_customer_history'!$A$2:$A$500))))</f>
        <v/>
      </c>
      <c r="AL121" s="2">
        <f>UPPER(TRIM(H121))</f>
        <v/>
      </c>
      <c r="AM121" s="30">
        <f>IF(_xlfn.MAXIFS('10_ref_fx_rate'!$B$2:$B$2000,'10_ref_fx_rate'!$A$2:$A$2000,AL121,'10_ref_fx_rate'!$B$2:$B$2000,"&lt;="&amp;L121)=0,"NOT FOUND",_xlfn.MAXIFS('10_ref_fx_rate'!$B$2:$B$2000,'10_ref_fx_rate'!$A$2:$A$2000,AL121,'10_ref_fx_rate'!$B$2:$B$2000,"&lt;="&amp;L121))</f>
        <v/>
      </c>
      <c r="AN121" s="8">
        <f>IF(AM121="NOT FOUND","NOT FOUND",SUMIFS('10_ref_fx_rate'!$D$2:$D$2000,'10_ref_fx_rate'!$A$2:$A$2000,AL121,'10_ref_fx_rate'!$B$2:$B$2000,AM121))</f>
        <v/>
      </c>
      <c r="AO121" s="37">
        <f>IF(ISNUMBER(AN121),I121*AN121,"NOT FOUND")</f>
        <v/>
      </c>
      <c r="AP121" s="2">
        <f>UPPER(TRIM(J121))</f>
        <v/>
      </c>
      <c r="AQ121" s="2">
        <f>IF(AP121="","SELF-DIRECTED",IF(ISNUMBER(MATCH(AP121,'11_3nf_sales_person'!$A:$A,0)),IF(EXACT(AP121,J121),"OK","OK (auto-fixed)"),IF(ISNA(MATCH($A121,'12_sales_person_confirmation'!$A:$A,0)),"CONFIRM (not logged)",IF(INDEX('12_sales_person_confirmation'!$I:$I,MATCH($A121,'12_sales_person_confirmation'!$A:$A,0))="CONFIRMED","CONFIRMED ("&amp;LOWER(INDEX('12_sales_person_confirmation'!$E:$E,MATCH($A121,'12_sales_person_confirmation'!$A:$A,0)))&amp;")","PENDING CONFIRM"))))</f>
        <v/>
      </c>
      <c r="AR121" s="2">
        <f>IF(OR(AQ121="OK",AQ121="OK (auto-fixed)"),AP121,IF(LEFT(AQ121,9)="CONFIRMED",INDEX('12_sales_person_confirmation'!$F:$F,MATCH($A121,'12_sales_person_confirmation'!$A:$A,0)),""))</f>
        <v/>
      </c>
      <c r="AS121" s="2">
        <f>IF(AR121="","",INDEX('11_3nf_sales_person'!$B:$B,MATCH(AR121,'11_3nf_sales_person'!$A:$A,0)))</f>
        <v/>
      </c>
    </row>
    <row r="122">
      <c r="A122" s="2">
        <f>IF(ISBLANK('1_raw_log'!A122),"",'1_raw_log'!A122)</f>
        <v/>
      </c>
      <c r="B122" s="3">
        <f>IF(ISBLANK('1_raw_log'!B122),"",'1_raw_log'!B122)</f>
        <v/>
      </c>
      <c r="C122" s="2">
        <f>IF(ISBLANK('1_raw_log'!C122),"",'1_raw_log'!C122)</f>
        <v/>
      </c>
      <c r="D122" s="2">
        <f>IF(ISBLANK('1_raw_log'!D122),"",'1_raw_log'!D122)</f>
        <v/>
      </c>
      <c r="E122" s="4">
        <f>IF(ISBLANK('1_raw_log'!E122),"",'1_raw_log'!E122)</f>
        <v/>
      </c>
      <c r="F122" s="2">
        <f>IF(ISBLANK('1_raw_log'!F122),"",'1_raw_log'!F122)</f>
        <v/>
      </c>
      <c r="G122" s="2">
        <f>IF(ISBLANK('1_raw_log'!G122),"",'1_raw_log'!G122)</f>
        <v/>
      </c>
      <c r="H122" s="2">
        <f>IF(ISBLANK('1_raw_log'!H122),"",'1_raw_log'!H122)</f>
        <v/>
      </c>
      <c r="I122" s="7">
        <f>IF(ISBLANK('1_raw_log'!I122),"",'1_raw_log'!I122)</f>
        <v/>
      </c>
      <c r="J122" s="2">
        <f>IF(ISBLANK('1_raw_log'!J122),"",'1_raw_log'!J122)</f>
        <v/>
      </c>
      <c r="K122" s="2">
        <f>IF(ISBLANK('1_raw_log'!K122),"",'1_raw_log'!K122)</f>
        <v/>
      </c>
      <c r="L122" s="30">
        <f>INT(B122)</f>
        <v/>
      </c>
      <c r="M122" s="20">
        <f>ROUND(MOD(B122,1)*1440,0)/1440</f>
        <v/>
      </c>
      <c r="N122" s="4">
        <f>IFERROR(INDEX('3_ref_date'!$B:$B,MATCH(L122,'3_ref_date'!$A:$A,0)),"NOT FOUND")</f>
        <v/>
      </c>
      <c r="O122" s="2">
        <f>IFERROR(INDEX('3_ref_date'!$C:$C,MATCH(L122,'3_ref_date'!$A:$A,0)),"NOT FOUND")</f>
        <v/>
      </c>
      <c r="P122" s="4">
        <f>IFERROR(INDEX('3_ref_date'!$D:$D,MATCH(L122,'3_ref_date'!$A:$A,0)),"NOT FOUND")</f>
        <v/>
      </c>
      <c r="Q122" s="4">
        <f>IFERROR(INDEX('3_ref_date'!$E:$E,MATCH(L122,'3_ref_date'!$A:$A,0)),"NOT FOUND")</f>
        <v/>
      </c>
      <c r="R122" s="2">
        <f>IFERROR(INDEX('3_ref_date'!$F:$F,MATCH(L122,'3_ref_date'!$A:$A,0)),"NOT FOUND")</f>
        <v/>
      </c>
      <c r="S122" s="2">
        <f>IFERROR(INDEX('4_ref_time'!$D:$D,MATCH(ROUND(M122*1440,0),'4_ref_time'!$A:$A,0)),"NOT FOUND")</f>
        <v/>
      </c>
      <c r="T122" s="2">
        <f>UPPER(TRIM(C122))</f>
        <v/>
      </c>
      <c r="U122" s="30">
        <f>IF(_xlfn.MAXIFS('6_3nf_branch_history'!$B$2:$B$50,'6_3nf_branch_history'!$A$2:$A$50,T122,'6_3nf_branch_history'!$B$2:$B$50,"&lt;="&amp;L122)=0,"NOT FOUND",_xlfn.MAXIFS('6_3nf_branch_history'!$B$2:$B$50,'6_3nf_branch_history'!$A$2:$A$50,T122,'6_3nf_branch_history'!$B$2:$B$50,"&lt;="&amp;L122))</f>
        <v/>
      </c>
      <c r="V122" s="2">
        <f>IF(U122="NOT FOUND","NOT FOUND",INDEX('6_3nf_branch_history'!$C:$C,SUMPRODUCT(('6_3nf_branch_history'!$A$2:$A$50=T122)*('6_3nf_branch_history'!$B$2:$B$50=U122)*ROW('6_3nf_branch_history'!$A$2:$A$50))))</f>
        <v/>
      </c>
      <c r="W122" s="2">
        <f>IF(U122="NOT FOUND","NOT FOUND",INDEX('6_3nf_branch_history'!$D:$D,SUMPRODUCT(('6_3nf_branch_history'!$A$2:$A$50=T122)*('6_3nf_branch_history'!$B$2:$B$50=U122)*ROW('6_3nf_branch_history'!$A$2:$A$50))))</f>
        <v/>
      </c>
      <c r="X122" s="2">
        <f>IF(U122="NOT FOUND","NOT FOUND",INDEX('6_3nf_branch_history'!$E:$E,SUMPRODUCT(('6_3nf_branch_history'!$A$2:$A$50=T122)*('6_3nf_branch_history'!$B$2:$B$50=U122)*ROW('6_3nf_branch_history'!$A$2:$A$50))))</f>
        <v/>
      </c>
      <c r="Y122" s="2">
        <f>UPPER(TRIM(D122))</f>
        <v/>
      </c>
      <c r="Z122" s="2">
        <f>IFERROR(INDEX('7_3nf_product'!$B:$B,MATCH(Y122,'7_3nf_product'!$A:$A,0)),"NOT FOUND")</f>
        <v/>
      </c>
      <c r="AA122" s="2">
        <f>IFERROR(INDEX('7_3nf_product'!$C:$C,MATCH(Y122,'7_3nf_product'!$A:$A,0)),"NOT FOUND")</f>
        <v/>
      </c>
      <c r="AB122" s="2">
        <f>IFERROR(INDEX('7_3nf_product'!$D:$D,MATCH(Y122,'7_3nf_product'!$A:$A,0)),"NOT FOUND")</f>
        <v/>
      </c>
      <c r="AC122" s="6">
        <f>IFERROR(INDEX('7_3nf_product'!$E:$E,MATCH(Y122,'7_3nf_product'!$A:$A,0)),"NOT FOUND")</f>
        <v/>
      </c>
      <c r="AD122" s="33">
        <f>IF(LEN(TRIM(E122))=10,TRIM(E122),IF(LEN(TRIM(E122))=8,"00"&amp;TRIM(E122),"CHECK"))</f>
        <v/>
      </c>
      <c r="AE122" s="2">
        <f>IFERROR(INDEX('8_3nf_customer'!$C:$C,MATCH(AD122,'8_3nf_customer'!$B:$B,0)),"NOT FOUND")</f>
        <v/>
      </c>
      <c r="AF122" s="30">
        <f>IFERROR(INDEX('8_3nf_customer'!$D:$D,MATCH(AD122,'8_3nf_customer'!$B:$B,0)),"NOT FOUND")</f>
        <v/>
      </c>
      <c r="AG122" s="4">
        <f>IF(ISNUMBER(AF122),DATEDIF(AF122,L122,"y"),"NOT FOUND")</f>
        <v/>
      </c>
      <c r="AH122" s="2">
        <f>IFERROR(INDEX('8_3nf_customer'!$E:$E,MATCH(AD122,'8_3nf_customer'!$B:$B,0)),"NOT FOUND")</f>
        <v/>
      </c>
      <c r="AI122" s="30">
        <f>IF(_xlfn.MAXIFS('9_3nf_customer_history'!$B$2:$B$500,'9_3nf_customer_history'!$A$2:$A$500,AD122,'9_3nf_customer_history'!$B$2:$B$500,"&lt;="&amp;L122)=0,"NOT FOUND",_xlfn.MAXIFS('9_3nf_customer_history'!$B$2:$B$500,'9_3nf_customer_history'!$A$2:$A$500,AD122,'9_3nf_customer_history'!$B$2:$B$500,"&lt;="&amp;L122))</f>
        <v/>
      </c>
      <c r="AJ122" s="2">
        <f>IF(AI122="NOT FOUND","NOT FOUND",INDEX('9_3nf_customer_history'!$C:$C,SUMPRODUCT(('9_3nf_customer_history'!$A$2:$A$500=AD122)*('9_3nf_customer_history'!$B$2:$B$500=AI122)*ROW('9_3nf_customer_history'!$A$2:$A$500))))</f>
        <v/>
      </c>
      <c r="AK122" s="2">
        <f>IF(AI122="NOT FOUND","NOT FOUND",INDEX('9_3nf_customer_history'!$D:$D,SUMPRODUCT(('9_3nf_customer_history'!$A$2:$A$500=AD122)*('9_3nf_customer_history'!$B$2:$B$500=AI122)*ROW('9_3nf_customer_history'!$A$2:$A$500))))</f>
        <v/>
      </c>
      <c r="AL122" s="2">
        <f>UPPER(TRIM(H122))</f>
        <v/>
      </c>
      <c r="AM122" s="30">
        <f>IF(_xlfn.MAXIFS('10_ref_fx_rate'!$B$2:$B$2000,'10_ref_fx_rate'!$A$2:$A$2000,AL122,'10_ref_fx_rate'!$B$2:$B$2000,"&lt;="&amp;L122)=0,"NOT FOUND",_xlfn.MAXIFS('10_ref_fx_rate'!$B$2:$B$2000,'10_ref_fx_rate'!$A$2:$A$2000,AL122,'10_ref_fx_rate'!$B$2:$B$2000,"&lt;="&amp;L122))</f>
        <v/>
      </c>
      <c r="AN122" s="8">
        <f>IF(AM122="NOT FOUND","NOT FOUND",SUMIFS('10_ref_fx_rate'!$D$2:$D$2000,'10_ref_fx_rate'!$A$2:$A$2000,AL122,'10_ref_fx_rate'!$B$2:$B$2000,AM122))</f>
        <v/>
      </c>
      <c r="AO122" s="37">
        <f>IF(ISNUMBER(AN122),I122*AN122,"NOT FOUND")</f>
        <v/>
      </c>
      <c r="AP122" s="2">
        <f>UPPER(TRIM(J122))</f>
        <v/>
      </c>
      <c r="AQ122" s="2">
        <f>IF(AP122="","SELF-DIRECTED",IF(ISNUMBER(MATCH(AP122,'11_3nf_sales_person'!$A:$A,0)),IF(EXACT(AP122,J122),"OK","OK (auto-fixed)"),IF(ISNA(MATCH($A122,'12_sales_person_confirmation'!$A:$A,0)),"CONFIRM (not logged)",IF(INDEX('12_sales_person_confirmation'!$I:$I,MATCH($A122,'12_sales_person_confirmation'!$A:$A,0))="CONFIRMED","CONFIRMED ("&amp;LOWER(INDEX('12_sales_person_confirmation'!$E:$E,MATCH($A122,'12_sales_person_confirmation'!$A:$A,0)))&amp;")","PENDING CONFIRM"))))</f>
        <v/>
      </c>
      <c r="AR122" s="2">
        <f>IF(OR(AQ122="OK",AQ122="OK (auto-fixed)"),AP122,IF(LEFT(AQ122,9)="CONFIRMED",INDEX('12_sales_person_confirmation'!$F:$F,MATCH($A122,'12_sales_person_confirmation'!$A:$A,0)),""))</f>
        <v/>
      </c>
      <c r="AS122" s="2">
        <f>IF(AR122="","",INDEX('11_3nf_sales_person'!$B:$B,MATCH(AR122,'11_3nf_sales_person'!$A:$A,0)))</f>
        <v/>
      </c>
    </row>
    <row r="123">
      <c r="A123" s="2">
        <f>IF(ISBLANK('1_raw_log'!A123),"",'1_raw_log'!A123)</f>
        <v/>
      </c>
      <c r="B123" s="3">
        <f>IF(ISBLANK('1_raw_log'!B123),"",'1_raw_log'!B123)</f>
        <v/>
      </c>
      <c r="C123" s="2">
        <f>IF(ISBLANK('1_raw_log'!C123),"",'1_raw_log'!C123)</f>
        <v/>
      </c>
      <c r="D123" s="2">
        <f>IF(ISBLANK('1_raw_log'!D123),"",'1_raw_log'!D123)</f>
        <v/>
      </c>
      <c r="E123" s="4">
        <f>IF(ISBLANK('1_raw_log'!E123),"",'1_raw_log'!E123)</f>
        <v/>
      </c>
      <c r="F123" s="2">
        <f>IF(ISBLANK('1_raw_log'!F123),"",'1_raw_log'!F123)</f>
        <v/>
      </c>
      <c r="G123" s="2">
        <f>IF(ISBLANK('1_raw_log'!G123),"",'1_raw_log'!G123)</f>
        <v/>
      </c>
      <c r="H123" s="2">
        <f>IF(ISBLANK('1_raw_log'!H123),"",'1_raw_log'!H123)</f>
        <v/>
      </c>
      <c r="I123" s="7">
        <f>IF(ISBLANK('1_raw_log'!I123),"",'1_raw_log'!I123)</f>
        <v/>
      </c>
      <c r="J123" s="2">
        <f>IF(ISBLANK('1_raw_log'!J123),"",'1_raw_log'!J123)</f>
        <v/>
      </c>
      <c r="K123" s="2">
        <f>IF(ISBLANK('1_raw_log'!K123),"",'1_raw_log'!K123)</f>
        <v/>
      </c>
      <c r="L123" s="30">
        <f>INT(B123)</f>
        <v/>
      </c>
      <c r="M123" s="20">
        <f>ROUND(MOD(B123,1)*1440,0)/1440</f>
        <v/>
      </c>
      <c r="N123" s="4">
        <f>IFERROR(INDEX('3_ref_date'!$B:$B,MATCH(L123,'3_ref_date'!$A:$A,0)),"NOT FOUND")</f>
        <v/>
      </c>
      <c r="O123" s="2">
        <f>IFERROR(INDEX('3_ref_date'!$C:$C,MATCH(L123,'3_ref_date'!$A:$A,0)),"NOT FOUND")</f>
        <v/>
      </c>
      <c r="P123" s="4">
        <f>IFERROR(INDEX('3_ref_date'!$D:$D,MATCH(L123,'3_ref_date'!$A:$A,0)),"NOT FOUND")</f>
        <v/>
      </c>
      <c r="Q123" s="4">
        <f>IFERROR(INDEX('3_ref_date'!$E:$E,MATCH(L123,'3_ref_date'!$A:$A,0)),"NOT FOUND")</f>
        <v/>
      </c>
      <c r="R123" s="2">
        <f>IFERROR(INDEX('3_ref_date'!$F:$F,MATCH(L123,'3_ref_date'!$A:$A,0)),"NOT FOUND")</f>
        <v/>
      </c>
      <c r="S123" s="2">
        <f>IFERROR(INDEX('4_ref_time'!$D:$D,MATCH(ROUND(M123*1440,0),'4_ref_time'!$A:$A,0)),"NOT FOUND")</f>
        <v/>
      </c>
      <c r="T123" s="2">
        <f>UPPER(TRIM(C123))</f>
        <v/>
      </c>
      <c r="U123" s="30">
        <f>IF(_xlfn.MAXIFS('6_3nf_branch_history'!$B$2:$B$50,'6_3nf_branch_history'!$A$2:$A$50,T123,'6_3nf_branch_history'!$B$2:$B$50,"&lt;="&amp;L123)=0,"NOT FOUND",_xlfn.MAXIFS('6_3nf_branch_history'!$B$2:$B$50,'6_3nf_branch_history'!$A$2:$A$50,T123,'6_3nf_branch_history'!$B$2:$B$50,"&lt;="&amp;L123))</f>
        <v/>
      </c>
      <c r="V123" s="2">
        <f>IF(U123="NOT FOUND","NOT FOUND",INDEX('6_3nf_branch_history'!$C:$C,SUMPRODUCT(('6_3nf_branch_history'!$A$2:$A$50=T123)*('6_3nf_branch_history'!$B$2:$B$50=U123)*ROW('6_3nf_branch_history'!$A$2:$A$50))))</f>
        <v/>
      </c>
      <c r="W123" s="2">
        <f>IF(U123="NOT FOUND","NOT FOUND",INDEX('6_3nf_branch_history'!$D:$D,SUMPRODUCT(('6_3nf_branch_history'!$A$2:$A$50=T123)*('6_3nf_branch_history'!$B$2:$B$50=U123)*ROW('6_3nf_branch_history'!$A$2:$A$50))))</f>
        <v/>
      </c>
      <c r="X123" s="2">
        <f>IF(U123="NOT FOUND","NOT FOUND",INDEX('6_3nf_branch_history'!$E:$E,SUMPRODUCT(('6_3nf_branch_history'!$A$2:$A$50=T123)*('6_3nf_branch_history'!$B$2:$B$50=U123)*ROW('6_3nf_branch_history'!$A$2:$A$50))))</f>
        <v/>
      </c>
      <c r="Y123" s="2">
        <f>UPPER(TRIM(D123))</f>
        <v/>
      </c>
      <c r="Z123" s="2">
        <f>IFERROR(INDEX('7_3nf_product'!$B:$B,MATCH(Y123,'7_3nf_product'!$A:$A,0)),"NOT FOUND")</f>
        <v/>
      </c>
      <c r="AA123" s="2">
        <f>IFERROR(INDEX('7_3nf_product'!$C:$C,MATCH(Y123,'7_3nf_product'!$A:$A,0)),"NOT FOUND")</f>
        <v/>
      </c>
      <c r="AB123" s="2">
        <f>IFERROR(INDEX('7_3nf_product'!$D:$D,MATCH(Y123,'7_3nf_product'!$A:$A,0)),"NOT FOUND")</f>
        <v/>
      </c>
      <c r="AC123" s="6">
        <f>IFERROR(INDEX('7_3nf_product'!$E:$E,MATCH(Y123,'7_3nf_product'!$A:$A,0)),"NOT FOUND")</f>
        <v/>
      </c>
      <c r="AD123" s="33">
        <f>IF(LEN(TRIM(E123))=10,TRIM(E123),IF(LEN(TRIM(E123))=8,"00"&amp;TRIM(E123),"CHECK"))</f>
        <v/>
      </c>
      <c r="AE123" s="2">
        <f>IFERROR(INDEX('8_3nf_customer'!$C:$C,MATCH(AD123,'8_3nf_customer'!$B:$B,0)),"NOT FOUND")</f>
        <v/>
      </c>
      <c r="AF123" s="30">
        <f>IFERROR(INDEX('8_3nf_customer'!$D:$D,MATCH(AD123,'8_3nf_customer'!$B:$B,0)),"NOT FOUND")</f>
        <v/>
      </c>
      <c r="AG123" s="4">
        <f>IF(ISNUMBER(AF123),DATEDIF(AF123,L123,"y"),"NOT FOUND")</f>
        <v/>
      </c>
      <c r="AH123" s="2">
        <f>IFERROR(INDEX('8_3nf_customer'!$E:$E,MATCH(AD123,'8_3nf_customer'!$B:$B,0)),"NOT FOUND")</f>
        <v/>
      </c>
      <c r="AI123" s="30">
        <f>IF(_xlfn.MAXIFS('9_3nf_customer_history'!$B$2:$B$500,'9_3nf_customer_history'!$A$2:$A$500,AD123,'9_3nf_customer_history'!$B$2:$B$500,"&lt;="&amp;L123)=0,"NOT FOUND",_xlfn.MAXIFS('9_3nf_customer_history'!$B$2:$B$500,'9_3nf_customer_history'!$A$2:$A$500,AD123,'9_3nf_customer_history'!$B$2:$B$500,"&lt;="&amp;L123))</f>
        <v/>
      </c>
      <c r="AJ123" s="2">
        <f>IF(AI123="NOT FOUND","NOT FOUND",INDEX('9_3nf_customer_history'!$C:$C,SUMPRODUCT(('9_3nf_customer_history'!$A$2:$A$500=AD123)*('9_3nf_customer_history'!$B$2:$B$500=AI123)*ROW('9_3nf_customer_history'!$A$2:$A$500))))</f>
        <v/>
      </c>
      <c r="AK123" s="2">
        <f>IF(AI123="NOT FOUND","NOT FOUND",INDEX('9_3nf_customer_history'!$D:$D,SUMPRODUCT(('9_3nf_customer_history'!$A$2:$A$500=AD123)*('9_3nf_customer_history'!$B$2:$B$500=AI123)*ROW('9_3nf_customer_history'!$A$2:$A$500))))</f>
        <v/>
      </c>
      <c r="AL123" s="2">
        <f>UPPER(TRIM(H123))</f>
        <v/>
      </c>
      <c r="AM123" s="30">
        <f>IF(_xlfn.MAXIFS('10_ref_fx_rate'!$B$2:$B$2000,'10_ref_fx_rate'!$A$2:$A$2000,AL123,'10_ref_fx_rate'!$B$2:$B$2000,"&lt;="&amp;L123)=0,"NOT FOUND",_xlfn.MAXIFS('10_ref_fx_rate'!$B$2:$B$2000,'10_ref_fx_rate'!$A$2:$A$2000,AL123,'10_ref_fx_rate'!$B$2:$B$2000,"&lt;="&amp;L123))</f>
        <v/>
      </c>
      <c r="AN123" s="8">
        <f>IF(AM123="NOT FOUND","NOT FOUND",SUMIFS('10_ref_fx_rate'!$D$2:$D$2000,'10_ref_fx_rate'!$A$2:$A$2000,AL123,'10_ref_fx_rate'!$B$2:$B$2000,AM123))</f>
        <v/>
      </c>
      <c r="AO123" s="37">
        <f>IF(ISNUMBER(AN123),I123*AN123,"NOT FOUND")</f>
        <v/>
      </c>
      <c r="AP123" s="2">
        <f>UPPER(TRIM(J123))</f>
        <v/>
      </c>
      <c r="AQ123" s="2">
        <f>IF(AP123="","SELF-DIRECTED",IF(ISNUMBER(MATCH(AP123,'11_3nf_sales_person'!$A:$A,0)),IF(EXACT(AP123,J123),"OK","OK (auto-fixed)"),IF(ISNA(MATCH($A123,'12_sales_person_confirmation'!$A:$A,0)),"CONFIRM (not logged)",IF(INDEX('12_sales_person_confirmation'!$I:$I,MATCH($A123,'12_sales_person_confirmation'!$A:$A,0))="CONFIRMED","CONFIRMED ("&amp;LOWER(INDEX('12_sales_person_confirmation'!$E:$E,MATCH($A123,'12_sales_person_confirmation'!$A:$A,0)))&amp;")","PENDING CONFIRM"))))</f>
        <v/>
      </c>
      <c r="AR123" s="2">
        <f>IF(OR(AQ123="OK",AQ123="OK (auto-fixed)"),AP123,IF(LEFT(AQ123,9)="CONFIRMED",INDEX('12_sales_person_confirmation'!$F:$F,MATCH($A123,'12_sales_person_confirmation'!$A:$A,0)),""))</f>
        <v/>
      </c>
      <c r="AS123" s="2">
        <f>IF(AR123="","",INDEX('11_3nf_sales_person'!$B:$B,MATCH(AR123,'11_3nf_sales_person'!$A:$A,0)))</f>
        <v/>
      </c>
    </row>
    <row r="124">
      <c r="A124" s="2">
        <f>IF(ISBLANK('1_raw_log'!A124),"",'1_raw_log'!A124)</f>
        <v/>
      </c>
      <c r="B124" s="3">
        <f>IF(ISBLANK('1_raw_log'!B124),"",'1_raw_log'!B124)</f>
        <v/>
      </c>
      <c r="C124" s="2">
        <f>IF(ISBLANK('1_raw_log'!C124),"",'1_raw_log'!C124)</f>
        <v/>
      </c>
      <c r="D124" s="2">
        <f>IF(ISBLANK('1_raw_log'!D124),"",'1_raw_log'!D124)</f>
        <v/>
      </c>
      <c r="E124" s="4">
        <f>IF(ISBLANK('1_raw_log'!E124),"",'1_raw_log'!E124)</f>
        <v/>
      </c>
      <c r="F124" s="2">
        <f>IF(ISBLANK('1_raw_log'!F124),"",'1_raw_log'!F124)</f>
        <v/>
      </c>
      <c r="G124" s="2">
        <f>IF(ISBLANK('1_raw_log'!G124),"",'1_raw_log'!G124)</f>
        <v/>
      </c>
      <c r="H124" s="2">
        <f>IF(ISBLANK('1_raw_log'!H124),"",'1_raw_log'!H124)</f>
        <v/>
      </c>
      <c r="I124" s="7">
        <f>IF(ISBLANK('1_raw_log'!I124),"",'1_raw_log'!I124)</f>
        <v/>
      </c>
      <c r="J124" s="2">
        <f>IF(ISBLANK('1_raw_log'!J124),"",'1_raw_log'!J124)</f>
        <v/>
      </c>
      <c r="K124" s="2">
        <f>IF(ISBLANK('1_raw_log'!K124),"",'1_raw_log'!K124)</f>
        <v/>
      </c>
      <c r="L124" s="30">
        <f>INT(B124)</f>
        <v/>
      </c>
      <c r="M124" s="20">
        <f>ROUND(MOD(B124,1)*1440,0)/1440</f>
        <v/>
      </c>
      <c r="N124" s="4">
        <f>IFERROR(INDEX('3_ref_date'!$B:$B,MATCH(L124,'3_ref_date'!$A:$A,0)),"NOT FOUND")</f>
        <v/>
      </c>
      <c r="O124" s="2">
        <f>IFERROR(INDEX('3_ref_date'!$C:$C,MATCH(L124,'3_ref_date'!$A:$A,0)),"NOT FOUND")</f>
        <v/>
      </c>
      <c r="P124" s="4">
        <f>IFERROR(INDEX('3_ref_date'!$D:$D,MATCH(L124,'3_ref_date'!$A:$A,0)),"NOT FOUND")</f>
        <v/>
      </c>
      <c r="Q124" s="4">
        <f>IFERROR(INDEX('3_ref_date'!$E:$E,MATCH(L124,'3_ref_date'!$A:$A,0)),"NOT FOUND")</f>
        <v/>
      </c>
      <c r="R124" s="2">
        <f>IFERROR(INDEX('3_ref_date'!$F:$F,MATCH(L124,'3_ref_date'!$A:$A,0)),"NOT FOUND")</f>
        <v/>
      </c>
      <c r="S124" s="2">
        <f>IFERROR(INDEX('4_ref_time'!$D:$D,MATCH(ROUND(M124*1440,0),'4_ref_time'!$A:$A,0)),"NOT FOUND")</f>
        <v/>
      </c>
      <c r="T124" s="2">
        <f>UPPER(TRIM(C124))</f>
        <v/>
      </c>
      <c r="U124" s="30">
        <f>IF(_xlfn.MAXIFS('6_3nf_branch_history'!$B$2:$B$50,'6_3nf_branch_history'!$A$2:$A$50,T124,'6_3nf_branch_history'!$B$2:$B$50,"&lt;="&amp;L124)=0,"NOT FOUND",_xlfn.MAXIFS('6_3nf_branch_history'!$B$2:$B$50,'6_3nf_branch_history'!$A$2:$A$50,T124,'6_3nf_branch_history'!$B$2:$B$50,"&lt;="&amp;L124))</f>
        <v/>
      </c>
      <c r="V124" s="2">
        <f>IF(U124="NOT FOUND","NOT FOUND",INDEX('6_3nf_branch_history'!$C:$C,SUMPRODUCT(('6_3nf_branch_history'!$A$2:$A$50=T124)*('6_3nf_branch_history'!$B$2:$B$50=U124)*ROW('6_3nf_branch_history'!$A$2:$A$50))))</f>
        <v/>
      </c>
      <c r="W124" s="2">
        <f>IF(U124="NOT FOUND","NOT FOUND",INDEX('6_3nf_branch_history'!$D:$D,SUMPRODUCT(('6_3nf_branch_history'!$A$2:$A$50=T124)*('6_3nf_branch_history'!$B$2:$B$50=U124)*ROW('6_3nf_branch_history'!$A$2:$A$50))))</f>
        <v/>
      </c>
      <c r="X124" s="2">
        <f>IF(U124="NOT FOUND","NOT FOUND",INDEX('6_3nf_branch_history'!$E:$E,SUMPRODUCT(('6_3nf_branch_history'!$A$2:$A$50=T124)*('6_3nf_branch_history'!$B$2:$B$50=U124)*ROW('6_3nf_branch_history'!$A$2:$A$50))))</f>
        <v/>
      </c>
      <c r="Y124" s="2">
        <f>UPPER(TRIM(D124))</f>
        <v/>
      </c>
      <c r="Z124" s="2">
        <f>IFERROR(INDEX('7_3nf_product'!$B:$B,MATCH(Y124,'7_3nf_product'!$A:$A,0)),"NOT FOUND")</f>
        <v/>
      </c>
      <c r="AA124" s="2">
        <f>IFERROR(INDEX('7_3nf_product'!$C:$C,MATCH(Y124,'7_3nf_product'!$A:$A,0)),"NOT FOUND")</f>
        <v/>
      </c>
      <c r="AB124" s="2">
        <f>IFERROR(INDEX('7_3nf_product'!$D:$D,MATCH(Y124,'7_3nf_product'!$A:$A,0)),"NOT FOUND")</f>
        <v/>
      </c>
      <c r="AC124" s="6">
        <f>IFERROR(INDEX('7_3nf_product'!$E:$E,MATCH(Y124,'7_3nf_product'!$A:$A,0)),"NOT FOUND")</f>
        <v/>
      </c>
      <c r="AD124" s="33">
        <f>IF(LEN(TRIM(E124))=10,TRIM(E124),IF(LEN(TRIM(E124))=8,"00"&amp;TRIM(E124),"CHECK"))</f>
        <v/>
      </c>
      <c r="AE124" s="2">
        <f>IFERROR(INDEX('8_3nf_customer'!$C:$C,MATCH(AD124,'8_3nf_customer'!$B:$B,0)),"NOT FOUND")</f>
        <v/>
      </c>
      <c r="AF124" s="30">
        <f>IFERROR(INDEX('8_3nf_customer'!$D:$D,MATCH(AD124,'8_3nf_customer'!$B:$B,0)),"NOT FOUND")</f>
        <v/>
      </c>
      <c r="AG124" s="4">
        <f>IF(ISNUMBER(AF124),DATEDIF(AF124,L124,"y"),"NOT FOUND")</f>
        <v/>
      </c>
      <c r="AH124" s="2">
        <f>IFERROR(INDEX('8_3nf_customer'!$E:$E,MATCH(AD124,'8_3nf_customer'!$B:$B,0)),"NOT FOUND")</f>
        <v/>
      </c>
      <c r="AI124" s="30">
        <f>IF(_xlfn.MAXIFS('9_3nf_customer_history'!$B$2:$B$500,'9_3nf_customer_history'!$A$2:$A$500,AD124,'9_3nf_customer_history'!$B$2:$B$500,"&lt;="&amp;L124)=0,"NOT FOUND",_xlfn.MAXIFS('9_3nf_customer_history'!$B$2:$B$500,'9_3nf_customer_history'!$A$2:$A$500,AD124,'9_3nf_customer_history'!$B$2:$B$500,"&lt;="&amp;L124))</f>
        <v/>
      </c>
      <c r="AJ124" s="2">
        <f>IF(AI124="NOT FOUND","NOT FOUND",INDEX('9_3nf_customer_history'!$C:$C,SUMPRODUCT(('9_3nf_customer_history'!$A$2:$A$500=AD124)*('9_3nf_customer_history'!$B$2:$B$500=AI124)*ROW('9_3nf_customer_history'!$A$2:$A$500))))</f>
        <v/>
      </c>
      <c r="AK124" s="2">
        <f>IF(AI124="NOT FOUND","NOT FOUND",INDEX('9_3nf_customer_history'!$D:$D,SUMPRODUCT(('9_3nf_customer_history'!$A$2:$A$500=AD124)*('9_3nf_customer_history'!$B$2:$B$500=AI124)*ROW('9_3nf_customer_history'!$A$2:$A$500))))</f>
        <v/>
      </c>
      <c r="AL124" s="2">
        <f>UPPER(TRIM(H124))</f>
        <v/>
      </c>
      <c r="AM124" s="30">
        <f>IF(_xlfn.MAXIFS('10_ref_fx_rate'!$B$2:$B$2000,'10_ref_fx_rate'!$A$2:$A$2000,AL124,'10_ref_fx_rate'!$B$2:$B$2000,"&lt;="&amp;L124)=0,"NOT FOUND",_xlfn.MAXIFS('10_ref_fx_rate'!$B$2:$B$2000,'10_ref_fx_rate'!$A$2:$A$2000,AL124,'10_ref_fx_rate'!$B$2:$B$2000,"&lt;="&amp;L124))</f>
        <v/>
      </c>
      <c r="AN124" s="8">
        <f>IF(AM124="NOT FOUND","NOT FOUND",SUMIFS('10_ref_fx_rate'!$D$2:$D$2000,'10_ref_fx_rate'!$A$2:$A$2000,AL124,'10_ref_fx_rate'!$B$2:$B$2000,AM124))</f>
        <v/>
      </c>
      <c r="AO124" s="37">
        <f>IF(ISNUMBER(AN124),I124*AN124,"NOT FOUND")</f>
        <v/>
      </c>
      <c r="AP124" s="2">
        <f>UPPER(TRIM(J124))</f>
        <v/>
      </c>
      <c r="AQ124" s="2">
        <f>IF(AP124="","SELF-DIRECTED",IF(ISNUMBER(MATCH(AP124,'11_3nf_sales_person'!$A:$A,0)),IF(EXACT(AP124,J124),"OK","OK (auto-fixed)"),IF(ISNA(MATCH($A124,'12_sales_person_confirmation'!$A:$A,0)),"CONFIRM (not logged)",IF(INDEX('12_sales_person_confirmation'!$I:$I,MATCH($A124,'12_sales_person_confirmation'!$A:$A,0))="CONFIRMED","CONFIRMED ("&amp;LOWER(INDEX('12_sales_person_confirmation'!$E:$E,MATCH($A124,'12_sales_person_confirmation'!$A:$A,0)))&amp;")","PENDING CONFIRM"))))</f>
        <v/>
      </c>
      <c r="AR124" s="2">
        <f>IF(OR(AQ124="OK",AQ124="OK (auto-fixed)"),AP124,IF(LEFT(AQ124,9)="CONFIRMED",INDEX('12_sales_person_confirmation'!$F:$F,MATCH($A124,'12_sales_person_confirmation'!$A:$A,0)),""))</f>
        <v/>
      </c>
      <c r="AS124" s="2">
        <f>IF(AR124="","",INDEX('11_3nf_sales_person'!$B:$B,MATCH(AR124,'11_3nf_sales_person'!$A:$A,0)))</f>
        <v/>
      </c>
    </row>
    <row r="125">
      <c r="A125" s="2">
        <f>IF(ISBLANK('1_raw_log'!A125),"",'1_raw_log'!A125)</f>
        <v/>
      </c>
      <c r="B125" s="3">
        <f>IF(ISBLANK('1_raw_log'!B125),"",'1_raw_log'!B125)</f>
        <v/>
      </c>
      <c r="C125" s="2">
        <f>IF(ISBLANK('1_raw_log'!C125),"",'1_raw_log'!C125)</f>
        <v/>
      </c>
      <c r="D125" s="2">
        <f>IF(ISBLANK('1_raw_log'!D125),"",'1_raw_log'!D125)</f>
        <v/>
      </c>
      <c r="E125" s="4">
        <f>IF(ISBLANK('1_raw_log'!E125),"",'1_raw_log'!E125)</f>
        <v/>
      </c>
      <c r="F125" s="2">
        <f>IF(ISBLANK('1_raw_log'!F125),"",'1_raw_log'!F125)</f>
        <v/>
      </c>
      <c r="G125" s="2">
        <f>IF(ISBLANK('1_raw_log'!G125),"",'1_raw_log'!G125)</f>
        <v/>
      </c>
      <c r="H125" s="2">
        <f>IF(ISBLANK('1_raw_log'!H125),"",'1_raw_log'!H125)</f>
        <v/>
      </c>
      <c r="I125" s="7">
        <f>IF(ISBLANK('1_raw_log'!I125),"",'1_raw_log'!I125)</f>
        <v/>
      </c>
      <c r="J125" s="2">
        <f>IF(ISBLANK('1_raw_log'!J125),"",'1_raw_log'!J125)</f>
        <v/>
      </c>
      <c r="K125" s="2">
        <f>IF(ISBLANK('1_raw_log'!K125),"",'1_raw_log'!K125)</f>
        <v/>
      </c>
      <c r="L125" s="30">
        <f>INT(B125)</f>
        <v/>
      </c>
      <c r="M125" s="20">
        <f>ROUND(MOD(B125,1)*1440,0)/1440</f>
        <v/>
      </c>
      <c r="N125" s="4">
        <f>IFERROR(INDEX('3_ref_date'!$B:$B,MATCH(L125,'3_ref_date'!$A:$A,0)),"NOT FOUND")</f>
        <v/>
      </c>
      <c r="O125" s="2">
        <f>IFERROR(INDEX('3_ref_date'!$C:$C,MATCH(L125,'3_ref_date'!$A:$A,0)),"NOT FOUND")</f>
        <v/>
      </c>
      <c r="P125" s="4">
        <f>IFERROR(INDEX('3_ref_date'!$D:$D,MATCH(L125,'3_ref_date'!$A:$A,0)),"NOT FOUND")</f>
        <v/>
      </c>
      <c r="Q125" s="4">
        <f>IFERROR(INDEX('3_ref_date'!$E:$E,MATCH(L125,'3_ref_date'!$A:$A,0)),"NOT FOUND")</f>
        <v/>
      </c>
      <c r="R125" s="2">
        <f>IFERROR(INDEX('3_ref_date'!$F:$F,MATCH(L125,'3_ref_date'!$A:$A,0)),"NOT FOUND")</f>
        <v/>
      </c>
      <c r="S125" s="2">
        <f>IFERROR(INDEX('4_ref_time'!$D:$D,MATCH(ROUND(M125*1440,0),'4_ref_time'!$A:$A,0)),"NOT FOUND")</f>
        <v/>
      </c>
      <c r="T125" s="2">
        <f>UPPER(TRIM(C125))</f>
        <v/>
      </c>
      <c r="U125" s="30">
        <f>IF(_xlfn.MAXIFS('6_3nf_branch_history'!$B$2:$B$50,'6_3nf_branch_history'!$A$2:$A$50,T125,'6_3nf_branch_history'!$B$2:$B$50,"&lt;="&amp;L125)=0,"NOT FOUND",_xlfn.MAXIFS('6_3nf_branch_history'!$B$2:$B$50,'6_3nf_branch_history'!$A$2:$A$50,T125,'6_3nf_branch_history'!$B$2:$B$50,"&lt;="&amp;L125))</f>
        <v/>
      </c>
      <c r="V125" s="2">
        <f>IF(U125="NOT FOUND","NOT FOUND",INDEX('6_3nf_branch_history'!$C:$C,SUMPRODUCT(('6_3nf_branch_history'!$A$2:$A$50=T125)*('6_3nf_branch_history'!$B$2:$B$50=U125)*ROW('6_3nf_branch_history'!$A$2:$A$50))))</f>
        <v/>
      </c>
      <c r="W125" s="2">
        <f>IF(U125="NOT FOUND","NOT FOUND",INDEX('6_3nf_branch_history'!$D:$D,SUMPRODUCT(('6_3nf_branch_history'!$A$2:$A$50=T125)*('6_3nf_branch_history'!$B$2:$B$50=U125)*ROW('6_3nf_branch_history'!$A$2:$A$50))))</f>
        <v/>
      </c>
      <c r="X125" s="2">
        <f>IF(U125="NOT FOUND","NOT FOUND",INDEX('6_3nf_branch_history'!$E:$E,SUMPRODUCT(('6_3nf_branch_history'!$A$2:$A$50=T125)*('6_3nf_branch_history'!$B$2:$B$50=U125)*ROW('6_3nf_branch_history'!$A$2:$A$50))))</f>
        <v/>
      </c>
      <c r="Y125" s="2">
        <f>UPPER(TRIM(D125))</f>
        <v/>
      </c>
      <c r="Z125" s="2">
        <f>IFERROR(INDEX('7_3nf_product'!$B:$B,MATCH(Y125,'7_3nf_product'!$A:$A,0)),"NOT FOUND")</f>
        <v/>
      </c>
      <c r="AA125" s="2">
        <f>IFERROR(INDEX('7_3nf_product'!$C:$C,MATCH(Y125,'7_3nf_product'!$A:$A,0)),"NOT FOUND")</f>
        <v/>
      </c>
      <c r="AB125" s="2">
        <f>IFERROR(INDEX('7_3nf_product'!$D:$D,MATCH(Y125,'7_3nf_product'!$A:$A,0)),"NOT FOUND")</f>
        <v/>
      </c>
      <c r="AC125" s="6">
        <f>IFERROR(INDEX('7_3nf_product'!$E:$E,MATCH(Y125,'7_3nf_product'!$A:$A,0)),"NOT FOUND")</f>
        <v/>
      </c>
      <c r="AD125" s="33">
        <f>IF(LEN(TRIM(E125))=10,TRIM(E125),IF(LEN(TRIM(E125))=8,"00"&amp;TRIM(E125),"CHECK"))</f>
        <v/>
      </c>
      <c r="AE125" s="2">
        <f>IFERROR(INDEX('8_3nf_customer'!$C:$C,MATCH(AD125,'8_3nf_customer'!$B:$B,0)),"NOT FOUND")</f>
        <v/>
      </c>
      <c r="AF125" s="30">
        <f>IFERROR(INDEX('8_3nf_customer'!$D:$D,MATCH(AD125,'8_3nf_customer'!$B:$B,0)),"NOT FOUND")</f>
        <v/>
      </c>
      <c r="AG125" s="4">
        <f>IF(ISNUMBER(AF125),DATEDIF(AF125,L125,"y"),"NOT FOUND")</f>
        <v/>
      </c>
      <c r="AH125" s="2">
        <f>IFERROR(INDEX('8_3nf_customer'!$E:$E,MATCH(AD125,'8_3nf_customer'!$B:$B,0)),"NOT FOUND")</f>
        <v/>
      </c>
      <c r="AI125" s="30">
        <f>IF(_xlfn.MAXIFS('9_3nf_customer_history'!$B$2:$B$500,'9_3nf_customer_history'!$A$2:$A$500,AD125,'9_3nf_customer_history'!$B$2:$B$500,"&lt;="&amp;L125)=0,"NOT FOUND",_xlfn.MAXIFS('9_3nf_customer_history'!$B$2:$B$500,'9_3nf_customer_history'!$A$2:$A$500,AD125,'9_3nf_customer_history'!$B$2:$B$500,"&lt;="&amp;L125))</f>
        <v/>
      </c>
      <c r="AJ125" s="2">
        <f>IF(AI125="NOT FOUND","NOT FOUND",INDEX('9_3nf_customer_history'!$C:$C,SUMPRODUCT(('9_3nf_customer_history'!$A$2:$A$500=AD125)*('9_3nf_customer_history'!$B$2:$B$500=AI125)*ROW('9_3nf_customer_history'!$A$2:$A$500))))</f>
        <v/>
      </c>
      <c r="AK125" s="2">
        <f>IF(AI125="NOT FOUND","NOT FOUND",INDEX('9_3nf_customer_history'!$D:$D,SUMPRODUCT(('9_3nf_customer_history'!$A$2:$A$500=AD125)*('9_3nf_customer_history'!$B$2:$B$500=AI125)*ROW('9_3nf_customer_history'!$A$2:$A$500))))</f>
        <v/>
      </c>
      <c r="AL125" s="2">
        <f>UPPER(TRIM(H125))</f>
        <v/>
      </c>
      <c r="AM125" s="30">
        <f>IF(_xlfn.MAXIFS('10_ref_fx_rate'!$B$2:$B$2000,'10_ref_fx_rate'!$A$2:$A$2000,AL125,'10_ref_fx_rate'!$B$2:$B$2000,"&lt;="&amp;L125)=0,"NOT FOUND",_xlfn.MAXIFS('10_ref_fx_rate'!$B$2:$B$2000,'10_ref_fx_rate'!$A$2:$A$2000,AL125,'10_ref_fx_rate'!$B$2:$B$2000,"&lt;="&amp;L125))</f>
        <v/>
      </c>
      <c r="AN125" s="8">
        <f>IF(AM125="NOT FOUND","NOT FOUND",SUMIFS('10_ref_fx_rate'!$D$2:$D$2000,'10_ref_fx_rate'!$A$2:$A$2000,AL125,'10_ref_fx_rate'!$B$2:$B$2000,AM125))</f>
        <v/>
      </c>
      <c r="AO125" s="37">
        <f>IF(ISNUMBER(AN125),I125*AN125,"NOT FOUND")</f>
        <v/>
      </c>
      <c r="AP125" s="2">
        <f>UPPER(TRIM(J125))</f>
        <v/>
      </c>
      <c r="AQ125" s="2">
        <f>IF(AP125="","SELF-DIRECTED",IF(ISNUMBER(MATCH(AP125,'11_3nf_sales_person'!$A:$A,0)),IF(EXACT(AP125,J125),"OK","OK (auto-fixed)"),IF(ISNA(MATCH($A125,'12_sales_person_confirmation'!$A:$A,0)),"CONFIRM (not logged)",IF(INDEX('12_sales_person_confirmation'!$I:$I,MATCH($A125,'12_sales_person_confirmation'!$A:$A,0))="CONFIRMED","CONFIRMED ("&amp;LOWER(INDEX('12_sales_person_confirmation'!$E:$E,MATCH($A125,'12_sales_person_confirmation'!$A:$A,0)))&amp;")","PENDING CONFIRM"))))</f>
        <v/>
      </c>
      <c r="AR125" s="2">
        <f>IF(OR(AQ125="OK",AQ125="OK (auto-fixed)"),AP125,IF(LEFT(AQ125,9)="CONFIRMED",INDEX('12_sales_person_confirmation'!$F:$F,MATCH($A125,'12_sales_person_confirmation'!$A:$A,0)),""))</f>
        <v/>
      </c>
      <c r="AS125" s="2">
        <f>IF(AR125="","",INDEX('11_3nf_sales_person'!$B:$B,MATCH(AR125,'11_3nf_sales_person'!$A:$A,0)))</f>
        <v/>
      </c>
    </row>
    <row r="126">
      <c r="A126" s="2">
        <f>IF(ISBLANK('1_raw_log'!A126),"",'1_raw_log'!A126)</f>
        <v/>
      </c>
      <c r="B126" s="3">
        <f>IF(ISBLANK('1_raw_log'!B126),"",'1_raw_log'!B126)</f>
        <v/>
      </c>
      <c r="C126" s="2">
        <f>IF(ISBLANK('1_raw_log'!C126),"",'1_raw_log'!C126)</f>
        <v/>
      </c>
      <c r="D126" s="2">
        <f>IF(ISBLANK('1_raw_log'!D126),"",'1_raw_log'!D126)</f>
        <v/>
      </c>
      <c r="E126" s="4">
        <f>IF(ISBLANK('1_raw_log'!E126),"",'1_raw_log'!E126)</f>
        <v/>
      </c>
      <c r="F126" s="2">
        <f>IF(ISBLANK('1_raw_log'!F126),"",'1_raw_log'!F126)</f>
        <v/>
      </c>
      <c r="G126" s="2">
        <f>IF(ISBLANK('1_raw_log'!G126),"",'1_raw_log'!G126)</f>
        <v/>
      </c>
      <c r="H126" s="2">
        <f>IF(ISBLANK('1_raw_log'!H126),"",'1_raw_log'!H126)</f>
        <v/>
      </c>
      <c r="I126" s="7">
        <f>IF(ISBLANK('1_raw_log'!I126),"",'1_raw_log'!I126)</f>
        <v/>
      </c>
      <c r="J126" s="2">
        <f>IF(ISBLANK('1_raw_log'!J126),"",'1_raw_log'!J126)</f>
        <v/>
      </c>
      <c r="K126" s="2">
        <f>IF(ISBLANK('1_raw_log'!K126),"",'1_raw_log'!K126)</f>
        <v/>
      </c>
      <c r="L126" s="30">
        <f>INT(B126)</f>
        <v/>
      </c>
      <c r="M126" s="20">
        <f>ROUND(MOD(B126,1)*1440,0)/1440</f>
        <v/>
      </c>
      <c r="N126" s="4">
        <f>IFERROR(INDEX('3_ref_date'!$B:$B,MATCH(L126,'3_ref_date'!$A:$A,0)),"NOT FOUND")</f>
        <v/>
      </c>
      <c r="O126" s="2">
        <f>IFERROR(INDEX('3_ref_date'!$C:$C,MATCH(L126,'3_ref_date'!$A:$A,0)),"NOT FOUND")</f>
        <v/>
      </c>
      <c r="P126" s="4">
        <f>IFERROR(INDEX('3_ref_date'!$D:$D,MATCH(L126,'3_ref_date'!$A:$A,0)),"NOT FOUND")</f>
        <v/>
      </c>
      <c r="Q126" s="4">
        <f>IFERROR(INDEX('3_ref_date'!$E:$E,MATCH(L126,'3_ref_date'!$A:$A,0)),"NOT FOUND")</f>
        <v/>
      </c>
      <c r="R126" s="2">
        <f>IFERROR(INDEX('3_ref_date'!$F:$F,MATCH(L126,'3_ref_date'!$A:$A,0)),"NOT FOUND")</f>
        <v/>
      </c>
      <c r="S126" s="2">
        <f>IFERROR(INDEX('4_ref_time'!$D:$D,MATCH(ROUND(M126*1440,0),'4_ref_time'!$A:$A,0)),"NOT FOUND")</f>
        <v/>
      </c>
      <c r="T126" s="2">
        <f>UPPER(TRIM(C126))</f>
        <v/>
      </c>
      <c r="U126" s="30">
        <f>IF(_xlfn.MAXIFS('6_3nf_branch_history'!$B$2:$B$50,'6_3nf_branch_history'!$A$2:$A$50,T126,'6_3nf_branch_history'!$B$2:$B$50,"&lt;="&amp;L126)=0,"NOT FOUND",_xlfn.MAXIFS('6_3nf_branch_history'!$B$2:$B$50,'6_3nf_branch_history'!$A$2:$A$50,T126,'6_3nf_branch_history'!$B$2:$B$50,"&lt;="&amp;L126))</f>
        <v/>
      </c>
      <c r="V126" s="2">
        <f>IF(U126="NOT FOUND","NOT FOUND",INDEX('6_3nf_branch_history'!$C:$C,SUMPRODUCT(('6_3nf_branch_history'!$A$2:$A$50=T126)*('6_3nf_branch_history'!$B$2:$B$50=U126)*ROW('6_3nf_branch_history'!$A$2:$A$50))))</f>
        <v/>
      </c>
      <c r="W126" s="2">
        <f>IF(U126="NOT FOUND","NOT FOUND",INDEX('6_3nf_branch_history'!$D:$D,SUMPRODUCT(('6_3nf_branch_history'!$A$2:$A$50=T126)*('6_3nf_branch_history'!$B$2:$B$50=U126)*ROW('6_3nf_branch_history'!$A$2:$A$50))))</f>
        <v/>
      </c>
      <c r="X126" s="2">
        <f>IF(U126="NOT FOUND","NOT FOUND",INDEX('6_3nf_branch_history'!$E:$E,SUMPRODUCT(('6_3nf_branch_history'!$A$2:$A$50=T126)*('6_3nf_branch_history'!$B$2:$B$50=U126)*ROW('6_3nf_branch_history'!$A$2:$A$50))))</f>
        <v/>
      </c>
      <c r="Y126" s="2">
        <f>UPPER(TRIM(D126))</f>
        <v/>
      </c>
      <c r="Z126" s="2">
        <f>IFERROR(INDEX('7_3nf_product'!$B:$B,MATCH(Y126,'7_3nf_product'!$A:$A,0)),"NOT FOUND")</f>
        <v/>
      </c>
      <c r="AA126" s="2">
        <f>IFERROR(INDEX('7_3nf_product'!$C:$C,MATCH(Y126,'7_3nf_product'!$A:$A,0)),"NOT FOUND")</f>
        <v/>
      </c>
      <c r="AB126" s="2">
        <f>IFERROR(INDEX('7_3nf_product'!$D:$D,MATCH(Y126,'7_3nf_product'!$A:$A,0)),"NOT FOUND")</f>
        <v/>
      </c>
      <c r="AC126" s="6">
        <f>IFERROR(INDEX('7_3nf_product'!$E:$E,MATCH(Y126,'7_3nf_product'!$A:$A,0)),"NOT FOUND")</f>
        <v/>
      </c>
      <c r="AD126" s="33">
        <f>IF(LEN(TRIM(E126))=10,TRIM(E126),IF(LEN(TRIM(E126))=8,"00"&amp;TRIM(E126),"CHECK"))</f>
        <v/>
      </c>
      <c r="AE126" s="2">
        <f>IFERROR(INDEX('8_3nf_customer'!$C:$C,MATCH(AD126,'8_3nf_customer'!$B:$B,0)),"NOT FOUND")</f>
        <v/>
      </c>
      <c r="AF126" s="30">
        <f>IFERROR(INDEX('8_3nf_customer'!$D:$D,MATCH(AD126,'8_3nf_customer'!$B:$B,0)),"NOT FOUND")</f>
        <v/>
      </c>
      <c r="AG126" s="4">
        <f>IF(ISNUMBER(AF126),DATEDIF(AF126,L126,"y"),"NOT FOUND")</f>
        <v/>
      </c>
      <c r="AH126" s="2">
        <f>IFERROR(INDEX('8_3nf_customer'!$E:$E,MATCH(AD126,'8_3nf_customer'!$B:$B,0)),"NOT FOUND")</f>
        <v/>
      </c>
      <c r="AI126" s="30">
        <f>IF(_xlfn.MAXIFS('9_3nf_customer_history'!$B$2:$B$500,'9_3nf_customer_history'!$A$2:$A$500,AD126,'9_3nf_customer_history'!$B$2:$B$500,"&lt;="&amp;L126)=0,"NOT FOUND",_xlfn.MAXIFS('9_3nf_customer_history'!$B$2:$B$500,'9_3nf_customer_history'!$A$2:$A$500,AD126,'9_3nf_customer_history'!$B$2:$B$500,"&lt;="&amp;L126))</f>
        <v/>
      </c>
      <c r="AJ126" s="2">
        <f>IF(AI126="NOT FOUND","NOT FOUND",INDEX('9_3nf_customer_history'!$C:$C,SUMPRODUCT(('9_3nf_customer_history'!$A$2:$A$500=AD126)*('9_3nf_customer_history'!$B$2:$B$500=AI126)*ROW('9_3nf_customer_history'!$A$2:$A$500))))</f>
        <v/>
      </c>
      <c r="AK126" s="2">
        <f>IF(AI126="NOT FOUND","NOT FOUND",INDEX('9_3nf_customer_history'!$D:$D,SUMPRODUCT(('9_3nf_customer_history'!$A$2:$A$500=AD126)*('9_3nf_customer_history'!$B$2:$B$500=AI126)*ROW('9_3nf_customer_history'!$A$2:$A$500))))</f>
        <v/>
      </c>
      <c r="AL126" s="2">
        <f>UPPER(TRIM(H126))</f>
        <v/>
      </c>
      <c r="AM126" s="30">
        <f>IF(_xlfn.MAXIFS('10_ref_fx_rate'!$B$2:$B$2000,'10_ref_fx_rate'!$A$2:$A$2000,AL126,'10_ref_fx_rate'!$B$2:$B$2000,"&lt;="&amp;L126)=0,"NOT FOUND",_xlfn.MAXIFS('10_ref_fx_rate'!$B$2:$B$2000,'10_ref_fx_rate'!$A$2:$A$2000,AL126,'10_ref_fx_rate'!$B$2:$B$2000,"&lt;="&amp;L126))</f>
        <v/>
      </c>
      <c r="AN126" s="8">
        <f>IF(AM126="NOT FOUND","NOT FOUND",SUMIFS('10_ref_fx_rate'!$D$2:$D$2000,'10_ref_fx_rate'!$A$2:$A$2000,AL126,'10_ref_fx_rate'!$B$2:$B$2000,AM126))</f>
        <v/>
      </c>
      <c r="AO126" s="37">
        <f>IF(ISNUMBER(AN126),I126*AN126,"NOT FOUND")</f>
        <v/>
      </c>
      <c r="AP126" s="2">
        <f>UPPER(TRIM(J126))</f>
        <v/>
      </c>
      <c r="AQ126" s="2">
        <f>IF(AP126="","SELF-DIRECTED",IF(ISNUMBER(MATCH(AP126,'11_3nf_sales_person'!$A:$A,0)),IF(EXACT(AP126,J126),"OK","OK (auto-fixed)"),IF(ISNA(MATCH($A126,'12_sales_person_confirmation'!$A:$A,0)),"CONFIRM (not logged)",IF(INDEX('12_sales_person_confirmation'!$I:$I,MATCH($A126,'12_sales_person_confirmation'!$A:$A,0))="CONFIRMED","CONFIRMED ("&amp;LOWER(INDEX('12_sales_person_confirmation'!$E:$E,MATCH($A126,'12_sales_person_confirmation'!$A:$A,0)))&amp;")","PENDING CONFIRM"))))</f>
        <v/>
      </c>
      <c r="AR126" s="2">
        <f>IF(OR(AQ126="OK",AQ126="OK (auto-fixed)"),AP126,IF(LEFT(AQ126,9)="CONFIRMED",INDEX('12_sales_person_confirmation'!$F:$F,MATCH($A126,'12_sales_person_confirmation'!$A:$A,0)),""))</f>
        <v/>
      </c>
      <c r="AS126" s="2">
        <f>IF(AR126="","",INDEX('11_3nf_sales_person'!$B:$B,MATCH(AR126,'11_3nf_sales_person'!$A:$A,0)))</f>
        <v/>
      </c>
    </row>
    <row r="127">
      <c r="A127" s="2">
        <f>IF(ISBLANK('1_raw_log'!A127),"",'1_raw_log'!A127)</f>
        <v/>
      </c>
      <c r="B127" s="3">
        <f>IF(ISBLANK('1_raw_log'!B127),"",'1_raw_log'!B127)</f>
        <v/>
      </c>
      <c r="C127" s="2">
        <f>IF(ISBLANK('1_raw_log'!C127),"",'1_raw_log'!C127)</f>
        <v/>
      </c>
      <c r="D127" s="2">
        <f>IF(ISBLANK('1_raw_log'!D127),"",'1_raw_log'!D127)</f>
        <v/>
      </c>
      <c r="E127" s="4">
        <f>IF(ISBLANK('1_raw_log'!E127),"",'1_raw_log'!E127)</f>
        <v/>
      </c>
      <c r="F127" s="2">
        <f>IF(ISBLANK('1_raw_log'!F127),"",'1_raw_log'!F127)</f>
        <v/>
      </c>
      <c r="G127" s="2">
        <f>IF(ISBLANK('1_raw_log'!G127),"",'1_raw_log'!G127)</f>
        <v/>
      </c>
      <c r="H127" s="2">
        <f>IF(ISBLANK('1_raw_log'!H127),"",'1_raw_log'!H127)</f>
        <v/>
      </c>
      <c r="I127" s="7">
        <f>IF(ISBLANK('1_raw_log'!I127),"",'1_raw_log'!I127)</f>
        <v/>
      </c>
      <c r="J127" s="2">
        <f>IF(ISBLANK('1_raw_log'!J127),"",'1_raw_log'!J127)</f>
        <v/>
      </c>
      <c r="K127" s="2">
        <f>IF(ISBLANK('1_raw_log'!K127),"",'1_raw_log'!K127)</f>
        <v/>
      </c>
      <c r="L127" s="30">
        <f>INT(B127)</f>
        <v/>
      </c>
      <c r="M127" s="20">
        <f>ROUND(MOD(B127,1)*1440,0)/1440</f>
        <v/>
      </c>
      <c r="N127" s="4">
        <f>IFERROR(INDEX('3_ref_date'!$B:$B,MATCH(L127,'3_ref_date'!$A:$A,0)),"NOT FOUND")</f>
        <v/>
      </c>
      <c r="O127" s="2">
        <f>IFERROR(INDEX('3_ref_date'!$C:$C,MATCH(L127,'3_ref_date'!$A:$A,0)),"NOT FOUND")</f>
        <v/>
      </c>
      <c r="P127" s="4">
        <f>IFERROR(INDEX('3_ref_date'!$D:$D,MATCH(L127,'3_ref_date'!$A:$A,0)),"NOT FOUND")</f>
        <v/>
      </c>
      <c r="Q127" s="4">
        <f>IFERROR(INDEX('3_ref_date'!$E:$E,MATCH(L127,'3_ref_date'!$A:$A,0)),"NOT FOUND")</f>
        <v/>
      </c>
      <c r="R127" s="2">
        <f>IFERROR(INDEX('3_ref_date'!$F:$F,MATCH(L127,'3_ref_date'!$A:$A,0)),"NOT FOUND")</f>
        <v/>
      </c>
      <c r="S127" s="2">
        <f>IFERROR(INDEX('4_ref_time'!$D:$D,MATCH(ROUND(M127*1440,0),'4_ref_time'!$A:$A,0)),"NOT FOUND")</f>
        <v/>
      </c>
      <c r="T127" s="2">
        <f>UPPER(TRIM(C127))</f>
        <v/>
      </c>
      <c r="U127" s="30">
        <f>IF(_xlfn.MAXIFS('6_3nf_branch_history'!$B$2:$B$50,'6_3nf_branch_history'!$A$2:$A$50,T127,'6_3nf_branch_history'!$B$2:$B$50,"&lt;="&amp;L127)=0,"NOT FOUND",_xlfn.MAXIFS('6_3nf_branch_history'!$B$2:$B$50,'6_3nf_branch_history'!$A$2:$A$50,T127,'6_3nf_branch_history'!$B$2:$B$50,"&lt;="&amp;L127))</f>
        <v/>
      </c>
      <c r="V127" s="2">
        <f>IF(U127="NOT FOUND","NOT FOUND",INDEX('6_3nf_branch_history'!$C:$C,SUMPRODUCT(('6_3nf_branch_history'!$A$2:$A$50=T127)*('6_3nf_branch_history'!$B$2:$B$50=U127)*ROW('6_3nf_branch_history'!$A$2:$A$50))))</f>
        <v/>
      </c>
      <c r="W127" s="2">
        <f>IF(U127="NOT FOUND","NOT FOUND",INDEX('6_3nf_branch_history'!$D:$D,SUMPRODUCT(('6_3nf_branch_history'!$A$2:$A$50=T127)*('6_3nf_branch_history'!$B$2:$B$50=U127)*ROW('6_3nf_branch_history'!$A$2:$A$50))))</f>
        <v/>
      </c>
      <c r="X127" s="2">
        <f>IF(U127="NOT FOUND","NOT FOUND",INDEX('6_3nf_branch_history'!$E:$E,SUMPRODUCT(('6_3nf_branch_history'!$A$2:$A$50=T127)*('6_3nf_branch_history'!$B$2:$B$50=U127)*ROW('6_3nf_branch_history'!$A$2:$A$50))))</f>
        <v/>
      </c>
      <c r="Y127" s="2">
        <f>UPPER(TRIM(D127))</f>
        <v/>
      </c>
      <c r="Z127" s="2">
        <f>IFERROR(INDEX('7_3nf_product'!$B:$B,MATCH(Y127,'7_3nf_product'!$A:$A,0)),"NOT FOUND")</f>
        <v/>
      </c>
      <c r="AA127" s="2">
        <f>IFERROR(INDEX('7_3nf_product'!$C:$C,MATCH(Y127,'7_3nf_product'!$A:$A,0)),"NOT FOUND")</f>
        <v/>
      </c>
      <c r="AB127" s="2">
        <f>IFERROR(INDEX('7_3nf_product'!$D:$D,MATCH(Y127,'7_3nf_product'!$A:$A,0)),"NOT FOUND")</f>
        <v/>
      </c>
      <c r="AC127" s="6">
        <f>IFERROR(INDEX('7_3nf_product'!$E:$E,MATCH(Y127,'7_3nf_product'!$A:$A,0)),"NOT FOUND")</f>
        <v/>
      </c>
      <c r="AD127" s="33">
        <f>IF(LEN(TRIM(E127))=10,TRIM(E127),IF(LEN(TRIM(E127))=8,"00"&amp;TRIM(E127),"CHECK"))</f>
        <v/>
      </c>
      <c r="AE127" s="2">
        <f>IFERROR(INDEX('8_3nf_customer'!$C:$C,MATCH(AD127,'8_3nf_customer'!$B:$B,0)),"NOT FOUND")</f>
        <v/>
      </c>
      <c r="AF127" s="30">
        <f>IFERROR(INDEX('8_3nf_customer'!$D:$D,MATCH(AD127,'8_3nf_customer'!$B:$B,0)),"NOT FOUND")</f>
        <v/>
      </c>
      <c r="AG127" s="4">
        <f>IF(ISNUMBER(AF127),DATEDIF(AF127,L127,"y"),"NOT FOUND")</f>
        <v/>
      </c>
      <c r="AH127" s="2">
        <f>IFERROR(INDEX('8_3nf_customer'!$E:$E,MATCH(AD127,'8_3nf_customer'!$B:$B,0)),"NOT FOUND")</f>
        <v/>
      </c>
      <c r="AI127" s="30">
        <f>IF(_xlfn.MAXIFS('9_3nf_customer_history'!$B$2:$B$500,'9_3nf_customer_history'!$A$2:$A$500,AD127,'9_3nf_customer_history'!$B$2:$B$500,"&lt;="&amp;L127)=0,"NOT FOUND",_xlfn.MAXIFS('9_3nf_customer_history'!$B$2:$B$500,'9_3nf_customer_history'!$A$2:$A$500,AD127,'9_3nf_customer_history'!$B$2:$B$500,"&lt;="&amp;L127))</f>
        <v/>
      </c>
      <c r="AJ127" s="2">
        <f>IF(AI127="NOT FOUND","NOT FOUND",INDEX('9_3nf_customer_history'!$C:$C,SUMPRODUCT(('9_3nf_customer_history'!$A$2:$A$500=AD127)*('9_3nf_customer_history'!$B$2:$B$500=AI127)*ROW('9_3nf_customer_history'!$A$2:$A$500))))</f>
        <v/>
      </c>
      <c r="AK127" s="2">
        <f>IF(AI127="NOT FOUND","NOT FOUND",INDEX('9_3nf_customer_history'!$D:$D,SUMPRODUCT(('9_3nf_customer_history'!$A$2:$A$500=AD127)*('9_3nf_customer_history'!$B$2:$B$500=AI127)*ROW('9_3nf_customer_history'!$A$2:$A$500))))</f>
        <v/>
      </c>
      <c r="AL127" s="2">
        <f>UPPER(TRIM(H127))</f>
        <v/>
      </c>
      <c r="AM127" s="30">
        <f>IF(_xlfn.MAXIFS('10_ref_fx_rate'!$B$2:$B$2000,'10_ref_fx_rate'!$A$2:$A$2000,AL127,'10_ref_fx_rate'!$B$2:$B$2000,"&lt;="&amp;L127)=0,"NOT FOUND",_xlfn.MAXIFS('10_ref_fx_rate'!$B$2:$B$2000,'10_ref_fx_rate'!$A$2:$A$2000,AL127,'10_ref_fx_rate'!$B$2:$B$2000,"&lt;="&amp;L127))</f>
        <v/>
      </c>
      <c r="AN127" s="8">
        <f>IF(AM127="NOT FOUND","NOT FOUND",SUMIFS('10_ref_fx_rate'!$D$2:$D$2000,'10_ref_fx_rate'!$A$2:$A$2000,AL127,'10_ref_fx_rate'!$B$2:$B$2000,AM127))</f>
        <v/>
      </c>
      <c r="AO127" s="37">
        <f>IF(ISNUMBER(AN127),I127*AN127,"NOT FOUND")</f>
        <v/>
      </c>
      <c r="AP127" s="2">
        <f>UPPER(TRIM(J127))</f>
        <v/>
      </c>
      <c r="AQ127" s="2">
        <f>IF(AP127="","SELF-DIRECTED",IF(ISNUMBER(MATCH(AP127,'11_3nf_sales_person'!$A:$A,0)),IF(EXACT(AP127,J127),"OK","OK (auto-fixed)"),IF(ISNA(MATCH($A127,'12_sales_person_confirmation'!$A:$A,0)),"CONFIRM (not logged)",IF(INDEX('12_sales_person_confirmation'!$I:$I,MATCH($A127,'12_sales_person_confirmation'!$A:$A,0))="CONFIRMED","CONFIRMED ("&amp;LOWER(INDEX('12_sales_person_confirmation'!$E:$E,MATCH($A127,'12_sales_person_confirmation'!$A:$A,0)))&amp;")","PENDING CONFIRM"))))</f>
        <v/>
      </c>
      <c r="AR127" s="2">
        <f>IF(OR(AQ127="OK",AQ127="OK (auto-fixed)"),AP127,IF(LEFT(AQ127,9)="CONFIRMED",INDEX('12_sales_person_confirmation'!$F:$F,MATCH($A127,'12_sales_person_confirmation'!$A:$A,0)),""))</f>
        <v/>
      </c>
      <c r="AS127" s="2">
        <f>IF(AR127="","",INDEX('11_3nf_sales_person'!$B:$B,MATCH(AR127,'11_3nf_sales_person'!$A:$A,0)))</f>
        <v/>
      </c>
    </row>
    <row r="128">
      <c r="A128" s="2">
        <f>IF(ISBLANK('1_raw_log'!A128),"",'1_raw_log'!A128)</f>
        <v/>
      </c>
      <c r="B128" s="3">
        <f>IF(ISBLANK('1_raw_log'!B128),"",'1_raw_log'!B128)</f>
        <v/>
      </c>
      <c r="C128" s="2">
        <f>IF(ISBLANK('1_raw_log'!C128),"",'1_raw_log'!C128)</f>
        <v/>
      </c>
      <c r="D128" s="2">
        <f>IF(ISBLANK('1_raw_log'!D128),"",'1_raw_log'!D128)</f>
        <v/>
      </c>
      <c r="E128" s="4">
        <f>IF(ISBLANK('1_raw_log'!E128),"",'1_raw_log'!E128)</f>
        <v/>
      </c>
      <c r="F128" s="2">
        <f>IF(ISBLANK('1_raw_log'!F128),"",'1_raw_log'!F128)</f>
        <v/>
      </c>
      <c r="G128" s="2">
        <f>IF(ISBLANK('1_raw_log'!G128),"",'1_raw_log'!G128)</f>
        <v/>
      </c>
      <c r="H128" s="2">
        <f>IF(ISBLANK('1_raw_log'!H128),"",'1_raw_log'!H128)</f>
        <v/>
      </c>
      <c r="I128" s="7">
        <f>IF(ISBLANK('1_raw_log'!I128),"",'1_raw_log'!I128)</f>
        <v/>
      </c>
      <c r="J128" s="2">
        <f>IF(ISBLANK('1_raw_log'!J128),"",'1_raw_log'!J128)</f>
        <v/>
      </c>
      <c r="K128" s="2">
        <f>IF(ISBLANK('1_raw_log'!K128),"",'1_raw_log'!K128)</f>
        <v/>
      </c>
      <c r="L128" s="30">
        <f>INT(B128)</f>
        <v/>
      </c>
      <c r="M128" s="20">
        <f>ROUND(MOD(B128,1)*1440,0)/1440</f>
        <v/>
      </c>
      <c r="N128" s="4">
        <f>IFERROR(INDEX('3_ref_date'!$B:$B,MATCH(L128,'3_ref_date'!$A:$A,0)),"NOT FOUND")</f>
        <v/>
      </c>
      <c r="O128" s="2">
        <f>IFERROR(INDEX('3_ref_date'!$C:$C,MATCH(L128,'3_ref_date'!$A:$A,0)),"NOT FOUND")</f>
        <v/>
      </c>
      <c r="P128" s="4">
        <f>IFERROR(INDEX('3_ref_date'!$D:$D,MATCH(L128,'3_ref_date'!$A:$A,0)),"NOT FOUND")</f>
        <v/>
      </c>
      <c r="Q128" s="4">
        <f>IFERROR(INDEX('3_ref_date'!$E:$E,MATCH(L128,'3_ref_date'!$A:$A,0)),"NOT FOUND")</f>
        <v/>
      </c>
      <c r="R128" s="2">
        <f>IFERROR(INDEX('3_ref_date'!$F:$F,MATCH(L128,'3_ref_date'!$A:$A,0)),"NOT FOUND")</f>
        <v/>
      </c>
      <c r="S128" s="2">
        <f>IFERROR(INDEX('4_ref_time'!$D:$D,MATCH(ROUND(M128*1440,0),'4_ref_time'!$A:$A,0)),"NOT FOUND")</f>
        <v/>
      </c>
      <c r="T128" s="2">
        <f>UPPER(TRIM(C128))</f>
        <v/>
      </c>
      <c r="U128" s="30">
        <f>IF(_xlfn.MAXIFS('6_3nf_branch_history'!$B$2:$B$50,'6_3nf_branch_history'!$A$2:$A$50,T128,'6_3nf_branch_history'!$B$2:$B$50,"&lt;="&amp;L128)=0,"NOT FOUND",_xlfn.MAXIFS('6_3nf_branch_history'!$B$2:$B$50,'6_3nf_branch_history'!$A$2:$A$50,T128,'6_3nf_branch_history'!$B$2:$B$50,"&lt;="&amp;L128))</f>
        <v/>
      </c>
      <c r="V128" s="2">
        <f>IF(U128="NOT FOUND","NOT FOUND",INDEX('6_3nf_branch_history'!$C:$C,SUMPRODUCT(('6_3nf_branch_history'!$A$2:$A$50=T128)*('6_3nf_branch_history'!$B$2:$B$50=U128)*ROW('6_3nf_branch_history'!$A$2:$A$50))))</f>
        <v/>
      </c>
      <c r="W128" s="2">
        <f>IF(U128="NOT FOUND","NOT FOUND",INDEX('6_3nf_branch_history'!$D:$D,SUMPRODUCT(('6_3nf_branch_history'!$A$2:$A$50=T128)*('6_3nf_branch_history'!$B$2:$B$50=U128)*ROW('6_3nf_branch_history'!$A$2:$A$50))))</f>
        <v/>
      </c>
      <c r="X128" s="2">
        <f>IF(U128="NOT FOUND","NOT FOUND",INDEX('6_3nf_branch_history'!$E:$E,SUMPRODUCT(('6_3nf_branch_history'!$A$2:$A$50=T128)*('6_3nf_branch_history'!$B$2:$B$50=U128)*ROW('6_3nf_branch_history'!$A$2:$A$50))))</f>
        <v/>
      </c>
      <c r="Y128" s="2">
        <f>UPPER(TRIM(D128))</f>
        <v/>
      </c>
      <c r="Z128" s="2">
        <f>IFERROR(INDEX('7_3nf_product'!$B:$B,MATCH(Y128,'7_3nf_product'!$A:$A,0)),"NOT FOUND")</f>
        <v/>
      </c>
      <c r="AA128" s="2">
        <f>IFERROR(INDEX('7_3nf_product'!$C:$C,MATCH(Y128,'7_3nf_product'!$A:$A,0)),"NOT FOUND")</f>
        <v/>
      </c>
      <c r="AB128" s="2">
        <f>IFERROR(INDEX('7_3nf_product'!$D:$D,MATCH(Y128,'7_3nf_product'!$A:$A,0)),"NOT FOUND")</f>
        <v/>
      </c>
      <c r="AC128" s="6">
        <f>IFERROR(INDEX('7_3nf_product'!$E:$E,MATCH(Y128,'7_3nf_product'!$A:$A,0)),"NOT FOUND")</f>
        <v/>
      </c>
      <c r="AD128" s="33">
        <f>IF(LEN(TRIM(E128))=10,TRIM(E128),IF(LEN(TRIM(E128))=8,"00"&amp;TRIM(E128),"CHECK"))</f>
        <v/>
      </c>
      <c r="AE128" s="2">
        <f>IFERROR(INDEX('8_3nf_customer'!$C:$C,MATCH(AD128,'8_3nf_customer'!$B:$B,0)),"NOT FOUND")</f>
        <v/>
      </c>
      <c r="AF128" s="30">
        <f>IFERROR(INDEX('8_3nf_customer'!$D:$D,MATCH(AD128,'8_3nf_customer'!$B:$B,0)),"NOT FOUND")</f>
        <v/>
      </c>
      <c r="AG128" s="4">
        <f>IF(ISNUMBER(AF128),DATEDIF(AF128,L128,"y"),"NOT FOUND")</f>
        <v/>
      </c>
      <c r="AH128" s="2">
        <f>IFERROR(INDEX('8_3nf_customer'!$E:$E,MATCH(AD128,'8_3nf_customer'!$B:$B,0)),"NOT FOUND")</f>
        <v/>
      </c>
      <c r="AI128" s="30">
        <f>IF(_xlfn.MAXIFS('9_3nf_customer_history'!$B$2:$B$500,'9_3nf_customer_history'!$A$2:$A$500,AD128,'9_3nf_customer_history'!$B$2:$B$500,"&lt;="&amp;L128)=0,"NOT FOUND",_xlfn.MAXIFS('9_3nf_customer_history'!$B$2:$B$500,'9_3nf_customer_history'!$A$2:$A$500,AD128,'9_3nf_customer_history'!$B$2:$B$500,"&lt;="&amp;L128))</f>
        <v/>
      </c>
      <c r="AJ128" s="2">
        <f>IF(AI128="NOT FOUND","NOT FOUND",INDEX('9_3nf_customer_history'!$C:$C,SUMPRODUCT(('9_3nf_customer_history'!$A$2:$A$500=AD128)*('9_3nf_customer_history'!$B$2:$B$500=AI128)*ROW('9_3nf_customer_history'!$A$2:$A$500))))</f>
        <v/>
      </c>
      <c r="AK128" s="2">
        <f>IF(AI128="NOT FOUND","NOT FOUND",INDEX('9_3nf_customer_history'!$D:$D,SUMPRODUCT(('9_3nf_customer_history'!$A$2:$A$500=AD128)*('9_3nf_customer_history'!$B$2:$B$500=AI128)*ROW('9_3nf_customer_history'!$A$2:$A$500))))</f>
        <v/>
      </c>
      <c r="AL128" s="2">
        <f>UPPER(TRIM(H128))</f>
        <v/>
      </c>
      <c r="AM128" s="30">
        <f>IF(_xlfn.MAXIFS('10_ref_fx_rate'!$B$2:$B$2000,'10_ref_fx_rate'!$A$2:$A$2000,AL128,'10_ref_fx_rate'!$B$2:$B$2000,"&lt;="&amp;L128)=0,"NOT FOUND",_xlfn.MAXIFS('10_ref_fx_rate'!$B$2:$B$2000,'10_ref_fx_rate'!$A$2:$A$2000,AL128,'10_ref_fx_rate'!$B$2:$B$2000,"&lt;="&amp;L128))</f>
        <v/>
      </c>
      <c r="AN128" s="8">
        <f>IF(AM128="NOT FOUND","NOT FOUND",SUMIFS('10_ref_fx_rate'!$D$2:$D$2000,'10_ref_fx_rate'!$A$2:$A$2000,AL128,'10_ref_fx_rate'!$B$2:$B$2000,AM128))</f>
        <v/>
      </c>
      <c r="AO128" s="37">
        <f>IF(ISNUMBER(AN128),I128*AN128,"NOT FOUND")</f>
        <v/>
      </c>
      <c r="AP128" s="2">
        <f>UPPER(TRIM(J128))</f>
        <v/>
      </c>
      <c r="AQ128" s="2">
        <f>IF(AP128="","SELF-DIRECTED",IF(ISNUMBER(MATCH(AP128,'11_3nf_sales_person'!$A:$A,0)),IF(EXACT(AP128,J128),"OK","OK (auto-fixed)"),IF(ISNA(MATCH($A128,'12_sales_person_confirmation'!$A:$A,0)),"CONFIRM (not logged)",IF(INDEX('12_sales_person_confirmation'!$I:$I,MATCH($A128,'12_sales_person_confirmation'!$A:$A,0))="CONFIRMED","CONFIRMED ("&amp;LOWER(INDEX('12_sales_person_confirmation'!$E:$E,MATCH($A128,'12_sales_person_confirmation'!$A:$A,0)))&amp;")","PENDING CONFIRM"))))</f>
        <v/>
      </c>
      <c r="AR128" s="2">
        <f>IF(OR(AQ128="OK",AQ128="OK (auto-fixed)"),AP128,IF(LEFT(AQ128,9)="CONFIRMED",INDEX('12_sales_person_confirmation'!$F:$F,MATCH($A128,'12_sales_person_confirmation'!$A:$A,0)),""))</f>
        <v/>
      </c>
      <c r="AS128" s="2">
        <f>IF(AR128="","",INDEX('11_3nf_sales_person'!$B:$B,MATCH(AR128,'11_3nf_sales_person'!$A:$A,0)))</f>
        <v/>
      </c>
    </row>
    <row r="129">
      <c r="A129" s="2">
        <f>IF(ISBLANK('1_raw_log'!A129),"",'1_raw_log'!A129)</f>
        <v/>
      </c>
      <c r="B129" s="3">
        <f>IF(ISBLANK('1_raw_log'!B129),"",'1_raw_log'!B129)</f>
        <v/>
      </c>
      <c r="C129" s="2">
        <f>IF(ISBLANK('1_raw_log'!C129),"",'1_raw_log'!C129)</f>
        <v/>
      </c>
      <c r="D129" s="2">
        <f>IF(ISBLANK('1_raw_log'!D129),"",'1_raw_log'!D129)</f>
        <v/>
      </c>
      <c r="E129" s="4">
        <f>IF(ISBLANK('1_raw_log'!E129),"",'1_raw_log'!E129)</f>
        <v/>
      </c>
      <c r="F129" s="2">
        <f>IF(ISBLANK('1_raw_log'!F129),"",'1_raw_log'!F129)</f>
        <v/>
      </c>
      <c r="G129" s="2">
        <f>IF(ISBLANK('1_raw_log'!G129),"",'1_raw_log'!G129)</f>
        <v/>
      </c>
      <c r="H129" s="2">
        <f>IF(ISBLANK('1_raw_log'!H129),"",'1_raw_log'!H129)</f>
        <v/>
      </c>
      <c r="I129" s="7">
        <f>IF(ISBLANK('1_raw_log'!I129),"",'1_raw_log'!I129)</f>
        <v/>
      </c>
      <c r="J129" s="2">
        <f>IF(ISBLANK('1_raw_log'!J129),"",'1_raw_log'!J129)</f>
        <v/>
      </c>
      <c r="K129" s="2">
        <f>IF(ISBLANK('1_raw_log'!K129),"",'1_raw_log'!K129)</f>
        <v/>
      </c>
      <c r="L129" s="30">
        <f>INT(B129)</f>
        <v/>
      </c>
      <c r="M129" s="20">
        <f>ROUND(MOD(B129,1)*1440,0)/1440</f>
        <v/>
      </c>
      <c r="N129" s="4">
        <f>IFERROR(INDEX('3_ref_date'!$B:$B,MATCH(L129,'3_ref_date'!$A:$A,0)),"NOT FOUND")</f>
        <v/>
      </c>
      <c r="O129" s="2">
        <f>IFERROR(INDEX('3_ref_date'!$C:$C,MATCH(L129,'3_ref_date'!$A:$A,0)),"NOT FOUND")</f>
        <v/>
      </c>
      <c r="P129" s="4">
        <f>IFERROR(INDEX('3_ref_date'!$D:$D,MATCH(L129,'3_ref_date'!$A:$A,0)),"NOT FOUND")</f>
        <v/>
      </c>
      <c r="Q129" s="4">
        <f>IFERROR(INDEX('3_ref_date'!$E:$E,MATCH(L129,'3_ref_date'!$A:$A,0)),"NOT FOUND")</f>
        <v/>
      </c>
      <c r="R129" s="2">
        <f>IFERROR(INDEX('3_ref_date'!$F:$F,MATCH(L129,'3_ref_date'!$A:$A,0)),"NOT FOUND")</f>
        <v/>
      </c>
      <c r="S129" s="2">
        <f>IFERROR(INDEX('4_ref_time'!$D:$D,MATCH(ROUND(M129*1440,0),'4_ref_time'!$A:$A,0)),"NOT FOUND")</f>
        <v/>
      </c>
      <c r="T129" s="2">
        <f>UPPER(TRIM(C129))</f>
        <v/>
      </c>
      <c r="U129" s="30">
        <f>IF(_xlfn.MAXIFS('6_3nf_branch_history'!$B$2:$B$50,'6_3nf_branch_history'!$A$2:$A$50,T129,'6_3nf_branch_history'!$B$2:$B$50,"&lt;="&amp;L129)=0,"NOT FOUND",_xlfn.MAXIFS('6_3nf_branch_history'!$B$2:$B$50,'6_3nf_branch_history'!$A$2:$A$50,T129,'6_3nf_branch_history'!$B$2:$B$50,"&lt;="&amp;L129))</f>
        <v/>
      </c>
      <c r="V129" s="2">
        <f>IF(U129="NOT FOUND","NOT FOUND",INDEX('6_3nf_branch_history'!$C:$C,SUMPRODUCT(('6_3nf_branch_history'!$A$2:$A$50=T129)*('6_3nf_branch_history'!$B$2:$B$50=U129)*ROW('6_3nf_branch_history'!$A$2:$A$50))))</f>
        <v/>
      </c>
      <c r="W129" s="2">
        <f>IF(U129="NOT FOUND","NOT FOUND",INDEX('6_3nf_branch_history'!$D:$D,SUMPRODUCT(('6_3nf_branch_history'!$A$2:$A$50=T129)*('6_3nf_branch_history'!$B$2:$B$50=U129)*ROW('6_3nf_branch_history'!$A$2:$A$50))))</f>
        <v/>
      </c>
      <c r="X129" s="2">
        <f>IF(U129="NOT FOUND","NOT FOUND",INDEX('6_3nf_branch_history'!$E:$E,SUMPRODUCT(('6_3nf_branch_history'!$A$2:$A$50=T129)*('6_3nf_branch_history'!$B$2:$B$50=U129)*ROW('6_3nf_branch_history'!$A$2:$A$50))))</f>
        <v/>
      </c>
      <c r="Y129" s="2">
        <f>UPPER(TRIM(D129))</f>
        <v/>
      </c>
      <c r="Z129" s="2">
        <f>IFERROR(INDEX('7_3nf_product'!$B:$B,MATCH(Y129,'7_3nf_product'!$A:$A,0)),"NOT FOUND")</f>
        <v/>
      </c>
      <c r="AA129" s="2">
        <f>IFERROR(INDEX('7_3nf_product'!$C:$C,MATCH(Y129,'7_3nf_product'!$A:$A,0)),"NOT FOUND")</f>
        <v/>
      </c>
      <c r="AB129" s="2">
        <f>IFERROR(INDEX('7_3nf_product'!$D:$D,MATCH(Y129,'7_3nf_product'!$A:$A,0)),"NOT FOUND")</f>
        <v/>
      </c>
      <c r="AC129" s="6">
        <f>IFERROR(INDEX('7_3nf_product'!$E:$E,MATCH(Y129,'7_3nf_product'!$A:$A,0)),"NOT FOUND")</f>
        <v/>
      </c>
      <c r="AD129" s="33">
        <f>IF(LEN(TRIM(E129))=10,TRIM(E129),IF(LEN(TRIM(E129))=8,"00"&amp;TRIM(E129),"CHECK"))</f>
        <v/>
      </c>
      <c r="AE129" s="2">
        <f>IFERROR(INDEX('8_3nf_customer'!$C:$C,MATCH(AD129,'8_3nf_customer'!$B:$B,0)),"NOT FOUND")</f>
        <v/>
      </c>
      <c r="AF129" s="30">
        <f>IFERROR(INDEX('8_3nf_customer'!$D:$D,MATCH(AD129,'8_3nf_customer'!$B:$B,0)),"NOT FOUND")</f>
        <v/>
      </c>
      <c r="AG129" s="4">
        <f>IF(ISNUMBER(AF129),DATEDIF(AF129,L129,"y"),"NOT FOUND")</f>
        <v/>
      </c>
      <c r="AH129" s="2">
        <f>IFERROR(INDEX('8_3nf_customer'!$E:$E,MATCH(AD129,'8_3nf_customer'!$B:$B,0)),"NOT FOUND")</f>
        <v/>
      </c>
      <c r="AI129" s="30">
        <f>IF(_xlfn.MAXIFS('9_3nf_customer_history'!$B$2:$B$500,'9_3nf_customer_history'!$A$2:$A$500,AD129,'9_3nf_customer_history'!$B$2:$B$500,"&lt;="&amp;L129)=0,"NOT FOUND",_xlfn.MAXIFS('9_3nf_customer_history'!$B$2:$B$500,'9_3nf_customer_history'!$A$2:$A$500,AD129,'9_3nf_customer_history'!$B$2:$B$500,"&lt;="&amp;L129))</f>
        <v/>
      </c>
      <c r="AJ129" s="2">
        <f>IF(AI129="NOT FOUND","NOT FOUND",INDEX('9_3nf_customer_history'!$C:$C,SUMPRODUCT(('9_3nf_customer_history'!$A$2:$A$500=AD129)*('9_3nf_customer_history'!$B$2:$B$500=AI129)*ROW('9_3nf_customer_history'!$A$2:$A$500))))</f>
        <v/>
      </c>
      <c r="AK129" s="2">
        <f>IF(AI129="NOT FOUND","NOT FOUND",INDEX('9_3nf_customer_history'!$D:$D,SUMPRODUCT(('9_3nf_customer_history'!$A$2:$A$500=AD129)*('9_3nf_customer_history'!$B$2:$B$500=AI129)*ROW('9_3nf_customer_history'!$A$2:$A$500))))</f>
        <v/>
      </c>
      <c r="AL129" s="2">
        <f>UPPER(TRIM(H129))</f>
        <v/>
      </c>
      <c r="AM129" s="30">
        <f>IF(_xlfn.MAXIFS('10_ref_fx_rate'!$B$2:$B$2000,'10_ref_fx_rate'!$A$2:$A$2000,AL129,'10_ref_fx_rate'!$B$2:$B$2000,"&lt;="&amp;L129)=0,"NOT FOUND",_xlfn.MAXIFS('10_ref_fx_rate'!$B$2:$B$2000,'10_ref_fx_rate'!$A$2:$A$2000,AL129,'10_ref_fx_rate'!$B$2:$B$2000,"&lt;="&amp;L129))</f>
        <v/>
      </c>
      <c r="AN129" s="8">
        <f>IF(AM129="NOT FOUND","NOT FOUND",SUMIFS('10_ref_fx_rate'!$D$2:$D$2000,'10_ref_fx_rate'!$A$2:$A$2000,AL129,'10_ref_fx_rate'!$B$2:$B$2000,AM129))</f>
        <v/>
      </c>
      <c r="AO129" s="37">
        <f>IF(ISNUMBER(AN129),I129*AN129,"NOT FOUND")</f>
        <v/>
      </c>
      <c r="AP129" s="2">
        <f>UPPER(TRIM(J129))</f>
        <v/>
      </c>
      <c r="AQ129" s="2">
        <f>IF(AP129="","SELF-DIRECTED",IF(ISNUMBER(MATCH(AP129,'11_3nf_sales_person'!$A:$A,0)),IF(EXACT(AP129,J129),"OK","OK (auto-fixed)"),IF(ISNA(MATCH($A129,'12_sales_person_confirmation'!$A:$A,0)),"CONFIRM (not logged)",IF(INDEX('12_sales_person_confirmation'!$I:$I,MATCH($A129,'12_sales_person_confirmation'!$A:$A,0))="CONFIRMED","CONFIRMED ("&amp;LOWER(INDEX('12_sales_person_confirmation'!$E:$E,MATCH($A129,'12_sales_person_confirmation'!$A:$A,0)))&amp;")","PENDING CONFIRM"))))</f>
        <v/>
      </c>
      <c r="AR129" s="2">
        <f>IF(OR(AQ129="OK",AQ129="OK (auto-fixed)"),AP129,IF(LEFT(AQ129,9)="CONFIRMED",INDEX('12_sales_person_confirmation'!$F:$F,MATCH($A129,'12_sales_person_confirmation'!$A:$A,0)),""))</f>
        <v/>
      </c>
      <c r="AS129" s="2">
        <f>IF(AR129="","",INDEX('11_3nf_sales_person'!$B:$B,MATCH(AR129,'11_3nf_sales_person'!$A:$A,0)))</f>
        <v/>
      </c>
    </row>
    <row r="130">
      <c r="A130" s="2">
        <f>IF(ISBLANK('1_raw_log'!A130),"",'1_raw_log'!A130)</f>
        <v/>
      </c>
      <c r="B130" s="3">
        <f>IF(ISBLANK('1_raw_log'!B130),"",'1_raw_log'!B130)</f>
        <v/>
      </c>
      <c r="C130" s="2">
        <f>IF(ISBLANK('1_raw_log'!C130),"",'1_raw_log'!C130)</f>
        <v/>
      </c>
      <c r="D130" s="2">
        <f>IF(ISBLANK('1_raw_log'!D130),"",'1_raw_log'!D130)</f>
        <v/>
      </c>
      <c r="E130" s="4">
        <f>IF(ISBLANK('1_raw_log'!E130),"",'1_raw_log'!E130)</f>
        <v/>
      </c>
      <c r="F130" s="2">
        <f>IF(ISBLANK('1_raw_log'!F130),"",'1_raw_log'!F130)</f>
        <v/>
      </c>
      <c r="G130" s="2">
        <f>IF(ISBLANK('1_raw_log'!G130),"",'1_raw_log'!G130)</f>
        <v/>
      </c>
      <c r="H130" s="2">
        <f>IF(ISBLANK('1_raw_log'!H130),"",'1_raw_log'!H130)</f>
        <v/>
      </c>
      <c r="I130" s="7">
        <f>IF(ISBLANK('1_raw_log'!I130),"",'1_raw_log'!I130)</f>
        <v/>
      </c>
      <c r="J130" s="2">
        <f>IF(ISBLANK('1_raw_log'!J130),"",'1_raw_log'!J130)</f>
        <v/>
      </c>
      <c r="K130" s="2">
        <f>IF(ISBLANK('1_raw_log'!K130),"",'1_raw_log'!K130)</f>
        <v/>
      </c>
      <c r="L130" s="30">
        <f>INT(B130)</f>
        <v/>
      </c>
      <c r="M130" s="20">
        <f>ROUND(MOD(B130,1)*1440,0)/1440</f>
        <v/>
      </c>
      <c r="N130" s="4">
        <f>IFERROR(INDEX('3_ref_date'!$B:$B,MATCH(L130,'3_ref_date'!$A:$A,0)),"NOT FOUND")</f>
        <v/>
      </c>
      <c r="O130" s="2">
        <f>IFERROR(INDEX('3_ref_date'!$C:$C,MATCH(L130,'3_ref_date'!$A:$A,0)),"NOT FOUND")</f>
        <v/>
      </c>
      <c r="P130" s="4">
        <f>IFERROR(INDEX('3_ref_date'!$D:$D,MATCH(L130,'3_ref_date'!$A:$A,0)),"NOT FOUND")</f>
        <v/>
      </c>
      <c r="Q130" s="4">
        <f>IFERROR(INDEX('3_ref_date'!$E:$E,MATCH(L130,'3_ref_date'!$A:$A,0)),"NOT FOUND")</f>
        <v/>
      </c>
      <c r="R130" s="2">
        <f>IFERROR(INDEX('3_ref_date'!$F:$F,MATCH(L130,'3_ref_date'!$A:$A,0)),"NOT FOUND")</f>
        <v/>
      </c>
      <c r="S130" s="2">
        <f>IFERROR(INDEX('4_ref_time'!$D:$D,MATCH(ROUND(M130*1440,0),'4_ref_time'!$A:$A,0)),"NOT FOUND")</f>
        <v/>
      </c>
      <c r="T130" s="2">
        <f>UPPER(TRIM(C130))</f>
        <v/>
      </c>
      <c r="U130" s="30">
        <f>IF(_xlfn.MAXIFS('6_3nf_branch_history'!$B$2:$B$50,'6_3nf_branch_history'!$A$2:$A$50,T130,'6_3nf_branch_history'!$B$2:$B$50,"&lt;="&amp;L130)=0,"NOT FOUND",_xlfn.MAXIFS('6_3nf_branch_history'!$B$2:$B$50,'6_3nf_branch_history'!$A$2:$A$50,T130,'6_3nf_branch_history'!$B$2:$B$50,"&lt;="&amp;L130))</f>
        <v/>
      </c>
      <c r="V130" s="2">
        <f>IF(U130="NOT FOUND","NOT FOUND",INDEX('6_3nf_branch_history'!$C:$C,SUMPRODUCT(('6_3nf_branch_history'!$A$2:$A$50=T130)*('6_3nf_branch_history'!$B$2:$B$50=U130)*ROW('6_3nf_branch_history'!$A$2:$A$50))))</f>
        <v/>
      </c>
      <c r="W130" s="2">
        <f>IF(U130="NOT FOUND","NOT FOUND",INDEX('6_3nf_branch_history'!$D:$D,SUMPRODUCT(('6_3nf_branch_history'!$A$2:$A$50=T130)*('6_3nf_branch_history'!$B$2:$B$50=U130)*ROW('6_3nf_branch_history'!$A$2:$A$50))))</f>
        <v/>
      </c>
      <c r="X130" s="2">
        <f>IF(U130="NOT FOUND","NOT FOUND",INDEX('6_3nf_branch_history'!$E:$E,SUMPRODUCT(('6_3nf_branch_history'!$A$2:$A$50=T130)*('6_3nf_branch_history'!$B$2:$B$50=U130)*ROW('6_3nf_branch_history'!$A$2:$A$50))))</f>
        <v/>
      </c>
      <c r="Y130" s="2">
        <f>UPPER(TRIM(D130))</f>
        <v/>
      </c>
      <c r="Z130" s="2">
        <f>IFERROR(INDEX('7_3nf_product'!$B:$B,MATCH(Y130,'7_3nf_product'!$A:$A,0)),"NOT FOUND")</f>
        <v/>
      </c>
      <c r="AA130" s="2">
        <f>IFERROR(INDEX('7_3nf_product'!$C:$C,MATCH(Y130,'7_3nf_product'!$A:$A,0)),"NOT FOUND")</f>
        <v/>
      </c>
      <c r="AB130" s="2">
        <f>IFERROR(INDEX('7_3nf_product'!$D:$D,MATCH(Y130,'7_3nf_product'!$A:$A,0)),"NOT FOUND")</f>
        <v/>
      </c>
      <c r="AC130" s="6">
        <f>IFERROR(INDEX('7_3nf_product'!$E:$E,MATCH(Y130,'7_3nf_product'!$A:$A,0)),"NOT FOUND")</f>
        <v/>
      </c>
      <c r="AD130" s="33">
        <f>IF(LEN(TRIM(E130))=10,TRIM(E130),IF(LEN(TRIM(E130))=8,"00"&amp;TRIM(E130),"CHECK"))</f>
        <v/>
      </c>
      <c r="AE130" s="2">
        <f>IFERROR(INDEX('8_3nf_customer'!$C:$C,MATCH(AD130,'8_3nf_customer'!$B:$B,0)),"NOT FOUND")</f>
        <v/>
      </c>
      <c r="AF130" s="30">
        <f>IFERROR(INDEX('8_3nf_customer'!$D:$D,MATCH(AD130,'8_3nf_customer'!$B:$B,0)),"NOT FOUND")</f>
        <v/>
      </c>
      <c r="AG130" s="4">
        <f>IF(ISNUMBER(AF130),DATEDIF(AF130,L130,"y"),"NOT FOUND")</f>
        <v/>
      </c>
      <c r="AH130" s="2">
        <f>IFERROR(INDEX('8_3nf_customer'!$E:$E,MATCH(AD130,'8_3nf_customer'!$B:$B,0)),"NOT FOUND")</f>
        <v/>
      </c>
      <c r="AI130" s="30">
        <f>IF(_xlfn.MAXIFS('9_3nf_customer_history'!$B$2:$B$500,'9_3nf_customer_history'!$A$2:$A$500,AD130,'9_3nf_customer_history'!$B$2:$B$500,"&lt;="&amp;L130)=0,"NOT FOUND",_xlfn.MAXIFS('9_3nf_customer_history'!$B$2:$B$500,'9_3nf_customer_history'!$A$2:$A$500,AD130,'9_3nf_customer_history'!$B$2:$B$500,"&lt;="&amp;L130))</f>
        <v/>
      </c>
      <c r="AJ130" s="2">
        <f>IF(AI130="NOT FOUND","NOT FOUND",INDEX('9_3nf_customer_history'!$C:$C,SUMPRODUCT(('9_3nf_customer_history'!$A$2:$A$500=AD130)*('9_3nf_customer_history'!$B$2:$B$500=AI130)*ROW('9_3nf_customer_history'!$A$2:$A$500))))</f>
        <v/>
      </c>
      <c r="AK130" s="2">
        <f>IF(AI130="NOT FOUND","NOT FOUND",INDEX('9_3nf_customer_history'!$D:$D,SUMPRODUCT(('9_3nf_customer_history'!$A$2:$A$500=AD130)*('9_3nf_customer_history'!$B$2:$B$500=AI130)*ROW('9_3nf_customer_history'!$A$2:$A$500))))</f>
        <v/>
      </c>
      <c r="AL130" s="2">
        <f>UPPER(TRIM(H130))</f>
        <v/>
      </c>
      <c r="AM130" s="30">
        <f>IF(_xlfn.MAXIFS('10_ref_fx_rate'!$B$2:$B$2000,'10_ref_fx_rate'!$A$2:$A$2000,AL130,'10_ref_fx_rate'!$B$2:$B$2000,"&lt;="&amp;L130)=0,"NOT FOUND",_xlfn.MAXIFS('10_ref_fx_rate'!$B$2:$B$2000,'10_ref_fx_rate'!$A$2:$A$2000,AL130,'10_ref_fx_rate'!$B$2:$B$2000,"&lt;="&amp;L130))</f>
        <v/>
      </c>
      <c r="AN130" s="8">
        <f>IF(AM130="NOT FOUND","NOT FOUND",SUMIFS('10_ref_fx_rate'!$D$2:$D$2000,'10_ref_fx_rate'!$A$2:$A$2000,AL130,'10_ref_fx_rate'!$B$2:$B$2000,AM130))</f>
        <v/>
      </c>
      <c r="AO130" s="37">
        <f>IF(ISNUMBER(AN130),I130*AN130,"NOT FOUND")</f>
        <v/>
      </c>
      <c r="AP130" s="2">
        <f>UPPER(TRIM(J130))</f>
        <v/>
      </c>
      <c r="AQ130" s="2">
        <f>IF(AP130="","SELF-DIRECTED",IF(ISNUMBER(MATCH(AP130,'11_3nf_sales_person'!$A:$A,0)),IF(EXACT(AP130,J130),"OK","OK (auto-fixed)"),IF(ISNA(MATCH($A130,'12_sales_person_confirmation'!$A:$A,0)),"CONFIRM (not logged)",IF(INDEX('12_sales_person_confirmation'!$I:$I,MATCH($A130,'12_sales_person_confirmation'!$A:$A,0))="CONFIRMED","CONFIRMED ("&amp;LOWER(INDEX('12_sales_person_confirmation'!$E:$E,MATCH($A130,'12_sales_person_confirmation'!$A:$A,0)))&amp;")","PENDING CONFIRM"))))</f>
        <v/>
      </c>
      <c r="AR130" s="2">
        <f>IF(OR(AQ130="OK",AQ130="OK (auto-fixed)"),AP130,IF(LEFT(AQ130,9)="CONFIRMED",INDEX('12_sales_person_confirmation'!$F:$F,MATCH($A130,'12_sales_person_confirmation'!$A:$A,0)),""))</f>
        <v/>
      </c>
      <c r="AS130" s="2">
        <f>IF(AR130="","",INDEX('11_3nf_sales_person'!$B:$B,MATCH(AR130,'11_3nf_sales_person'!$A:$A,0)))</f>
        <v/>
      </c>
    </row>
    <row r="131">
      <c r="A131" s="2">
        <f>IF(ISBLANK('1_raw_log'!A131),"",'1_raw_log'!A131)</f>
        <v/>
      </c>
      <c r="B131" s="3">
        <f>IF(ISBLANK('1_raw_log'!B131),"",'1_raw_log'!B131)</f>
        <v/>
      </c>
      <c r="C131" s="2">
        <f>IF(ISBLANK('1_raw_log'!C131),"",'1_raw_log'!C131)</f>
        <v/>
      </c>
      <c r="D131" s="2">
        <f>IF(ISBLANK('1_raw_log'!D131),"",'1_raw_log'!D131)</f>
        <v/>
      </c>
      <c r="E131" s="4">
        <f>IF(ISBLANK('1_raw_log'!E131),"",'1_raw_log'!E131)</f>
        <v/>
      </c>
      <c r="F131" s="2">
        <f>IF(ISBLANK('1_raw_log'!F131),"",'1_raw_log'!F131)</f>
        <v/>
      </c>
      <c r="G131" s="2">
        <f>IF(ISBLANK('1_raw_log'!G131),"",'1_raw_log'!G131)</f>
        <v/>
      </c>
      <c r="H131" s="2">
        <f>IF(ISBLANK('1_raw_log'!H131),"",'1_raw_log'!H131)</f>
        <v/>
      </c>
      <c r="I131" s="7">
        <f>IF(ISBLANK('1_raw_log'!I131),"",'1_raw_log'!I131)</f>
        <v/>
      </c>
      <c r="J131" s="2">
        <f>IF(ISBLANK('1_raw_log'!J131),"",'1_raw_log'!J131)</f>
        <v/>
      </c>
      <c r="K131" s="2">
        <f>IF(ISBLANK('1_raw_log'!K131),"",'1_raw_log'!K131)</f>
        <v/>
      </c>
      <c r="L131" s="30">
        <f>INT(B131)</f>
        <v/>
      </c>
      <c r="M131" s="20">
        <f>ROUND(MOD(B131,1)*1440,0)/1440</f>
        <v/>
      </c>
      <c r="N131" s="4">
        <f>IFERROR(INDEX('3_ref_date'!$B:$B,MATCH(L131,'3_ref_date'!$A:$A,0)),"NOT FOUND")</f>
        <v/>
      </c>
      <c r="O131" s="2">
        <f>IFERROR(INDEX('3_ref_date'!$C:$C,MATCH(L131,'3_ref_date'!$A:$A,0)),"NOT FOUND")</f>
        <v/>
      </c>
      <c r="P131" s="4">
        <f>IFERROR(INDEX('3_ref_date'!$D:$D,MATCH(L131,'3_ref_date'!$A:$A,0)),"NOT FOUND")</f>
        <v/>
      </c>
      <c r="Q131" s="4">
        <f>IFERROR(INDEX('3_ref_date'!$E:$E,MATCH(L131,'3_ref_date'!$A:$A,0)),"NOT FOUND")</f>
        <v/>
      </c>
      <c r="R131" s="2">
        <f>IFERROR(INDEX('3_ref_date'!$F:$F,MATCH(L131,'3_ref_date'!$A:$A,0)),"NOT FOUND")</f>
        <v/>
      </c>
      <c r="S131" s="2">
        <f>IFERROR(INDEX('4_ref_time'!$D:$D,MATCH(ROUND(M131*1440,0),'4_ref_time'!$A:$A,0)),"NOT FOUND")</f>
        <v/>
      </c>
      <c r="T131" s="2">
        <f>UPPER(TRIM(C131))</f>
        <v/>
      </c>
      <c r="U131" s="30">
        <f>IF(_xlfn.MAXIFS('6_3nf_branch_history'!$B$2:$B$50,'6_3nf_branch_history'!$A$2:$A$50,T131,'6_3nf_branch_history'!$B$2:$B$50,"&lt;="&amp;L131)=0,"NOT FOUND",_xlfn.MAXIFS('6_3nf_branch_history'!$B$2:$B$50,'6_3nf_branch_history'!$A$2:$A$50,T131,'6_3nf_branch_history'!$B$2:$B$50,"&lt;="&amp;L131))</f>
        <v/>
      </c>
      <c r="V131" s="2">
        <f>IF(U131="NOT FOUND","NOT FOUND",INDEX('6_3nf_branch_history'!$C:$C,SUMPRODUCT(('6_3nf_branch_history'!$A$2:$A$50=T131)*('6_3nf_branch_history'!$B$2:$B$50=U131)*ROW('6_3nf_branch_history'!$A$2:$A$50))))</f>
        <v/>
      </c>
      <c r="W131" s="2">
        <f>IF(U131="NOT FOUND","NOT FOUND",INDEX('6_3nf_branch_history'!$D:$D,SUMPRODUCT(('6_3nf_branch_history'!$A$2:$A$50=T131)*('6_3nf_branch_history'!$B$2:$B$50=U131)*ROW('6_3nf_branch_history'!$A$2:$A$50))))</f>
        <v/>
      </c>
      <c r="X131" s="2">
        <f>IF(U131="NOT FOUND","NOT FOUND",INDEX('6_3nf_branch_history'!$E:$E,SUMPRODUCT(('6_3nf_branch_history'!$A$2:$A$50=T131)*('6_3nf_branch_history'!$B$2:$B$50=U131)*ROW('6_3nf_branch_history'!$A$2:$A$50))))</f>
        <v/>
      </c>
      <c r="Y131" s="2">
        <f>UPPER(TRIM(D131))</f>
        <v/>
      </c>
      <c r="Z131" s="2">
        <f>IFERROR(INDEX('7_3nf_product'!$B:$B,MATCH(Y131,'7_3nf_product'!$A:$A,0)),"NOT FOUND")</f>
        <v/>
      </c>
      <c r="AA131" s="2">
        <f>IFERROR(INDEX('7_3nf_product'!$C:$C,MATCH(Y131,'7_3nf_product'!$A:$A,0)),"NOT FOUND")</f>
        <v/>
      </c>
      <c r="AB131" s="2">
        <f>IFERROR(INDEX('7_3nf_product'!$D:$D,MATCH(Y131,'7_3nf_product'!$A:$A,0)),"NOT FOUND")</f>
        <v/>
      </c>
      <c r="AC131" s="6">
        <f>IFERROR(INDEX('7_3nf_product'!$E:$E,MATCH(Y131,'7_3nf_product'!$A:$A,0)),"NOT FOUND")</f>
        <v/>
      </c>
      <c r="AD131" s="33">
        <f>IF(LEN(TRIM(E131))=10,TRIM(E131),IF(LEN(TRIM(E131))=8,"00"&amp;TRIM(E131),"CHECK"))</f>
        <v/>
      </c>
      <c r="AE131" s="2">
        <f>IFERROR(INDEX('8_3nf_customer'!$C:$C,MATCH(AD131,'8_3nf_customer'!$B:$B,0)),"NOT FOUND")</f>
        <v/>
      </c>
      <c r="AF131" s="30">
        <f>IFERROR(INDEX('8_3nf_customer'!$D:$D,MATCH(AD131,'8_3nf_customer'!$B:$B,0)),"NOT FOUND")</f>
        <v/>
      </c>
      <c r="AG131" s="4">
        <f>IF(ISNUMBER(AF131),DATEDIF(AF131,L131,"y"),"NOT FOUND")</f>
        <v/>
      </c>
      <c r="AH131" s="2">
        <f>IFERROR(INDEX('8_3nf_customer'!$E:$E,MATCH(AD131,'8_3nf_customer'!$B:$B,0)),"NOT FOUND")</f>
        <v/>
      </c>
      <c r="AI131" s="30">
        <f>IF(_xlfn.MAXIFS('9_3nf_customer_history'!$B$2:$B$500,'9_3nf_customer_history'!$A$2:$A$500,AD131,'9_3nf_customer_history'!$B$2:$B$500,"&lt;="&amp;L131)=0,"NOT FOUND",_xlfn.MAXIFS('9_3nf_customer_history'!$B$2:$B$500,'9_3nf_customer_history'!$A$2:$A$500,AD131,'9_3nf_customer_history'!$B$2:$B$500,"&lt;="&amp;L131))</f>
        <v/>
      </c>
      <c r="AJ131" s="2">
        <f>IF(AI131="NOT FOUND","NOT FOUND",INDEX('9_3nf_customer_history'!$C:$C,SUMPRODUCT(('9_3nf_customer_history'!$A$2:$A$500=AD131)*('9_3nf_customer_history'!$B$2:$B$500=AI131)*ROW('9_3nf_customer_history'!$A$2:$A$500))))</f>
        <v/>
      </c>
      <c r="AK131" s="2">
        <f>IF(AI131="NOT FOUND","NOT FOUND",INDEX('9_3nf_customer_history'!$D:$D,SUMPRODUCT(('9_3nf_customer_history'!$A$2:$A$500=AD131)*('9_3nf_customer_history'!$B$2:$B$500=AI131)*ROW('9_3nf_customer_history'!$A$2:$A$500))))</f>
        <v/>
      </c>
      <c r="AL131" s="2">
        <f>UPPER(TRIM(H131))</f>
        <v/>
      </c>
      <c r="AM131" s="30">
        <f>IF(_xlfn.MAXIFS('10_ref_fx_rate'!$B$2:$B$2000,'10_ref_fx_rate'!$A$2:$A$2000,AL131,'10_ref_fx_rate'!$B$2:$B$2000,"&lt;="&amp;L131)=0,"NOT FOUND",_xlfn.MAXIFS('10_ref_fx_rate'!$B$2:$B$2000,'10_ref_fx_rate'!$A$2:$A$2000,AL131,'10_ref_fx_rate'!$B$2:$B$2000,"&lt;="&amp;L131))</f>
        <v/>
      </c>
      <c r="AN131" s="8">
        <f>IF(AM131="NOT FOUND","NOT FOUND",SUMIFS('10_ref_fx_rate'!$D$2:$D$2000,'10_ref_fx_rate'!$A$2:$A$2000,AL131,'10_ref_fx_rate'!$B$2:$B$2000,AM131))</f>
        <v/>
      </c>
      <c r="AO131" s="37">
        <f>IF(ISNUMBER(AN131),I131*AN131,"NOT FOUND")</f>
        <v/>
      </c>
      <c r="AP131" s="2">
        <f>UPPER(TRIM(J131))</f>
        <v/>
      </c>
      <c r="AQ131" s="2">
        <f>IF(AP131="","SELF-DIRECTED",IF(ISNUMBER(MATCH(AP131,'11_3nf_sales_person'!$A:$A,0)),IF(EXACT(AP131,J131),"OK","OK (auto-fixed)"),IF(ISNA(MATCH($A131,'12_sales_person_confirmation'!$A:$A,0)),"CONFIRM (not logged)",IF(INDEX('12_sales_person_confirmation'!$I:$I,MATCH($A131,'12_sales_person_confirmation'!$A:$A,0))="CONFIRMED","CONFIRMED ("&amp;LOWER(INDEX('12_sales_person_confirmation'!$E:$E,MATCH($A131,'12_sales_person_confirmation'!$A:$A,0)))&amp;")","PENDING CONFIRM"))))</f>
        <v/>
      </c>
      <c r="AR131" s="2">
        <f>IF(OR(AQ131="OK",AQ131="OK (auto-fixed)"),AP131,IF(LEFT(AQ131,9)="CONFIRMED",INDEX('12_sales_person_confirmation'!$F:$F,MATCH($A131,'12_sales_person_confirmation'!$A:$A,0)),""))</f>
        <v/>
      </c>
      <c r="AS131" s="2">
        <f>IF(AR131="","",INDEX('11_3nf_sales_person'!$B:$B,MATCH(AR131,'11_3nf_sales_person'!$A:$A,0)))</f>
        <v/>
      </c>
    </row>
    <row r="132">
      <c r="A132" s="2">
        <f>IF(ISBLANK('1_raw_log'!A132),"",'1_raw_log'!A132)</f>
        <v/>
      </c>
      <c r="B132" s="3">
        <f>IF(ISBLANK('1_raw_log'!B132),"",'1_raw_log'!B132)</f>
        <v/>
      </c>
      <c r="C132" s="2">
        <f>IF(ISBLANK('1_raw_log'!C132),"",'1_raw_log'!C132)</f>
        <v/>
      </c>
      <c r="D132" s="2">
        <f>IF(ISBLANK('1_raw_log'!D132),"",'1_raw_log'!D132)</f>
        <v/>
      </c>
      <c r="E132" s="4">
        <f>IF(ISBLANK('1_raw_log'!E132),"",'1_raw_log'!E132)</f>
        <v/>
      </c>
      <c r="F132" s="2">
        <f>IF(ISBLANK('1_raw_log'!F132),"",'1_raw_log'!F132)</f>
        <v/>
      </c>
      <c r="G132" s="2">
        <f>IF(ISBLANK('1_raw_log'!G132),"",'1_raw_log'!G132)</f>
        <v/>
      </c>
      <c r="H132" s="2">
        <f>IF(ISBLANK('1_raw_log'!H132),"",'1_raw_log'!H132)</f>
        <v/>
      </c>
      <c r="I132" s="7">
        <f>IF(ISBLANK('1_raw_log'!I132),"",'1_raw_log'!I132)</f>
        <v/>
      </c>
      <c r="J132" s="2">
        <f>IF(ISBLANK('1_raw_log'!J132),"",'1_raw_log'!J132)</f>
        <v/>
      </c>
      <c r="K132" s="2">
        <f>IF(ISBLANK('1_raw_log'!K132),"",'1_raw_log'!K132)</f>
        <v/>
      </c>
      <c r="L132" s="30">
        <f>INT(B132)</f>
        <v/>
      </c>
      <c r="M132" s="20">
        <f>ROUND(MOD(B132,1)*1440,0)/1440</f>
        <v/>
      </c>
      <c r="N132" s="4">
        <f>IFERROR(INDEX('3_ref_date'!$B:$B,MATCH(L132,'3_ref_date'!$A:$A,0)),"NOT FOUND")</f>
        <v/>
      </c>
      <c r="O132" s="2">
        <f>IFERROR(INDEX('3_ref_date'!$C:$C,MATCH(L132,'3_ref_date'!$A:$A,0)),"NOT FOUND")</f>
        <v/>
      </c>
      <c r="P132" s="4">
        <f>IFERROR(INDEX('3_ref_date'!$D:$D,MATCH(L132,'3_ref_date'!$A:$A,0)),"NOT FOUND")</f>
        <v/>
      </c>
      <c r="Q132" s="4">
        <f>IFERROR(INDEX('3_ref_date'!$E:$E,MATCH(L132,'3_ref_date'!$A:$A,0)),"NOT FOUND")</f>
        <v/>
      </c>
      <c r="R132" s="2">
        <f>IFERROR(INDEX('3_ref_date'!$F:$F,MATCH(L132,'3_ref_date'!$A:$A,0)),"NOT FOUND")</f>
        <v/>
      </c>
      <c r="S132" s="2">
        <f>IFERROR(INDEX('4_ref_time'!$D:$D,MATCH(ROUND(M132*1440,0),'4_ref_time'!$A:$A,0)),"NOT FOUND")</f>
        <v/>
      </c>
      <c r="T132" s="2">
        <f>UPPER(TRIM(C132))</f>
        <v/>
      </c>
      <c r="U132" s="30">
        <f>IF(_xlfn.MAXIFS('6_3nf_branch_history'!$B$2:$B$50,'6_3nf_branch_history'!$A$2:$A$50,T132,'6_3nf_branch_history'!$B$2:$B$50,"&lt;="&amp;L132)=0,"NOT FOUND",_xlfn.MAXIFS('6_3nf_branch_history'!$B$2:$B$50,'6_3nf_branch_history'!$A$2:$A$50,T132,'6_3nf_branch_history'!$B$2:$B$50,"&lt;="&amp;L132))</f>
        <v/>
      </c>
      <c r="V132" s="2">
        <f>IF(U132="NOT FOUND","NOT FOUND",INDEX('6_3nf_branch_history'!$C:$C,SUMPRODUCT(('6_3nf_branch_history'!$A$2:$A$50=T132)*('6_3nf_branch_history'!$B$2:$B$50=U132)*ROW('6_3nf_branch_history'!$A$2:$A$50))))</f>
        <v/>
      </c>
      <c r="W132" s="2">
        <f>IF(U132="NOT FOUND","NOT FOUND",INDEX('6_3nf_branch_history'!$D:$D,SUMPRODUCT(('6_3nf_branch_history'!$A$2:$A$50=T132)*('6_3nf_branch_history'!$B$2:$B$50=U132)*ROW('6_3nf_branch_history'!$A$2:$A$50))))</f>
        <v/>
      </c>
      <c r="X132" s="2">
        <f>IF(U132="NOT FOUND","NOT FOUND",INDEX('6_3nf_branch_history'!$E:$E,SUMPRODUCT(('6_3nf_branch_history'!$A$2:$A$50=T132)*('6_3nf_branch_history'!$B$2:$B$50=U132)*ROW('6_3nf_branch_history'!$A$2:$A$50))))</f>
        <v/>
      </c>
      <c r="Y132" s="2">
        <f>UPPER(TRIM(D132))</f>
        <v/>
      </c>
      <c r="Z132" s="2">
        <f>IFERROR(INDEX('7_3nf_product'!$B:$B,MATCH(Y132,'7_3nf_product'!$A:$A,0)),"NOT FOUND")</f>
        <v/>
      </c>
      <c r="AA132" s="2">
        <f>IFERROR(INDEX('7_3nf_product'!$C:$C,MATCH(Y132,'7_3nf_product'!$A:$A,0)),"NOT FOUND")</f>
        <v/>
      </c>
      <c r="AB132" s="2">
        <f>IFERROR(INDEX('7_3nf_product'!$D:$D,MATCH(Y132,'7_3nf_product'!$A:$A,0)),"NOT FOUND")</f>
        <v/>
      </c>
      <c r="AC132" s="6">
        <f>IFERROR(INDEX('7_3nf_product'!$E:$E,MATCH(Y132,'7_3nf_product'!$A:$A,0)),"NOT FOUND")</f>
        <v/>
      </c>
      <c r="AD132" s="33">
        <f>IF(LEN(TRIM(E132))=10,TRIM(E132),IF(LEN(TRIM(E132))=8,"00"&amp;TRIM(E132),"CHECK"))</f>
        <v/>
      </c>
      <c r="AE132" s="2">
        <f>IFERROR(INDEX('8_3nf_customer'!$C:$C,MATCH(AD132,'8_3nf_customer'!$B:$B,0)),"NOT FOUND")</f>
        <v/>
      </c>
      <c r="AF132" s="30">
        <f>IFERROR(INDEX('8_3nf_customer'!$D:$D,MATCH(AD132,'8_3nf_customer'!$B:$B,0)),"NOT FOUND")</f>
        <v/>
      </c>
      <c r="AG132" s="4">
        <f>IF(ISNUMBER(AF132),DATEDIF(AF132,L132,"y"),"NOT FOUND")</f>
        <v/>
      </c>
      <c r="AH132" s="2">
        <f>IFERROR(INDEX('8_3nf_customer'!$E:$E,MATCH(AD132,'8_3nf_customer'!$B:$B,0)),"NOT FOUND")</f>
        <v/>
      </c>
      <c r="AI132" s="30">
        <f>IF(_xlfn.MAXIFS('9_3nf_customer_history'!$B$2:$B$500,'9_3nf_customer_history'!$A$2:$A$500,AD132,'9_3nf_customer_history'!$B$2:$B$500,"&lt;="&amp;L132)=0,"NOT FOUND",_xlfn.MAXIFS('9_3nf_customer_history'!$B$2:$B$500,'9_3nf_customer_history'!$A$2:$A$500,AD132,'9_3nf_customer_history'!$B$2:$B$500,"&lt;="&amp;L132))</f>
        <v/>
      </c>
      <c r="AJ132" s="2">
        <f>IF(AI132="NOT FOUND","NOT FOUND",INDEX('9_3nf_customer_history'!$C:$C,SUMPRODUCT(('9_3nf_customer_history'!$A$2:$A$500=AD132)*('9_3nf_customer_history'!$B$2:$B$500=AI132)*ROW('9_3nf_customer_history'!$A$2:$A$500))))</f>
        <v/>
      </c>
      <c r="AK132" s="2">
        <f>IF(AI132="NOT FOUND","NOT FOUND",INDEX('9_3nf_customer_history'!$D:$D,SUMPRODUCT(('9_3nf_customer_history'!$A$2:$A$500=AD132)*('9_3nf_customer_history'!$B$2:$B$500=AI132)*ROW('9_3nf_customer_history'!$A$2:$A$500))))</f>
        <v/>
      </c>
      <c r="AL132" s="2">
        <f>UPPER(TRIM(H132))</f>
        <v/>
      </c>
      <c r="AM132" s="30">
        <f>IF(_xlfn.MAXIFS('10_ref_fx_rate'!$B$2:$B$2000,'10_ref_fx_rate'!$A$2:$A$2000,AL132,'10_ref_fx_rate'!$B$2:$B$2000,"&lt;="&amp;L132)=0,"NOT FOUND",_xlfn.MAXIFS('10_ref_fx_rate'!$B$2:$B$2000,'10_ref_fx_rate'!$A$2:$A$2000,AL132,'10_ref_fx_rate'!$B$2:$B$2000,"&lt;="&amp;L132))</f>
        <v/>
      </c>
      <c r="AN132" s="8">
        <f>IF(AM132="NOT FOUND","NOT FOUND",SUMIFS('10_ref_fx_rate'!$D$2:$D$2000,'10_ref_fx_rate'!$A$2:$A$2000,AL132,'10_ref_fx_rate'!$B$2:$B$2000,AM132))</f>
        <v/>
      </c>
      <c r="AO132" s="37">
        <f>IF(ISNUMBER(AN132),I132*AN132,"NOT FOUND")</f>
        <v/>
      </c>
      <c r="AP132" s="2">
        <f>UPPER(TRIM(J132))</f>
        <v/>
      </c>
      <c r="AQ132" s="2">
        <f>IF(AP132="","SELF-DIRECTED",IF(ISNUMBER(MATCH(AP132,'11_3nf_sales_person'!$A:$A,0)),IF(EXACT(AP132,J132),"OK","OK (auto-fixed)"),IF(ISNA(MATCH($A132,'12_sales_person_confirmation'!$A:$A,0)),"CONFIRM (not logged)",IF(INDEX('12_sales_person_confirmation'!$I:$I,MATCH($A132,'12_sales_person_confirmation'!$A:$A,0))="CONFIRMED","CONFIRMED ("&amp;LOWER(INDEX('12_sales_person_confirmation'!$E:$E,MATCH($A132,'12_sales_person_confirmation'!$A:$A,0)))&amp;")","PENDING CONFIRM"))))</f>
        <v/>
      </c>
      <c r="AR132" s="2">
        <f>IF(OR(AQ132="OK",AQ132="OK (auto-fixed)"),AP132,IF(LEFT(AQ132,9)="CONFIRMED",INDEX('12_sales_person_confirmation'!$F:$F,MATCH($A132,'12_sales_person_confirmation'!$A:$A,0)),""))</f>
        <v/>
      </c>
      <c r="AS132" s="2">
        <f>IF(AR132="","",INDEX('11_3nf_sales_person'!$B:$B,MATCH(AR132,'11_3nf_sales_person'!$A:$A,0)))</f>
        <v/>
      </c>
    </row>
    <row r="133">
      <c r="A133" s="2">
        <f>IF(ISBLANK('1_raw_log'!A133),"",'1_raw_log'!A133)</f>
        <v/>
      </c>
      <c r="B133" s="3">
        <f>IF(ISBLANK('1_raw_log'!B133),"",'1_raw_log'!B133)</f>
        <v/>
      </c>
      <c r="C133" s="2">
        <f>IF(ISBLANK('1_raw_log'!C133),"",'1_raw_log'!C133)</f>
        <v/>
      </c>
      <c r="D133" s="2">
        <f>IF(ISBLANK('1_raw_log'!D133),"",'1_raw_log'!D133)</f>
        <v/>
      </c>
      <c r="E133" s="4">
        <f>IF(ISBLANK('1_raw_log'!E133),"",'1_raw_log'!E133)</f>
        <v/>
      </c>
      <c r="F133" s="2">
        <f>IF(ISBLANK('1_raw_log'!F133),"",'1_raw_log'!F133)</f>
        <v/>
      </c>
      <c r="G133" s="2">
        <f>IF(ISBLANK('1_raw_log'!G133),"",'1_raw_log'!G133)</f>
        <v/>
      </c>
      <c r="H133" s="2">
        <f>IF(ISBLANK('1_raw_log'!H133),"",'1_raw_log'!H133)</f>
        <v/>
      </c>
      <c r="I133" s="7">
        <f>IF(ISBLANK('1_raw_log'!I133),"",'1_raw_log'!I133)</f>
        <v/>
      </c>
      <c r="J133" s="2">
        <f>IF(ISBLANK('1_raw_log'!J133),"",'1_raw_log'!J133)</f>
        <v/>
      </c>
      <c r="K133" s="2">
        <f>IF(ISBLANK('1_raw_log'!K133),"",'1_raw_log'!K133)</f>
        <v/>
      </c>
      <c r="L133" s="30">
        <f>INT(B133)</f>
        <v/>
      </c>
      <c r="M133" s="20">
        <f>ROUND(MOD(B133,1)*1440,0)/1440</f>
        <v/>
      </c>
      <c r="N133" s="4">
        <f>IFERROR(INDEX('3_ref_date'!$B:$B,MATCH(L133,'3_ref_date'!$A:$A,0)),"NOT FOUND")</f>
        <v/>
      </c>
      <c r="O133" s="2">
        <f>IFERROR(INDEX('3_ref_date'!$C:$C,MATCH(L133,'3_ref_date'!$A:$A,0)),"NOT FOUND")</f>
        <v/>
      </c>
      <c r="P133" s="4">
        <f>IFERROR(INDEX('3_ref_date'!$D:$D,MATCH(L133,'3_ref_date'!$A:$A,0)),"NOT FOUND")</f>
        <v/>
      </c>
      <c r="Q133" s="4">
        <f>IFERROR(INDEX('3_ref_date'!$E:$E,MATCH(L133,'3_ref_date'!$A:$A,0)),"NOT FOUND")</f>
        <v/>
      </c>
      <c r="R133" s="2">
        <f>IFERROR(INDEX('3_ref_date'!$F:$F,MATCH(L133,'3_ref_date'!$A:$A,0)),"NOT FOUND")</f>
        <v/>
      </c>
      <c r="S133" s="2">
        <f>IFERROR(INDEX('4_ref_time'!$D:$D,MATCH(ROUND(M133*1440,0),'4_ref_time'!$A:$A,0)),"NOT FOUND")</f>
        <v/>
      </c>
      <c r="T133" s="2">
        <f>UPPER(TRIM(C133))</f>
        <v/>
      </c>
      <c r="U133" s="30">
        <f>IF(_xlfn.MAXIFS('6_3nf_branch_history'!$B$2:$B$50,'6_3nf_branch_history'!$A$2:$A$50,T133,'6_3nf_branch_history'!$B$2:$B$50,"&lt;="&amp;L133)=0,"NOT FOUND",_xlfn.MAXIFS('6_3nf_branch_history'!$B$2:$B$50,'6_3nf_branch_history'!$A$2:$A$50,T133,'6_3nf_branch_history'!$B$2:$B$50,"&lt;="&amp;L133))</f>
        <v/>
      </c>
      <c r="V133" s="2">
        <f>IF(U133="NOT FOUND","NOT FOUND",INDEX('6_3nf_branch_history'!$C:$C,SUMPRODUCT(('6_3nf_branch_history'!$A$2:$A$50=T133)*('6_3nf_branch_history'!$B$2:$B$50=U133)*ROW('6_3nf_branch_history'!$A$2:$A$50))))</f>
        <v/>
      </c>
      <c r="W133" s="2">
        <f>IF(U133="NOT FOUND","NOT FOUND",INDEX('6_3nf_branch_history'!$D:$D,SUMPRODUCT(('6_3nf_branch_history'!$A$2:$A$50=T133)*('6_3nf_branch_history'!$B$2:$B$50=U133)*ROW('6_3nf_branch_history'!$A$2:$A$50))))</f>
        <v/>
      </c>
      <c r="X133" s="2">
        <f>IF(U133="NOT FOUND","NOT FOUND",INDEX('6_3nf_branch_history'!$E:$E,SUMPRODUCT(('6_3nf_branch_history'!$A$2:$A$50=T133)*('6_3nf_branch_history'!$B$2:$B$50=U133)*ROW('6_3nf_branch_history'!$A$2:$A$50))))</f>
        <v/>
      </c>
      <c r="Y133" s="2">
        <f>UPPER(TRIM(D133))</f>
        <v/>
      </c>
      <c r="Z133" s="2">
        <f>IFERROR(INDEX('7_3nf_product'!$B:$B,MATCH(Y133,'7_3nf_product'!$A:$A,0)),"NOT FOUND")</f>
        <v/>
      </c>
      <c r="AA133" s="2">
        <f>IFERROR(INDEX('7_3nf_product'!$C:$C,MATCH(Y133,'7_3nf_product'!$A:$A,0)),"NOT FOUND")</f>
        <v/>
      </c>
      <c r="AB133" s="2">
        <f>IFERROR(INDEX('7_3nf_product'!$D:$D,MATCH(Y133,'7_3nf_product'!$A:$A,0)),"NOT FOUND")</f>
        <v/>
      </c>
      <c r="AC133" s="6">
        <f>IFERROR(INDEX('7_3nf_product'!$E:$E,MATCH(Y133,'7_3nf_product'!$A:$A,0)),"NOT FOUND")</f>
        <v/>
      </c>
      <c r="AD133" s="33">
        <f>IF(LEN(TRIM(E133))=10,TRIM(E133),IF(LEN(TRIM(E133))=8,"00"&amp;TRIM(E133),"CHECK"))</f>
        <v/>
      </c>
      <c r="AE133" s="2">
        <f>IFERROR(INDEX('8_3nf_customer'!$C:$C,MATCH(AD133,'8_3nf_customer'!$B:$B,0)),"NOT FOUND")</f>
        <v/>
      </c>
      <c r="AF133" s="30">
        <f>IFERROR(INDEX('8_3nf_customer'!$D:$D,MATCH(AD133,'8_3nf_customer'!$B:$B,0)),"NOT FOUND")</f>
        <v/>
      </c>
      <c r="AG133" s="4">
        <f>IF(ISNUMBER(AF133),DATEDIF(AF133,L133,"y"),"NOT FOUND")</f>
        <v/>
      </c>
      <c r="AH133" s="2">
        <f>IFERROR(INDEX('8_3nf_customer'!$E:$E,MATCH(AD133,'8_3nf_customer'!$B:$B,0)),"NOT FOUND")</f>
        <v/>
      </c>
      <c r="AI133" s="30">
        <f>IF(_xlfn.MAXIFS('9_3nf_customer_history'!$B$2:$B$500,'9_3nf_customer_history'!$A$2:$A$500,AD133,'9_3nf_customer_history'!$B$2:$B$500,"&lt;="&amp;L133)=0,"NOT FOUND",_xlfn.MAXIFS('9_3nf_customer_history'!$B$2:$B$500,'9_3nf_customer_history'!$A$2:$A$500,AD133,'9_3nf_customer_history'!$B$2:$B$500,"&lt;="&amp;L133))</f>
        <v/>
      </c>
      <c r="AJ133" s="2">
        <f>IF(AI133="NOT FOUND","NOT FOUND",INDEX('9_3nf_customer_history'!$C:$C,SUMPRODUCT(('9_3nf_customer_history'!$A$2:$A$500=AD133)*('9_3nf_customer_history'!$B$2:$B$500=AI133)*ROW('9_3nf_customer_history'!$A$2:$A$500))))</f>
        <v/>
      </c>
      <c r="AK133" s="2">
        <f>IF(AI133="NOT FOUND","NOT FOUND",INDEX('9_3nf_customer_history'!$D:$D,SUMPRODUCT(('9_3nf_customer_history'!$A$2:$A$500=AD133)*('9_3nf_customer_history'!$B$2:$B$500=AI133)*ROW('9_3nf_customer_history'!$A$2:$A$500))))</f>
        <v/>
      </c>
      <c r="AL133" s="2">
        <f>UPPER(TRIM(H133))</f>
        <v/>
      </c>
      <c r="AM133" s="30">
        <f>IF(_xlfn.MAXIFS('10_ref_fx_rate'!$B$2:$B$2000,'10_ref_fx_rate'!$A$2:$A$2000,AL133,'10_ref_fx_rate'!$B$2:$B$2000,"&lt;="&amp;L133)=0,"NOT FOUND",_xlfn.MAXIFS('10_ref_fx_rate'!$B$2:$B$2000,'10_ref_fx_rate'!$A$2:$A$2000,AL133,'10_ref_fx_rate'!$B$2:$B$2000,"&lt;="&amp;L133))</f>
        <v/>
      </c>
      <c r="AN133" s="8">
        <f>IF(AM133="NOT FOUND","NOT FOUND",SUMIFS('10_ref_fx_rate'!$D$2:$D$2000,'10_ref_fx_rate'!$A$2:$A$2000,AL133,'10_ref_fx_rate'!$B$2:$B$2000,AM133))</f>
        <v/>
      </c>
      <c r="AO133" s="37">
        <f>IF(ISNUMBER(AN133),I133*AN133,"NOT FOUND")</f>
        <v/>
      </c>
      <c r="AP133" s="2">
        <f>UPPER(TRIM(J133))</f>
        <v/>
      </c>
      <c r="AQ133" s="2">
        <f>IF(AP133="","SELF-DIRECTED",IF(ISNUMBER(MATCH(AP133,'11_3nf_sales_person'!$A:$A,0)),IF(EXACT(AP133,J133),"OK","OK (auto-fixed)"),IF(ISNA(MATCH($A133,'12_sales_person_confirmation'!$A:$A,0)),"CONFIRM (not logged)",IF(INDEX('12_sales_person_confirmation'!$I:$I,MATCH($A133,'12_sales_person_confirmation'!$A:$A,0))="CONFIRMED","CONFIRMED ("&amp;LOWER(INDEX('12_sales_person_confirmation'!$E:$E,MATCH($A133,'12_sales_person_confirmation'!$A:$A,0)))&amp;")","PENDING CONFIRM"))))</f>
        <v/>
      </c>
      <c r="AR133" s="2">
        <f>IF(OR(AQ133="OK",AQ133="OK (auto-fixed)"),AP133,IF(LEFT(AQ133,9)="CONFIRMED",INDEX('12_sales_person_confirmation'!$F:$F,MATCH($A133,'12_sales_person_confirmation'!$A:$A,0)),""))</f>
        <v/>
      </c>
      <c r="AS133" s="2">
        <f>IF(AR133="","",INDEX('11_3nf_sales_person'!$B:$B,MATCH(AR133,'11_3nf_sales_person'!$A:$A,0)))</f>
        <v/>
      </c>
    </row>
    <row r="134">
      <c r="A134" s="2">
        <f>IF(ISBLANK('1_raw_log'!A134),"",'1_raw_log'!A134)</f>
        <v/>
      </c>
      <c r="B134" s="3">
        <f>IF(ISBLANK('1_raw_log'!B134),"",'1_raw_log'!B134)</f>
        <v/>
      </c>
      <c r="C134" s="2">
        <f>IF(ISBLANK('1_raw_log'!C134),"",'1_raw_log'!C134)</f>
        <v/>
      </c>
      <c r="D134" s="2">
        <f>IF(ISBLANK('1_raw_log'!D134),"",'1_raw_log'!D134)</f>
        <v/>
      </c>
      <c r="E134" s="4">
        <f>IF(ISBLANK('1_raw_log'!E134),"",'1_raw_log'!E134)</f>
        <v/>
      </c>
      <c r="F134" s="2">
        <f>IF(ISBLANK('1_raw_log'!F134),"",'1_raw_log'!F134)</f>
        <v/>
      </c>
      <c r="G134" s="2">
        <f>IF(ISBLANK('1_raw_log'!G134),"",'1_raw_log'!G134)</f>
        <v/>
      </c>
      <c r="H134" s="2">
        <f>IF(ISBLANK('1_raw_log'!H134),"",'1_raw_log'!H134)</f>
        <v/>
      </c>
      <c r="I134" s="7">
        <f>IF(ISBLANK('1_raw_log'!I134),"",'1_raw_log'!I134)</f>
        <v/>
      </c>
      <c r="J134" s="2">
        <f>IF(ISBLANK('1_raw_log'!J134),"",'1_raw_log'!J134)</f>
        <v/>
      </c>
      <c r="K134" s="2">
        <f>IF(ISBLANK('1_raw_log'!K134),"",'1_raw_log'!K134)</f>
        <v/>
      </c>
      <c r="L134" s="30">
        <f>INT(B134)</f>
        <v/>
      </c>
      <c r="M134" s="20">
        <f>ROUND(MOD(B134,1)*1440,0)/1440</f>
        <v/>
      </c>
      <c r="N134" s="4">
        <f>IFERROR(INDEX('3_ref_date'!$B:$B,MATCH(L134,'3_ref_date'!$A:$A,0)),"NOT FOUND")</f>
        <v/>
      </c>
      <c r="O134" s="2">
        <f>IFERROR(INDEX('3_ref_date'!$C:$C,MATCH(L134,'3_ref_date'!$A:$A,0)),"NOT FOUND")</f>
        <v/>
      </c>
      <c r="P134" s="4">
        <f>IFERROR(INDEX('3_ref_date'!$D:$D,MATCH(L134,'3_ref_date'!$A:$A,0)),"NOT FOUND")</f>
        <v/>
      </c>
      <c r="Q134" s="4">
        <f>IFERROR(INDEX('3_ref_date'!$E:$E,MATCH(L134,'3_ref_date'!$A:$A,0)),"NOT FOUND")</f>
        <v/>
      </c>
      <c r="R134" s="2">
        <f>IFERROR(INDEX('3_ref_date'!$F:$F,MATCH(L134,'3_ref_date'!$A:$A,0)),"NOT FOUND")</f>
        <v/>
      </c>
      <c r="S134" s="2">
        <f>IFERROR(INDEX('4_ref_time'!$D:$D,MATCH(ROUND(M134*1440,0),'4_ref_time'!$A:$A,0)),"NOT FOUND")</f>
        <v/>
      </c>
      <c r="T134" s="2">
        <f>UPPER(TRIM(C134))</f>
        <v/>
      </c>
      <c r="U134" s="30">
        <f>IF(_xlfn.MAXIFS('6_3nf_branch_history'!$B$2:$B$50,'6_3nf_branch_history'!$A$2:$A$50,T134,'6_3nf_branch_history'!$B$2:$B$50,"&lt;="&amp;L134)=0,"NOT FOUND",_xlfn.MAXIFS('6_3nf_branch_history'!$B$2:$B$50,'6_3nf_branch_history'!$A$2:$A$50,T134,'6_3nf_branch_history'!$B$2:$B$50,"&lt;="&amp;L134))</f>
        <v/>
      </c>
      <c r="V134" s="2">
        <f>IF(U134="NOT FOUND","NOT FOUND",INDEX('6_3nf_branch_history'!$C:$C,SUMPRODUCT(('6_3nf_branch_history'!$A$2:$A$50=T134)*('6_3nf_branch_history'!$B$2:$B$50=U134)*ROW('6_3nf_branch_history'!$A$2:$A$50))))</f>
        <v/>
      </c>
      <c r="W134" s="2">
        <f>IF(U134="NOT FOUND","NOT FOUND",INDEX('6_3nf_branch_history'!$D:$D,SUMPRODUCT(('6_3nf_branch_history'!$A$2:$A$50=T134)*('6_3nf_branch_history'!$B$2:$B$50=U134)*ROW('6_3nf_branch_history'!$A$2:$A$50))))</f>
        <v/>
      </c>
      <c r="X134" s="2">
        <f>IF(U134="NOT FOUND","NOT FOUND",INDEX('6_3nf_branch_history'!$E:$E,SUMPRODUCT(('6_3nf_branch_history'!$A$2:$A$50=T134)*('6_3nf_branch_history'!$B$2:$B$50=U134)*ROW('6_3nf_branch_history'!$A$2:$A$50))))</f>
        <v/>
      </c>
      <c r="Y134" s="2">
        <f>UPPER(TRIM(D134))</f>
        <v/>
      </c>
      <c r="Z134" s="2">
        <f>IFERROR(INDEX('7_3nf_product'!$B:$B,MATCH(Y134,'7_3nf_product'!$A:$A,0)),"NOT FOUND")</f>
        <v/>
      </c>
      <c r="AA134" s="2">
        <f>IFERROR(INDEX('7_3nf_product'!$C:$C,MATCH(Y134,'7_3nf_product'!$A:$A,0)),"NOT FOUND")</f>
        <v/>
      </c>
      <c r="AB134" s="2">
        <f>IFERROR(INDEX('7_3nf_product'!$D:$D,MATCH(Y134,'7_3nf_product'!$A:$A,0)),"NOT FOUND")</f>
        <v/>
      </c>
      <c r="AC134" s="6">
        <f>IFERROR(INDEX('7_3nf_product'!$E:$E,MATCH(Y134,'7_3nf_product'!$A:$A,0)),"NOT FOUND")</f>
        <v/>
      </c>
      <c r="AD134" s="33">
        <f>IF(LEN(TRIM(E134))=10,TRIM(E134),IF(LEN(TRIM(E134))=8,"00"&amp;TRIM(E134),"CHECK"))</f>
        <v/>
      </c>
      <c r="AE134" s="2">
        <f>IFERROR(INDEX('8_3nf_customer'!$C:$C,MATCH(AD134,'8_3nf_customer'!$B:$B,0)),"NOT FOUND")</f>
        <v/>
      </c>
      <c r="AF134" s="30">
        <f>IFERROR(INDEX('8_3nf_customer'!$D:$D,MATCH(AD134,'8_3nf_customer'!$B:$B,0)),"NOT FOUND")</f>
        <v/>
      </c>
      <c r="AG134" s="4">
        <f>IF(ISNUMBER(AF134),DATEDIF(AF134,L134,"y"),"NOT FOUND")</f>
        <v/>
      </c>
      <c r="AH134" s="2">
        <f>IFERROR(INDEX('8_3nf_customer'!$E:$E,MATCH(AD134,'8_3nf_customer'!$B:$B,0)),"NOT FOUND")</f>
        <v/>
      </c>
      <c r="AI134" s="30">
        <f>IF(_xlfn.MAXIFS('9_3nf_customer_history'!$B$2:$B$500,'9_3nf_customer_history'!$A$2:$A$500,AD134,'9_3nf_customer_history'!$B$2:$B$500,"&lt;="&amp;L134)=0,"NOT FOUND",_xlfn.MAXIFS('9_3nf_customer_history'!$B$2:$B$500,'9_3nf_customer_history'!$A$2:$A$500,AD134,'9_3nf_customer_history'!$B$2:$B$500,"&lt;="&amp;L134))</f>
        <v/>
      </c>
      <c r="AJ134" s="2">
        <f>IF(AI134="NOT FOUND","NOT FOUND",INDEX('9_3nf_customer_history'!$C:$C,SUMPRODUCT(('9_3nf_customer_history'!$A$2:$A$500=AD134)*('9_3nf_customer_history'!$B$2:$B$500=AI134)*ROW('9_3nf_customer_history'!$A$2:$A$500))))</f>
        <v/>
      </c>
      <c r="AK134" s="2">
        <f>IF(AI134="NOT FOUND","NOT FOUND",INDEX('9_3nf_customer_history'!$D:$D,SUMPRODUCT(('9_3nf_customer_history'!$A$2:$A$500=AD134)*('9_3nf_customer_history'!$B$2:$B$500=AI134)*ROW('9_3nf_customer_history'!$A$2:$A$500))))</f>
        <v/>
      </c>
      <c r="AL134" s="2">
        <f>UPPER(TRIM(H134))</f>
        <v/>
      </c>
      <c r="AM134" s="30">
        <f>IF(_xlfn.MAXIFS('10_ref_fx_rate'!$B$2:$B$2000,'10_ref_fx_rate'!$A$2:$A$2000,AL134,'10_ref_fx_rate'!$B$2:$B$2000,"&lt;="&amp;L134)=0,"NOT FOUND",_xlfn.MAXIFS('10_ref_fx_rate'!$B$2:$B$2000,'10_ref_fx_rate'!$A$2:$A$2000,AL134,'10_ref_fx_rate'!$B$2:$B$2000,"&lt;="&amp;L134))</f>
        <v/>
      </c>
      <c r="AN134" s="8">
        <f>IF(AM134="NOT FOUND","NOT FOUND",SUMIFS('10_ref_fx_rate'!$D$2:$D$2000,'10_ref_fx_rate'!$A$2:$A$2000,AL134,'10_ref_fx_rate'!$B$2:$B$2000,AM134))</f>
        <v/>
      </c>
      <c r="AO134" s="37">
        <f>IF(ISNUMBER(AN134),I134*AN134,"NOT FOUND")</f>
        <v/>
      </c>
      <c r="AP134" s="2">
        <f>UPPER(TRIM(J134))</f>
        <v/>
      </c>
      <c r="AQ134" s="2">
        <f>IF(AP134="","SELF-DIRECTED",IF(ISNUMBER(MATCH(AP134,'11_3nf_sales_person'!$A:$A,0)),IF(EXACT(AP134,J134),"OK","OK (auto-fixed)"),IF(ISNA(MATCH($A134,'12_sales_person_confirmation'!$A:$A,0)),"CONFIRM (not logged)",IF(INDEX('12_sales_person_confirmation'!$I:$I,MATCH($A134,'12_sales_person_confirmation'!$A:$A,0))="CONFIRMED","CONFIRMED ("&amp;LOWER(INDEX('12_sales_person_confirmation'!$E:$E,MATCH($A134,'12_sales_person_confirmation'!$A:$A,0)))&amp;")","PENDING CONFIRM"))))</f>
        <v/>
      </c>
      <c r="AR134" s="2">
        <f>IF(OR(AQ134="OK",AQ134="OK (auto-fixed)"),AP134,IF(LEFT(AQ134,9)="CONFIRMED",INDEX('12_sales_person_confirmation'!$F:$F,MATCH($A134,'12_sales_person_confirmation'!$A:$A,0)),""))</f>
        <v/>
      </c>
      <c r="AS134" s="2">
        <f>IF(AR134="","",INDEX('11_3nf_sales_person'!$B:$B,MATCH(AR134,'11_3nf_sales_person'!$A:$A,0)))</f>
        <v/>
      </c>
    </row>
    <row r="135">
      <c r="A135" s="2">
        <f>IF(ISBLANK('1_raw_log'!A135),"",'1_raw_log'!A135)</f>
        <v/>
      </c>
      <c r="B135" s="3">
        <f>IF(ISBLANK('1_raw_log'!B135),"",'1_raw_log'!B135)</f>
        <v/>
      </c>
      <c r="C135" s="2">
        <f>IF(ISBLANK('1_raw_log'!C135),"",'1_raw_log'!C135)</f>
        <v/>
      </c>
      <c r="D135" s="2">
        <f>IF(ISBLANK('1_raw_log'!D135),"",'1_raw_log'!D135)</f>
        <v/>
      </c>
      <c r="E135" s="4">
        <f>IF(ISBLANK('1_raw_log'!E135),"",'1_raw_log'!E135)</f>
        <v/>
      </c>
      <c r="F135" s="2">
        <f>IF(ISBLANK('1_raw_log'!F135),"",'1_raw_log'!F135)</f>
        <v/>
      </c>
      <c r="G135" s="2">
        <f>IF(ISBLANK('1_raw_log'!G135),"",'1_raw_log'!G135)</f>
        <v/>
      </c>
      <c r="H135" s="2">
        <f>IF(ISBLANK('1_raw_log'!H135),"",'1_raw_log'!H135)</f>
        <v/>
      </c>
      <c r="I135" s="7">
        <f>IF(ISBLANK('1_raw_log'!I135),"",'1_raw_log'!I135)</f>
        <v/>
      </c>
      <c r="J135" s="2">
        <f>IF(ISBLANK('1_raw_log'!J135),"",'1_raw_log'!J135)</f>
        <v/>
      </c>
      <c r="K135" s="2">
        <f>IF(ISBLANK('1_raw_log'!K135),"",'1_raw_log'!K135)</f>
        <v/>
      </c>
      <c r="L135" s="30">
        <f>INT(B135)</f>
        <v/>
      </c>
      <c r="M135" s="20">
        <f>ROUND(MOD(B135,1)*1440,0)/1440</f>
        <v/>
      </c>
      <c r="N135" s="4">
        <f>IFERROR(INDEX('3_ref_date'!$B:$B,MATCH(L135,'3_ref_date'!$A:$A,0)),"NOT FOUND")</f>
        <v/>
      </c>
      <c r="O135" s="2">
        <f>IFERROR(INDEX('3_ref_date'!$C:$C,MATCH(L135,'3_ref_date'!$A:$A,0)),"NOT FOUND")</f>
        <v/>
      </c>
      <c r="P135" s="4">
        <f>IFERROR(INDEX('3_ref_date'!$D:$D,MATCH(L135,'3_ref_date'!$A:$A,0)),"NOT FOUND")</f>
        <v/>
      </c>
      <c r="Q135" s="4">
        <f>IFERROR(INDEX('3_ref_date'!$E:$E,MATCH(L135,'3_ref_date'!$A:$A,0)),"NOT FOUND")</f>
        <v/>
      </c>
      <c r="R135" s="2">
        <f>IFERROR(INDEX('3_ref_date'!$F:$F,MATCH(L135,'3_ref_date'!$A:$A,0)),"NOT FOUND")</f>
        <v/>
      </c>
      <c r="S135" s="2">
        <f>IFERROR(INDEX('4_ref_time'!$D:$D,MATCH(ROUND(M135*1440,0),'4_ref_time'!$A:$A,0)),"NOT FOUND")</f>
        <v/>
      </c>
      <c r="T135" s="2">
        <f>UPPER(TRIM(C135))</f>
        <v/>
      </c>
      <c r="U135" s="30">
        <f>IF(_xlfn.MAXIFS('6_3nf_branch_history'!$B$2:$B$50,'6_3nf_branch_history'!$A$2:$A$50,T135,'6_3nf_branch_history'!$B$2:$B$50,"&lt;="&amp;L135)=0,"NOT FOUND",_xlfn.MAXIFS('6_3nf_branch_history'!$B$2:$B$50,'6_3nf_branch_history'!$A$2:$A$50,T135,'6_3nf_branch_history'!$B$2:$B$50,"&lt;="&amp;L135))</f>
        <v/>
      </c>
      <c r="V135" s="2">
        <f>IF(U135="NOT FOUND","NOT FOUND",INDEX('6_3nf_branch_history'!$C:$C,SUMPRODUCT(('6_3nf_branch_history'!$A$2:$A$50=T135)*('6_3nf_branch_history'!$B$2:$B$50=U135)*ROW('6_3nf_branch_history'!$A$2:$A$50))))</f>
        <v/>
      </c>
      <c r="W135" s="2">
        <f>IF(U135="NOT FOUND","NOT FOUND",INDEX('6_3nf_branch_history'!$D:$D,SUMPRODUCT(('6_3nf_branch_history'!$A$2:$A$50=T135)*('6_3nf_branch_history'!$B$2:$B$50=U135)*ROW('6_3nf_branch_history'!$A$2:$A$50))))</f>
        <v/>
      </c>
      <c r="X135" s="2">
        <f>IF(U135="NOT FOUND","NOT FOUND",INDEX('6_3nf_branch_history'!$E:$E,SUMPRODUCT(('6_3nf_branch_history'!$A$2:$A$50=T135)*('6_3nf_branch_history'!$B$2:$B$50=U135)*ROW('6_3nf_branch_history'!$A$2:$A$50))))</f>
        <v/>
      </c>
      <c r="Y135" s="2">
        <f>UPPER(TRIM(D135))</f>
        <v/>
      </c>
      <c r="Z135" s="2">
        <f>IFERROR(INDEX('7_3nf_product'!$B:$B,MATCH(Y135,'7_3nf_product'!$A:$A,0)),"NOT FOUND")</f>
        <v/>
      </c>
      <c r="AA135" s="2">
        <f>IFERROR(INDEX('7_3nf_product'!$C:$C,MATCH(Y135,'7_3nf_product'!$A:$A,0)),"NOT FOUND")</f>
        <v/>
      </c>
      <c r="AB135" s="2">
        <f>IFERROR(INDEX('7_3nf_product'!$D:$D,MATCH(Y135,'7_3nf_product'!$A:$A,0)),"NOT FOUND")</f>
        <v/>
      </c>
      <c r="AC135" s="6">
        <f>IFERROR(INDEX('7_3nf_product'!$E:$E,MATCH(Y135,'7_3nf_product'!$A:$A,0)),"NOT FOUND")</f>
        <v/>
      </c>
      <c r="AD135" s="33">
        <f>IF(LEN(TRIM(E135))=10,TRIM(E135),IF(LEN(TRIM(E135))=8,"00"&amp;TRIM(E135),"CHECK"))</f>
        <v/>
      </c>
      <c r="AE135" s="2">
        <f>IFERROR(INDEX('8_3nf_customer'!$C:$C,MATCH(AD135,'8_3nf_customer'!$B:$B,0)),"NOT FOUND")</f>
        <v/>
      </c>
      <c r="AF135" s="30">
        <f>IFERROR(INDEX('8_3nf_customer'!$D:$D,MATCH(AD135,'8_3nf_customer'!$B:$B,0)),"NOT FOUND")</f>
        <v/>
      </c>
      <c r="AG135" s="4">
        <f>IF(ISNUMBER(AF135),DATEDIF(AF135,L135,"y"),"NOT FOUND")</f>
        <v/>
      </c>
      <c r="AH135" s="2">
        <f>IFERROR(INDEX('8_3nf_customer'!$E:$E,MATCH(AD135,'8_3nf_customer'!$B:$B,0)),"NOT FOUND")</f>
        <v/>
      </c>
      <c r="AI135" s="30">
        <f>IF(_xlfn.MAXIFS('9_3nf_customer_history'!$B$2:$B$500,'9_3nf_customer_history'!$A$2:$A$500,AD135,'9_3nf_customer_history'!$B$2:$B$500,"&lt;="&amp;L135)=0,"NOT FOUND",_xlfn.MAXIFS('9_3nf_customer_history'!$B$2:$B$500,'9_3nf_customer_history'!$A$2:$A$500,AD135,'9_3nf_customer_history'!$B$2:$B$500,"&lt;="&amp;L135))</f>
        <v/>
      </c>
      <c r="AJ135" s="2">
        <f>IF(AI135="NOT FOUND","NOT FOUND",INDEX('9_3nf_customer_history'!$C:$C,SUMPRODUCT(('9_3nf_customer_history'!$A$2:$A$500=AD135)*('9_3nf_customer_history'!$B$2:$B$500=AI135)*ROW('9_3nf_customer_history'!$A$2:$A$500))))</f>
        <v/>
      </c>
      <c r="AK135" s="2">
        <f>IF(AI135="NOT FOUND","NOT FOUND",INDEX('9_3nf_customer_history'!$D:$D,SUMPRODUCT(('9_3nf_customer_history'!$A$2:$A$500=AD135)*('9_3nf_customer_history'!$B$2:$B$500=AI135)*ROW('9_3nf_customer_history'!$A$2:$A$500))))</f>
        <v/>
      </c>
      <c r="AL135" s="2">
        <f>UPPER(TRIM(H135))</f>
        <v/>
      </c>
      <c r="AM135" s="30">
        <f>IF(_xlfn.MAXIFS('10_ref_fx_rate'!$B$2:$B$2000,'10_ref_fx_rate'!$A$2:$A$2000,AL135,'10_ref_fx_rate'!$B$2:$B$2000,"&lt;="&amp;L135)=0,"NOT FOUND",_xlfn.MAXIFS('10_ref_fx_rate'!$B$2:$B$2000,'10_ref_fx_rate'!$A$2:$A$2000,AL135,'10_ref_fx_rate'!$B$2:$B$2000,"&lt;="&amp;L135))</f>
        <v/>
      </c>
      <c r="AN135" s="8">
        <f>IF(AM135="NOT FOUND","NOT FOUND",SUMIFS('10_ref_fx_rate'!$D$2:$D$2000,'10_ref_fx_rate'!$A$2:$A$2000,AL135,'10_ref_fx_rate'!$B$2:$B$2000,AM135))</f>
        <v/>
      </c>
      <c r="AO135" s="37">
        <f>IF(ISNUMBER(AN135),I135*AN135,"NOT FOUND")</f>
        <v/>
      </c>
      <c r="AP135" s="2">
        <f>UPPER(TRIM(J135))</f>
        <v/>
      </c>
      <c r="AQ135" s="2">
        <f>IF(AP135="","SELF-DIRECTED",IF(ISNUMBER(MATCH(AP135,'11_3nf_sales_person'!$A:$A,0)),IF(EXACT(AP135,J135),"OK","OK (auto-fixed)"),IF(ISNA(MATCH($A135,'12_sales_person_confirmation'!$A:$A,0)),"CONFIRM (not logged)",IF(INDEX('12_sales_person_confirmation'!$I:$I,MATCH($A135,'12_sales_person_confirmation'!$A:$A,0))="CONFIRMED","CONFIRMED ("&amp;LOWER(INDEX('12_sales_person_confirmation'!$E:$E,MATCH($A135,'12_sales_person_confirmation'!$A:$A,0)))&amp;")","PENDING CONFIRM"))))</f>
        <v/>
      </c>
      <c r="AR135" s="2">
        <f>IF(OR(AQ135="OK",AQ135="OK (auto-fixed)"),AP135,IF(LEFT(AQ135,9)="CONFIRMED",INDEX('12_sales_person_confirmation'!$F:$F,MATCH($A135,'12_sales_person_confirmation'!$A:$A,0)),""))</f>
        <v/>
      </c>
      <c r="AS135" s="2">
        <f>IF(AR135="","",INDEX('11_3nf_sales_person'!$B:$B,MATCH(AR135,'11_3nf_sales_person'!$A:$A,0)))</f>
        <v/>
      </c>
    </row>
    <row r="136">
      <c r="A136" s="2">
        <f>IF(ISBLANK('1_raw_log'!A136),"",'1_raw_log'!A136)</f>
        <v/>
      </c>
      <c r="B136" s="3">
        <f>IF(ISBLANK('1_raw_log'!B136),"",'1_raw_log'!B136)</f>
        <v/>
      </c>
      <c r="C136" s="2">
        <f>IF(ISBLANK('1_raw_log'!C136),"",'1_raw_log'!C136)</f>
        <v/>
      </c>
      <c r="D136" s="2">
        <f>IF(ISBLANK('1_raw_log'!D136),"",'1_raw_log'!D136)</f>
        <v/>
      </c>
      <c r="E136" s="4">
        <f>IF(ISBLANK('1_raw_log'!E136),"",'1_raw_log'!E136)</f>
        <v/>
      </c>
      <c r="F136" s="2">
        <f>IF(ISBLANK('1_raw_log'!F136),"",'1_raw_log'!F136)</f>
        <v/>
      </c>
      <c r="G136" s="2">
        <f>IF(ISBLANK('1_raw_log'!G136),"",'1_raw_log'!G136)</f>
        <v/>
      </c>
      <c r="H136" s="2">
        <f>IF(ISBLANK('1_raw_log'!H136),"",'1_raw_log'!H136)</f>
        <v/>
      </c>
      <c r="I136" s="7">
        <f>IF(ISBLANK('1_raw_log'!I136),"",'1_raw_log'!I136)</f>
        <v/>
      </c>
      <c r="J136" s="2">
        <f>IF(ISBLANK('1_raw_log'!J136),"",'1_raw_log'!J136)</f>
        <v/>
      </c>
      <c r="K136" s="2">
        <f>IF(ISBLANK('1_raw_log'!K136),"",'1_raw_log'!K136)</f>
        <v/>
      </c>
      <c r="L136" s="30">
        <f>INT(B136)</f>
        <v/>
      </c>
      <c r="M136" s="20">
        <f>ROUND(MOD(B136,1)*1440,0)/1440</f>
        <v/>
      </c>
      <c r="N136" s="4">
        <f>IFERROR(INDEX('3_ref_date'!$B:$B,MATCH(L136,'3_ref_date'!$A:$A,0)),"NOT FOUND")</f>
        <v/>
      </c>
      <c r="O136" s="2">
        <f>IFERROR(INDEX('3_ref_date'!$C:$C,MATCH(L136,'3_ref_date'!$A:$A,0)),"NOT FOUND")</f>
        <v/>
      </c>
      <c r="P136" s="4">
        <f>IFERROR(INDEX('3_ref_date'!$D:$D,MATCH(L136,'3_ref_date'!$A:$A,0)),"NOT FOUND")</f>
        <v/>
      </c>
      <c r="Q136" s="4">
        <f>IFERROR(INDEX('3_ref_date'!$E:$E,MATCH(L136,'3_ref_date'!$A:$A,0)),"NOT FOUND")</f>
        <v/>
      </c>
      <c r="R136" s="2">
        <f>IFERROR(INDEX('3_ref_date'!$F:$F,MATCH(L136,'3_ref_date'!$A:$A,0)),"NOT FOUND")</f>
        <v/>
      </c>
      <c r="S136" s="2">
        <f>IFERROR(INDEX('4_ref_time'!$D:$D,MATCH(ROUND(M136*1440,0),'4_ref_time'!$A:$A,0)),"NOT FOUND")</f>
        <v/>
      </c>
      <c r="T136" s="2">
        <f>UPPER(TRIM(C136))</f>
        <v/>
      </c>
      <c r="U136" s="30">
        <f>IF(_xlfn.MAXIFS('6_3nf_branch_history'!$B$2:$B$50,'6_3nf_branch_history'!$A$2:$A$50,T136,'6_3nf_branch_history'!$B$2:$B$50,"&lt;="&amp;L136)=0,"NOT FOUND",_xlfn.MAXIFS('6_3nf_branch_history'!$B$2:$B$50,'6_3nf_branch_history'!$A$2:$A$50,T136,'6_3nf_branch_history'!$B$2:$B$50,"&lt;="&amp;L136))</f>
        <v/>
      </c>
      <c r="V136" s="2">
        <f>IF(U136="NOT FOUND","NOT FOUND",INDEX('6_3nf_branch_history'!$C:$C,SUMPRODUCT(('6_3nf_branch_history'!$A$2:$A$50=T136)*('6_3nf_branch_history'!$B$2:$B$50=U136)*ROW('6_3nf_branch_history'!$A$2:$A$50))))</f>
        <v/>
      </c>
      <c r="W136" s="2">
        <f>IF(U136="NOT FOUND","NOT FOUND",INDEX('6_3nf_branch_history'!$D:$D,SUMPRODUCT(('6_3nf_branch_history'!$A$2:$A$50=T136)*('6_3nf_branch_history'!$B$2:$B$50=U136)*ROW('6_3nf_branch_history'!$A$2:$A$50))))</f>
        <v/>
      </c>
      <c r="X136" s="2">
        <f>IF(U136="NOT FOUND","NOT FOUND",INDEX('6_3nf_branch_history'!$E:$E,SUMPRODUCT(('6_3nf_branch_history'!$A$2:$A$50=T136)*('6_3nf_branch_history'!$B$2:$B$50=U136)*ROW('6_3nf_branch_history'!$A$2:$A$50))))</f>
        <v/>
      </c>
      <c r="Y136" s="2">
        <f>UPPER(TRIM(D136))</f>
        <v/>
      </c>
      <c r="Z136" s="2">
        <f>IFERROR(INDEX('7_3nf_product'!$B:$B,MATCH(Y136,'7_3nf_product'!$A:$A,0)),"NOT FOUND")</f>
        <v/>
      </c>
      <c r="AA136" s="2">
        <f>IFERROR(INDEX('7_3nf_product'!$C:$C,MATCH(Y136,'7_3nf_product'!$A:$A,0)),"NOT FOUND")</f>
        <v/>
      </c>
      <c r="AB136" s="2">
        <f>IFERROR(INDEX('7_3nf_product'!$D:$D,MATCH(Y136,'7_3nf_product'!$A:$A,0)),"NOT FOUND")</f>
        <v/>
      </c>
      <c r="AC136" s="6">
        <f>IFERROR(INDEX('7_3nf_product'!$E:$E,MATCH(Y136,'7_3nf_product'!$A:$A,0)),"NOT FOUND")</f>
        <v/>
      </c>
      <c r="AD136" s="33">
        <f>IF(LEN(TRIM(E136))=10,TRIM(E136),IF(LEN(TRIM(E136))=8,"00"&amp;TRIM(E136),"CHECK"))</f>
        <v/>
      </c>
      <c r="AE136" s="2">
        <f>IFERROR(INDEX('8_3nf_customer'!$C:$C,MATCH(AD136,'8_3nf_customer'!$B:$B,0)),"NOT FOUND")</f>
        <v/>
      </c>
      <c r="AF136" s="30">
        <f>IFERROR(INDEX('8_3nf_customer'!$D:$D,MATCH(AD136,'8_3nf_customer'!$B:$B,0)),"NOT FOUND")</f>
        <v/>
      </c>
      <c r="AG136" s="4">
        <f>IF(ISNUMBER(AF136),DATEDIF(AF136,L136,"y"),"NOT FOUND")</f>
        <v/>
      </c>
      <c r="AH136" s="2">
        <f>IFERROR(INDEX('8_3nf_customer'!$E:$E,MATCH(AD136,'8_3nf_customer'!$B:$B,0)),"NOT FOUND")</f>
        <v/>
      </c>
      <c r="AI136" s="30">
        <f>IF(_xlfn.MAXIFS('9_3nf_customer_history'!$B$2:$B$500,'9_3nf_customer_history'!$A$2:$A$500,AD136,'9_3nf_customer_history'!$B$2:$B$500,"&lt;="&amp;L136)=0,"NOT FOUND",_xlfn.MAXIFS('9_3nf_customer_history'!$B$2:$B$500,'9_3nf_customer_history'!$A$2:$A$500,AD136,'9_3nf_customer_history'!$B$2:$B$500,"&lt;="&amp;L136))</f>
        <v/>
      </c>
      <c r="AJ136" s="2">
        <f>IF(AI136="NOT FOUND","NOT FOUND",INDEX('9_3nf_customer_history'!$C:$C,SUMPRODUCT(('9_3nf_customer_history'!$A$2:$A$500=AD136)*('9_3nf_customer_history'!$B$2:$B$500=AI136)*ROW('9_3nf_customer_history'!$A$2:$A$500))))</f>
        <v/>
      </c>
      <c r="AK136" s="2">
        <f>IF(AI136="NOT FOUND","NOT FOUND",INDEX('9_3nf_customer_history'!$D:$D,SUMPRODUCT(('9_3nf_customer_history'!$A$2:$A$500=AD136)*('9_3nf_customer_history'!$B$2:$B$500=AI136)*ROW('9_3nf_customer_history'!$A$2:$A$500))))</f>
        <v/>
      </c>
      <c r="AL136" s="2">
        <f>UPPER(TRIM(H136))</f>
        <v/>
      </c>
      <c r="AM136" s="30">
        <f>IF(_xlfn.MAXIFS('10_ref_fx_rate'!$B$2:$B$2000,'10_ref_fx_rate'!$A$2:$A$2000,AL136,'10_ref_fx_rate'!$B$2:$B$2000,"&lt;="&amp;L136)=0,"NOT FOUND",_xlfn.MAXIFS('10_ref_fx_rate'!$B$2:$B$2000,'10_ref_fx_rate'!$A$2:$A$2000,AL136,'10_ref_fx_rate'!$B$2:$B$2000,"&lt;="&amp;L136))</f>
        <v/>
      </c>
      <c r="AN136" s="8">
        <f>IF(AM136="NOT FOUND","NOT FOUND",SUMIFS('10_ref_fx_rate'!$D$2:$D$2000,'10_ref_fx_rate'!$A$2:$A$2000,AL136,'10_ref_fx_rate'!$B$2:$B$2000,AM136))</f>
        <v/>
      </c>
      <c r="AO136" s="37">
        <f>IF(ISNUMBER(AN136),I136*AN136,"NOT FOUND")</f>
        <v/>
      </c>
      <c r="AP136" s="2">
        <f>UPPER(TRIM(J136))</f>
        <v/>
      </c>
      <c r="AQ136" s="2">
        <f>IF(AP136="","SELF-DIRECTED",IF(ISNUMBER(MATCH(AP136,'11_3nf_sales_person'!$A:$A,0)),IF(EXACT(AP136,J136),"OK","OK (auto-fixed)"),IF(ISNA(MATCH($A136,'12_sales_person_confirmation'!$A:$A,0)),"CONFIRM (not logged)",IF(INDEX('12_sales_person_confirmation'!$I:$I,MATCH($A136,'12_sales_person_confirmation'!$A:$A,0))="CONFIRMED","CONFIRMED ("&amp;LOWER(INDEX('12_sales_person_confirmation'!$E:$E,MATCH($A136,'12_sales_person_confirmation'!$A:$A,0)))&amp;")","PENDING CONFIRM"))))</f>
        <v/>
      </c>
      <c r="AR136" s="2">
        <f>IF(OR(AQ136="OK",AQ136="OK (auto-fixed)"),AP136,IF(LEFT(AQ136,9)="CONFIRMED",INDEX('12_sales_person_confirmation'!$F:$F,MATCH($A136,'12_sales_person_confirmation'!$A:$A,0)),""))</f>
        <v/>
      </c>
      <c r="AS136" s="2">
        <f>IF(AR136="","",INDEX('11_3nf_sales_person'!$B:$B,MATCH(AR136,'11_3nf_sales_person'!$A:$A,0)))</f>
        <v/>
      </c>
    </row>
    <row r="137">
      <c r="A137" s="2">
        <f>IF(ISBLANK('1_raw_log'!A137),"",'1_raw_log'!A137)</f>
        <v/>
      </c>
      <c r="B137" s="3">
        <f>IF(ISBLANK('1_raw_log'!B137),"",'1_raw_log'!B137)</f>
        <v/>
      </c>
      <c r="C137" s="2">
        <f>IF(ISBLANK('1_raw_log'!C137),"",'1_raw_log'!C137)</f>
        <v/>
      </c>
      <c r="D137" s="2">
        <f>IF(ISBLANK('1_raw_log'!D137),"",'1_raw_log'!D137)</f>
        <v/>
      </c>
      <c r="E137" s="4">
        <f>IF(ISBLANK('1_raw_log'!E137),"",'1_raw_log'!E137)</f>
        <v/>
      </c>
      <c r="F137" s="2">
        <f>IF(ISBLANK('1_raw_log'!F137),"",'1_raw_log'!F137)</f>
        <v/>
      </c>
      <c r="G137" s="2">
        <f>IF(ISBLANK('1_raw_log'!G137),"",'1_raw_log'!G137)</f>
        <v/>
      </c>
      <c r="H137" s="2">
        <f>IF(ISBLANK('1_raw_log'!H137),"",'1_raw_log'!H137)</f>
        <v/>
      </c>
      <c r="I137" s="7">
        <f>IF(ISBLANK('1_raw_log'!I137),"",'1_raw_log'!I137)</f>
        <v/>
      </c>
      <c r="J137" s="2">
        <f>IF(ISBLANK('1_raw_log'!J137),"",'1_raw_log'!J137)</f>
        <v/>
      </c>
      <c r="K137" s="2">
        <f>IF(ISBLANK('1_raw_log'!K137),"",'1_raw_log'!K137)</f>
        <v/>
      </c>
      <c r="L137" s="30">
        <f>INT(B137)</f>
        <v/>
      </c>
      <c r="M137" s="20">
        <f>ROUND(MOD(B137,1)*1440,0)/1440</f>
        <v/>
      </c>
      <c r="N137" s="4">
        <f>IFERROR(INDEX('3_ref_date'!$B:$B,MATCH(L137,'3_ref_date'!$A:$A,0)),"NOT FOUND")</f>
        <v/>
      </c>
      <c r="O137" s="2">
        <f>IFERROR(INDEX('3_ref_date'!$C:$C,MATCH(L137,'3_ref_date'!$A:$A,0)),"NOT FOUND")</f>
        <v/>
      </c>
      <c r="P137" s="4">
        <f>IFERROR(INDEX('3_ref_date'!$D:$D,MATCH(L137,'3_ref_date'!$A:$A,0)),"NOT FOUND")</f>
        <v/>
      </c>
      <c r="Q137" s="4">
        <f>IFERROR(INDEX('3_ref_date'!$E:$E,MATCH(L137,'3_ref_date'!$A:$A,0)),"NOT FOUND")</f>
        <v/>
      </c>
      <c r="R137" s="2">
        <f>IFERROR(INDEX('3_ref_date'!$F:$F,MATCH(L137,'3_ref_date'!$A:$A,0)),"NOT FOUND")</f>
        <v/>
      </c>
      <c r="S137" s="2">
        <f>IFERROR(INDEX('4_ref_time'!$D:$D,MATCH(ROUND(M137*1440,0),'4_ref_time'!$A:$A,0)),"NOT FOUND")</f>
        <v/>
      </c>
      <c r="T137" s="2">
        <f>UPPER(TRIM(C137))</f>
        <v/>
      </c>
      <c r="U137" s="30">
        <f>IF(_xlfn.MAXIFS('6_3nf_branch_history'!$B$2:$B$50,'6_3nf_branch_history'!$A$2:$A$50,T137,'6_3nf_branch_history'!$B$2:$B$50,"&lt;="&amp;L137)=0,"NOT FOUND",_xlfn.MAXIFS('6_3nf_branch_history'!$B$2:$B$50,'6_3nf_branch_history'!$A$2:$A$50,T137,'6_3nf_branch_history'!$B$2:$B$50,"&lt;="&amp;L137))</f>
        <v/>
      </c>
      <c r="V137" s="2">
        <f>IF(U137="NOT FOUND","NOT FOUND",INDEX('6_3nf_branch_history'!$C:$C,SUMPRODUCT(('6_3nf_branch_history'!$A$2:$A$50=T137)*('6_3nf_branch_history'!$B$2:$B$50=U137)*ROW('6_3nf_branch_history'!$A$2:$A$50))))</f>
        <v/>
      </c>
      <c r="W137" s="2">
        <f>IF(U137="NOT FOUND","NOT FOUND",INDEX('6_3nf_branch_history'!$D:$D,SUMPRODUCT(('6_3nf_branch_history'!$A$2:$A$50=T137)*('6_3nf_branch_history'!$B$2:$B$50=U137)*ROW('6_3nf_branch_history'!$A$2:$A$50))))</f>
        <v/>
      </c>
      <c r="X137" s="2">
        <f>IF(U137="NOT FOUND","NOT FOUND",INDEX('6_3nf_branch_history'!$E:$E,SUMPRODUCT(('6_3nf_branch_history'!$A$2:$A$50=T137)*('6_3nf_branch_history'!$B$2:$B$50=U137)*ROW('6_3nf_branch_history'!$A$2:$A$50))))</f>
        <v/>
      </c>
      <c r="Y137" s="2">
        <f>UPPER(TRIM(D137))</f>
        <v/>
      </c>
      <c r="Z137" s="2">
        <f>IFERROR(INDEX('7_3nf_product'!$B:$B,MATCH(Y137,'7_3nf_product'!$A:$A,0)),"NOT FOUND")</f>
        <v/>
      </c>
      <c r="AA137" s="2">
        <f>IFERROR(INDEX('7_3nf_product'!$C:$C,MATCH(Y137,'7_3nf_product'!$A:$A,0)),"NOT FOUND")</f>
        <v/>
      </c>
      <c r="AB137" s="2">
        <f>IFERROR(INDEX('7_3nf_product'!$D:$D,MATCH(Y137,'7_3nf_product'!$A:$A,0)),"NOT FOUND")</f>
        <v/>
      </c>
      <c r="AC137" s="6">
        <f>IFERROR(INDEX('7_3nf_product'!$E:$E,MATCH(Y137,'7_3nf_product'!$A:$A,0)),"NOT FOUND")</f>
        <v/>
      </c>
      <c r="AD137" s="33">
        <f>IF(LEN(TRIM(E137))=10,TRIM(E137),IF(LEN(TRIM(E137))=8,"00"&amp;TRIM(E137),"CHECK"))</f>
        <v/>
      </c>
      <c r="AE137" s="2">
        <f>IFERROR(INDEX('8_3nf_customer'!$C:$C,MATCH(AD137,'8_3nf_customer'!$B:$B,0)),"NOT FOUND")</f>
        <v/>
      </c>
      <c r="AF137" s="30">
        <f>IFERROR(INDEX('8_3nf_customer'!$D:$D,MATCH(AD137,'8_3nf_customer'!$B:$B,0)),"NOT FOUND")</f>
        <v/>
      </c>
      <c r="AG137" s="4">
        <f>IF(ISNUMBER(AF137),DATEDIF(AF137,L137,"y"),"NOT FOUND")</f>
        <v/>
      </c>
      <c r="AH137" s="2">
        <f>IFERROR(INDEX('8_3nf_customer'!$E:$E,MATCH(AD137,'8_3nf_customer'!$B:$B,0)),"NOT FOUND")</f>
        <v/>
      </c>
      <c r="AI137" s="30">
        <f>IF(_xlfn.MAXIFS('9_3nf_customer_history'!$B$2:$B$500,'9_3nf_customer_history'!$A$2:$A$500,AD137,'9_3nf_customer_history'!$B$2:$B$500,"&lt;="&amp;L137)=0,"NOT FOUND",_xlfn.MAXIFS('9_3nf_customer_history'!$B$2:$B$500,'9_3nf_customer_history'!$A$2:$A$500,AD137,'9_3nf_customer_history'!$B$2:$B$500,"&lt;="&amp;L137))</f>
        <v/>
      </c>
      <c r="AJ137" s="2">
        <f>IF(AI137="NOT FOUND","NOT FOUND",INDEX('9_3nf_customer_history'!$C:$C,SUMPRODUCT(('9_3nf_customer_history'!$A$2:$A$500=AD137)*('9_3nf_customer_history'!$B$2:$B$500=AI137)*ROW('9_3nf_customer_history'!$A$2:$A$500))))</f>
        <v/>
      </c>
      <c r="AK137" s="2">
        <f>IF(AI137="NOT FOUND","NOT FOUND",INDEX('9_3nf_customer_history'!$D:$D,SUMPRODUCT(('9_3nf_customer_history'!$A$2:$A$500=AD137)*('9_3nf_customer_history'!$B$2:$B$500=AI137)*ROW('9_3nf_customer_history'!$A$2:$A$500))))</f>
        <v/>
      </c>
      <c r="AL137" s="2">
        <f>UPPER(TRIM(H137))</f>
        <v/>
      </c>
      <c r="AM137" s="30">
        <f>IF(_xlfn.MAXIFS('10_ref_fx_rate'!$B$2:$B$2000,'10_ref_fx_rate'!$A$2:$A$2000,AL137,'10_ref_fx_rate'!$B$2:$B$2000,"&lt;="&amp;L137)=0,"NOT FOUND",_xlfn.MAXIFS('10_ref_fx_rate'!$B$2:$B$2000,'10_ref_fx_rate'!$A$2:$A$2000,AL137,'10_ref_fx_rate'!$B$2:$B$2000,"&lt;="&amp;L137))</f>
        <v/>
      </c>
      <c r="AN137" s="8">
        <f>IF(AM137="NOT FOUND","NOT FOUND",SUMIFS('10_ref_fx_rate'!$D$2:$D$2000,'10_ref_fx_rate'!$A$2:$A$2000,AL137,'10_ref_fx_rate'!$B$2:$B$2000,AM137))</f>
        <v/>
      </c>
      <c r="AO137" s="37">
        <f>IF(ISNUMBER(AN137),I137*AN137,"NOT FOUND")</f>
        <v/>
      </c>
      <c r="AP137" s="2">
        <f>UPPER(TRIM(J137))</f>
        <v/>
      </c>
      <c r="AQ137" s="2">
        <f>IF(AP137="","SELF-DIRECTED",IF(ISNUMBER(MATCH(AP137,'11_3nf_sales_person'!$A:$A,0)),IF(EXACT(AP137,J137),"OK","OK (auto-fixed)"),IF(ISNA(MATCH($A137,'12_sales_person_confirmation'!$A:$A,0)),"CONFIRM (not logged)",IF(INDEX('12_sales_person_confirmation'!$I:$I,MATCH($A137,'12_sales_person_confirmation'!$A:$A,0))="CONFIRMED","CONFIRMED ("&amp;LOWER(INDEX('12_sales_person_confirmation'!$E:$E,MATCH($A137,'12_sales_person_confirmation'!$A:$A,0)))&amp;")","PENDING CONFIRM"))))</f>
        <v/>
      </c>
      <c r="AR137" s="2">
        <f>IF(OR(AQ137="OK",AQ137="OK (auto-fixed)"),AP137,IF(LEFT(AQ137,9)="CONFIRMED",INDEX('12_sales_person_confirmation'!$F:$F,MATCH($A137,'12_sales_person_confirmation'!$A:$A,0)),""))</f>
        <v/>
      </c>
      <c r="AS137" s="2">
        <f>IF(AR137="","",INDEX('11_3nf_sales_person'!$B:$B,MATCH(AR137,'11_3nf_sales_person'!$A:$A,0)))</f>
        <v/>
      </c>
    </row>
    <row r="138">
      <c r="A138" s="2">
        <f>IF(ISBLANK('1_raw_log'!A138),"",'1_raw_log'!A138)</f>
        <v/>
      </c>
      <c r="B138" s="3">
        <f>IF(ISBLANK('1_raw_log'!B138),"",'1_raw_log'!B138)</f>
        <v/>
      </c>
      <c r="C138" s="2">
        <f>IF(ISBLANK('1_raw_log'!C138),"",'1_raw_log'!C138)</f>
        <v/>
      </c>
      <c r="D138" s="2">
        <f>IF(ISBLANK('1_raw_log'!D138),"",'1_raw_log'!D138)</f>
        <v/>
      </c>
      <c r="E138" s="4">
        <f>IF(ISBLANK('1_raw_log'!E138),"",'1_raw_log'!E138)</f>
        <v/>
      </c>
      <c r="F138" s="2">
        <f>IF(ISBLANK('1_raw_log'!F138),"",'1_raw_log'!F138)</f>
        <v/>
      </c>
      <c r="G138" s="2">
        <f>IF(ISBLANK('1_raw_log'!G138),"",'1_raw_log'!G138)</f>
        <v/>
      </c>
      <c r="H138" s="2">
        <f>IF(ISBLANK('1_raw_log'!H138),"",'1_raw_log'!H138)</f>
        <v/>
      </c>
      <c r="I138" s="7">
        <f>IF(ISBLANK('1_raw_log'!I138),"",'1_raw_log'!I138)</f>
        <v/>
      </c>
      <c r="J138" s="2">
        <f>IF(ISBLANK('1_raw_log'!J138),"",'1_raw_log'!J138)</f>
        <v/>
      </c>
      <c r="K138" s="2">
        <f>IF(ISBLANK('1_raw_log'!K138),"",'1_raw_log'!K138)</f>
        <v/>
      </c>
      <c r="L138" s="30">
        <f>INT(B138)</f>
        <v/>
      </c>
      <c r="M138" s="20">
        <f>ROUND(MOD(B138,1)*1440,0)/1440</f>
        <v/>
      </c>
      <c r="N138" s="4">
        <f>IFERROR(INDEX('3_ref_date'!$B:$B,MATCH(L138,'3_ref_date'!$A:$A,0)),"NOT FOUND")</f>
        <v/>
      </c>
      <c r="O138" s="2">
        <f>IFERROR(INDEX('3_ref_date'!$C:$C,MATCH(L138,'3_ref_date'!$A:$A,0)),"NOT FOUND")</f>
        <v/>
      </c>
      <c r="P138" s="4">
        <f>IFERROR(INDEX('3_ref_date'!$D:$D,MATCH(L138,'3_ref_date'!$A:$A,0)),"NOT FOUND")</f>
        <v/>
      </c>
      <c r="Q138" s="4">
        <f>IFERROR(INDEX('3_ref_date'!$E:$E,MATCH(L138,'3_ref_date'!$A:$A,0)),"NOT FOUND")</f>
        <v/>
      </c>
      <c r="R138" s="2">
        <f>IFERROR(INDEX('3_ref_date'!$F:$F,MATCH(L138,'3_ref_date'!$A:$A,0)),"NOT FOUND")</f>
        <v/>
      </c>
      <c r="S138" s="2">
        <f>IFERROR(INDEX('4_ref_time'!$D:$D,MATCH(ROUND(M138*1440,0),'4_ref_time'!$A:$A,0)),"NOT FOUND")</f>
        <v/>
      </c>
      <c r="T138" s="2">
        <f>UPPER(TRIM(C138))</f>
        <v/>
      </c>
      <c r="U138" s="30">
        <f>IF(_xlfn.MAXIFS('6_3nf_branch_history'!$B$2:$B$50,'6_3nf_branch_history'!$A$2:$A$50,T138,'6_3nf_branch_history'!$B$2:$B$50,"&lt;="&amp;L138)=0,"NOT FOUND",_xlfn.MAXIFS('6_3nf_branch_history'!$B$2:$B$50,'6_3nf_branch_history'!$A$2:$A$50,T138,'6_3nf_branch_history'!$B$2:$B$50,"&lt;="&amp;L138))</f>
        <v/>
      </c>
      <c r="V138" s="2">
        <f>IF(U138="NOT FOUND","NOT FOUND",INDEX('6_3nf_branch_history'!$C:$C,SUMPRODUCT(('6_3nf_branch_history'!$A$2:$A$50=T138)*('6_3nf_branch_history'!$B$2:$B$50=U138)*ROW('6_3nf_branch_history'!$A$2:$A$50))))</f>
        <v/>
      </c>
      <c r="W138" s="2">
        <f>IF(U138="NOT FOUND","NOT FOUND",INDEX('6_3nf_branch_history'!$D:$D,SUMPRODUCT(('6_3nf_branch_history'!$A$2:$A$50=T138)*('6_3nf_branch_history'!$B$2:$B$50=U138)*ROW('6_3nf_branch_history'!$A$2:$A$50))))</f>
        <v/>
      </c>
      <c r="X138" s="2">
        <f>IF(U138="NOT FOUND","NOT FOUND",INDEX('6_3nf_branch_history'!$E:$E,SUMPRODUCT(('6_3nf_branch_history'!$A$2:$A$50=T138)*('6_3nf_branch_history'!$B$2:$B$50=U138)*ROW('6_3nf_branch_history'!$A$2:$A$50))))</f>
        <v/>
      </c>
      <c r="Y138" s="2">
        <f>UPPER(TRIM(D138))</f>
        <v/>
      </c>
      <c r="Z138" s="2">
        <f>IFERROR(INDEX('7_3nf_product'!$B:$B,MATCH(Y138,'7_3nf_product'!$A:$A,0)),"NOT FOUND")</f>
        <v/>
      </c>
      <c r="AA138" s="2">
        <f>IFERROR(INDEX('7_3nf_product'!$C:$C,MATCH(Y138,'7_3nf_product'!$A:$A,0)),"NOT FOUND")</f>
        <v/>
      </c>
      <c r="AB138" s="2">
        <f>IFERROR(INDEX('7_3nf_product'!$D:$D,MATCH(Y138,'7_3nf_product'!$A:$A,0)),"NOT FOUND")</f>
        <v/>
      </c>
      <c r="AC138" s="6">
        <f>IFERROR(INDEX('7_3nf_product'!$E:$E,MATCH(Y138,'7_3nf_product'!$A:$A,0)),"NOT FOUND")</f>
        <v/>
      </c>
      <c r="AD138" s="33">
        <f>IF(LEN(TRIM(E138))=10,TRIM(E138),IF(LEN(TRIM(E138))=8,"00"&amp;TRIM(E138),"CHECK"))</f>
        <v/>
      </c>
      <c r="AE138" s="2">
        <f>IFERROR(INDEX('8_3nf_customer'!$C:$C,MATCH(AD138,'8_3nf_customer'!$B:$B,0)),"NOT FOUND")</f>
        <v/>
      </c>
      <c r="AF138" s="30">
        <f>IFERROR(INDEX('8_3nf_customer'!$D:$D,MATCH(AD138,'8_3nf_customer'!$B:$B,0)),"NOT FOUND")</f>
        <v/>
      </c>
      <c r="AG138" s="4">
        <f>IF(ISNUMBER(AF138),DATEDIF(AF138,L138,"y"),"NOT FOUND")</f>
        <v/>
      </c>
      <c r="AH138" s="2">
        <f>IFERROR(INDEX('8_3nf_customer'!$E:$E,MATCH(AD138,'8_3nf_customer'!$B:$B,0)),"NOT FOUND")</f>
        <v/>
      </c>
      <c r="AI138" s="30">
        <f>IF(_xlfn.MAXIFS('9_3nf_customer_history'!$B$2:$B$500,'9_3nf_customer_history'!$A$2:$A$500,AD138,'9_3nf_customer_history'!$B$2:$B$500,"&lt;="&amp;L138)=0,"NOT FOUND",_xlfn.MAXIFS('9_3nf_customer_history'!$B$2:$B$500,'9_3nf_customer_history'!$A$2:$A$500,AD138,'9_3nf_customer_history'!$B$2:$B$500,"&lt;="&amp;L138))</f>
        <v/>
      </c>
      <c r="AJ138" s="2">
        <f>IF(AI138="NOT FOUND","NOT FOUND",INDEX('9_3nf_customer_history'!$C:$C,SUMPRODUCT(('9_3nf_customer_history'!$A$2:$A$500=AD138)*('9_3nf_customer_history'!$B$2:$B$500=AI138)*ROW('9_3nf_customer_history'!$A$2:$A$500))))</f>
        <v/>
      </c>
      <c r="AK138" s="2">
        <f>IF(AI138="NOT FOUND","NOT FOUND",INDEX('9_3nf_customer_history'!$D:$D,SUMPRODUCT(('9_3nf_customer_history'!$A$2:$A$500=AD138)*('9_3nf_customer_history'!$B$2:$B$500=AI138)*ROW('9_3nf_customer_history'!$A$2:$A$500))))</f>
        <v/>
      </c>
      <c r="AL138" s="2">
        <f>UPPER(TRIM(H138))</f>
        <v/>
      </c>
      <c r="AM138" s="30">
        <f>IF(_xlfn.MAXIFS('10_ref_fx_rate'!$B$2:$B$2000,'10_ref_fx_rate'!$A$2:$A$2000,AL138,'10_ref_fx_rate'!$B$2:$B$2000,"&lt;="&amp;L138)=0,"NOT FOUND",_xlfn.MAXIFS('10_ref_fx_rate'!$B$2:$B$2000,'10_ref_fx_rate'!$A$2:$A$2000,AL138,'10_ref_fx_rate'!$B$2:$B$2000,"&lt;="&amp;L138))</f>
        <v/>
      </c>
      <c r="AN138" s="8">
        <f>IF(AM138="NOT FOUND","NOT FOUND",SUMIFS('10_ref_fx_rate'!$D$2:$D$2000,'10_ref_fx_rate'!$A$2:$A$2000,AL138,'10_ref_fx_rate'!$B$2:$B$2000,AM138))</f>
        <v/>
      </c>
      <c r="AO138" s="37">
        <f>IF(ISNUMBER(AN138),I138*AN138,"NOT FOUND")</f>
        <v/>
      </c>
      <c r="AP138" s="2">
        <f>UPPER(TRIM(J138))</f>
        <v/>
      </c>
      <c r="AQ138" s="2">
        <f>IF(AP138="","SELF-DIRECTED",IF(ISNUMBER(MATCH(AP138,'11_3nf_sales_person'!$A:$A,0)),IF(EXACT(AP138,J138),"OK","OK (auto-fixed)"),IF(ISNA(MATCH($A138,'12_sales_person_confirmation'!$A:$A,0)),"CONFIRM (not logged)",IF(INDEX('12_sales_person_confirmation'!$I:$I,MATCH($A138,'12_sales_person_confirmation'!$A:$A,0))="CONFIRMED","CONFIRMED ("&amp;LOWER(INDEX('12_sales_person_confirmation'!$E:$E,MATCH($A138,'12_sales_person_confirmation'!$A:$A,0)))&amp;")","PENDING CONFIRM"))))</f>
        <v/>
      </c>
      <c r="AR138" s="2">
        <f>IF(OR(AQ138="OK",AQ138="OK (auto-fixed)"),AP138,IF(LEFT(AQ138,9)="CONFIRMED",INDEX('12_sales_person_confirmation'!$F:$F,MATCH($A138,'12_sales_person_confirmation'!$A:$A,0)),""))</f>
        <v/>
      </c>
      <c r="AS138" s="2">
        <f>IF(AR138="","",INDEX('11_3nf_sales_person'!$B:$B,MATCH(AR138,'11_3nf_sales_person'!$A:$A,0)))</f>
        <v/>
      </c>
    </row>
    <row r="139">
      <c r="A139" s="2">
        <f>IF(ISBLANK('1_raw_log'!A139),"",'1_raw_log'!A139)</f>
        <v/>
      </c>
      <c r="B139" s="3">
        <f>IF(ISBLANK('1_raw_log'!B139),"",'1_raw_log'!B139)</f>
        <v/>
      </c>
      <c r="C139" s="2">
        <f>IF(ISBLANK('1_raw_log'!C139),"",'1_raw_log'!C139)</f>
        <v/>
      </c>
      <c r="D139" s="2">
        <f>IF(ISBLANK('1_raw_log'!D139),"",'1_raw_log'!D139)</f>
        <v/>
      </c>
      <c r="E139" s="4">
        <f>IF(ISBLANK('1_raw_log'!E139),"",'1_raw_log'!E139)</f>
        <v/>
      </c>
      <c r="F139" s="2">
        <f>IF(ISBLANK('1_raw_log'!F139),"",'1_raw_log'!F139)</f>
        <v/>
      </c>
      <c r="G139" s="2">
        <f>IF(ISBLANK('1_raw_log'!G139),"",'1_raw_log'!G139)</f>
        <v/>
      </c>
      <c r="H139" s="2">
        <f>IF(ISBLANK('1_raw_log'!H139),"",'1_raw_log'!H139)</f>
        <v/>
      </c>
      <c r="I139" s="7">
        <f>IF(ISBLANK('1_raw_log'!I139),"",'1_raw_log'!I139)</f>
        <v/>
      </c>
      <c r="J139" s="2">
        <f>IF(ISBLANK('1_raw_log'!J139),"",'1_raw_log'!J139)</f>
        <v/>
      </c>
      <c r="K139" s="2">
        <f>IF(ISBLANK('1_raw_log'!K139),"",'1_raw_log'!K139)</f>
        <v/>
      </c>
      <c r="L139" s="30">
        <f>INT(B139)</f>
        <v/>
      </c>
      <c r="M139" s="20">
        <f>ROUND(MOD(B139,1)*1440,0)/1440</f>
        <v/>
      </c>
      <c r="N139" s="4">
        <f>IFERROR(INDEX('3_ref_date'!$B:$B,MATCH(L139,'3_ref_date'!$A:$A,0)),"NOT FOUND")</f>
        <v/>
      </c>
      <c r="O139" s="2">
        <f>IFERROR(INDEX('3_ref_date'!$C:$C,MATCH(L139,'3_ref_date'!$A:$A,0)),"NOT FOUND")</f>
        <v/>
      </c>
      <c r="P139" s="4">
        <f>IFERROR(INDEX('3_ref_date'!$D:$D,MATCH(L139,'3_ref_date'!$A:$A,0)),"NOT FOUND")</f>
        <v/>
      </c>
      <c r="Q139" s="4">
        <f>IFERROR(INDEX('3_ref_date'!$E:$E,MATCH(L139,'3_ref_date'!$A:$A,0)),"NOT FOUND")</f>
        <v/>
      </c>
      <c r="R139" s="2">
        <f>IFERROR(INDEX('3_ref_date'!$F:$F,MATCH(L139,'3_ref_date'!$A:$A,0)),"NOT FOUND")</f>
        <v/>
      </c>
      <c r="S139" s="2">
        <f>IFERROR(INDEX('4_ref_time'!$D:$D,MATCH(ROUND(M139*1440,0),'4_ref_time'!$A:$A,0)),"NOT FOUND")</f>
        <v/>
      </c>
      <c r="T139" s="2">
        <f>UPPER(TRIM(C139))</f>
        <v/>
      </c>
      <c r="U139" s="30">
        <f>IF(_xlfn.MAXIFS('6_3nf_branch_history'!$B$2:$B$50,'6_3nf_branch_history'!$A$2:$A$50,T139,'6_3nf_branch_history'!$B$2:$B$50,"&lt;="&amp;L139)=0,"NOT FOUND",_xlfn.MAXIFS('6_3nf_branch_history'!$B$2:$B$50,'6_3nf_branch_history'!$A$2:$A$50,T139,'6_3nf_branch_history'!$B$2:$B$50,"&lt;="&amp;L139))</f>
        <v/>
      </c>
      <c r="V139" s="2">
        <f>IF(U139="NOT FOUND","NOT FOUND",INDEX('6_3nf_branch_history'!$C:$C,SUMPRODUCT(('6_3nf_branch_history'!$A$2:$A$50=T139)*('6_3nf_branch_history'!$B$2:$B$50=U139)*ROW('6_3nf_branch_history'!$A$2:$A$50))))</f>
        <v/>
      </c>
      <c r="W139" s="2">
        <f>IF(U139="NOT FOUND","NOT FOUND",INDEX('6_3nf_branch_history'!$D:$D,SUMPRODUCT(('6_3nf_branch_history'!$A$2:$A$50=T139)*('6_3nf_branch_history'!$B$2:$B$50=U139)*ROW('6_3nf_branch_history'!$A$2:$A$50))))</f>
        <v/>
      </c>
      <c r="X139" s="2">
        <f>IF(U139="NOT FOUND","NOT FOUND",INDEX('6_3nf_branch_history'!$E:$E,SUMPRODUCT(('6_3nf_branch_history'!$A$2:$A$50=T139)*('6_3nf_branch_history'!$B$2:$B$50=U139)*ROW('6_3nf_branch_history'!$A$2:$A$50))))</f>
        <v/>
      </c>
      <c r="Y139" s="2">
        <f>UPPER(TRIM(D139))</f>
        <v/>
      </c>
      <c r="Z139" s="2">
        <f>IFERROR(INDEX('7_3nf_product'!$B:$B,MATCH(Y139,'7_3nf_product'!$A:$A,0)),"NOT FOUND")</f>
        <v/>
      </c>
      <c r="AA139" s="2">
        <f>IFERROR(INDEX('7_3nf_product'!$C:$C,MATCH(Y139,'7_3nf_product'!$A:$A,0)),"NOT FOUND")</f>
        <v/>
      </c>
      <c r="AB139" s="2">
        <f>IFERROR(INDEX('7_3nf_product'!$D:$D,MATCH(Y139,'7_3nf_product'!$A:$A,0)),"NOT FOUND")</f>
        <v/>
      </c>
      <c r="AC139" s="6">
        <f>IFERROR(INDEX('7_3nf_product'!$E:$E,MATCH(Y139,'7_3nf_product'!$A:$A,0)),"NOT FOUND")</f>
        <v/>
      </c>
      <c r="AD139" s="33">
        <f>IF(LEN(TRIM(E139))=10,TRIM(E139),IF(LEN(TRIM(E139))=8,"00"&amp;TRIM(E139),"CHECK"))</f>
        <v/>
      </c>
      <c r="AE139" s="2">
        <f>IFERROR(INDEX('8_3nf_customer'!$C:$C,MATCH(AD139,'8_3nf_customer'!$B:$B,0)),"NOT FOUND")</f>
        <v/>
      </c>
      <c r="AF139" s="30">
        <f>IFERROR(INDEX('8_3nf_customer'!$D:$D,MATCH(AD139,'8_3nf_customer'!$B:$B,0)),"NOT FOUND")</f>
        <v/>
      </c>
      <c r="AG139" s="4">
        <f>IF(ISNUMBER(AF139),DATEDIF(AF139,L139,"y"),"NOT FOUND")</f>
        <v/>
      </c>
      <c r="AH139" s="2">
        <f>IFERROR(INDEX('8_3nf_customer'!$E:$E,MATCH(AD139,'8_3nf_customer'!$B:$B,0)),"NOT FOUND")</f>
        <v/>
      </c>
      <c r="AI139" s="30">
        <f>IF(_xlfn.MAXIFS('9_3nf_customer_history'!$B$2:$B$500,'9_3nf_customer_history'!$A$2:$A$500,AD139,'9_3nf_customer_history'!$B$2:$B$500,"&lt;="&amp;L139)=0,"NOT FOUND",_xlfn.MAXIFS('9_3nf_customer_history'!$B$2:$B$500,'9_3nf_customer_history'!$A$2:$A$500,AD139,'9_3nf_customer_history'!$B$2:$B$500,"&lt;="&amp;L139))</f>
        <v/>
      </c>
      <c r="AJ139" s="2">
        <f>IF(AI139="NOT FOUND","NOT FOUND",INDEX('9_3nf_customer_history'!$C:$C,SUMPRODUCT(('9_3nf_customer_history'!$A$2:$A$500=AD139)*('9_3nf_customer_history'!$B$2:$B$500=AI139)*ROW('9_3nf_customer_history'!$A$2:$A$500))))</f>
        <v/>
      </c>
      <c r="AK139" s="2">
        <f>IF(AI139="NOT FOUND","NOT FOUND",INDEX('9_3nf_customer_history'!$D:$D,SUMPRODUCT(('9_3nf_customer_history'!$A$2:$A$500=AD139)*('9_3nf_customer_history'!$B$2:$B$500=AI139)*ROW('9_3nf_customer_history'!$A$2:$A$500))))</f>
        <v/>
      </c>
      <c r="AL139" s="2">
        <f>UPPER(TRIM(H139))</f>
        <v/>
      </c>
      <c r="AM139" s="30">
        <f>IF(_xlfn.MAXIFS('10_ref_fx_rate'!$B$2:$B$2000,'10_ref_fx_rate'!$A$2:$A$2000,AL139,'10_ref_fx_rate'!$B$2:$B$2000,"&lt;="&amp;L139)=0,"NOT FOUND",_xlfn.MAXIFS('10_ref_fx_rate'!$B$2:$B$2000,'10_ref_fx_rate'!$A$2:$A$2000,AL139,'10_ref_fx_rate'!$B$2:$B$2000,"&lt;="&amp;L139))</f>
        <v/>
      </c>
      <c r="AN139" s="8">
        <f>IF(AM139="NOT FOUND","NOT FOUND",SUMIFS('10_ref_fx_rate'!$D$2:$D$2000,'10_ref_fx_rate'!$A$2:$A$2000,AL139,'10_ref_fx_rate'!$B$2:$B$2000,AM139))</f>
        <v/>
      </c>
      <c r="AO139" s="37">
        <f>IF(ISNUMBER(AN139),I139*AN139,"NOT FOUND")</f>
        <v/>
      </c>
      <c r="AP139" s="2">
        <f>UPPER(TRIM(J139))</f>
        <v/>
      </c>
      <c r="AQ139" s="2">
        <f>IF(AP139="","SELF-DIRECTED",IF(ISNUMBER(MATCH(AP139,'11_3nf_sales_person'!$A:$A,0)),IF(EXACT(AP139,J139),"OK","OK (auto-fixed)"),IF(ISNA(MATCH($A139,'12_sales_person_confirmation'!$A:$A,0)),"CONFIRM (not logged)",IF(INDEX('12_sales_person_confirmation'!$I:$I,MATCH($A139,'12_sales_person_confirmation'!$A:$A,0))="CONFIRMED","CONFIRMED ("&amp;LOWER(INDEX('12_sales_person_confirmation'!$E:$E,MATCH($A139,'12_sales_person_confirmation'!$A:$A,0)))&amp;")","PENDING CONFIRM"))))</f>
        <v/>
      </c>
      <c r="AR139" s="2">
        <f>IF(OR(AQ139="OK",AQ139="OK (auto-fixed)"),AP139,IF(LEFT(AQ139,9)="CONFIRMED",INDEX('12_sales_person_confirmation'!$F:$F,MATCH($A139,'12_sales_person_confirmation'!$A:$A,0)),""))</f>
        <v/>
      </c>
      <c r="AS139" s="2">
        <f>IF(AR139="","",INDEX('11_3nf_sales_person'!$B:$B,MATCH(AR139,'11_3nf_sales_person'!$A:$A,0)))</f>
        <v/>
      </c>
    </row>
    <row r="140">
      <c r="A140" s="2">
        <f>IF(ISBLANK('1_raw_log'!A140),"",'1_raw_log'!A140)</f>
        <v/>
      </c>
      <c r="B140" s="3">
        <f>IF(ISBLANK('1_raw_log'!B140),"",'1_raw_log'!B140)</f>
        <v/>
      </c>
      <c r="C140" s="2">
        <f>IF(ISBLANK('1_raw_log'!C140),"",'1_raw_log'!C140)</f>
        <v/>
      </c>
      <c r="D140" s="2">
        <f>IF(ISBLANK('1_raw_log'!D140),"",'1_raw_log'!D140)</f>
        <v/>
      </c>
      <c r="E140" s="4">
        <f>IF(ISBLANK('1_raw_log'!E140),"",'1_raw_log'!E140)</f>
        <v/>
      </c>
      <c r="F140" s="2">
        <f>IF(ISBLANK('1_raw_log'!F140),"",'1_raw_log'!F140)</f>
        <v/>
      </c>
      <c r="G140" s="2">
        <f>IF(ISBLANK('1_raw_log'!G140),"",'1_raw_log'!G140)</f>
        <v/>
      </c>
      <c r="H140" s="2">
        <f>IF(ISBLANK('1_raw_log'!H140),"",'1_raw_log'!H140)</f>
        <v/>
      </c>
      <c r="I140" s="7">
        <f>IF(ISBLANK('1_raw_log'!I140),"",'1_raw_log'!I140)</f>
        <v/>
      </c>
      <c r="J140" s="2">
        <f>IF(ISBLANK('1_raw_log'!J140),"",'1_raw_log'!J140)</f>
        <v/>
      </c>
      <c r="K140" s="2">
        <f>IF(ISBLANK('1_raw_log'!K140),"",'1_raw_log'!K140)</f>
        <v/>
      </c>
      <c r="L140" s="30">
        <f>INT(B140)</f>
        <v/>
      </c>
      <c r="M140" s="20">
        <f>ROUND(MOD(B140,1)*1440,0)/1440</f>
        <v/>
      </c>
      <c r="N140" s="4">
        <f>IFERROR(INDEX('3_ref_date'!$B:$B,MATCH(L140,'3_ref_date'!$A:$A,0)),"NOT FOUND")</f>
        <v/>
      </c>
      <c r="O140" s="2">
        <f>IFERROR(INDEX('3_ref_date'!$C:$C,MATCH(L140,'3_ref_date'!$A:$A,0)),"NOT FOUND")</f>
        <v/>
      </c>
      <c r="P140" s="4">
        <f>IFERROR(INDEX('3_ref_date'!$D:$D,MATCH(L140,'3_ref_date'!$A:$A,0)),"NOT FOUND")</f>
        <v/>
      </c>
      <c r="Q140" s="4">
        <f>IFERROR(INDEX('3_ref_date'!$E:$E,MATCH(L140,'3_ref_date'!$A:$A,0)),"NOT FOUND")</f>
        <v/>
      </c>
      <c r="R140" s="2">
        <f>IFERROR(INDEX('3_ref_date'!$F:$F,MATCH(L140,'3_ref_date'!$A:$A,0)),"NOT FOUND")</f>
        <v/>
      </c>
      <c r="S140" s="2">
        <f>IFERROR(INDEX('4_ref_time'!$D:$D,MATCH(ROUND(M140*1440,0),'4_ref_time'!$A:$A,0)),"NOT FOUND")</f>
        <v/>
      </c>
      <c r="T140" s="2">
        <f>UPPER(TRIM(C140))</f>
        <v/>
      </c>
      <c r="U140" s="30">
        <f>IF(_xlfn.MAXIFS('6_3nf_branch_history'!$B$2:$B$50,'6_3nf_branch_history'!$A$2:$A$50,T140,'6_3nf_branch_history'!$B$2:$B$50,"&lt;="&amp;L140)=0,"NOT FOUND",_xlfn.MAXIFS('6_3nf_branch_history'!$B$2:$B$50,'6_3nf_branch_history'!$A$2:$A$50,T140,'6_3nf_branch_history'!$B$2:$B$50,"&lt;="&amp;L140))</f>
        <v/>
      </c>
      <c r="V140" s="2">
        <f>IF(U140="NOT FOUND","NOT FOUND",INDEX('6_3nf_branch_history'!$C:$C,SUMPRODUCT(('6_3nf_branch_history'!$A$2:$A$50=T140)*('6_3nf_branch_history'!$B$2:$B$50=U140)*ROW('6_3nf_branch_history'!$A$2:$A$50))))</f>
        <v/>
      </c>
      <c r="W140" s="2">
        <f>IF(U140="NOT FOUND","NOT FOUND",INDEX('6_3nf_branch_history'!$D:$D,SUMPRODUCT(('6_3nf_branch_history'!$A$2:$A$50=T140)*('6_3nf_branch_history'!$B$2:$B$50=U140)*ROW('6_3nf_branch_history'!$A$2:$A$50))))</f>
        <v/>
      </c>
      <c r="X140" s="2">
        <f>IF(U140="NOT FOUND","NOT FOUND",INDEX('6_3nf_branch_history'!$E:$E,SUMPRODUCT(('6_3nf_branch_history'!$A$2:$A$50=T140)*('6_3nf_branch_history'!$B$2:$B$50=U140)*ROW('6_3nf_branch_history'!$A$2:$A$50))))</f>
        <v/>
      </c>
      <c r="Y140" s="2">
        <f>UPPER(TRIM(D140))</f>
        <v/>
      </c>
      <c r="Z140" s="2">
        <f>IFERROR(INDEX('7_3nf_product'!$B:$B,MATCH(Y140,'7_3nf_product'!$A:$A,0)),"NOT FOUND")</f>
        <v/>
      </c>
      <c r="AA140" s="2">
        <f>IFERROR(INDEX('7_3nf_product'!$C:$C,MATCH(Y140,'7_3nf_product'!$A:$A,0)),"NOT FOUND")</f>
        <v/>
      </c>
      <c r="AB140" s="2">
        <f>IFERROR(INDEX('7_3nf_product'!$D:$D,MATCH(Y140,'7_3nf_product'!$A:$A,0)),"NOT FOUND")</f>
        <v/>
      </c>
      <c r="AC140" s="6">
        <f>IFERROR(INDEX('7_3nf_product'!$E:$E,MATCH(Y140,'7_3nf_product'!$A:$A,0)),"NOT FOUND")</f>
        <v/>
      </c>
      <c r="AD140" s="33">
        <f>IF(LEN(TRIM(E140))=10,TRIM(E140),IF(LEN(TRIM(E140))=8,"00"&amp;TRIM(E140),"CHECK"))</f>
        <v/>
      </c>
      <c r="AE140" s="2">
        <f>IFERROR(INDEX('8_3nf_customer'!$C:$C,MATCH(AD140,'8_3nf_customer'!$B:$B,0)),"NOT FOUND")</f>
        <v/>
      </c>
      <c r="AF140" s="30">
        <f>IFERROR(INDEX('8_3nf_customer'!$D:$D,MATCH(AD140,'8_3nf_customer'!$B:$B,0)),"NOT FOUND")</f>
        <v/>
      </c>
      <c r="AG140" s="4">
        <f>IF(ISNUMBER(AF140),DATEDIF(AF140,L140,"y"),"NOT FOUND")</f>
        <v/>
      </c>
      <c r="AH140" s="2">
        <f>IFERROR(INDEX('8_3nf_customer'!$E:$E,MATCH(AD140,'8_3nf_customer'!$B:$B,0)),"NOT FOUND")</f>
        <v/>
      </c>
      <c r="AI140" s="30">
        <f>IF(_xlfn.MAXIFS('9_3nf_customer_history'!$B$2:$B$500,'9_3nf_customer_history'!$A$2:$A$500,AD140,'9_3nf_customer_history'!$B$2:$B$500,"&lt;="&amp;L140)=0,"NOT FOUND",_xlfn.MAXIFS('9_3nf_customer_history'!$B$2:$B$500,'9_3nf_customer_history'!$A$2:$A$500,AD140,'9_3nf_customer_history'!$B$2:$B$500,"&lt;="&amp;L140))</f>
        <v/>
      </c>
      <c r="AJ140" s="2">
        <f>IF(AI140="NOT FOUND","NOT FOUND",INDEX('9_3nf_customer_history'!$C:$C,SUMPRODUCT(('9_3nf_customer_history'!$A$2:$A$500=AD140)*('9_3nf_customer_history'!$B$2:$B$500=AI140)*ROW('9_3nf_customer_history'!$A$2:$A$500))))</f>
        <v/>
      </c>
      <c r="AK140" s="2">
        <f>IF(AI140="NOT FOUND","NOT FOUND",INDEX('9_3nf_customer_history'!$D:$D,SUMPRODUCT(('9_3nf_customer_history'!$A$2:$A$500=AD140)*('9_3nf_customer_history'!$B$2:$B$500=AI140)*ROW('9_3nf_customer_history'!$A$2:$A$500))))</f>
        <v/>
      </c>
      <c r="AL140" s="2">
        <f>UPPER(TRIM(H140))</f>
        <v/>
      </c>
      <c r="AM140" s="30">
        <f>IF(_xlfn.MAXIFS('10_ref_fx_rate'!$B$2:$B$2000,'10_ref_fx_rate'!$A$2:$A$2000,AL140,'10_ref_fx_rate'!$B$2:$B$2000,"&lt;="&amp;L140)=0,"NOT FOUND",_xlfn.MAXIFS('10_ref_fx_rate'!$B$2:$B$2000,'10_ref_fx_rate'!$A$2:$A$2000,AL140,'10_ref_fx_rate'!$B$2:$B$2000,"&lt;="&amp;L140))</f>
        <v/>
      </c>
      <c r="AN140" s="8">
        <f>IF(AM140="NOT FOUND","NOT FOUND",SUMIFS('10_ref_fx_rate'!$D$2:$D$2000,'10_ref_fx_rate'!$A$2:$A$2000,AL140,'10_ref_fx_rate'!$B$2:$B$2000,AM140))</f>
        <v/>
      </c>
      <c r="AO140" s="37">
        <f>IF(ISNUMBER(AN140),I140*AN140,"NOT FOUND")</f>
        <v/>
      </c>
      <c r="AP140" s="2">
        <f>UPPER(TRIM(J140))</f>
        <v/>
      </c>
      <c r="AQ140" s="2">
        <f>IF(AP140="","SELF-DIRECTED",IF(ISNUMBER(MATCH(AP140,'11_3nf_sales_person'!$A:$A,0)),IF(EXACT(AP140,J140),"OK","OK (auto-fixed)"),IF(ISNA(MATCH($A140,'12_sales_person_confirmation'!$A:$A,0)),"CONFIRM (not logged)",IF(INDEX('12_sales_person_confirmation'!$I:$I,MATCH($A140,'12_sales_person_confirmation'!$A:$A,0))="CONFIRMED","CONFIRMED ("&amp;LOWER(INDEX('12_sales_person_confirmation'!$E:$E,MATCH($A140,'12_sales_person_confirmation'!$A:$A,0)))&amp;")","PENDING CONFIRM"))))</f>
        <v/>
      </c>
      <c r="AR140" s="2">
        <f>IF(OR(AQ140="OK",AQ140="OK (auto-fixed)"),AP140,IF(LEFT(AQ140,9)="CONFIRMED",INDEX('12_sales_person_confirmation'!$F:$F,MATCH($A140,'12_sales_person_confirmation'!$A:$A,0)),""))</f>
        <v/>
      </c>
      <c r="AS140" s="2">
        <f>IF(AR140="","",INDEX('11_3nf_sales_person'!$B:$B,MATCH(AR140,'11_3nf_sales_person'!$A:$A,0)))</f>
        <v/>
      </c>
    </row>
    <row r="141">
      <c r="A141" s="2">
        <f>IF(ISBLANK('1_raw_log'!A141),"",'1_raw_log'!A141)</f>
        <v/>
      </c>
      <c r="B141" s="3">
        <f>IF(ISBLANK('1_raw_log'!B141),"",'1_raw_log'!B141)</f>
        <v/>
      </c>
      <c r="C141" s="2">
        <f>IF(ISBLANK('1_raw_log'!C141),"",'1_raw_log'!C141)</f>
        <v/>
      </c>
      <c r="D141" s="2">
        <f>IF(ISBLANK('1_raw_log'!D141),"",'1_raw_log'!D141)</f>
        <v/>
      </c>
      <c r="E141" s="4">
        <f>IF(ISBLANK('1_raw_log'!E141),"",'1_raw_log'!E141)</f>
        <v/>
      </c>
      <c r="F141" s="2">
        <f>IF(ISBLANK('1_raw_log'!F141),"",'1_raw_log'!F141)</f>
        <v/>
      </c>
      <c r="G141" s="2">
        <f>IF(ISBLANK('1_raw_log'!G141),"",'1_raw_log'!G141)</f>
        <v/>
      </c>
      <c r="H141" s="2">
        <f>IF(ISBLANK('1_raw_log'!H141),"",'1_raw_log'!H141)</f>
        <v/>
      </c>
      <c r="I141" s="7">
        <f>IF(ISBLANK('1_raw_log'!I141),"",'1_raw_log'!I141)</f>
        <v/>
      </c>
      <c r="J141" s="2">
        <f>IF(ISBLANK('1_raw_log'!J141),"",'1_raw_log'!J141)</f>
        <v/>
      </c>
      <c r="K141" s="2">
        <f>IF(ISBLANK('1_raw_log'!K141),"",'1_raw_log'!K141)</f>
        <v/>
      </c>
      <c r="L141" s="30">
        <f>INT(B141)</f>
        <v/>
      </c>
      <c r="M141" s="20">
        <f>ROUND(MOD(B141,1)*1440,0)/1440</f>
        <v/>
      </c>
      <c r="N141" s="4">
        <f>IFERROR(INDEX('3_ref_date'!$B:$B,MATCH(L141,'3_ref_date'!$A:$A,0)),"NOT FOUND")</f>
        <v/>
      </c>
      <c r="O141" s="2">
        <f>IFERROR(INDEX('3_ref_date'!$C:$C,MATCH(L141,'3_ref_date'!$A:$A,0)),"NOT FOUND")</f>
        <v/>
      </c>
      <c r="P141" s="4">
        <f>IFERROR(INDEX('3_ref_date'!$D:$D,MATCH(L141,'3_ref_date'!$A:$A,0)),"NOT FOUND")</f>
        <v/>
      </c>
      <c r="Q141" s="4">
        <f>IFERROR(INDEX('3_ref_date'!$E:$E,MATCH(L141,'3_ref_date'!$A:$A,0)),"NOT FOUND")</f>
        <v/>
      </c>
      <c r="R141" s="2">
        <f>IFERROR(INDEX('3_ref_date'!$F:$F,MATCH(L141,'3_ref_date'!$A:$A,0)),"NOT FOUND")</f>
        <v/>
      </c>
      <c r="S141" s="2">
        <f>IFERROR(INDEX('4_ref_time'!$D:$D,MATCH(ROUND(M141*1440,0),'4_ref_time'!$A:$A,0)),"NOT FOUND")</f>
        <v/>
      </c>
      <c r="T141" s="2">
        <f>UPPER(TRIM(C141))</f>
        <v/>
      </c>
      <c r="U141" s="30">
        <f>IF(_xlfn.MAXIFS('6_3nf_branch_history'!$B$2:$B$50,'6_3nf_branch_history'!$A$2:$A$50,T141,'6_3nf_branch_history'!$B$2:$B$50,"&lt;="&amp;L141)=0,"NOT FOUND",_xlfn.MAXIFS('6_3nf_branch_history'!$B$2:$B$50,'6_3nf_branch_history'!$A$2:$A$50,T141,'6_3nf_branch_history'!$B$2:$B$50,"&lt;="&amp;L141))</f>
        <v/>
      </c>
      <c r="V141" s="2">
        <f>IF(U141="NOT FOUND","NOT FOUND",INDEX('6_3nf_branch_history'!$C:$C,SUMPRODUCT(('6_3nf_branch_history'!$A$2:$A$50=T141)*('6_3nf_branch_history'!$B$2:$B$50=U141)*ROW('6_3nf_branch_history'!$A$2:$A$50))))</f>
        <v/>
      </c>
      <c r="W141" s="2">
        <f>IF(U141="NOT FOUND","NOT FOUND",INDEX('6_3nf_branch_history'!$D:$D,SUMPRODUCT(('6_3nf_branch_history'!$A$2:$A$50=T141)*('6_3nf_branch_history'!$B$2:$B$50=U141)*ROW('6_3nf_branch_history'!$A$2:$A$50))))</f>
        <v/>
      </c>
      <c r="X141" s="2">
        <f>IF(U141="NOT FOUND","NOT FOUND",INDEX('6_3nf_branch_history'!$E:$E,SUMPRODUCT(('6_3nf_branch_history'!$A$2:$A$50=T141)*('6_3nf_branch_history'!$B$2:$B$50=U141)*ROW('6_3nf_branch_history'!$A$2:$A$50))))</f>
        <v/>
      </c>
      <c r="Y141" s="2">
        <f>UPPER(TRIM(D141))</f>
        <v/>
      </c>
      <c r="Z141" s="2">
        <f>IFERROR(INDEX('7_3nf_product'!$B:$B,MATCH(Y141,'7_3nf_product'!$A:$A,0)),"NOT FOUND")</f>
        <v/>
      </c>
      <c r="AA141" s="2">
        <f>IFERROR(INDEX('7_3nf_product'!$C:$C,MATCH(Y141,'7_3nf_product'!$A:$A,0)),"NOT FOUND")</f>
        <v/>
      </c>
      <c r="AB141" s="2">
        <f>IFERROR(INDEX('7_3nf_product'!$D:$D,MATCH(Y141,'7_3nf_product'!$A:$A,0)),"NOT FOUND")</f>
        <v/>
      </c>
      <c r="AC141" s="6">
        <f>IFERROR(INDEX('7_3nf_product'!$E:$E,MATCH(Y141,'7_3nf_product'!$A:$A,0)),"NOT FOUND")</f>
        <v/>
      </c>
      <c r="AD141" s="33">
        <f>IF(LEN(TRIM(E141))=10,TRIM(E141),IF(LEN(TRIM(E141))=8,"00"&amp;TRIM(E141),"CHECK"))</f>
        <v/>
      </c>
      <c r="AE141" s="2">
        <f>IFERROR(INDEX('8_3nf_customer'!$C:$C,MATCH(AD141,'8_3nf_customer'!$B:$B,0)),"NOT FOUND")</f>
        <v/>
      </c>
      <c r="AF141" s="30">
        <f>IFERROR(INDEX('8_3nf_customer'!$D:$D,MATCH(AD141,'8_3nf_customer'!$B:$B,0)),"NOT FOUND")</f>
        <v/>
      </c>
      <c r="AG141" s="4">
        <f>IF(ISNUMBER(AF141),DATEDIF(AF141,L141,"y"),"NOT FOUND")</f>
        <v/>
      </c>
      <c r="AH141" s="2">
        <f>IFERROR(INDEX('8_3nf_customer'!$E:$E,MATCH(AD141,'8_3nf_customer'!$B:$B,0)),"NOT FOUND")</f>
        <v/>
      </c>
      <c r="AI141" s="30">
        <f>IF(_xlfn.MAXIFS('9_3nf_customer_history'!$B$2:$B$500,'9_3nf_customer_history'!$A$2:$A$500,AD141,'9_3nf_customer_history'!$B$2:$B$500,"&lt;="&amp;L141)=0,"NOT FOUND",_xlfn.MAXIFS('9_3nf_customer_history'!$B$2:$B$500,'9_3nf_customer_history'!$A$2:$A$500,AD141,'9_3nf_customer_history'!$B$2:$B$500,"&lt;="&amp;L141))</f>
        <v/>
      </c>
      <c r="AJ141" s="2">
        <f>IF(AI141="NOT FOUND","NOT FOUND",INDEX('9_3nf_customer_history'!$C:$C,SUMPRODUCT(('9_3nf_customer_history'!$A$2:$A$500=AD141)*('9_3nf_customer_history'!$B$2:$B$500=AI141)*ROW('9_3nf_customer_history'!$A$2:$A$500))))</f>
        <v/>
      </c>
      <c r="AK141" s="2">
        <f>IF(AI141="NOT FOUND","NOT FOUND",INDEX('9_3nf_customer_history'!$D:$D,SUMPRODUCT(('9_3nf_customer_history'!$A$2:$A$500=AD141)*('9_3nf_customer_history'!$B$2:$B$500=AI141)*ROW('9_3nf_customer_history'!$A$2:$A$500))))</f>
        <v/>
      </c>
      <c r="AL141" s="2">
        <f>UPPER(TRIM(H141))</f>
        <v/>
      </c>
      <c r="AM141" s="30">
        <f>IF(_xlfn.MAXIFS('10_ref_fx_rate'!$B$2:$B$2000,'10_ref_fx_rate'!$A$2:$A$2000,AL141,'10_ref_fx_rate'!$B$2:$B$2000,"&lt;="&amp;L141)=0,"NOT FOUND",_xlfn.MAXIFS('10_ref_fx_rate'!$B$2:$B$2000,'10_ref_fx_rate'!$A$2:$A$2000,AL141,'10_ref_fx_rate'!$B$2:$B$2000,"&lt;="&amp;L141))</f>
        <v/>
      </c>
      <c r="AN141" s="8">
        <f>IF(AM141="NOT FOUND","NOT FOUND",SUMIFS('10_ref_fx_rate'!$D$2:$D$2000,'10_ref_fx_rate'!$A$2:$A$2000,AL141,'10_ref_fx_rate'!$B$2:$B$2000,AM141))</f>
        <v/>
      </c>
      <c r="AO141" s="37">
        <f>IF(ISNUMBER(AN141),I141*AN141,"NOT FOUND")</f>
        <v/>
      </c>
      <c r="AP141" s="2">
        <f>UPPER(TRIM(J141))</f>
        <v/>
      </c>
      <c r="AQ141" s="2">
        <f>IF(AP141="","SELF-DIRECTED",IF(ISNUMBER(MATCH(AP141,'11_3nf_sales_person'!$A:$A,0)),IF(EXACT(AP141,J141),"OK","OK (auto-fixed)"),IF(ISNA(MATCH($A141,'12_sales_person_confirmation'!$A:$A,0)),"CONFIRM (not logged)",IF(INDEX('12_sales_person_confirmation'!$I:$I,MATCH($A141,'12_sales_person_confirmation'!$A:$A,0))="CONFIRMED","CONFIRMED ("&amp;LOWER(INDEX('12_sales_person_confirmation'!$E:$E,MATCH($A141,'12_sales_person_confirmation'!$A:$A,0)))&amp;")","PENDING CONFIRM"))))</f>
        <v/>
      </c>
      <c r="AR141" s="2">
        <f>IF(OR(AQ141="OK",AQ141="OK (auto-fixed)"),AP141,IF(LEFT(AQ141,9)="CONFIRMED",INDEX('12_sales_person_confirmation'!$F:$F,MATCH($A141,'12_sales_person_confirmation'!$A:$A,0)),""))</f>
        <v/>
      </c>
      <c r="AS141" s="2">
        <f>IF(AR141="","",INDEX('11_3nf_sales_person'!$B:$B,MATCH(AR141,'11_3nf_sales_person'!$A:$A,0)))</f>
        <v/>
      </c>
    </row>
    <row r="142">
      <c r="A142" s="2">
        <f>IF(ISBLANK('1_raw_log'!A142),"",'1_raw_log'!A142)</f>
        <v/>
      </c>
      <c r="B142" s="3">
        <f>IF(ISBLANK('1_raw_log'!B142),"",'1_raw_log'!B142)</f>
        <v/>
      </c>
      <c r="C142" s="2">
        <f>IF(ISBLANK('1_raw_log'!C142),"",'1_raw_log'!C142)</f>
        <v/>
      </c>
      <c r="D142" s="2">
        <f>IF(ISBLANK('1_raw_log'!D142),"",'1_raw_log'!D142)</f>
        <v/>
      </c>
      <c r="E142" s="4">
        <f>IF(ISBLANK('1_raw_log'!E142),"",'1_raw_log'!E142)</f>
        <v/>
      </c>
      <c r="F142" s="2">
        <f>IF(ISBLANK('1_raw_log'!F142),"",'1_raw_log'!F142)</f>
        <v/>
      </c>
      <c r="G142" s="2">
        <f>IF(ISBLANK('1_raw_log'!G142),"",'1_raw_log'!G142)</f>
        <v/>
      </c>
      <c r="H142" s="2">
        <f>IF(ISBLANK('1_raw_log'!H142),"",'1_raw_log'!H142)</f>
        <v/>
      </c>
      <c r="I142" s="7">
        <f>IF(ISBLANK('1_raw_log'!I142),"",'1_raw_log'!I142)</f>
        <v/>
      </c>
      <c r="J142" s="2">
        <f>IF(ISBLANK('1_raw_log'!J142),"",'1_raw_log'!J142)</f>
        <v/>
      </c>
      <c r="K142" s="2">
        <f>IF(ISBLANK('1_raw_log'!K142),"",'1_raw_log'!K142)</f>
        <v/>
      </c>
      <c r="L142" s="30">
        <f>INT(B142)</f>
        <v/>
      </c>
      <c r="M142" s="20">
        <f>ROUND(MOD(B142,1)*1440,0)/1440</f>
        <v/>
      </c>
      <c r="N142" s="4">
        <f>IFERROR(INDEX('3_ref_date'!$B:$B,MATCH(L142,'3_ref_date'!$A:$A,0)),"NOT FOUND")</f>
        <v/>
      </c>
      <c r="O142" s="2">
        <f>IFERROR(INDEX('3_ref_date'!$C:$C,MATCH(L142,'3_ref_date'!$A:$A,0)),"NOT FOUND")</f>
        <v/>
      </c>
      <c r="P142" s="4">
        <f>IFERROR(INDEX('3_ref_date'!$D:$D,MATCH(L142,'3_ref_date'!$A:$A,0)),"NOT FOUND")</f>
        <v/>
      </c>
      <c r="Q142" s="4">
        <f>IFERROR(INDEX('3_ref_date'!$E:$E,MATCH(L142,'3_ref_date'!$A:$A,0)),"NOT FOUND")</f>
        <v/>
      </c>
      <c r="R142" s="2">
        <f>IFERROR(INDEX('3_ref_date'!$F:$F,MATCH(L142,'3_ref_date'!$A:$A,0)),"NOT FOUND")</f>
        <v/>
      </c>
      <c r="S142" s="2">
        <f>IFERROR(INDEX('4_ref_time'!$D:$D,MATCH(ROUND(M142*1440,0),'4_ref_time'!$A:$A,0)),"NOT FOUND")</f>
        <v/>
      </c>
      <c r="T142" s="2">
        <f>UPPER(TRIM(C142))</f>
        <v/>
      </c>
      <c r="U142" s="30">
        <f>IF(_xlfn.MAXIFS('6_3nf_branch_history'!$B$2:$B$50,'6_3nf_branch_history'!$A$2:$A$50,T142,'6_3nf_branch_history'!$B$2:$B$50,"&lt;="&amp;L142)=0,"NOT FOUND",_xlfn.MAXIFS('6_3nf_branch_history'!$B$2:$B$50,'6_3nf_branch_history'!$A$2:$A$50,T142,'6_3nf_branch_history'!$B$2:$B$50,"&lt;="&amp;L142))</f>
        <v/>
      </c>
      <c r="V142" s="2">
        <f>IF(U142="NOT FOUND","NOT FOUND",INDEX('6_3nf_branch_history'!$C:$C,SUMPRODUCT(('6_3nf_branch_history'!$A$2:$A$50=T142)*('6_3nf_branch_history'!$B$2:$B$50=U142)*ROW('6_3nf_branch_history'!$A$2:$A$50))))</f>
        <v/>
      </c>
      <c r="W142" s="2">
        <f>IF(U142="NOT FOUND","NOT FOUND",INDEX('6_3nf_branch_history'!$D:$D,SUMPRODUCT(('6_3nf_branch_history'!$A$2:$A$50=T142)*('6_3nf_branch_history'!$B$2:$B$50=U142)*ROW('6_3nf_branch_history'!$A$2:$A$50))))</f>
        <v/>
      </c>
      <c r="X142" s="2">
        <f>IF(U142="NOT FOUND","NOT FOUND",INDEX('6_3nf_branch_history'!$E:$E,SUMPRODUCT(('6_3nf_branch_history'!$A$2:$A$50=T142)*('6_3nf_branch_history'!$B$2:$B$50=U142)*ROW('6_3nf_branch_history'!$A$2:$A$50))))</f>
        <v/>
      </c>
      <c r="Y142" s="2">
        <f>UPPER(TRIM(D142))</f>
        <v/>
      </c>
      <c r="Z142" s="2">
        <f>IFERROR(INDEX('7_3nf_product'!$B:$B,MATCH(Y142,'7_3nf_product'!$A:$A,0)),"NOT FOUND")</f>
        <v/>
      </c>
      <c r="AA142" s="2">
        <f>IFERROR(INDEX('7_3nf_product'!$C:$C,MATCH(Y142,'7_3nf_product'!$A:$A,0)),"NOT FOUND")</f>
        <v/>
      </c>
      <c r="AB142" s="2">
        <f>IFERROR(INDEX('7_3nf_product'!$D:$D,MATCH(Y142,'7_3nf_product'!$A:$A,0)),"NOT FOUND")</f>
        <v/>
      </c>
      <c r="AC142" s="6">
        <f>IFERROR(INDEX('7_3nf_product'!$E:$E,MATCH(Y142,'7_3nf_product'!$A:$A,0)),"NOT FOUND")</f>
        <v/>
      </c>
      <c r="AD142" s="33">
        <f>IF(LEN(TRIM(E142))=10,TRIM(E142),IF(LEN(TRIM(E142))=8,"00"&amp;TRIM(E142),"CHECK"))</f>
        <v/>
      </c>
      <c r="AE142" s="2">
        <f>IFERROR(INDEX('8_3nf_customer'!$C:$C,MATCH(AD142,'8_3nf_customer'!$B:$B,0)),"NOT FOUND")</f>
        <v/>
      </c>
      <c r="AF142" s="30">
        <f>IFERROR(INDEX('8_3nf_customer'!$D:$D,MATCH(AD142,'8_3nf_customer'!$B:$B,0)),"NOT FOUND")</f>
        <v/>
      </c>
      <c r="AG142" s="4">
        <f>IF(ISNUMBER(AF142),DATEDIF(AF142,L142,"y"),"NOT FOUND")</f>
        <v/>
      </c>
      <c r="AH142" s="2">
        <f>IFERROR(INDEX('8_3nf_customer'!$E:$E,MATCH(AD142,'8_3nf_customer'!$B:$B,0)),"NOT FOUND")</f>
        <v/>
      </c>
      <c r="AI142" s="30">
        <f>IF(_xlfn.MAXIFS('9_3nf_customer_history'!$B$2:$B$500,'9_3nf_customer_history'!$A$2:$A$500,AD142,'9_3nf_customer_history'!$B$2:$B$500,"&lt;="&amp;L142)=0,"NOT FOUND",_xlfn.MAXIFS('9_3nf_customer_history'!$B$2:$B$500,'9_3nf_customer_history'!$A$2:$A$500,AD142,'9_3nf_customer_history'!$B$2:$B$500,"&lt;="&amp;L142))</f>
        <v/>
      </c>
      <c r="AJ142" s="2">
        <f>IF(AI142="NOT FOUND","NOT FOUND",INDEX('9_3nf_customer_history'!$C:$C,SUMPRODUCT(('9_3nf_customer_history'!$A$2:$A$500=AD142)*('9_3nf_customer_history'!$B$2:$B$500=AI142)*ROW('9_3nf_customer_history'!$A$2:$A$500))))</f>
        <v/>
      </c>
      <c r="AK142" s="2">
        <f>IF(AI142="NOT FOUND","NOT FOUND",INDEX('9_3nf_customer_history'!$D:$D,SUMPRODUCT(('9_3nf_customer_history'!$A$2:$A$500=AD142)*('9_3nf_customer_history'!$B$2:$B$500=AI142)*ROW('9_3nf_customer_history'!$A$2:$A$500))))</f>
        <v/>
      </c>
      <c r="AL142" s="2">
        <f>UPPER(TRIM(H142))</f>
        <v/>
      </c>
      <c r="AM142" s="30">
        <f>IF(_xlfn.MAXIFS('10_ref_fx_rate'!$B$2:$B$2000,'10_ref_fx_rate'!$A$2:$A$2000,AL142,'10_ref_fx_rate'!$B$2:$B$2000,"&lt;="&amp;L142)=0,"NOT FOUND",_xlfn.MAXIFS('10_ref_fx_rate'!$B$2:$B$2000,'10_ref_fx_rate'!$A$2:$A$2000,AL142,'10_ref_fx_rate'!$B$2:$B$2000,"&lt;="&amp;L142))</f>
        <v/>
      </c>
      <c r="AN142" s="8">
        <f>IF(AM142="NOT FOUND","NOT FOUND",SUMIFS('10_ref_fx_rate'!$D$2:$D$2000,'10_ref_fx_rate'!$A$2:$A$2000,AL142,'10_ref_fx_rate'!$B$2:$B$2000,AM142))</f>
        <v/>
      </c>
      <c r="AO142" s="37">
        <f>IF(ISNUMBER(AN142),I142*AN142,"NOT FOUND")</f>
        <v/>
      </c>
      <c r="AP142" s="2">
        <f>UPPER(TRIM(J142))</f>
        <v/>
      </c>
      <c r="AQ142" s="2">
        <f>IF(AP142="","SELF-DIRECTED",IF(ISNUMBER(MATCH(AP142,'11_3nf_sales_person'!$A:$A,0)),IF(EXACT(AP142,J142),"OK","OK (auto-fixed)"),IF(ISNA(MATCH($A142,'12_sales_person_confirmation'!$A:$A,0)),"CONFIRM (not logged)",IF(INDEX('12_sales_person_confirmation'!$I:$I,MATCH($A142,'12_sales_person_confirmation'!$A:$A,0))="CONFIRMED","CONFIRMED ("&amp;LOWER(INDEX('12_sales_person_confirmation'!$E:$E,MATCH($A142,'12_sales_person_confirmation'!$A:$A,0)))&amp;")","PENDING CONFIRM"))))</f>
        <v/>
      </c>
      <c r="AR142" s="2">
        <f>IF(OR(AQ142="OK",AQ142="OK (auto-fixed)"),AP142,IF(LEFT(AQ142,9)="CONFIRMED",INDEX('12_sales_person_confirmation'!$F:$F,MATCH($A142,'12_sales_person_confirmation'!$A:$A,0)),""))</f>
        <v/>
      </c>
      <c r="AS142" s="2">
        <f>IF(AR142="","",INDEX('11_3nf_sales_person'!$B:$B,MATCH(AR142,'11_3nf_sales_person'!$A:$A,0)))</f>
        <v/>
      </c>
    </row>
    <row r="143">
      <c r="A143" s="2">
        <f>IF(ISBLANK('1_raw_log'!A143),"",'1_raw_log'!A143)</f>
        <v/>
      </c>
      <c r="B143" s="3">
        <f>IF(ISBLANK('1_raw_log'!B143),"",'1_raw_log'!B143)</f>
        <v/>
      </c>
      <c r="C143" s="2">
        <f>IF(ISBLANK('1_raw_log'!C143),"",'1_raw_log'!C143)</f>
        <v/>
      </c>
      <c r="D143" s="2">
        <f>IF(ISBLANK('1_raw_log'!D143),"",'1_raw_log'!D143)</f>
        <v/>
      </c>
      <c r="E143" s="4">
        <f>IF(ISBLANK('1_raw_log'!E143),"",'1_raw_log'!E143)</f>
        <v/>
      </c>
      <c r="F143" s="2">
        <f>IF(ISBLANK('1_raw_log'!F143),"",'1_raw_log'!F143)</f>
        <v/>
      </c>
      <c r="G143" s="2">
        <f>IF(ISBLANK('1_raw_log'!G143),"",'1_raw_log'!G143)</f>
        <v/>
      </c>
      <c r="H143" s="2">
        <f>IF(ISBLANK('1_raw_log'!H143),"",'1_raw_log'!H143)</f>
        <v/>
      </c>
      <c r="I143" s="7">
        <f>IF(ISBLANK('1_raw_log'!I143),"",'1_raw_log'!I143)</f>
        <v/>
      </c>
      <c r="J143" s="2">
        <f>IF(ISBLANK('1_raw_log'!J143),"",'1_raw_log'!J143)</f>
        <v/>
      </c>
      <c r="K143" s="2">
        <f>IF(ISBLANK('1_raw_log'!K143),"",'1_raw_log'!K143)</f>
        <v/>
      </c>
      <c r="L143" s="30">
        <f>INT(B143)</f>
        <v/>
      </c>
      <c r="M143" s="20">
        <f>ROUND(MOD(B143,1)*1440,0)/1440</f>
        <v/>
      </c>
      <c r="N143" s="4">
        <f>IFERROR(INDEX('3_ref_date'!$B:$B,MATCH(L143,'3_ref_date'!$A:$A,0)),"NOT FOUND")</f>
        <v/>
      </c>
      <c r="O143" s="2">
        <f>IFERROR(INDEX('3_ref_date'!$C:$C,MATCH(L143,'3_ref_date'!$A:$A,0)),"NOT FOUND")</f>
        <v/>
      </c>
      <c r="P143" s="4">
        <f>IFERROR(INDEX('3_ref_date'!$D:$D,MATCH(L143,'3_ref_date'!$A:$A,0)),"NOT FOUND")</f>
        <v/>
      </c>
      <c r="Q143" s="4">
        <f>IFERROR(INDEX('3_ref_date'!$E:$E,MATCH(L143,'3_ref_date'!$A:$A,0)),"NOT FOUND")</f>
        <v/>
      </c>
      <c r="R143" s="2">
        <f>IFERROR(INDEX('3_ref_date'!$F:$F,MATCH(L143,'3_ref_date'!$A:$A,0)),"NOT FOUND")</f>
        <v/>
      </c>
      <c r="S143" s="2">
        <f>IFERROR(INDEX('4_ref_time'!$D:$D,MATCH(ROUND(M143*1440,0),'4_ref_time'!$A:$A,0)),"NOT FOUND")</f>
        <v/>
      </c>
      <c r="T143" s="2">
        <f>UPPER(TRIM(C143))</f>
        <v/>
      </c>
      <c r="U143" s="30">
        <f>IF(_xlfn.MAXIFS('6_3nf_branch_history'!$B$2:$B$50,'6_3nf_branch_history'!$A$2:$A$50,T143,'6_3nf_branch_history'!$B$2:$B$50,"&lt;="&amp;L143)=0,"NOT FOUND",_xlfn.MAXIFS('6_3nf_branch_history'!$B$2:$B$50,'6_3nf_branch_history'!$A$2:$A$50,T143,'6_3nf_branch_history'!$B$2:$B$50,"&lt;="&amp;L143))</f>
        <v/>
      </c>
      <c r="V143" s="2">
        <f>IF(U143="NOT FOUND","NOT FOUND",INDEX('6_3nf_branch_history'!$C:$C,SUMPRODUCT(('6_3nf_branch_history'!$A$2:$A$50=T143)*('6_3nf_branch_history'!$B$2:$B$50=U143)*ROW('6_3nf_branch_history'!$A$2:$A$50))))</f>
        <v/>
      </c>
      <c r="W143" s="2">
        <f>IF(U143="NOT FOUND","NOT FOUND",INDEX('6_3nf_branch_history'!$D:$D,SUMPRODUCT(('6_3nf_branch_history'!$A$2:$A$50=T143)*('6_3nf_branch_history'!$B$2:$B$50=U143)*ROW('6_3nf_branch_history'!$A$2:$A$50))))</f>
        <v/>
      </c>
      <c r="X143" s="2">
        <f>IF(U143="NOT FOUND","NOT FOUND",INDEX('6_3nf_branch_history'!$E:$E,SUMPRODUCT(('6_3nf_branch_history'!$A$2:$A$50=T143)*('6_3nf_branch_history'!$B$2:$B$50=U143)*ROW('6_3nf_branch_history'!$A$2:$A$50))))</f>
        <v/>
      </c>
      <c r="Y143" s="2">
        <f>UPPER(TRIM(D143))</f>
        <v/>
      </c>
      <c r="Z143" s="2">
        <f>IFERROR(INDEX('7_3nf_product'!$B:$B,MATCH(Y143,'7_3nf_product'!$A:$A,0)),"NOT FOUND")</f>
        <v/>
      </c>
      <c r="AA143" s="2">
        <f>IFERROR(INDEX('7_3nf_product'!$C:$C,MATCH(Y143,'7_3nf_product'!$A:$A,0)),"NOT FOUND")</f>
        <v/>
      </c>
      <c r="AB143" s="2">
        <f>IFERROR(INDEX('7_3nf_product'!$D:$D,MATCH(Y143,'7_3nf_product'!$A:$A,0)),"NOT FOUND")</f>
        <v/>
      </c>
      <c r="AC143" s="6">
        <f>IFERROR(INDEX('7_3nf_product'!$E:$E,MATCH(Y143,'7_3nf_product'!$A:$A,0)),"NOT FOUND")</f>
        <v/>
      </c>
      <c r="AD143" s="33">
        <f>IF(LEN(TRIM(E143))=10,TRIM(E143),IF(LEN(TRIM(E143))=8,"00"&amp;TRIM(E143),"CHECK"))</f>
        <v/>
      </c>
      <c r="AE143" s="2">
        <f>IFERROR(INDEX('8_3nf_customer'!$C:$C,MATCH(AD143,'8_3nf_customer'!$B:$B,0)),"NOT FOUND")</f>
        <v/>
      </c>
      <c r="AF143" s="30">
        <f>IFERROR(INDEX('8_3nf_customer'!$D:$D,MATCH(AD143,'8_3nf_customer'!$B:$B,0)),"NOT FOUND")</f>
        <v/>
      </c>
      <c r="AG143" s="4">
        <f>IF(ISNUMBER(AF143),DATEDIF(AF143,L143,"y"),"NOT FOUND")</f>
        <v/>
      </c>
      <c r="AH143" s="2">
        <f>IFERROR(INDEX('8_3nf_customer'!$E:$E,MATCH(AD143,'8_3nf_customer'!$B:$B,0)),"NOT FOUND")</f>
        <v/>
      </c>
      <c r="AI143" s="30">
        <f>IF(_xlfn.MAXIFS('9_3nf_customer_history'!$B$2:$B$500,'9_3nf_customer_history'!$A$2:$A$500,AD143,'9_3nf_customer_history'!$B$2:$B$500,"&lt;="&amp;L143)=0,"NOT FOUND",_xlfn.MAXIFS('9_3nf_customer_history'!$B$2:$B$500,'9_3nf_customer_history'!$A$2:$A$500,AD143,'9_3nf_customer_history'!$B$2:$B$500,"&lt;="&amp;L143))</f>
        <v/>
      </c>
      <c r="AJ143" s="2">
        <f>IF(AI143="NOT FOUND","NOT FOUND",INDEX('9_3nf_customer_history'!$C:$C,SUMPRODUCT(('9_3nf_customer_history'!$A$2:$A$500=AD143)*('9_3nf_customer_history'!$B$2:$B$500=AI143)*ROW('9_3nf_customer_history'!$A$2:$A$500))))</f>
        <v/>
      </c>
      <c r="AK143" s="2">
        <f>IF(AI143="NOT FOUND","NOT FOUND",INDEX('9_3nf_customer_history'!$D:$D,SUMPRODUCT(('9_3nf_customer_history'!$A$2:$A$500=AD143)*('9_3nf_customer_history'!$B$2:$B$500=AI143)*ROW('9_3nf_customer_history'!$A$2:$A$500))))</f>
        <v/>
      </c>
      <c r="AL143" s="2">
        <f>UPPER(TRIM(H143))</f>
        <v/>
      </c>
      <c r="AM143" s="30">
        <f>IF(_xlfn.MAXIFS('10_ref_fx_rate'!$B$2:$B$2000,'10_ref_fx_rate'!$A$2:$A$2000,AL143,'10_ref_fx_rate'!$B$2:$B$2000,"&lt;="&amp;L143)=0,"NOT FOUND",_xlfn.MAXIFS('10_ref_fx_rate'!$B$2:$B$2000,'10_ref_fx_rate'!$A$2:$A$2000,AL143,'10_ref_fx_rate'!$B$2:$B$2000,"&lt;="&amp;L143))</f>
        <v/>
      </c>
      <c r="AN143" s="8">
        <f>IF(AM143="NOT FOUND","NOT FOUND",SUMIFS('10_ref_fx_rate'!$D$2:$D$2000,'10_ref_fx_rate'!$A$2:$A$2000,AL143,'10_ref_fx_rate'!$B$2:$B$2000,AM143))</f>
        <v/>
      </c>
      <c r="AO143" s="37">
        <f>IF(ISNUMBER(AN143),I143*AN143,"NOT FOUND")</f>
        <v/>
      </c>
      <c r="AP143" s="2">
        <f>UPPER(TRIM(J143))</f>
        <v/>
      </c>
      <c r="AQ143" s="2">
        <f>IF(AP143="","SELF-DIRECTED",IF(ISNUMBER(MATCH(AP143,'11_3nf_sales_person'!$A:$A,0)),IF(EXACT(AP143,J143),"OK","OK (auto-fixed)"),IF(ISNA(MATCH($A143,'12_sales_person_confirmation'!$A:$A,0)),"CONFIRM (not logged)",IF(INDEX('12_sales_person_confirmation'!$I:$I,MATCH($A143,'12_sales_person_confirmation'!$A:$A,0))="CONFIRMED","CONFIRMED ("&amp;LOWER(INDEX('12_sales_person_confirmation'!$E:$E,MATCH($A143,'12_sales_person_confirmation'!$A:$A,0)))&amp;")","PENDING CONFIRM"))))</f>
        <v/>
      </c>
      <c r="AR143" s="2">
        <f>IF(OR(AQ143="OK",AQ143="OK (auto-fixed)"),AP143,IF(LEFT(AQ143,9)="CONFIRMED",INDEX('12_sales_person_confirmation'!$F:$F,MATCH($A143,'12_sales_person_confirmation'!$A:$A,0)),""))</f>
        <v/>
      </c>
      <c r="AS143" s="2">
        <f>IF(AR143="","",INDEX('11_3nf_sales_person'!$B:$B,MATCH(AR143,'11_3nf_sales_person'!$A:$A,0)))</f>
        <v/>
      </c>
    </row>
    <row r="144">
      <c r="A144" s="2">
        <f>IF(ISBLANK('1_raw_log'!A144),"",'1_raw_log'!A144)</f>
        <v/>
      </c>
      <c r="B144" s="3">
        <f>IF(ISBLANK('1_raw_log'!B144),"",'1_raw_log'!B144)</f>
        <v/>
      </c>
      <c r="C144" s="2">
        <f>IF(ISBLANK('1_raw_log'!C144),"",'1_raw_log'!C144)</f>
        <v/>
      </c>
      <c r="D144" s="2">
        <f>IF(ISBLANK('1_raw_log'!D144),"",'1_raw_log'!D144)</f>
        <v/>
      </c>
      <c r="E144" s="4">
        <f>IF(ISBLANK('1_raw_log'!E144),"",'1_raw_log'!E144)</f>
        <v/>
      </c>
      <c r="F144" s="2">
        <f>IF(ISBLANK('1_raw_log'!F144),"",'1_raw_log'!F144)</f>
        <v/>
      </c>
      <c r="G144" s="2">
        <f>IF(ISBLANK('1_raw_log'!G144),"",'1_raw_log'!G144)</f>
        <v/>
      </c>
      <c r="H144" s="2">
        <f>IF(ISBLANK('1_raw_log'!H144),"",'1_raw_log'!H144)</f>
        <v/>
      </c>
      <c r="I144" s="7">
        <f>IF(ISBLANK('1_raw_log'!I144),"",'1_raw_log'!I144)</f>
        <v/>
      </c>
      <c r="J144" s="2">
        <f>IF(ISBLANK('1_raw_log'!J144),"",'1_raw_log'!J144)</f>
        <v/>
      </c>
      <c r="K144" s="2">
        <f>IF(ISBLANK('1_raw_log'!K144),"",'1_raw_log'!K144)</f>
        <v/>
      </c>
      <c r="L144" s="30">
        <f>INT(B144)</f>
        <v/>
      </c>
      <c r="M144" s="20">
        <f>ROUND(MOD(B144,1)*1440,0)/1440</f>
        <v/>
      </c>
      <c r="N144" s="4">
        <f>IFERROR(INDEX('3_ref_date'!$B:$B,MATCH(L144,'3_ref_date'!$A:$A,0)),"NOT FOUND")</f>
        <v/>
      </c>
      <c r="O144" s="2">
        <f>IFERROR(INDEX('3_ref_date'!$C:$C,MATCH(L144,'3_ref_date'!$A:$A,0)),"NOT FOUND")</f>
        <v/>
      </c>
      <c r="P144" s="4">
        <f>IFERROR(INDEX('3_ref_date'!$D:$D,MATCH(L144,'3_ref_date'!$A:$A,0)),"NOT FOUND")</f>
        <v/>
      </c>
      <c r="Q144" s="4">
        <f>IFERROR(INDEX('3_ref_date'!$E:$E,MATCH(L144,'3_ref_date'!$A:$A,0)),"NOT FOUND")</f>
        <v/>
      </c>
      <c r="R144" s="2">
        <f>IFERROR(INDEX('3_ref_date'!$F:$F,MATCH(L144,'3_ref_date'!$A:$A,0)),"NOT FOUND")</f>
        <v/>
      </c>
      <c r="S144" s="2">
        <f>IFERROR(INDEX('4_ref_time'!$D:$D,MATCH(ROUND(M144*1440,0),'4_ref_time'!$A:$A,0)),"NOT FOUND")</f>
        <v/>
      </c>
      <c r="T144" s="2">
        <f>UPPER(TRIM(C144))</f>
        <v/>
      </c>
      <c r="U144" s="30">
        <f>IF(_xlfn.MAXIFS('6_3nf_branch_history'!$B$2:$B$50,'6_3nf_branch_history'!$A$2:$A$50,T144,'6_3nf_branch_history'!$B$2:$B$50,"&lt;="&amp;L144)=0,"NOT FOUND",_xlfn.MAXIFS('6_3nf_branch_history'!$B$2:$B$50,'6_3nf_branch_history'!$A$2:$A$50,T144,'6_3nf_branch_history'!$B$2:$B$50,"&lt;="&amp;L144))</f>
        <v/>
      </c>
      <c r="V144" s="2">
        <f>IF(U144="NOT FOUND","NOT FOUND",INDEX('6_3nf_branch_history'!$C:$C,SUMPRODUCT(('6_3nf_branch_history'!$A$2:$A$50=T144)*('6_3nf_branch_history'!$B$2:$B$50=U144)*ROW('6_3nf_branch_history'!$A$2:$A$50))))</f>
        <v/>
      </c>
      <c r="W144" s="2">
        <f>IF(U144="NOT FOUND","NOT FOUND",INDEX('6_3nf_branch_history'!$D:$D,SUMPRODUCT(('6_3nf_branch_history'!$A$2:$A$50=T144)*('6_3nf_branch_history'!$B$2:$B$50=U144)*ROW('6_3nf_branch_history'!$A$2:$A$50))))</f>
        <v/>
      </c>
      <c r="X144" s="2">
        <f>IF(U144="NOT FOUND","NOT FOUND",INDEX('6_3nf_branch_history'!$E:$E,SUMPRODUCT(('6_3nf_branch_history'!$A$2:$A$50=T144)*('6_3nf_branch_history'!$B$2:$B$50=U144)*ROW('6_3nf_branch_history'!$A$2:$A$50))))</f>
        <v/>
      </c>
      <c r="Y144" s="2">
        <f>UPPER(TRIM(D144))</f>
        <v/>
      </c>
      <c r="Z144" s="2">
        <f>IFERROR(INDEX('7_3nf_product'!$B:$B,MATCH(Y144,'7_3nf_product'!$A:$A,0)),"NOT FOUND")</f>
        <v/>
      </c>
      <c r="AA144" s="2">
        <f>IFERROR(INDEX('7_3nf_product'!$C:$C,MATCH(Y144,'7_3nf_product'!$A:$A,0)),"NOT FOUND")</f>
        <v/>
      </c>
      <c r="AB144" s="2">
        <f>IFERROR(INDEX('7_3nf_product'!$D:$D,MATCH(Y144,'7_3nf_product'!$A:$A,0)),"NOT FOUND")</f>
        <v/>
      </c>
      <c r="AC144" s="6">
        <f>IFERROR(INDEX('7_3nf_product'!$E:$E,MATCH(Y144,'7_3nf_product'!$A:$A,0)),"NOT FOUND")</f>
        <v/>
      </c>
      <c r="AD144" s="33">
        <f>IF(LEN(TRIM(E144))=10,TRIM(E144),IF(LEN(TRIM(E144))=8,"00"&amp;TRIM(E144),"CHECK"))</f>
        <v/>
      </c>
      <c r="AE144" s="2">
        <f>IFERROR(INDEX('8_3nf_customer'!$C:$C,MATCH(AD144,'8_3nf_customer'!$B:$B,0)),"NOT FOUND")</f>
        <v/>
      </c>
      <c r="AF144" s="30">
        <f>IFERROR(INDEX('8_3nf_customer'!$D:$D,MATCH(AD144,'8_3nf_customer'!$B:$B,0)),"NOT FOUND")</f>
        <v/>
      </c>
      <c r="AG144" s="4">
        <f>IF(ISNUMBER(AF144),DATEDIF(AF144,L144,"y"),"NOT FOUND")</f>
        <v/>
      </c>
      <c r="AH144" s="2">
        <f>IFERROR(INDEX('8_3nf_customer'!$E:$E,MATCH(AD144,'8_3nf_customer'!$B:$B,0)),"NOT FOUND")</f>
        <v/>
      </c>
      <c r="AI144" s="30">
        <f>IF(_xlfn.MAXIFS('9_3nf_customer_history'!$B$2:$B$500,'9_3nf_customer_history'!$A$2:$A$500,AD144,'9_3nf_customer_history'!$B$2:$B$500,"&lt;="&amp;L144)=0,"NOT FOUND",_xlfn.MAXIFS('9_3nf_customer_history'!$B$2:$B$500,'9_3nf_customer_history'!$A$2:$A$500,AD144,'9_3nf_customer_history'!$B$2:$B$500,"&lt;="&amp;L144))</f>
        <v/>
      </c>
      <c r="AJ144" s="2">
        <f>IF(AI144="NOT FOUND","NOT FOUND",INDEX('9_3nf_customer_history'!$C:$C,SUMPRODUCT(('9_3nf_customer_history'!$A$2:$A$500=AD144)*('9_3nf_customer_history'!$B$2:$B$500=AI144)*ROW('9_3nf_customer_history'!$A$2:$A$500))))</f>
        <v/>
      </c>
      <c r="AK144" s="2">
        <f>IF(AI144="NOT FOUND","NOT FOUND",INDEX('9_3nf_customer_history'!$D:$D,SUMPRODUCT(('9_3nf_customer_history'!$A$2:$A$500=AD144)*('9_3nf_customer_history'!$B$2:$B$500=AI144)*ROW('9_3nf_customer_history'!$A$2:$A$500))))</f>
        <v/>
      </c>
      <c r="AL144" s="2">
        <f>UPPER(TRIM(H144))</f>
        <v/>
      </c>
      <c r="AM144" s="30">
        <f>IF(_xlfn.MAXIFS('10_ref_fx_rate'!$B$2:$B$2000,'10_ref_fx_rate'!$A$2:$A$2000,AL144,'10_ref_fx_rate'!$B$2:$B$2000,"&lt;="&amp;L144)=0,"NOT FOUND",_xlfn.MAXIFS('10_ref_fx_rate'!$B$2:$B$2000,'10_ref_fx_rate'!$A$2:$A$2000,AL144,'10_ref_fx_rate'!$B$2:$B$2000,"&lt;="&amp;L144))</f>
        <v/>
      </c>
      <c r="AN144" s="8">
        <f>IF(AM144="NOT FOUND","NOT FOUND",SUMIFS('10_ref_fx_rate'!$D$2:$D$2000,'10_ref_fx_rate'!$A$2:$A$2000,AL144,'10_ref_fx_rate'!$B$2:$B$2000,AM144))</f>
        <v/>
      </c>
      <c r="AO144" s="37">
        <f>IF(ISNUMBER(AN144),I144*AN144,"NOT FOUND")</f>
        <v/>
      </c>
      <c r="AP144" s="2">
        <f>UPPER(TRIM(J144))</f>
        <v/>
      </c>
      <c r="AQ144" s="2">
        <f>IF(AP144="","SELF-DIRECTED",IF(ISNUMBER(MATCH(AP144,'11_3nf_sales_person'!$A:$A,0)),IF(EXACT(AP144,J144),"OK","OK (auto-fixed)"),IF(ISNA(MATCH($A144,'12_sales_person_confirmation'!$A:$A,0)),"CONFIRM (not logged)",IF(INDEX('12_sales_person_confirmation'!$I:$I,MATCH($A144,'12_sales_person_confirmation'!$A:$A,0))="CONFIRMED","CONFIRMED ("&amp;LOWER(INDEX('12_sales_person_confirmation'!$E:$E,MATCH($A144,'12_sales_person_confirmation'!$A:$A,0)))&amp;")","PENDING CONFIRM"))))</f>
        <v/>
      </c>
      <c r="AR144" s="2">
        <f>IF(OR(AQ144="OK",AQ144="OK (auto-fixed)"),AP144,IF(LEFT(AQ144,9)="CONFIRMED",INDEX('12_sales_person_confirmation'!$F:$F,MATCH($A144,'12_sales_person_confirmation'!$A:$A,0)),""))</f>
        <v/>
      </c>
      <c r="AS144" s="2">
        <f>IF(AR144="","",INDEX('11_3nf_sales_person'!$B:$B,MATCH(AR144,'11_3nf_sales_person'!$A:$A,0)))</f>
        <v/>
      </c>
    </row>
    <row r="145">
      <c r="A145" s="2">
        <f>IF(ISBLANK('1_raw_log'!A145),"",'1_raw_log'!A145)</f>
        <v/>
      </c>
      <c r="B145" s="3">
        <f>IF(ISBLANK('1_raw_log'!B145),"",'1_raw_log'!B145)</f>
        <v/>
      </c>
      <c r="C145" s="2">
        <f>IF(ISBLANK('1_raw_log'!C145),"",'1_raw_log'!C145)</f>
        <v/>
      </c>
      <c r="D145" s="2">
        <f>IF(ISBLANK('1_raw_log'!D145),"",'1_raw_log'!D145)</f>
        <v/>
      </c>
      <c r="E145" s="4">
        <f>IF(ISBLANK('1_raw_log'!E145),"",'1_raw_log'!E145)</f>
        <v/>
      </c>
      <c r="F145" s="2">
        <f>IF(ISBLANK('1_raw_log'!F145),"",'1_raw_log'!F145)</f>
        <v/>
      </c>
      <c r="G145" s="2">
        <f>IF(ISBLANK('1_raw_log'!G145),"",'1_raw_log'!G145)</f>
        <v/>
      </c>
      <c r="H145" s="2">
        <f>IF(ISBLANK('1_raw_log'!H145),"",'1_raw_log'!H145)</f>
        <v/>
      </c>
      <c r="I145" s="7">
        <f>IF(ISBLANK('1_raw_log'!I145),"",'1_raw_log'!I145)</f>
        <v/>
      </c>
      <c r="J145" s="2">
        <f>IF(ISBLANK('1_raw_log'!J145),"",'1_raw_log'!J145)</f>
        <v/>
      </c>
      <c r="K145" s="2">
        <f>IF(ISBLANK('1_raw_log'!K145),"",'1_raw_log'!K145)</f>
        <v/>
      </c>
      <c r="L145" s="30">
        <f>INT(B145)</f>
        <v/>
      </c>
      <c r="M145" s="20">
        <f>ROUND(MOD(B145,1)*1440,0)/1440</f>
        <v/>
      </c>
      <c r="N145" s="4">
        <f>IFERROR(INDEX('3_ref_date'!$B:$B,MATCH(L145,'3_ref_date'!$A:$A,0)),"NOT FOUND")</f>
        <v/>
      </c>
      <c r="O145" s="2">
        <f>IFERROR(INDEX('3_ref_date'!$C:$C,MATCH(L145,'3_ref_date'!$A:$A,0)),"NOT FOUND")</f>
        <v/>
      </c>
      <c r="P145" s="4">
        <f>IFERROR(INDEX('3_ref_date'!$D:$D,MATCH(L145,'3_ref_date'!$A:$A,0)),"NOT FOUND")</f>
        <v/>
      </c>
      <c r="Q145" s="4">
        <f>IFERROR(INDEX('3_ref_date'!$E:$E,MATCH(L145,'3_ref_date'!$A:$A,0)),"NOT FOUND")</f>
        <v/>
      </c>
      <c r="R145" s="2">
        <f>IFERROR(INDEX('3_ref_date'!$F:$F,MATCH(L145,'3_ref_date'!$A:$A,0)),"NOT FOUND")</f>
        <v/>
      </c>
      <c r="S145" s="2">
        <f>IFERROR(INDEX('4_ref_time'!$D:$D,MATCH(ROUND(M145*1440,0),'4_ref_time'!$A:$A,0)),"NOT FOUND")</f>
        <v/>
      </c>
      <c r="T145" s="2">
        <f>UPPER(TRIM(C145))</f>
        <v/>
      </c>
      <c r="U145" s="30">
        <f>IF(_xlfn.MAXIFS('6_3nf_branch_history'!$B$2:$B$50,'6_3nf_branch_history'!$A$2:$A$50,T145,'6_3nf_branch_history'!$B$2:$B$50,"&lt;="&amp;L145)=0,"NOT FOUND",_xlfn.MAXIFS('6_3nf_branch_history'!$B$2:$B$50,'6_3nf_branch_history'!$A$2:$A$50,T145,'6_3nf_branch_history'!$B$2:$B$50,"&lt;="&amp;L145))</f>
        <v/>
      </c>
      <c r="V145" s="2">
        <f>IF(U145="NOT FOUND","NOT FOUND",INDEX('6_3nf_branch_history'!$C:$C,SUMPRODUCT(('6_3nf_branch_history'!$A$2:$A$50=T145)*('6_3nf_branch_history'!$B$2:$B$50=U145)*ROW('6_3nf_branch_history'!$A$2:$A$50))))</f>
        <v/>
      </c>
      <c r="W145" s="2">
        <f>IF(U145="NOT FOUND","NOT FOUND",INDEX('6_3nf_branch_history'!$D:$D,SUMPRODUCT(('6_3nf_branch_history'!$A$2:$A$50=T145)*('6_3nf_branch_history'!$B$2:$B$50=U145)*ROW('6_3nf_branch_history'!$A$2:$A$50))))</f>
        <v/>
      </c>
      <c r="X145" s="2">
        <f>IF(U145="NOT FOUND","NOT FOUND",INDEX('6_3nf_branch_history'!$E:$E,SUMPRODUCT(('6_3nf_branch_history'!$A$2:$A$50=T145)*('6_3nf_branch_history'!$B$2:$B$50=U145)*ROW('6_3nf_branch_history'!$A$2:$A$50))))</f>
        <v/>
      </c>
      <c r="Y145" s="2">
        <f>UPPER(TRIM(D145))</f>
        <v/>
      </c>
      <c r="Z145" s="2">
        <f>IFERROR(INDEX('7_3nf_product'!$B:$B,MATCH(Y145,'7_3nf_product'!$A:$A,0)),"NOT FOUND")</f>
        <v/>
      </c>
      <c r="AA145" s="2">
        <f>IFERROR(INDEX('7_3nf_product'!$C:$C,MATCH(Y145,'7_3nf_product'!$A:$A,0)),"NOT FOUND")</f>
        <v/>
      </c>
      <c r="AB145" s="2">
        <f>IFERROR(INDEX('7_3nf_product'!$D:$D,MATCH(Y145,'7_3nf_product'!$A:$A,0)),"NOT FOUND")</f>
        <v/>
      </c>
      <c r="AC145" s="6">
        <f>IFERROR(INDEX('7_3nf_product'!$E:$E,MATCH(Y145,'7_3nf_product'!$A:$A,0)),"NOT FOUND")</f>
        <v/>
      </c>
      <c r="AD145" s="33">
        <f>IF(LEN(TRIM(E145))=10,TRIM(E145),IF(LEN(TRIM(E145))=8,"00"&amp;TRIM(E145),"CHECK"))</f>
        <v/>
      </c>
      <c r="AE145" s="2">
        <f>IFERROR(INDEX('8_3nf_customer'!$C:$C,MATCH(AD145,'8_3nf_customer'!$B:$B,0)),"NOT FOUND")</f>
        <v/>
      </c>
      <c r="AF145" s="30">
        <f>IFERROR(INDEX('8_3nf_customer'!$D:$D,MATCH(AD145,'8_3nf_customer'!$B:$B,0)),"NOT FOUND")</f>
        <v/>
      </c>
      <c r="AG145" s="4">
        <f>IF(ISNUMBER(AF145),DATEDIF(AF145,L145,"y"),"NOT FOUND")</f>
        <v/>
      </c>
      <c r="AH145" s="2">
        <f>IFERROR(INDEX('8_3nf_customer'!$E:$E,MATCH(AD145,'8_3nf_customer'!$B:$B,0)),"NOT FOUND")</f>
        <v/>
      </c>
      <c r="AI145" s="30">
        <f>IF(_xlfn.MAXIFS('9_3nf_customer_history'!$B$2:$B$500,'9_3nf_customer_history'!$A$2:$A$500,AD145,'9_3nf_customer_history'!$B$2:$B$500,"&lt;="&amp;L145)=0,"NOT FOUND",_xlfn.MAXIFS('9_3nf_customer_history'!$B$2:$B$500,'9_3nf_customer_history'!$A$2:$A$500,AD145,'9_3nf_customer_history'!$B$2:$B$500,"&lt;="&amp;L145))</f>
        <v/>
      </c>
      <c r="AJ145" s="2">
        <f>IF(AI145="NOT FOUND","NOT FOUND",INDEX('9_3nf_customer_history'!$C:$C,SUMPRODUCT(('9_3nf_customer_history'!$A$2:$A$500=AD145)*('9_3nf_customer_history'!$B$2:$B$500=AI145)*ROW('9_3nf_customer_history'!$A$2:$A$500))))</f>
        <v/>
      </c>
      <c r="AK145" s="2">
        <f>IF(AI145="NOT FOUND","NOT FOUND",INDEX('9_3nf_customer_history'!$D:$D,SUMPRODUCT(('9_3nf_customer_history'!$A$2:$A$500=AD145)*('9_3nf_customer_history'!$B$2:$B$500=AI145)*ROW('9_3nf_customer_history'!$A$2:$A$500))))</f>
        <v/>
      </c>
      <c r="AL145" s="2">
        <f>UPPER(TRIM(H145))</f>
        <v/>
      </c>
      <c r="AM145" s="30">
        <f>IF(_xlfn.MAXIFS('10_ref_fx_rate'!$B$2:$B$2000,'10_ref_fx_rate'!$A$2:$A$2000,AL145,'10_ref_fx_rate'!$B$2:$B$2000,"&lt;="&amp;L145)=0,"NOT FOUND",_xlfn.MAXIFS('10_ref_fx_rate'!$B$2:$B$2000,'10_ref_fx_rate'!$A$2:$A$2000,AL145,'10_ref_fx_rate'!$B$2:$B$2000,"&lt;="&amp;L145))</f>
        <v/>
      </c>
      <c r="AN145" s="8">
        <f>IF(AM145="NOT FOUND","NOT FOUND",SUMIFS('10_ref_fx_rate'!$D$2:$D$2000,'10_ref_fx_rate'!$A$2:$A$2000,AL145,'10_ref_fx_rate'!$B$2:$B$2000,AM145))</f>
        <v/>
      </c>
      <c r="AO145" s="37">
        <f>IF(ISNUMBER(AN145),I145*AN145,"NOT FOUND")</f>
        <v/>
      </c>
      <c r="AP145" s="2">
        <f>UPPER(TRIM(J145))</f>
        <v/>
      </c>
      <c r="AQ145" s="2">
        <f>IF(AP145="","SELF-DIRECTED",IF(ISNUMBER(MATCH(AP145,'11_3nf_sales_person'!$A:$A,0)),IF(EXACT(AP145,J145),"OK","OK (auto-fixed)"),IF(ISNA(MATCH($A145,'12_sales_person_confirmation'!$A:$A,0)),"CONFIRM (not logged)",IF(INDEX('12_sales_person_confirmation'!$I:$I,MATCH($A145,'12_sales_person_confirmation'!$A:$A,0))="CONFIRMED","CONFIRMED ("&amp;LOWER(INDEX('12_sales_person_confirmation'!$E:$E,MATCH($A145,'12_sales_person_confirmation'!$A:$A,0)))&amp;")","PENDING CONFIRM"))))</f>
        <v/>
      </c>
      <c r="AR145" s="2">
        <f>IF(OR(AQ145="OK",AQ145="OK (auto-fixed)"),AP145,IF(LEFT(AQ145,9)="CONFIRMED",INDEX('12_sales_person_confirmation'!$F:$F,MATCH($A145,'12_sales_person_confirmation'!$A:$A,0)),""))</f>
        <v/>
      </c>
      <c r="AS145" s="2">
        <f>IF(AR145="","",INDEX('11_3nf_sales_person'!$B:$B,MATCH(AR145,'11_3nf_sales_person'!$A:$A,0)))</f>
        <v/>
      </c>
    </row>
    <row r="146">
      <c r="A146" s="2">
        <f>IF(ISBLANK('1_raw_log'!A146),"",'1_raw_log'!A146)</f>
        <v/>
      </c>
      <c r="B146" s="3">
        <f>IF(ISBLANK('1_raw_log'!B146),"",'1_raw_log'!B146)</f>
        <v/>
      </c>
      <c r="C146" s="2">
        <f>IF(ISBLANK('1_raw_log'!C146),"",'1_raw_log'!C146)</f>
        <v/>
      </c>
      <c r="D146" s="2">
        <f>IF(ISBLANK('1_raw_log'!D146),"",'1_raw_log'!D146)</f>
        <v/>
      </c>
      <c r="E146" s="4">
        <f>IF(ISBLANK('1_raw_log'!E146),"",'1_raw_log'!E146)</f>
        <v/>
      </c>
      <c r="F146" s="2">
        <f>IF(ISBLANK('1_raw_log'!F146),"",'1_raw_log'!F146)</f>
        <v/>
      </c>
      <c r="G146" s="2">
        <f>IF(ISBLANK('1_raw_log'!G146),"",'1_raw_log'!G146)</f>
        <v/>
      </c>
      <c r="H146" s="2">
        <f>IF(ISBLANK('1_raw_log'!H146),"",'1_raw_log'!H146)</f>
        <v/>
      </c>
      <c r="I146" s="7">
        <f>IF(ISBLANK('1_raw_log'!I146),"",'1_raw_log'!I146)</f>
        <v/>
      </c>
      <c r="J146" s="2">
        <f>IF(ISBLANK('1_raw_log'!J146),"",'1_raw_log'!J146)</f>
        <v/>
      </c>
      <c r="K146" s="2">
        <f>IF(ISBLANK('1_raw_log'!K146),"",'1_raw_log'!K146)</f>
        <v/>
      </c>
      <c r="L146" s="30">
        <f>INT(B146)</f>
        <v/>
      </c>
      <c r="M146" s="20">
        <f>ROUND(MOD(B146,1)*1440,0)/1440</f>
        <v/>
      </c>
      <c r="N146" s="4">
        <f>IFERROR(INDEX('3_ref_date'!$B:$B,MATCH(L146,'3_ref_date'!$A:$A,0)),"NOT FOUND")</f>
        <v/>
      </c>
      <c r="O146" s="2">
        <f>IFERROR(INDEX('3_ref_date'!$C:$C,MATCH(L146,'3_ref_date'!$A:$A,0)),"NOT FOUND")</f>
        <v/>
      </c>
      <c r="P146" s="4">
        <f>IFERROR(INDEX('3_ref_date'!$D:$D,MATCH(L146,'3_ref_date'!$A:$A,0)),"NOT FOUND")</f>
        <v/>
      </c>
      <c r="Q146" s="4">
        <f>IFERROR(INDEX('3_ref_date'!$E:$E,MATCH(L146,'3_ref_date'!$A:$A,0)),"NOT FOUND")</f>
        <v/>
      </c>
      <c r="R146" s="2">
        <f>IFERROR(INDEX('3_ref_date'!$F:$F,MATCH(L146,'3_ref_date'!$A:$A,0)),"NOT FOUND")</f>
        <v/>
      </c>
      <c r="S146" s="2">
        <f>IFERROR(INDEX('4_ref_time'!$D:$D,MATCH(ROUND(M146*1440,0),'4_ref_time'!$A:$A,0)),"NOT FOUND")</f>
        <v/>
      </c>
      <c r="T146" s="2">
        <f>UPPER(TRIM(C146))</f>
        <v/>
      </c>
      <c r="U146" s="30">
        <f>IF(_xlfn.MAXIFS('6_3nf_branch_history'!$B$2:$B$50,'6_3nf_branch_history'!$A$2:$A$50,T146,'6_3nf_branch_history'!$B$2:$B$50,"&lt;="&amp;L146)=0,"NOT FOUND",_xlfn.MAXIFS('6_3nf_branch_history'!$B$2:$B$50,'6_3nf_branch_history'!$A$2:$A$50,T146,'6_3nf_branch_history'!$B$2:$B$50,"&lt;="&amp;L146))</f>
        <v/>
      </c>
      <c r="V146" s="2">
        <f>IF(U146="NOT FOUND","NOT FOUND",INDEX('6_3nf_branch_history'!$C:$C,SUMPRODUCT(('6_3nf_branch_history'!$A$2:$A$50=T146)*('6_3nf_branch_history'!$B$2:$B$50=U146)*ROW('6_3nf_branch_history'!$A$2:$A$50))))</f>
        <v/>
      </c>
      <c r="W146" s="2">
        <f>IF(U146="NOT FOUND","NOT FOUND",INDEX('6_3nf_branch_history'!$D:$D,SUMPRODUCT(('6_3nf_branch_history'!$A$2:$A$50=T146)*('6_3nf_branch_history'!$B$2:$B$50=U146)*ROW('6_3nf_branch_history'!$A$2:$A$50))))</f>
        <v/>
      </c>
      <c r="X146" s="2">
        <f>IF(U146="NOT FOUND","NOT FOUND",INDEX('6_3nf_branch_history'!$E:$E,SUMPRODUCT(('6_3nf_branch_history'!$A$2:$A$50=T146)*('6_3nf_branch_history'!$B$2:$B$50=U146)*ROW('6_3nf_branch_history'!$A$2:$A$50))))</f>
        <v/>
      </c>
      <c r="Y146" s="2">
        <f>UPPER(TRIM(D146))</f>
        <v/>
      </c>
      <c r="Z146" s="2">
        <f>IFERROR(INDEX('7_3nf_product'!$B:$B,MATCH(Y146,'7_3nf_product'!$A:$A,0)),"NOT FOUND")</f>
        <v/>
      </c>
      <c r="AA146" s="2">
        <f>IFERROR(INDEX('7_3nf_product'!$C:$C,MATCH(Y146,'7_3nf_product'!$A:$A,0)),"NOT FOUND")</f>
        <v/>
      </c>
      <c r="AB146" s="2">
        <f>IFERROR(INDEX('7_3nf_product'!$D:$D,MATCH(Y146,'7_3nf_product'!$A:$A,0)),"NOT FOUND")</f>
        <v/>
      </c>
      <c r="AC146" s="6">
        <f>IFERROR(INDEX('7_3nf_product'!$E:$E,MATCH(Y146,'7_3nf_product'!$A:$A,0)),"NOT FOUND")</f>
        <v/>
      </c>
      <c r="AD146" s="33">
        <f>IF(LEN(TRIM(E146))=10,TRIM(E146),IF(LEN(TRIM(E146))=8,"00"&amp;TRIM(E146),"CHECK"))</f>
        <v/>
      </c>
      <c r="AE146" s="2">
        <f>IFERROR(INDEX('8_3nf_customer'!$C:$C,MATCH(AD146,'8_3nf_customer'!$B:$B,0)),"NOT FOUND")</f>
        <v/>
      </c>
      <c r="AF146" s="30">
        <f>IFERROR(INDEX('8_3nf_customer'!$D:$D,MATCH(AD146,'8_3nf_customer'!$B:$B,0)),"NOT FOUND")</f>
        <v/>
      </c>
      <c r="AG146" s="4">
        <f>IF(ISNUMBER(AF146),DATEDIF(AF146,L146,"y"),"NOT FOUND")</f>
        <v/>
      </c>
      <c r="AH146" s="2">
        <f>IFERROR(INDEX('8_3nf_customer'!$E:$E,MATCH(AD146,'8_3nf_customer'!$B:$B,0)),"NOT FOUND")</f>
        <v/>
      </c>
      <c r="AI146" s="30">
        <f>IF(_xlfn.MAXIFS('9_3nf_customer_history'!$B$2:$B$500,'9_3nf_customer_history'!$A$2:$A$500,AD146,'9_3nf_customer_history'!$B$2:$B$500,"&lt;="&amp;L146)=0,"NOT FOUND",_xlfn.MAXIFS('9_3nf_customer_history'!$B$2:$B$500,'9_3nf_customer_history'!$A$2:$A$500,AD146,'9_3nf_customer_history'!$B$2:$B$500,"&lt;="&amp;L146))</f>
        <v/>
      </c>
      <c r="AJ146" s="2">
        <f>IF(AI146="NOT FOUND","NOT FOUND",INDEX('9_3nf_customer_history'!$C:$C,SUMPRODUCT(('9_3nf_customer_history'!$A$2:$A$500=AD146)*('9_3nf_customer_history'!$B$2:$B$500=AI146)*ROW('9_3nf_customer_history'!$A$2:$A$500))))</f>
        <v/>
      </c>
      <c r="AK146" s="2">
        <f>IF(AI146="NOT FOUND","NOT FOUND",INDEX('9_3nf_customer_history'!$D:$D,SUMPRODUCT(('9_3nf_customer_history'!$A$2:$A$500=AD146)*('9_3nf_customer_history'!$B$2:$B$500=AI146)*ROW('9_3nf_customer_history'!$A$2:$A$500))))</f>
        <v/>
      </c>
      <c r="AL146" s="2">
        <f>UPPER(TRIM(H146))</f>
        <v/>
      </c>
      <c r="AM146" s="30">
        <f>IF(_xlfn.MAXIFS('10_ref_fx_rate'!$B$2:$B$2000,'10_ref_fx_rate'!$A$2:$A$2000,AL146,'10_ref_fx_rate'!$B$2:$B$2000,"&lt;="&amp;L146)=0,"NOT FOUND",_xlfn.MAXIFS('10_ref_fx_rate'!$B$2:$B$2000,'10_ref_fx_rate'!$A$2:$A$2000,AL146,'10_ref_fx_rate'!$B$2:$B$2000,"&lt;="&amp;L146))</f>
        <v/>
      </c>
      <c r="AN146" s="8">
        <f>IF(AM146="NOT FOUND","NOT FOUND",SUMIFS('10_ref_fx_rate'!$D$2:$D$2000,'10_ref_fx_rate'!$A$2:$A$2000,AL146,'10_ref_fx_rate'!$B$2:$B$2000,AM146))</f>
        <v/>
      </c>
      <c r="AO146" s="37">
        <f>IF(ISNUMBER(AN146),I146*AN146,"NOT FOUND")</f>
        <v/>
      </c>
      <c r="AP146" s="2">
        <f>UPPER(TRIM(J146))</f>
        <v/>
      </c>
      <c r="AQ146" s="2">
        <f>IF(AP146="","SELF-DIRECTED",IF(ISNUMBER(MATCH(AP146,'11_3nf_sales_person'!$A:$A,0)),IF(EXACT(AP146,J146),"OK","OK (auto-fixed)"),IF(ISNA(MATCH($A146,'12_sales_person_confirmation'!$A:$A,0)),"CONFIRM (not logged)",IF(INDEX('12_sales_person_confirmation'!$I:$I,MATCH($A146,'12_sales_person_confirmation'!$A:$A,0))="CONFIRMED","CONFIRMED ("&amp;LOWER(INDEX('12_sales_person_confirmation'!$E:$E,MATCH($A146,'12_sales_person_confirmation'!$A:$A,0)))&amp;")","PENDING CONFIRM"))))</f>
        <v/>
      </c>
      <c r="AR146" s="2">
        <f>IF(OR(AQ146="OK",AQ146="OK (auto-fixed)"),AP146,IF(LEFT(AQ146,9)="CONFIRMED",INDEX('12_sales_person_confirmation'!$F:$F,MATCH($A146,'12_sales_person_confirmation'!$A:$A,0)),""))</f>
        <v/>
      </c>
      <c r="AS146" s="2">
        <f>IF(AR146="","",INDEX('11_3nf_sales_person'!$B:$B,MATCH(AR146,'11_3nf_sales_person'!$A:$A,0)))</f>
        <v/>
      </c>
    </row>
    <row r="147">
      <c r="A147" s="2">
        <f>IF(ISBLANK('1_raw_log'!A147),"",'1_raw_log'!A147)</f>
        <v/>
      </c>
      <c r="B147" s="3">
        <f>IF(ISBLANK('1_raw_log'!B147),"",'1_raw_log'!B147)</f>
        <v/>
      </c>
      <c r="C147" s="2">
        <f>IF(ISBLANK('1_raw_log'!C147),"",'1_raw_log'!C147)</f>
        <v/>
      </c>
      <c r="D147" s="2">
        <f>IF(ISBLANK('1_raw_log'!D147),"",'1_raw_log'!D147)</f>
        <v/>
      </c>
      <c r="E147" s="4">
        <f>IF(ISBLANK('1_raw_log'!E147),"",'1_raw_log'!E147)</f>
        <v/>
      </c>
      <c r="F147" s="2">
        <f>IF(ISBLANK('1_raw_log'!F147),"",'1_raw_log'!F147)</f>
        <v/>
      </c>
      <c r="G147" s="2">
        <f>IF(ISBLANK('1_raw_log'!G147),"",'1_raw_log'!G147)</f>
        <v/>
      </c>
      <c r="H147" s="2">
        <f>IF(ISBLANK('1_raw_log'!H147),"",'1_raw_log'!H147)</f>
        <v/>
      </c>
      <c r="I147" s="7">
        <f>IF(ISBLANK('1_raw_log'!I147),"",'1_raw_log'!I147)</f>
        <v/>
      </c>
      <c r="J147" s="2">
        <f>IF(ISBLANK('1_raw_log'!J147),"",'1_raw_log'!J147)</f>
        <v/>
      </c>
      <c r="K147" s="2">
        <f>IF(ISBLANK('1_raw_log'!K147),"",'1_raw_log'!K147)</f>
        <v/>
      </c>
      <c r="L147" s="30">
        <f>INT(B147)</f>
        <v/>
      </c>
      <c r="M147" s="20">
        <f>ROUND(MOD(B147,1)*1440,0)/1440</f>
        <v/>
      </c>
      <c r="N147" s="4">
        <f>IFERROR(INDEX('3_ref_date'!$B:$B,MATCH(L147,'3_ref_date'!$A:$A,0)),"NOT FOUND")</f>
        <v/>
      </c>
      <c r="O147" s="2">
        <f>IFERROR(INDEX('3_ref_date'!$C:$C,MATCH(L147,'3_ref_date'!$A:$A,0)),"NOT FOUND")</f>
        <v/>
      </c>
      <c r="P147" s="4">
        <f>IFERROR(INDEX('3_ref_date'!$D:$D,MATCH(L147,'3_ref_date'!$A:$A,0)),"NOT FOUND")</f>
        <v/>
      </c>
      <c r="Q147" s="4">
        <f>IFERROR(INDEX('3_ref_date'!$E:$E,MATCH(L147,'3_ref_date'!$A:$A,0)),"NOT FOUND")</f>
        <v/>
      </c>
      <c r="R147" s="2">
        <f>IFERROR(INDEX('3_ref_date'!$F:$F,MATCH(L147,'3_ref_date'!$A:$A,0)),"NOT FOUND")</f>
        <v/>
      </c>
      <c r="S147" s="2">
        <f>IFERROR(INDEX('4_ref_time'!$D:$D,MATCH(ROUND(M147*1440,0),'4_ref_time'!$A:$A,0)),"NOT FOUND")</f>
        <v/>
      </c>
      <c r="T147" s="2">
        <f>UPPER(TRIM(C147))</f>
        <v/>
      </c>
      <c r="U147" s="30">
        <f>IF(_xlfn.MAXIFS('6_3nf_branch_history'!$B$2:$B$50,'6_3nf_branch_history'!$A$2:$A$50,T147,'6_3nf_branch_history'!$B$2:$B$50,"&lt;="&amp;L147)=0,"NOT FOUND",_xlfn.MAXIFS('6_3nf_branch_history'!$B$2:$B$50,'6_3nf_branch_history'!$A$2:$A$50,T147,'6_3nf_branch_history'!$B$2:$B$50,"&lt;="&amp;L147))</f>
        <v/>
      </c>
      <c r="V147" s="2">
        <f>IF(U147="NOT FOUND","NOT FOUND",INDEX('6_3nf_branch_history'!$C:$C,SUMPRODUCT(('6_3nf_branch_history'!$A$2:$A$50=T147)*('6_3nf_branch_history'!$B$2:$B$50=U147)*ROW('6_3nf_branch_history'!$A$2:$A$50))))</f>
        <v/>
      </c>
      <c r="W147" s="2">
        <f>IF(U147="NOT FOUND","NOT FOUND",INDEX('6_3nf_branch_history'!$D:$D,SUMPRODUCT(('6_3nf_branch_history'!$A$2:$A$50=T147)*('6_3nf_branch_history'!$B$2:$B$50=U147)*ROW('6_3nf_branch_history'!$A$2:$A$50))))</f>
        <v/>
      </c>
      <c r="X147" s="2">
        <f>IF(U147="NOT FOUND","NOT FOUND",INDEX('6_3nf_branch_history'!$E:$E,SUMPRODUCT(('6_3nf_branch_history'!$A$2:$A$50=T147)*('6_3nf_branch_history'!$B$2:$B$50=U147)*ROW('6_3nf_branch_history'!$A$2:$A$50))))</f>
        <v/>
      </c>
      <c r="Y147" s="2">
        <f>UPPER(TRIM(D147))</f>
        <v/>
      </c>
      <c r="Z147" s="2">
        <f>IFERROR(INDEX('7_3nf_product'!$B:$B,MATCH(Y147,'7_3nf_product'!$A:$A,0)),"NOT FOUND")</f>
        <v/>
      </c>
      <c r="AA147" s="2">
        <f>IFERROR(INDEX('7_3nf_product'!$C:$C,MATCH(Y147,'7_3nf_product'!$A:$A,0)),"NOT FOUND")</f>
        <v/>
      </c>
      <c r="AB147" s="2">
        <f>IFERROR(INDEX('7_3nf_product'!$D:$D,MATCH(Y147,'7_3nf_product'!$A:$A,0)),"NOT FOUND")</f>
        <v/>
      </c>
      <c r="AC147" s="6">
        <f>IFERROR(INDEX('7_3nf_product'!$E:$E,MATCH(Y147,'7_3nf_product'!$A:$A,0)),"NOT FOUND")</f>
        <v/>
      </c>
      <c r="AD147" s="33">
        <f>IF(LEN(TRIM(E147))=10,TRIM(E147),IF(LEN(TRIM(E147))=8,"00"&amp;TRIM(E147),"CHECK"))</f>
        <v/>
      </c>
      <c r="AE147" s="2">
        <f>IFERROR(INDEX('8_3nf_customer'!$C:$C,MATCH(AD147,'8_3nf_customer'!$B:$B,0)),"NOT FOUND")</f>
        <v/>
      </c>
      <c r="AF147" s="30">
        <f>IFERROR(INDEX('8_3nf_customer'!$D:$D,MATCH(AD147,'8_3nf_customer'!$B:$B,0)),"NOT FOUND")</f>
        <v/>
      </c>
      <c r="AG147" s="4">
        <f>IF(ISNUMBER(AF147),DATEDIF(AF147,L147,"y"),"NOT FOUND")</f>
        <v/>
      </c>
      <c r="AH147" s="2">
        <f>IFERROR(INDEX('8_3nf_customer'!$E:$E,MATCH(AD147,'8_3nf_customer'!$B:$B,0)),"NOT FOUND")</f>
        <v/>
      </c>
      <c r="AI147" s="30">
        <f>IF(_xlfn.MAXIFS('9_3nf_customer_history'!$B$2:$B$500,'9_3nf_customer_history'!$A$2:$A$500,AD147,'9_3nf_customer_history'!$B$2:$B$500,"&lt;="&amp;L147)=0,"NOT FOUND",_xlfn.MAXIFS('9_3nf_customer_history'!$B$2:$B$500,'9_3nf_customer_history'!$A$2:$A$500,AD147,'9_3nf_customer_history'!$B$2:$B$500,"&lt;="&amp;L147))</f>
        <v/>
      </c>
      <c r="AJ147" s="2">
        <f>IF(AI147="NOT FOUND","NOT FOUND",INDEX('9_3nf_customer_history'!$C:$C,SUMPRODUCT(('9_3nf_customer_history'!$A$2:$A$500=AD147)*('9_3nf_customer_history'!$B$2:$B$500=AI147)*ROW('9_3nf_customer_history'!$A$2:$A$500))))</f>
        <v/>
      </c>
      <c r="AK147" s="2">
        <f>IF(AI147="NOT FOUND","NOT FOUND",INDEX('9_3nf_customer_history'!$D:$D,SUMPRODUCT(('9_3nf_customer_history'!$A$2:$A$500=AD147)*('9_3nf_customer_history'!$B$2:$B$500=AI147)*ROW('9_3nf_customer_history'!$A$2:$A$500))))</f>
        <v/>
      </c>
      <c r="AL147" s="2">
        <f>UPPER(TRIM(H147))</f>
        <v/>
      </c>
      <c r="AM147" s="30">
        <f>IF(_xlfn.MAXIFS('10_ref_fx_rate'!$B$2:$B$2000,'10_ref_fx_rate'!$A$2:$A$2000,AL147,'10_ref_fx_rate'!$B$2:$B$2000,"&lt;="&amp;L147)=0,"NOT FOUND",_xlfn.MAXIFS('10_ref_fx_rate'!$B$2:$B$2000,'10_ref_fx_rate'!$A$2:$A$2000,AL147,'10_ref_fx_rate'!$B$2:$B$2000,"&lt;="&amp;L147))</f>
        <v/>
      </c>
      <c r="AN147" s="8">
        <f>IF(AM147="NOT FOUND","NOT FOUND",SUMIFS('10_ref_fx_rate'!$D$2:$D$2000,'10_ref_fx_rate'!$A$2:$A$2000,AL147,'10_ref_fx_rate'!$B$2:$B$2000,AM147))</f>
        <v/>
      </c>
      <c r="AO147" s="37">
        <f>IF(ISNUMBER(AN147),I147*AN147,"NOT FOUND")</f>
        <v/>
      </c>
      <c r="AP147" s="2">
        <f>UPPER(TRIM(J147))</f>
        <v/>
      </c>
      <c r="AQ147" s="2">
        <f>IF(AP147="","SELF-DIRECTED",IF(ISNUMBER(MATCH(AP147,'11_3nf_sales_person'!$A:$A,0)),IF(EXACT(AP147,J147),"OK","OK (auto-fixed)"),IF(ISNA(MATCH($A147,'12_sales_person_confirmation'!$A:$A,0)),"CONFIRM (not logged)",IF(INDEX('12_sales_person_confirmation'!$I:$I,MATCH($A147,'12_sales_person_confirmation'!$A:$A,0))="CONFIRMED","CONFIRMED ("&amp;LOWER(INDEX('12_sales_person_confirmation'!$E:$E,MATCH($A147,'12_sales_person_confirmation'!$A:$A,0)))&amp;")","PENDING CONFIRM"))))</f>
        <v/>
      </c>
      <c r="AR147" s="2">
        <f>IF(OR(AQ147="OK",AQ147="OK (auto-fixed)"),AP147,IF(LEFT(AQ147,9)="CONFIRMED",INDEX('12_sales_person_confirmation'!$F:$F,MATCH($A147,'12_sales_person_confirmation'!$A:$A,0)),""))</f>
        <v/>
      </c>
      <c r="AS147" s="2">
        <f>IF(AR147="","",INDEX('11_3nf_sales_person'!$B:$B,MATCH(AR147,'11_3nf_sales_person'!$A:$A,0)))</f>
        <v/>
      </c>
    </row>
    <row r="148">
      <c r="A148" s="2">
        <f>IF(ISBLANK('1_raw_log'!A148),"",'1_raw_log'!A148)</f>
        <v/>
      </c>
      <c r="B148" s="3">
        <f>IF(ISBLANK('1_raw_log'!B148),"",'1_raw_log'!B148)</f>
        <v/>
      </c>
      <c r="C148" s="2">
        <f>IF(ISBLANK('1_raw_log'!C148),"",'1_raw_log'!C148)</f>
        <v/>
      </c>
      <c r="D148" s="2">
        <f>IF(ISBLANK('1_raw_log'!D148),"",'1_raw_log'!D148)</f>
        <v/>
      </c>
      <c r="E148" s="4">
        <f>IF(ISBLANK('1_raw_log'!E148),"",'1_raw_log'!E148)</f>
        <v/>
      </c>
      <c r="F148" s="2">
        <f>IF(ISBLANK('1_raw_log'!F148),"",'1_raw_log'!F148)</f>
        <v/>
      </c>
      <c r="G148" s="2">
        <f>IF(ISBLANK('1_raw_log'!G148),"",'1_raw_log'!G148)</f>
        <v/>
      </c>
      <c r="H148" s="2">
        <f>IF(ISBLANK('1_raw_log'!H148),"",'1_raw_log'!H148)</f>
        <v/>
      </c>
      <c r="I148" s="7">
        <f>IF(ISBLANK('1_raw_log'!I148),"",'1_raw_log'!I148)</f>
        <v/>
      </c>
      <c r="J148" s="2">
        <f>IF(ISBLANK('1_raw_log'!J148),"",'1_raw_log'!J148)</f>
        <v/>
      </c>
      <c r="K148" s="2">
        <f>IF(ISBLANK('1_raw_log'!K148),"",'1_raw_log'!K148)</f>
        <v/>
      </c>
      <c r="L148" s="30">
        <f>INT(B148)</f>
        <v/>
      </c>
      <c r="M148" s="20">
        <f>ROUND(MOD(B148,1)*1440,0)/1440</f>
        <v/>
      </c>
      <c r="N148" s="4">
        <f>IFERROR(INDEX('3_ref_date'!$B:$B,MATCH(L148,'3_ref_date'!$A:$A,0)),"NOT FOUND")</f>
        <v/>
      </c>
      <c r="O148" s="2">
        <f>IFERROR(INDEX('3_ref_date'!$C:$C,MATCH(L148,'3_ref_date'!$A:$A,0)),"NOT FOUND")</f>
        <v/>
      </c>
      <c r="P148" s="4">
        <f>IFERROR(INDEX('3_ref_date'!$D:$D,MATCH(L148,'3_ref_date'!$A:$A,0)),"NOT FOUND")</f>
        <v/>
      </c>
      <c r="Q148" s="4">
        <f>IFERROR(INDEX('3_ref_date'!$E:$E,MATCH(L148,'3_ref_date'!$A:$A,0)),"NOT FOUND")</f>
        <v/>
      </c>
      <c r="R148" s="2">
        <f>IFERROR(INDEX('3_ref_date'!$F:$F,MATCH(L148,'3_ref_date'!$A:$A,0)),"NOT FOUND")</f>
        <v/>
      </c>
      <c r="S148" s="2">
        <f>IFERROR(INDEX('4_ref_time'!$D:$D,MATCH(ROUND(M148*1440,0),'4_ref_time'!$A:$A,0)),"NOT FOUND")</f>
        <v/>
      </c>
      <c r="T148" s="2">
        <f>UPPER(TRIM(C148))</f>
        <v/>
      </c>
      <c r="U148" s="30">
        <f>IF(_xlfn.MAXIFS('6_3nf_branch_history'!$B$2:$B$50,'6_3nf_branch_history'!$A$2:$A$50,T148,'6_3nf_branch_history'!$B$2:$B$50,"&lt;="&amp;L148)=0,"NOT FOUND",_xlfn.MAXIFS('6_3nf_branch_history'!$B$2:$B$50,'6_3nf_branch_history'!$A$2:$A$50,T148,'6_3nf_branch_history'!$B$2:$B$50,"&lt;="&amp;L148))</f>
        <v/>
      </c>
      <c r="V148" s="2">
        <f>IF(U148="NOT FOUND","NOT FOUND",INDEX('6_3nf_branch_history'!$C:$C,SUMPRODUCT(('6_3nf_branch_history'!$A$2:$A$50=T148)*('6_3nf_branch_history'!$B$2:$B$50=U148)*ROW('6_3nf_branch_history'!$A$2:$A$50))))</f>
        <v/>
      </c>
      <c r="W148" s="2">
        <f>IF(U148="NOT FOUND","NOT FOUND",INDEX('6_3nf_branch_history'!$D:$D,SUMPRODUCT(('6_3nf_branch_history'!$A$2:$A$50=T148)*('6_3nf_branch_history'!$B$2:$B$50=U148)*ROW('6_3nf_branch_history'!$A$2:$A$50))))</f>
        <v/>
      </c>
      <c r="X148" s="2">
        <f>IF(U148="NOT FOUND","NOT FOUND",INDEX('6_3nf_branch_history'!$E:$E,SUMPRODUCT(('6_3nf_branch_history'!$A$2:$A$50=T148)*('6_3nf_branch_history'!$B$2:$B$50=U148)*ROW('6_3nf_branch_history'!$A$2:$A$50))))</f>
        <v/>
      </c>
      <c r="Y148" s="2">
        <f>UPPER(TRIM(D148))</f>
        <v/>
      </c>
      <c r="Z148" s="2">
        <f>IFERROR(INDEX('7_3nf_product'!$B:$B,MATCH(Y148,'7_3nf_product'!$A:$A,0)),"NOT FOUND")</f>
        <v/>
      </c>
      <c r="AA148" s="2">
        <f>IFERROR(INDEX('7_3nf_product'!$C:$C,MATCH(Y148,'7_3nf_product'!$A:$A,0)),"NOT FOUND")</f>
        <v/>
      </c>
      <c r="AB148" s="2">
        <f>IFERROR(INDEX('7_3nf_product'!$D:$D,MATCH(Y148,'7_3nf_product'!$A:$A,0)),"NOT FOUND")</f>
        <v/>
      </c>
      <c r="AC148" s="6">
        <f>IFERROR(INDEX('7_3nf_product'!$E:$E,MATCH(Y148,'7_3nf_product'!$A:$A,0)),"NOT FOUND")</f>
        <v/>
      </c>
      <c r="AD148" s="33">
        <f>IF(LEN(TRIM(E148))=10,TRIM(E148),IF(LEN(TRIM(E148))=8,"00"&amp;TRIM(E148),"CHECK"))</f>
        <v/>
      </c>
      <c r="AE148" s="2">
        <f>IFERROR(INDEX('8_3nf_customer'!$C:$C,MATCH(AD148,'8_3nf_customer'!$B:$B,0)),"NOT FOUND")</f>
        <v/>
      </c>
      <c r="AF148" s="30">
        <f>IFERROR(INDEX('8_3nf_customer'!$D:$D,MATCH(AD148,'8_3nf_customer'!$B:$B,0)),"NOT FOUND")</f>
        <v/>
      </c>
      <c r="AG148" s="4">
        <f>IF(ISNUMBER(AF148),DATEDIF(AF148,L148,"y"),"NOT FOUND")</f>
        <v/>
      </c>
      <c r="AH148" s="2">
        <f>IFERROR(INDEX('8_3nf_customer'!$E:$E,MATCH(AD148,'8_3nf_customer'!$B:$B,0)),"NOT FOUND")</f>
        <v/>
      </c>
      <c r="AI148" s="30">
        <f>IF(_xlfn.MAXIFS('9_3nf_customer_history'!$B$2:$B$500,'9_3nf_customer_history'!$A$2:$A$500,AD148,'9_3nf_customer_history'!$B$2:$B$500,"&lt;="&amp;L148)=0,"NOT FOUND",_xlfn.MAXIFS('9_3nf_customer_history'!$B$2:$B$500,'9_3nf_customer_history'!$A$2:$A$500,AD148,'9_3nf_customer_history'!$B$2:$B$500,"&lt;="&amp;L148))</f>
        <v/>
      </c>
      <c r="AJ148" s="2">
        <f>IF(AI148="NOT FOUND","NOT FOUND",INDEX('9_3nf_customer_history'!$C:$C,SUMPRODUCT(('9_3nf_customer_history'!$A$2:$A$500=AD148)*('9_3nf_customer_history'!$B$2:$B$500=AI148)*ROW('9_3nf_customer_history'!$A$2:$A$500))))</f>
        <v/>
      </c>
      <c r="AK148" s="2">
        <f>IF(AI148="NOT FOUND","NOT FOUND",INDEX('9_3nf_customer_history'!$D:$D,SUMPRODUCT(('9_3nf_customer_history'!$A$2:$A$500=AD148)*('9_3nf_customer_history'!$B$2:$B$500=AI148)*ROW('9_3nf_customer_history'!$A$2:$A$500))))</f>
        <v/>
      </c>
      <c r="AL148" s="2">
        <f>UPPER(TRIM(H148))</f>
        <v/>
      </c>
      <c r="AM148" s="30">
        <f>IF(_xlfn.MAXIFS('10_ref_fx_rate'!$B$2:$B$2000,'10_ref_fx_rate'!$A$2:$A$2000,AL148,'10_ref_fx_rate'!$B$2:$B$2000,"&lt;="&amp;L148)=0,"NOT FOUND",_xlfn.MAXIFS('10_ref_fx_rate'!$B$2:$B$2000,'10_ref_fx_rate'!$A$2:$A$2000,AL148,'10_ref_fx_rate'!$B$2:$B$2000,"&lt;="&amp;L148))</f>
        <v/>
      </c>
      <c r="AN148" s="8">
        <f>IF(AM148="NOT FOUND","NOT FOUND",SUMIFS('10_ref_fx_rate'!$D$2:$D$2000,'10_ref_fx_rate'!$A$2:$A$2000,AL148,'10_ref_fx_rate'!$B$2:$B$2000,AM148))</f>
        <v/>
      </c>
      <c r="AO148" s="37">
        <f>IF(ISNUMBER(AN148),I148*AN148,"NOT FOUND")</f>
        <v/>
      </c>
      <c r="AP148" s="2">
        <f>UPPER(TRIM(J148))</f>
        <v/>
      </c>
      <c r="AQ148" s="2">
        <f>IF(AP148="","SELF-DIRECTED",IF(ISNUMBER(MATCH(AP148,'11_3nf_sales_person'!$A:$A,0)),IF(EXACT(AP148,J148),"OK","OK (auto-fixed)"),IF(ISNA(MATCH($A148,'12_sales_person_confirmation'!$A:$A,0)),"CONFIRM (not logged)",IF(INDEX('12_sales_person_confirmation'!$I:$I,MATCH($A148,'12_sales_person_confirmation'!$A:$A,0))="CONFIRMED","CONFIRMED ("&amp;LOWER(INDEX('12_sales_person_confirmation'!$E:$E,MATCH($A148,'12_sales_person_confirmation'!$A:$A,0)))&amp;")","PENDING CONFIRM"))))</f>
        <v/>
      </c>
      <c r="AR148" s="2">
        <f>IF(OR(AQ148="OK",AQ148="OK (auto-fixed)"),AP148,IF(LEFT(AQ148,9)="CONFIRMED",INDEX('12_sales_person_confirmation'!$F:$F,MATCH($A148,'12_sales_person_confirmation'!$A:$A,0)),""))</f>
        <v/>
      </c>
      <c r="AS148" s="2">
        <f>IF(AR148="","",INDEX('11_3nf_sales_person'!$B:$B,MATCH(AR148,'11_3nf_sales_person'!$A:$A,0)))</f>
        <v/>
      </c>
    </row>
    <row r="149">
      <c r="A149" s="2">
        <f>IF(ISBLANK('1_raw_log'!A149),"",'1_raw_log'!A149)</f>
        <v/>
      </c>
      <c r="B149" s="3">
        <f>IF(ISBLANK('1_raw_log'!B149),"",'1_raw_log'!B149)</f>
        <v/>
      </c>
      <c r="C149" s="2">
        <f>IF(ISBLANK('1_raw_log'!C149),"",'1_raw_log'!C149)</f>
        <v/>
      </c>
      <c r="D149" s="2">
        <f>IF(ISBLANK('1_raw_log'!D149),"",'1_raw_log'!D149)</f>
        <v/>
      </c>
      <c r="E149" s="4">
        <f>IF(ISBLANK('1_raw_log'!E149),"",'1_raw_log'!E149)</f>
        <v/>
      </c>
      <c r="F149" s="2">
        <f>IF(ISBLANK('1_raw_log'!F149),"",'1_raw_log'!F149)</f>
        <v/>
      </c>
      <c r="G149" s="2">
        <f>IF(ISBLANK('1_raw_log'!G149),"",'1_raw_log'!G149)</f>
        <v/>
      </c>
      <c r="H149" s="2">
        <f>IF(ISBLANK('1_raw_log'!H149),"",'1_raw_log'!H149)</f>
        <v/>
      </c>
      <c r="I149" s="7">
        <f>IF(ISBLANK('1_raw_log'!I149),"",'1_raw_log'!I149)</f>
        <v/>
      </c>
      <c r="J149" s="2">
        <f>IF(ISBLANK('1_raw_log'!J149),"",'1_raw_log'!J149)</f>
        <v/>
      </c>
      <c r="K149" s="2">
        <f>IF(ISBLANK('1_raw_log'!K149),"",'1_raw_log'!K149)</f>
        <v/>
      </c>
      <c r="L149" s="30">
        <f>INT(B149)</f>
        <v/>
      </c>
      <c r="M149" s="20">
        <f>ROUND(MOD(B149,1)*1440,0)/1440</f>
        <v/>
      </c>
      <c r="N149" s="4">
        <f>IFERROR(INDEX('3_ref_date'!$B:$B,MATCH(L149,'3_ref_date'!$A:$A,0)),"NOT FOUND")</f>
        <v/>
      </c>
      <c r="O149" s="2">
        <f>IFERROR(INDEX('3_ref_date'!$C:$C,MATCH(L149,'3_ref_date'!$A:$A,0)),"NOT FOUND")</f>
        <v/>
      </c>
      <c r="P149" s="4">
        <f>IFERROR(INDEX('3_ref_date'!$D:$D,MATCH(L149,'3_ref_date'!$A:$A,0)),"NOT FOUND")</f>
        <v/>
      </c>
      <c r="Q149" s="4">
        <f>IFERROR(INDEX('3_ref_date'!$E:$E,MATCH(L149,'3_ref_date'!$A:$A,0)),"NOT FOUND")</f>
        <v/>
      </c>
      <c r="R149" s="2">
        <f>IFERROR(INDEX('3_ref_date'!$F:$F,MATCH(L149,'3_ref_date'!$A:$A,0)),"NOT FOUND")</f>
        <v/>
      </c>
      <c r="S149" s="2">
        <f>IFERROR(INDEX('4_ref_time'!$D:$D,MATCH(ROUND(M149*1440,0),'4_ref_time'!$A:$A,0)),"NOT FOUND")</f>
        <v/>
      </c>
      <c r="T149" s="2">
        <f>UPPER(TRIM(C149))</f>
        <v/>
      </c>
      <c r="U149" s="30">
        <f>IF(_xlfn.MAXIFS('6_3nf_branch_history'!$B$2:$B$50,'6_3nf_branch_history'!$A$2:$A$50,T149,'6_3nf_branch_history'!$B$2:$B$50,"&lt;="&amp;L149)=0,"NOT FOUND",_xlfn.MAXIFS('6_3nf_branch_history'!$B$2:$B$50,'6_3nf_branch_history'!$A$2:$A$50,T149,'6_3nf_branch_history'!$B$2:$B$50,"&lt;="&amp;L149))</f>
        <v/>
      </c>
      <c r="V149" s="2">
        <f>IF(U149="NOT FOUND","NOT FOUND",INDEX('6_3nf_branch_history'!$C:$C,SUMPRODUCT(('6_3nf_branch_history'!$A$2:$A$50=T149)*('6_3nf_branch_history'!$B$2:$B$50=U149)*ROW('6_3nf_branch_history'!$A$2:$A$50))))</f>
        <v/>
      </c>
      <c r="W149" s="2">
        <f>IF(U149="NOT FOUND","NOT FOUND",INDEX('6_3nf_branch_history'!$D:$D,SUMPRODUCT(('6_3nf_branch_history'!$A$2:$A$50=T149)*('6_3nf_branch_history'!$B$2:$B$50=U149)*ROW('6_3nf_branch_history'!$A$2:$A$50))))</f>
        <v/>
      </c>
      <c r="X149" s="2">
        <f>IF(U149="NOT FOUND","NOT FOUND",INDEX('6_3nf_branch_history'!$E:$E,SUMPRODUCT(('6_3nf_branch_history'!$A$2:$A$50=T149)*('6_3nf_branch_history'!$B$2:$B$50=U149)*ROW('6_3nf_branch_history'!$A$2:$A$50))))</f>
        <v/>
      </c>
      <c r="Y149" s="2">
        <f>UPPER(TRIM(D149))</f>
        <v/>
      </c>
      <c r="Z149" s="2">
        <f>IFERROR(INDEX('7_3nf_product'!$B:$B,MATCH(Y149,'7_3nf_product'!$A:$A,0)),"NOT FOUND")</f>
        <v/>
      </c>
      <c r="AA149" s="2">
        <f>IFERROR(INDEX('7_3nf_product'!$C:$C,MATCH(Y149,'7_3nf_product'!$A:$A,0)),"NOT FOUND")</f>
        <v/>
      </c>
      <c r="AB149" s="2">
        <f>IFERROR(INDEX('7_3nf_product'!$D:$D,MATCH(Y149,'7_3nf_product'!$A:$A,0)),"NOT FOUND")</f>
        <v/>
      </c>
      <c r="AC149" s="6">
        <f>IFERROR(INDEX('7_3nf_product'!$E:$E,MATCH(Y149,'7_3nf_product'!$A:$A,0)),"NOT FOUND")</f>
        <v/>
      </c>
      <c r="AD149" s="33">
        <f>IF(LEN(TRIM(E149))=10,TRIM(E149),IF(LEN(TRIM(E149))=8,"00"&amp;TRIM(E149),"CHECK"))</f>
        <v/>
      </c>
      <c r="AE149" s="2">
        <f>IFERROR(INDEX('8_3nf_customer'!$C:$C,MATCH(AD149,'8_3nf_customer'!$B:$B,0)),"NOT FOUND")</f>
        <v/>
      </c>
      <c r="AF149" s="30">
        <f>IFERROR(INDEX('8_3nf_customer'!$D:$D,MATCH(AD149,'8_3nf_customer'!$B:$B,0)),"NOT FOUND")</f>
        <v/>
      </c>
      <c r="AG149" s="4">
        <f>IF(ISNUMBER(AF149),DATEDIF(AF149,L149,"y"),"NOT FOUND")</f>
        <v/>
      </c>
      <c r="AH149" s="2">
        <f>IFERROR(INDEX('8_3nf_customer'!$E:$E,MATCH(AD149,'8_3nf_customer'!$B:$B,0)),"NOT FOUND")</f>
        <v/>
      </c>
      <c r="AI149" s="30">
        <f>IF(_xlfn.MAXIFS('9_3nf_customer_history'!$B$2:$B$500,'9_3nf_customer_history'!$A$2:$A$500,AD149,'9_3nf_customer_history'!$B$2:$B$500,"&lt;="&amp;L149)=0,"NOT FOUND",_xlfn.MAXIFS('9_3nf_customer_history'!$B$2:$B$500,'9_3nf_customer_history'!$A$2:$A$500,AD149,'9_3nf_customer_history'!$B$2:$B$500,"&lt;="&amp;L149))</f>
        <v/>
      </c>
      <c r="AJ149" s="2">
        <f>IF(AI149="NOT FOUND","NOT FOUND",INDEX('9_3nf_customer_history'!$C:$C,SUMPRODUCT(('9_3nf_customer_history'!$A$2:$A$500=AD149)*('9_3nf_customer_history'!$B$2:$B$500=AI149)*ROW('9_3nf_customer_history'!$A$2:$A$500))))</f>
        <v/>
      </c>
      <c r="AK149" s="2">
        <f>IF(AI149="NOT FOUND","NOT FOUND",INDEX('9_3nf_customer_history'!$D:$D,SUMPRODUCT(('9_3nf_customer_history'!$A$2:$A$500=AD149)*('9_3nf_customer_history'!$B$2:$B$500=AI149)*ROW('9_3nf_customer_history'!$A$2:$A$500))))</f>
        <v/>
      </c>
      <c r="AL149" s="2">
        <f>UPPER(TRIM(H149))</f>
        <v/>
      </c>
      <c r="AM149" s="30">
        <f>IF(_xlfn.MAXIFS('10_ref_fx_rate'!$B$2:$B$2000,'10_ref_fx_rate'!$A$2:$A$2000,AL149,'10_ref_fx_rate'!$B$2:$B$2000,"&lt;="&amp;L149)=0,"NOT FOUND",_xlfn.MAXIFS('10_ref_fx_rate'!$B$2:$B$2000,'10_ref_fx_rate'!$A$2:$A$2000,AL149,'10_ref_fx_rate'!$B$2:$B$2000,"&lt;="&amp;L149))</f>
        <v/>
      </c>
      <c r="AN149" s="8">
        <f>IF(AM149="NOT FOUND","NOT FOUND",SUMIFS('10_ref_fx_rate'!$D$2:$D$2000,'10_ref_fx_rate'!$A$2:$A$2000,AL149,'10_ref_fx_rate'!$B$2:$B$2000,AM149))</f>
        <v/>
      </c>
      <c r="AO149" s="37">
        <f>IF(ISNUMBER(AN149),I149*AN149,"NOT FOUND")</f>
        <v/>
      </c>
      <c r="AP149" s="2">
        <f>UPPER(TRIM(J149))</f>
        <v/>
      </c>
      <c r="AQ149" s="2">
        <f>IF(AP149="","SELF-DIRECTED",IF(ISNUMBER(MATCH(AP149,'11_3nf_sales_person'!$A:$A,0)),IF(EXACT(AP149,J149),"OK","OK (auto-fixed)"),IF(ISNA(MATCH($A149,'12_sales_person_confirmation'!$A:$A,0)),"CONFIRM (not logged)",IF(INDEX('12_sales_person_confirmation'!$I:$I,MATCH($A149,'12_sales_person_confirmation'!$A:$A,0))="CONFIRMED","CONFIRMED ("&amp;LOWER(INDEX('12_sales_person_confirmation'!$E:$E,MATCH($A149,'12_sales_person_confirmation'!$A:$A,0)))&amp;")","PENDING CONFIRM"))))</f>
        <v/>
      </c>
      <c r="AR149" s="2">
        <f>IF(OR(AQ149="OK",AQ149="OK (auto-fixed)"),AP149,IF(LEFT(AQ149,9)="CONFIRMED",INDEX('12_sales_person_confirmation'!$F:$F,MATCH($A149,'12_sales_person_confirmation'!$A:$A,0)),""))</f>
        <v/>
      </c>
      <c r="AS149" s="2">
        <f>IF(AR149="","",INDEX('11_3nf_sales_person'!$B:$B,MATCH(AR149,'11_3nf_sales_person'!$A:$A,0)))</f>
        <v/>
      </c>
    </row>
    <row r="150">
      <c r="A150" s="2">
        <f>IF(ISBLANK('1_raw_log'!A150),"",'1_raw_log'!A150)</f>
        <v/>
      </c>
      <c r="B150" s="3">
        <f>IF(ISBLANK('1_raw_log'!B150),"",'1_raw_log'!B150)</f>
        <v/>
      </c>
      <c r="C150" s="2">
        <f>IF(ISBLANK('1_raw_log'!C150),"",'1_raw_log'!C150)</f>
        <v/>
      </c>
      <c r="D150" s="2">
        <f>IF(ISBLANK('1_raw_log'!D150),"",'1_raw_log'!D150)</f>
        <v/>
      </c>
      <c r="E150" s="4">
        <f>IF(ISBLANK('1_raw_log'!E150),"",'1_raw_log'!E150)</f>
        <v/>
      </c>
      <c r="F150" s="2">
        <f>IF(ISBLANK('1_raw_log'!F150),"",'1_raw_log'!F150)</f>
        <v/>
      </c>
      <c r="G150" s="2">
        <f>IF(ISBLANK('1_raw_log'!G150),"",'1_raw_log'!G150)</f>
        <v/>
      </c>
      <c r="H150" s="2">
        <f>IF(ISBLANK('1_raw_log'!H150),"",'1_raw_log'!H150)</f>
        <v/>
      </c>
      <c r="I150" s="7">
        <f>IF(ISBLANK('1_raw_log'!I150),"",'1_raw_log'!I150)</f>
        <v/>
      </c>
      <c r="J150" s="2">
        <f>IF(ISBLANK('1_raw_log'!J150),"",'1_raw_log'!J150)</f>
        <v/>
      </c>
      <c r="K150" s="2">
        <f>IF(ISBLANK('1_raw_log'!K150),"",'1_raw_log'!K150)</f>
        <v/>
      </c>
      <c r="L150" s="30">
        <f>INT(B150)</f>
        <v/>
      </c>
      <c r="M150" s="20">
        <f>ROUND(MOD(B150,1)*1440,0)/1440</f>
        <v/>
      </c>
      <c r="N150" s="4">
        <f>IFERROR(INDEX('3_ref_date'!$B:$B,MATCH(L150,'3_ref_date'!$A:$A,0)),"NOT FOUND")</f>
        <v/>
      </c>
      <c r="O150" s="2">
        <f>IFERROR(INDEX('3_ref_date'!$C:$C,MATCH(L150,'3_ref_date'!$A:$A,0)),"NOT FOUND")</f>
        <v/>
      </c>
      <c r="P150" s="4">
        <f>IFERROR(INDEX('3_ref_date'!$D:$D,MATCH(L150,'3_ref_date'!$A:$A,0)),"NOT FOUND")</f>
        <v/>
      </c>
      <c r="Q150" s="4">
        <f>IFERROR(INDEX('3_ref_date'!$E:$E,MATCH(L150,'3_ref_date'!$A:$A,0)),"NOT FOUND")</f>
        <v/>
      </c>
      <c r="R150" s="2">
        <f>IFERROR(INDEX('3_ref_date'!$F:$F,MATCH(L150,'3_ref_date'!$A:$A,0)),"NOT FOUND")</f>
        <v/>
      </c>
      <c r="S150" s="2">
        <f>IFERROR(INDEX('4_ref_time'!$D:$D,MATCH(ROUND(M150*1440,0),'4_ref_time'!$A:$A,0)),"NOT FOUND")</f>
        <v/>
      </c>
      <c r="T150" s="2">
        <f>UPPER(TRIM(C150))</f>
        <v/>
      </c>
      <c r="U150" s="30">
        <f>IF(_xlfn.MAXIFS('6_3nf_branch_history'!$B$2:$B$50,'6_3nf_branch_history'!$A$2:$A$50,T150,'6_3nf_branch_history'!$B$2:$B$50,"&lt;="&amp;L150)=0,"NOT FOUND",_xlfn.MAXIFS('6_3nf_branch_history'!$B$2:$B$50,'6_3nf_branch_history'!$A$2:$A$50,T150,'6_3nf_branch_history'!$B$2:$B$50,"&lt;="&amp;L150))</f>
        <v/>
      </c>
      <c r="V150" s="2">
        <f>IF(U150="NOT FOUND","NOT FOUND",INDEX('6_3nf_branch_history'!$C:$C,SUMPRODUCT(('6_3nf_branch_history'!$A$2:$A$50=T150)*('6_3nf_branch_history'!$B$2:$B$50=U150)*ROW('6_3nf_branch_history'!$A$2:$A$50))))</f>
        <v/>
      </c>
      <c r="W150" s="2">
        <f>IF(U150="NOT FOUND","NOT FOUND",INDEX('6_3nf_branch_history'!$D:$D,SUMPRODUCT(('6_3nf_branch_history'!$A$2:$A$50=T150)*('6_3nf_branch_history'!$B$2:$B$50=U150)*ROW('6_3nf_branch_history'!$A$2:$A$50))))</f>
        <v/>
      </c>
      <c r="X150" s="2">
        <f>IF(U150="NOT FOUND","NOT FOUND",INDEX('6_3nf_branch_history'!$E:$E,SUMPRODUCT(('6_3nf_branch_history'!$A$2:$A$50=T150)*('6_3nf_branch_history'!$B$2:$B$50=U150)*ROW('6_3nf_branch_history'!$A$2:$A$50))))</f>
        <v/>
      </c>
      <c r="Y150" s="2">
        <f>UPPER(TRIM(D150))</f>
        <v/>
      </c>
      <c r="Z150" s="2">
        <f>IFERROR(INDEX('7_3nf_product'!$B:$B,MATCH(Y150,'7_3nf_product'!$A:$A,0)),"NOT FOUND")</f>
        <v/>
      </c>
      <c r="AA150" s="2">
        <f>IFERROR(INDEX('7_3nf_product'!$C:$C,MATCH(Y150,'7_3nf_product'!$A:$A,0)),"NOT FOUND")</f>
        <v/>
      </c>
      <c r="AB150" s="2">
        <f>IFERROR(INDEX('7_3nf_product'!$D:$D,MATCH(Y150,'7_3nf_product'!$A:$A,0)),"NOT FOUND")</f>
        <v/>
      </c>
      <c r="AC150" s="6">
        <f>IFERROR(INDEX('7_3nf_product'!$E:$E,MATCH(Y150,'7_3nf_product'!$A:$A,0)),"NOT FOUND")</f>
        <v/>
      </c>
      <c r="AD150" s="33">
        <f>IF(LEN(TRIM(E150))=10,TRIM(E150),IF(LEN(TRIM(E150))=8,"00"&amp;TRIM(E150),"CHECK"))</f>
        <v/>
      </c>
      <c r="AE150" s="2">
        <f>IFERROR(INDEX('8_3nf_customer'!$C:$C,MATCH(AD150,'8_3nf_customer'!$B:$B,0)),"NOT FOUND")</f>
        <v/>
      </c>
      <c r="AF150" s="30">
        <f>IFERROR(INDEX('8_3nf_customer'!$D:$D,MATCH(AD150,'8_3nf_customer'!$B:$B,0)),"NOT FOUND")</f>
        <v/>
      </c>
      <c r="AG150" s="4">
        <f>IF(ISNUMBER(AF150),DATEDIF(AF150,L150,"y"),"NOT FOUND")</f>
        <v/>
      </c>
      <c r="AH150" s="2">
        <f>IFERROR(INDEX('8_3nf_customer'!$E:$E,MATCH(AD150,'8_3nf_customer'!$B:$B,0)),"NOT FOUND")</f>
        <v/>
      </c>
      <c r="AI150" s="30">
        <f>IF(_xlfn.MAXIFS('9_3nf_customer_history'!$B$2:$B$500,'9_3nf_customer_history'!$A$2:$A$500,AD150,'9_3nf_customer_history'!$B$2:$B$500,"&lt;="&amp;L150)=0,"NOT FOUND",_xlfn.MAXIFS('9_3nf_customer_history'!$B$2:$B$500,'9_3nf_customer_history'!$A$2:$A$500,AD150,'9_3nf_customer_history'!$B$2:$B$500,"&lt;="&amp;L150))</f>
        <v/>
      </c>
      <c r="AJ150" s="2">
        <f>IF(AI150="NOT FOUND","NOT FOUND",INDEX('9_3nf_customer_history'!$C:$C,SUMPRODUCT(('9_3nf_customer_history'!$A$2:$A$500=AD150)*('9_3nf_customer_history'!$B$2:$B$500=AI150)*ROW('9_3nf_customer_history'!$A$2:$A$500))))</f>
        <v/>
      </c>
      <c r="AK150" s="2">
        <f>IF(AI150="NOT FOUND","NOT FOUND",INDEX('9_3nf_customer_history'!$D:$D,SUMPRODUCT(('9_3nf_customer_history'!$A$2:$A$500=AD150)*('9_3nf_customer_history'!$B$2:$B$500=AI150)*ROW('9_3nf_customer_history'!$A$2:$A$500))))</f>
        <v/>
      </c>
      <c r="AL150" s="2">
        <f>UPPER(TRIM(H150))</f>
        <v/>
      </c>
      <c r="AM150" s="30">
        <f>IF(_xlfn.MAXIFS('10_ref_fx_rate'!$B$2:$B$2000,'10_ref_fx_rate'!$A$2:$A$2000,AL150,'10_ref_fx_rate'!$B$2:$B$2000,"&lt;="&amp;L150)=0,"NOT FOUND",_xlfn.MAXIFS('10_ref_fx_rate'!$B$2:$B$2000,'10_ref_fx_rate'!$A$2:$A$2000,AL150,'10_ref_fx_rate'!$B$2:$B$2000,"&lt;="&amp;L150))</f>
        <v/>
      </c>
      <c r="AN150" s="8">
        <f>IF(AM150="NOT FOUND","NOT FOUND",SUMIFS('10_ref_fx_rate'!$D$2:$D$2000,'10_ref_fx_rate'!$A$2:$A$2000,AL150,'10_ref_fx_rate'!$B$2:$B$2000,AM150))</f>
        <v/>
      </c>
      <c r="AO150" s="37">
        <f>IF(ISNUMBER(AN150),I150*AN150,"NOT FOUND")</f>
        <v/>
      </c>
      <c r="AP150" s="2">
        <f>UPPER(TRIM(J150))</f>
        <v/>
      </c>
      <c r="AQ150" s="2">
        <f>IF(AP150="","SELF-DIRECTED",IF(ISNUMBER(MATCH(AP150,'11_3nf_sales_person'!$A:$A,0)),IF(EXACT(AP150,J150),"OK","OK (auto-fixed)"),IF(ISNA(MATCH($A150,'12_sales_person_confirmation'!$A:$A,0)),"CONFIRM (not logged)",IF(INDEX('12_sales_person_confirmation'!$I:$I,MATCH($A150,'12_sales_person_confirmation'!$A:$A,0))="CONFIRMED","CONFIRMED ("&amp;LOWER(INDEX('12_sales_person_confirmation'!$E:$E,MATCH($A150,'12_sales_person_confirmation'!$A:$A,0)))&amp;")","PENDING CONFIRM"))))</f>
        <v/>
      </c>
      <c r="AR150" s="2">
        <f>IF(OR(AQ150="OK",AQ150="OK (auto-fixed)"),AP150,IF(LEFT(AQ150,9)="CONFIRMED",INDEX('12_sales_person_confirmation'!$F:$F,MATCH($A150,'12_sales_person_confirmation'!$A:$A,0)),""))</f>
        <v/>
      </c>
      <c r="AS150" s="2">
        <f>IF(AR150="","",INDEX('11_3nf_sales_person'!$B:$B,MATCH(AR150,'11_3nf_sales_person'!$A:$A,0)))</f>
        <v/>
      </c>
    </row>
    <row r="151">
      <c r="A151" s="2">
        <f>IF(ISBLANK('1_raw_log'!A151),"",'1_raw_log'!A151)</f>
        <v/>
      </c>
      <c r="B151" s="3">
        <f>IF(ISBLANK('1_raw_log'!B151),"",'1_raw_log'!B151)</f>
        <v/>
      </c>
      <c r="C151" s="2">
        <f>IF(ISBLANK('1_raw_log'!C151),"",'1_raw_log'!C151)</f>
        <v/>
      </c>
      <c r="D151" s="2">
        <f>IF(ISBLANK('1_raw_log'!D151),"",'1_raw_log'!D151)</f>
        <v/>
      </c>
      <c r="E151" s="4">
        <f>IF(ISBLANK('1_raw_log'!E151),"",'1_raw_log'!E151)</f>
        <v/>
      </c>
      <c r="F151" s="2">
        <f>IF(ISBLANK('1_raw_log'!F151),"",'1_raw_log'!F151)</f>
        <v/>
      </c>
      <c r="G151" s="2">
        <f>IF(ISBLANK('1_raw_log'!G151),"",'1_raw_log'!G151)</f>
        <v/>
      </c>
      <c r="H151" s="2">
        <f>IF(ISBLANK('1_raw_log'!H151),"",'1_raw_log'!H151)</f>
        <v/>
      </c>
      <c r="I151" s="7">
        <f>IF(ISBLANK('1_raw_log'!I151),"",'1_raw_log'!I151)</f>
        <v/>
      </c>
      <c r="J151" s="2">
        <f>IF(ISBLANK('1_raw_log'!J151),"",'1_raw_log'!J151)</f>
        <v/>
      </c>
      <c r="K151" s="2">
        <f>IF(ISBLANK('1_raw_log'!K151),"",'1_raw_log'!K151)</f>
        <v/>
      </c>
      <c r="L151" s="30">
        <f>INT(B151)</f>
        <v/>
      </c>
      <c r="M151" s="20">
        <f>ROUND(MOD(B151,1)*1440,0)/1440</f>
        <v/>
      </c>
      <c r="N151" s="4">
        <f>IFERROR(INDEX('3_ref_date'!$B:$B,MATCH(L151,'3_ref_date'!$A:$A,0)),"NOT FOUND")</f>
        <v/>
      </c>
      <c r="O151" s="2">
        <f>IFERROR(INDEX('3_ref_date'!$C:$C,MATCH(L151,'3_ref_date'!$A:$A,0)),"NOT FOUND")</f>
        <v/>
      </c>
      <c r="P151" s="4">
        <f>IFERROR(INDEX('3_ref_date'!$D:$D,MATCH(L151,'3_ref_date'!$A:$A,0)),"NOT FOUND")</f>
        <v/>
      </c>
      <c r="Q151" s="4">
        <f>IFERROR(INDEX('3_ref_date'!$E:$E,MATCH(L151,'3_ref_date'!$A:$A,0)),"NOT FOUND")</f>
        <v/>
      </c>
      <c r="R151" s="2">
        <f>IFERROR(INDEX('3_ref_date'!$F:$F,MATCH(L151,'3_ref_date'!$A:$A,0)),"NOT FOUND")</f>
        <v/>
      </c>
      <c r="S151" s="2">
        <f>IFERROR(INDEX('4_ref_time'!$D:$D,MATCH(ROUND(M151*1440,0),'4_ref_time'!$A:$A,0)),"NOT FOUND")</f>
        <v/>
      </c>
      <c r="T151" s="2">
        <f>UPPER(TRIM(C151))</f>
        <v/>
      </c>
      <c r="U151" s="30">
        <f>IF(_xlfn.MAXIFS('6_3nf_branch_history'!$B$2:$B$50,'6_3nf_branch_history'!$A$2:$A$50,T151,'6_3nf_branch_history'!$B$2:$B$50,"&lt;="&amp;L151)=0,"NOT FOUND",_xlfn.MAXIFS('6_3nf_branch_history'!$B$2:$B$50,'6_3nf_branch_history'!$A$2:$A$50,T151,'6_3nf_branch_history'!$B$2:$B$50,"&lt;="&amp;L151))</f>
        <v/>
      </c>
      <c r="V151" s="2">
        <f>IF(U151="NOT FOUND","NOT FOUND",INDEX('6_3nf_branch_history'!$C:$C,SUMPRODUCT(('6_3nf_branch_history'!$A$2:$A$50=T151)*('6_3nf_branch_history'!$B$2:$B$50=U151)*ROW('6_3nf_branch_history'!$A$2:$A$50))))</f>
        <v/>
      </c>
      <c r="W151" s="2">
        <f>IF(U151="NOT FOUND","NOT FOUND",INDEX('6_3nf_branch_history'!$D:$D,SUMPRODUCT(('6_3nf_branch_history'!$A$2:$A$50=T151)*('6_3nf_branch_history'!$B$2:$B$50=U151)*ROW('6_3nf_branch_history'!$A$2:$A$50))))</f>
        <v/>
      </c>
      <c r="X151" s="2">
        <f>IF(U151="NOT FOUND","NOT FOUND",INDEX('6_3nf_branch_history'!$E:$E,SUMPRODUCT(('6_3nf_branch_history'!$A$2:$A$50=T151)*('6_3nf_branch_history'!$B$2:$B$50=U151)*ROW('6_3nf_branch_history'!$A$2:$A$50))))</f>
        <v/>
      </c>
      <c r="Y151" s="2">
        <f>UPPER(TRIM(D151))</f>
        <v/>
      </c>
      <c r="Z151" s="2">
        <f>IFERROR(INDEX('7_3nf_product'!$B:$B,MATCH(Y151,'7_3nf_product'!$A:$A,0)),"NOT FOUND")</f>
        <v/>
      </c>
      <c r="AA151" s="2">
        <f>IFERROR(INDEX('7_3nf_product'!$C:$C,MATCH(Y151,'7_3nf_product'!$A:$A,0)),"NOT FOUND")</f>
        <v/>
      </c>
      <c r="AB151" s="2">
        <f>IFERROR(INDEX('7_3nf_product'!$D:$D,MATCH(Y151,'7_3nf_product'!$A:$A,0)),"NOT FOUND")</f>
        <v/>
      </c>
      <c r="AC151" s="6">
        <f>IFERROR(INDEX('7_3nf_product'!$E:$E,MATCH(Y151,'7_3nf_product'!$A:$A,0)),"NOT FOUND")</f>
        <v/>
      </c>
      <c r="AD151" s="33">
        <f>IF(LEN(TRIM(E151))=10,TRIM(E151),IF(LEN(TRIM(E151))=8,"00"&amp;TRIM(E151),"CHECK"))</f>
        <v/>
      </c>
      <c r="AE151" s="2">
        <f>IFERROR(INDEX('8_3nf_customer'!$C:$C,MATCH(AD151,'8_3nf_customer'!$B:$B,0)),"NOT FOUND")</f>
        <v/>
      </c>
      <c r="AF151" s="30">
        <f>IFERROR(INDEX('8_3nf_customer'!$D:$D,MATCH(AD151,'8_3nf_customer'!$B:$B,0)),"NOT FOUND")</f>
        <v/>
      </c>
      <c r="AG151" s="4">
        <f>IF(ISNUMBER(AF151),DATEDIF(AF151,L151,"y"),"NOT FOUND")</f>
        <v/>
      </c>
      <c r="AH151" s="2">
        <f>IFERROR(INDEX('8_3nf_customer'!$E:$E,MATCH(AD151,'8_3nf_customer'!$B:$B,0)),"NOT FOUND")</f>
        <v/>
      </c>
      <c r="AI151" s="30">
        <f>IF(_xlfn.MAXIFS('9_3nf_customer_history'!$B$2:$B$500,'9_3nf_customer_history'!$A$2:$A$500,AD151,'9_3nf_customer_history'!$B$2:$B$500,"&lt;="&amp;L151)=0,"NOT FOUND",_xlfn.MAXIFS('9_3nf_customer_history'!$B$2:$B$500,'9_3nf_customer_history'!$A$2:$A$500,AD151,'9_3nf_customer_history'!$B$2:$B$500,"&lt;="&amp;L151))</f>
        <v/>
      </c>
      <c r="AJ151" s="2">
        <f>IF(AI151="NOT FOUND","NOT FOUND",INDEX('9_3nf_customer_history'!$C:$C,SUMPRODUCT(('9_3nf_customer_history'!$A$2:$A$500=AD151)*('9_3nf_customer_history'!$B$2:$B$500=AI151)*ROW('9_3nf_customer_history'!$A$2:$A$500))))</f>
        <v/>
      </c>
      <c r="AK151" s="2">
        <f>IF(AI151="NOT FOUND","NOT FOUND",INDEX('9_3nf_customer_history'!$D:$D,SUMPRODUCT(('9_3nf_customer_history'!$A$2:$A$500=AD151)*('9_3nf_customer_history'!$B$2:$B$500=AI151)*ROW('9_3nf_customer_history'!$A$2:$A$500))))</f>
        <v/>
      </c>
      <c r="AL151" s="2">
        <f>UPPER(TRIM(H151))</f>
        <v/>
      </c>
      <c r="AM151" s="30">
        <f>IF(_xlfn.MAXIFS('10_ref_fx_rate'!$B$2:$B$2000,'10_ref_fx_rate'!$A$2:$A$2000,AL151,'10_ref_fx_rate'!$B$2:$B$2000,"&lt;="&amp;L151)=0,"NOT FOUND",_xlfn.MAXIFS('10_ref_fx_rate'!$B$2:$B$2000,'10_ref_fx_rate'!$A$2:$A$2000,AL151,'10_ref_fx_rate'!$B$2:$B$2000,"&lt;="&amp;L151))</f>
        <v/>
      </c>
      <c r="AN151" s="8">
        <f>IF(AM151="NOT FOUND","NOT FOUND",SUMIFS('10_ref_fx_rate'!$D$2:$D$2000,'10_ref_fx_rate'!$A$2:$A$2000,AL151,'10_ref_fx_rate'!$B$2:$B$2000,AM151))</f>
        <v/>
      </c>
      <c r="AO151" s="37">
        <f>IF(ISNUMBER(AN151),I151*AN151,"NOT FOUND")</f>
        <v/>
      </c>
      <c r="AP151" s="2">
        <f>UPPER(TRIM(J151))</f>
        <v/>
      </c>
      <c r="AQ151" s="2">
        <f>IF(AP151="","SELF-DIRECTED",IF(ISNUMBER(MATCH(AP151,'11_3nf_sales_person'!$A:$A,0)),IF(EXACT(AP151,J151),"OK","OK (auto-fixed)"),IF(ISNA(MATCH($A151,'12_sales_person_confirmation'!$A:$A,0)),"CONFIRM (not logged)",IF(INDEX('12_sales_person_confirmation'!$I:$I,MATCH($A151,'12_sales_person_confirmation'!$A:$A,0))="CONFIRMED","CONFIRMED ("&amp;LOWER(INDEX('12_sales_person_confirmation'!$E:$E,MATCH($A151,'12_sales_person_confirmation'!$A:$A,0)))&amp;")","PENDING CONFIRM"))))</f>
        <v/>
      </c>
      <c r="AR151" s="2">
        <f>IF(OR(AQ151="OK",AQ151="OK (auto-fixed)"),AP151,IF(LEFT(AQ151,9)="CONFIRMED",INDEX('12_sales_person_confirmation'!$F:$F,MATCH($A151,'12_sales_person_confirmation'!$A:$A,0)),""))</f>
        <v/>
      </c>
      <c r="AS151" s="2">
        <f>IF(AR151="","",INDEX('11_3nf_sales_person'!$B:$B,MATCH(AR151,'11_3nf_sales_person'!$A:$A,0)))</f>
        <v/>
      </c>
    </row>
    <row r="152">
      <c r="A152" s="2">
        <f>IF(ISBLANK('1_raw_log'!A152),"",'1_raw_log'!A152)</f>
        <v/>
      </c>
      <c r="B152" s="3">
        <f>IF(ISBLANK('1_raw_log'!B152),"",'1_raw_log'!B152)</f>
        <v/>
      </c>
      <c r="C152" s="2">
        <f>IF(ISBLANK('1_raw_log'!C152),"",'1_raw_log'!C152)</f>
        <v/>
      </c>
      <c r="D152" s="2">
        <f>IF(ISBLANK('1_raw_log'!D152),"",'1_raw_log'!D152)</f>
        <v/>
      </c>
      <c r="E152" s="4">
        <f>IF(ISBLANK('1_raw_log'!E152),"",'1_raw_log'!E152)</f>
        <v/>
      </c>
      <c r="F152" s="2">
        <f>IF(ISBLANK('1_raw_log'!F152),"",'1_raw_log'!F152)</f>
        <v/>
      </c>
      <c r="G152" s="2">
        <f>IF(ISBLANK('1_raw_log'!G152),"",'1_raw_log'!G152)</f>
        <v/>
      </c>
      <c r="H152" s="2">
        <f>IF(ISBLANK('1_raw_log'!H152),"",'1_raw_log'!H152)</f>
        <v/>
      </c>
      <c r="I152" s="7">
        <f>IF(ISBLANK('1_raw_log'!I152),"",'1_raw_log'!I152)</f>
        <v/>
      </c>
      <c r="J152" s="2">
        <f>IF(ISBLANK('1_raw_log'!J152),"",'1_raw_log'!J152)</f>
        <v/>
      </c>
      <c r="K152" s="2">
        <f>IF(ISBLANK('1_raw_log'!K152),"",'1_raw_log'!K152)</f>
        <v/>
      </c>
      <c r="L152" s="30">
        <f>INT(B152)</f>
        <v/>
      </c>
      <c r="M152" s="20">
        <f>ROUND(MOD(B152,1)*1440,0)/1440</f>
        <v/>
      </c>
      <c r="N152" s="4">
        <f>IFERROR(INDEX('3_ref_date'!$B:$B,MATCH(L152,'3_ref_date'!$A:$A,0)),"NOT FOUND")</f>
        <v/>
      </c>
      <c r="O152" s="2">
        <f>IFERROR(INDEX('3_ref_date'!$C:$C,MATCH(L152,'3_ref_date'!$A:$A,0)),"NOT FOUND")</f>
        <v/>
      </c>
      <c r="P152" s="4">
        <f>IFERROR(INDEX('3_ref_date'!$D:$D,MATCH(L152,'3_ref_date'!$A:$A,0)),"NOT FOUND")</f>
        <v/>
      </c>
      <c r="Q152" s="4">
        <f>IFERROR(INDEX('3_ref_date'!$E:$E,MATCH(L152,'3_ref_date'!$A:$A,0)),"NOT FOUND")</f>
        <v/>
      </c>
      <c r="R152" s="2">
        <f>IFERROR(INDEX('3_ref_date'!$F:$F,MATCH(L152,'3_ref_date'!$A:$A,0)),"NOT FOUND")</f>
        <v/>
      </c>
      <c r="S152" s="2">
        <f>IFERROR(INDEX('4_ref_time'!$D:$D,MATCH(ROUND(M152*1440,0),'4_ref_time'!$A:$A,0)),"NOT FOUND")</f>
        <v/>
      </c>
      <c r="T152" s="2">
        <f>UPPER(TRIM(C152))</f>
        <v/>
      </c>
      <c r="U152" s="30">
        <f>IF(_xlfn.MAXIFS('6_3nf_branch_history'!$B$2:$B$50,'6_3nf_branch_history'!$A$2:$A$50,T152,'6_3nf_branch_history'!$B$2:$B$50,"&lt;="&amp;L152)=0,"NOT FOUND",_xlfn.MAXIFS('6_3nf_branch_history'!$B$2:$B$50,'6_3nf_branch_history'!$A$2:$A$50,T152,'6_3nf_branch_history'!$B$2:$B$50,"&lt;="&amp;L152))</f>
        <v/>
      </c>
      <c r="V152" s="2">
        <f>IF(U152="NOT FOUND","NOT FOUND",INDEX('6_3nf_branch_history'!$C:$C,SUMPRODUCT(('6_3nf_branch_history'!$A$2:$A$50=T152)*('6_3nf_branch_history'!$B$2:$B$50=U152)*ROW('6_3nf_branch_history'!$A$2:$A$50))))</f>
        <v/>
      </c>
      <c r="W152" s="2">
        <f>IF(U152="NOT FOUND","NOT FOUND",INDEX('6_3nf_branch_history'!$D:$D,SUMPRODUCT(('6_3nf_branch_history'!$A$2:$A$50=T152)*('6_3nf_branch_history'!$B$2:$B$50=U152)*ROW('6_3nf_branch_history'!$A$2:$A$50))))</f>
        <v/>
      </c>
      <c r="X152" s="2">
        <f>IF(U152="NOT FOUND","NOT FOUND",INDEX('6_3nf_branch_history'!$E:$E,SUMPRODUCT(('6_3nf_branch_history'!$A$2:$A$50=T152)*('6_3nf_branch_history'!$B$2:$B$50=U152)*ROW('6_3nf_branch_history'!$A$2:$A$50))))</f>
        <v/>
      </c>
      <c r="Y152" s="2">
        <f>UPPER(TRIM(D152))</f>
        <v/>
      </c>
      <c r="Z152" s="2">
        <f>IFERROR(INDEX('7_3nf_product'!$B:$B,MATCH(Y152,'7_3nf_product'!$A:$A,0)),"NOT FOUND")</f>
        <v/>
      </c>
      <c r="AA152" s="2">
        <f>IFERROR(INDEX('7_3nf_product'!$C:$C,MATCH(Y152,'7_3nf_product'!$A:$A,0)),"NOT FOUND")</f>
        <v/>
      </c>
      <c r="AB152" s="2">
        <f>IFERROR(INDEX('7_3nf_product'!$D:$D,MATCH(Y152,'7_3nf_product'!$A:$A,0)),"NOT FOUND")</f>
        <v/>
      </c>
      <c r="AC152" s="6">
        <f>IFERROR(INDEX('7_3nf_product'!$E:$E,MATCH(Y152,'7_3nf_product'!$A:$A,0)),"NOT FOUND")</f>
        <v/>
      </c>
      <c r="AD152" s="33">
        <f>IF(LEN(TRIM(E152))=10,TRIM(E152),IF(LEN(TRIM(E152))=8,"00"&amp;TRIM(E152),"CHECK"))</f>
        <v/>
      </c>
      <c r="AE152" s="2">
        <f>IFERROR(INDEX('8_3nf_customer'!$C:$C,MATCH(AD152,'8_3nf_customer'!$B:$B,0)),"NOT FOUND")</f>
        <v/>
      </c>
      <c r="AF152" s="30">
        <f>IFERROR(INDEX('8_3nf_customer'!$D:$D,MATCH(AD152,'8_3nf_customer'!$B:$B,0)),"NOT FOUND")</f>
        <v/>
      </c>
      <c r="AG152" s="4">
        <f>IF(ISNUMBER(AF152),DATEDIF(AF152,L152,"y"),"NOT FOUND")</f>
        <v/>
      </c>
      <c r="AH152" s="2">
        <f>IFERROR(INDEX('8_3nf_customer'!$E:$E,MATCH(AD152,'8_3nf_customer'!$B:$B,0)),"NOT FOUND")</f>
        <v/>
      </c>
      <c r="AI152" s="30">
        <f>IF(_xlfn.MAXIFS('9_3nf_customer_history'!$B$2:$B$500,'9_3nf_customer_history'!$A$2:$A$500,AD152,'9_3nf_customer_history'!$B$2:$B$500,"&lt;="&amp;L152)=0,"NOT FOUND",_xlfn.MAXIFS('9_3nf_customer_history'!$B$2:$B$500,'9_3nf_customer_history'!$A$2:$A$500,AD152,'9_3nf_customer_history'!$B$2:$B$500,"&lt;="&amp;L152))</f>
        <v/>
      </c>
      <c r="AJ152" s="2">
        <f>IF(AI152="NOT FOUND","NOT FOUND",INDEX('9_3nf_customer_history'!$C:$C,SUMPRODUCT(('9_3nf_customer_history'!$A$2:$A$500=AD152)*('9_3nf_customer_history'!$B$2:$B$500=AI152)*ROW('9_3nf_customer_history'!$A$2:$A$500))))</f>
        <v/>
      </c>
      <c r="AK152" s="2">
        <f>IF(AI152="NOT FOUND","NOT FOUND",INDEX('9_3nf_customer_history'!$D:$D,SUMPRODUCT(('9_3nf_customer_history'!$A$2:$A$500=AD152)*('9_3nf_customer_history'!$B$2:$B$500=AI152)*ROW('9_3nf_customer_history'!$A$2:$A$500))))</f>
        <v/>
      </c>
      <c r="AL152" s="2">
        <f>UPPER(TRIM(H152))</f>
        <v/>
      </c>
      <c r="AM152" s="30">
        <f>IF(_xlfn.MAXIFS('10_ref_fx_rate'!$B$2:$B$2000,'10_ref_fx_rate'!$A$2:$A$2000,AL152,'10_ref_fx_rate'!$B$2:$B$2000,"&lt;="&amp;L152)=0,"NOT FOUND",_xlfn.MAXIFS('10_ref_fx_rate'!$B$2:$B$2000,'10_ref_fx_rate'!$A$2:$A$2000,AL152,'10_ref_fx_rate'!$B$2:$B$2000,"&lt;="&amp;L152))</f>
        <v/>
      </c>
      <c r="AN152" s="8">
        <f>IF(AM152="NOT FOUND","NOT FOUND",SUMIFS('10_ref_fx_rate'!$D$2:$D$2000,'10_ref_fx_rate'!$A$2:$A$2000,AL152,'10_ref_fx_rate'!$B$2:$B$2000,AM152))</f>
        <v/>
      </c>
      <c r="AO152" s="37">
        <f>IF(ISNUMBER(AN152),I152*AN152,"NOT FOUND")</f>
        <v/>
      </c>
      <c r="AP152" s="2">
        <f>UPPER(TRIM(J152))</f>
        <v/>
      </c>
      <c r="AQ152" s="2">
        <f>IF(AP152="","SELF-DIRECTED",IF(ISNUMBER(MATCH(AP152,'11_3nf_sales_person'!$A:$A,0)),IF(EXACT(AP152,J152),"OK","OK (auto-fixed)"),IF(ISNA(MATCH($A152,'12_sales_person_confirmation'!$A:$A,0)),"CONFIRM (not logged)",IF(INDEX('12_sales_person_confirmation'!$I:$I,MATCH($A152,'12_sales_person_confirmation'!$A:$A,0))="CONFIRMED","CONFIRMED ("&amp;LOWER(INDEX('12_sales_person_confirmation'!$E:$E,MATCH($A152,'12_sales_person_confirmation'!$A:$A,0)))&amp;")","PENDING CONFIRM"))))</f>
        <v/>
      </c>
      <c r="AR152" s="2">
        <f>IF(OR(AQ152="OK",AQ152="OK (auto-fixed)"),AP152,IF(LEFT(AQ152,9)="CONFIRMED",INDEX('12_sales_person_confirmation'!$F:$F,MATCH($A152,'12_sales_person_confirmation'!$A:$A,0)),""))</f>
        <v/>
      </c>
      <c r="AS152" s="2">
        <f>IF(AR152="","",INDEX('11_3nf_sales_person'!$B:$B,MATCH(AR152,'11_3nf_sales_person'!$A:$A,0)))</f>
        <v/>
      </c>
    </row>
    <row r="153">
      <c r="A153" s="2">
        <f>IF(ISBLANK('1_raw_log'!A153),"",'1_raw_log'!A153)</f>
        <v/>
      </c>
      <c r="B153" s="3">
        <f>IF(ISBLANK('1_raw_log'!B153),"",'1_raw_log'!B153)</f>
        <v/>
      </c>
      <c r="C153" s="2">
        <f>IF(ISBLANK('1_raw_log'!C153),"",'1_raw_log'!C153)</f>
        <v/>
      </c>
      <c r="D153" s="2">
        <f>IF(ISBLANK('1_raw_log'!D153),"",'1_raw_log'!D153)</f>
        <v/>
      </c>
      <c r="E153" s="4">
        <f>IF(ISBLANK('1_raw_log'!E153),"",'1_raw_log'!E153)</f>
        <v/>
      </c>
      <c r="F153" s="2">
        <f>IF(ISBLANK('1_raw_log'!F153),"",'1_raw_log'!F153)</f>
        <v/>
      </c>
      <c r="G153" s="2">
        <f>IF(ISBLANK('1_raw_log'!G153),"",'1_raw_log'!G153)</f>
        <v/>
      </c>
      <c r="H153" s="2">
        <f>IF(ISBLANK('1_raw_log'!H153),"",'1_raw_log'!H153)</f>
        <v/>
      </c>
      <c r="I153" s="7">
        <f>IF(ISBLANK('1_raw_log'!I153),"",'1_raw_log'!I153)</f>
        <v/>
      </c>
      <c r="J153" s="2">
        <f>IF(ISBLANK('1_raw_log'!J153),"",'1_raw_log'!J153)</f>
        <v/>
      </c>
      <c r="K153" s="2">
        <f>IF(ISBLANK('1_raw_log'!K153),"",'1_raw_log'!K153)</f>
        <v/>
      </c>
      <c r="L153" s="30">
        <f>INT(B153)</f>
        <v/>
      </c>
      <c r="M153" s="20">
        <f>ROUND(MOD(B153,1)*1440,0)/1440</f>
        <v/>
      </c>
      <c r="N153" s="4">
        <f>IFERROR(INDEX('3_ref_date'!$B:$B,MATCH(L153,'3_ref_date'!$A:$A,0)),"NOT FOUND")</f>
        <v/>
      </c>
      <c r="O153" s="2">
        <f>IFERROR(INDEX('3_ref_date'!$C:$C,MATCH(L153,'3_ref_date'!$A:$A,0)),"NOT FOUND")</f>
        <v/>
      </c>
      <c r="P153" s="4">
        <f>IFERROR(INDEX('3_ref_date'!$D:$D,MATCH(L153,'3_ref_date'!$A:$A,0)),"NOT FOUND")</f>
        <v/>
      </c>
      <c r="Q153" s="4">
        <f>IFERROR(INDEX('3_ref_date'!$E:$E,MATCH(L153,'3_ref_date'!$A:$A,0)),"NOT FOUND")</f>
        <v/>
      </c>
      <c r="R153" s="2">
        <f>IFERROR(INDEX('3_ref_date'!$F:$F,MATCH(L153,'3_ref_date'!$A:$A,0)),"NOT FOUND")</f>
        <v/>
      </c>
      <c r="S153" s="2">
        <f>IFERROR(INDEX('4_ref_time'!$D:$D,MATCH(ROUND(M153*1440,0),'4_ref_time'!$A:$A,0)),"NOT FOUND")</f>
        <v/>
      </c>
      <c r="T153" s="2">
        <f>UPPER(TRIM(C153))</f>
        <v/>
      </c>
      <c r="U153" s="30">
        <f>IF(_xlfn.MAXIFS('6_3nf_branch_history'!$B$2:$B$50,'6_3nf_branch_history'!$A$2:$A$50,T153,'6_3nf_branch_history'!$B$2:$B$50,"&lt;="&amp;L153)=0,"NOT FOUND",_xlfn.MAXIFS('6_3nf_branch_history'!$B$2:$B$50,'6_3nf_branch_history'!$A$2:$A$50,T153,'6_3nf_branch_history'!$B$2:$B$50,"&lt;="&amp;L153))</f>
        <v/>
      </c>
      <c r="V153" s="2">
        <f>IF(U153="NOT FOUND","NOT FOUND",INDEX('6_3nf_branch_history'!$C:$C,SUMPRODUCT(('6_3nf_branch_history'!$A$2:$A$50=T153)*('6_3nf_branch_history'!$B$2:$B$50=U153)*ROW('6_3nf_branch_history'!$A$2:$A$50))))</f>
        <v/>
      </c>
      <c r="W153" s="2">
        <f>IF(U153="NOT FOUND","NOT FOUND",INDEX('6_3nf_branch_history'!$D:$D,SUMPRODUCT(('6_3nf_branch_history'!$A$2:$A$50=T153)*('6_3nf_branch_history'!$B$2:$B$50=U153)*ROW('6_3nf_branch_history'!$A$2:$A$50))))</f>
        <v/>
      </c>
      <c r="X153" s="2">
        <f>IF(U153="NOT FOUND","NOT FOUND",INDEX('6_3nf_branch_history'!$E:$E,SUMPRODUCT(('6_3nf_branch_history'!$A$2:$A$50=T153)*('6_3nf_branch_history'!$B$2:$B$50=U153)*ROW('6_3nf_branch_history'!$A$2:$A$50))))</f>
        <v/>
      </c>
      <c r="Y153" s="2">
        <f>UPPER(TRIM(D153))</f>
        <v/>
      </c>
      <c r="Z153" s="2">
        <f>IFERROR(INDEX('7_3nf_product'!$B:$B,MATCH(Y153,'7_3nf_product'!$A:$A,0)),"NOT FOUND")</f>
        <v/>
      </c>
      <c r="AA153" s="2">
        <f>IFERROR(INDEX('7_3nf_product'!$C:$C,MATCH(Y153,'7_3nf_product'!$A:$A,0)),"NOT FOUND")</f>
        <v/>
      </c>
      <c r="AB153" s="2">
        <f>IFERROR(INDEX('7_3nf_product'!$D:$D,MATCH(Y153,'7_3nf_product'!$A:$A,0)),"NOT FOUND")</f>
        <v/>
      </c>
      <c r="AC153" s="6">
        <f>IFERROR(INDEX('7_3nf_product'!$E:$E,MATCH(Y153,'7_3nf_product'!$A:$A,0)),"NOT FOUND")</f>
        <v/>
      </c>
      <c r="AD153" s="33">
        <f>IF(LEN(TRIM(E153))=10,TRIM(E153),IF(LEN(TRIM(E153))=8,"00"&amp;TRIM(E153),"CHECK"))</f>
        <v/>
      </c>
      <c r="AE153" s="2">
        <f>IFERROR(INDEX('8_3nf_customer'!$C:$C,MATCH(AD153,'8_3nf_customer'!$B:$B,0)),"NOT FOUND")</f>
        <v/>
      </c>
      <c r="AF153" s="30">
        <f>IFERROR(INDEX('8_3nf_customer'!$D:$D,MATCH(AD153,'8_3nf_customer'!$B:$B,0)),"NOT FOUND")</f>
        <v/>
      </c>
      <c r="AG153" s="4">
        <f>IF(ISNUMBER(AF153),DATEDIF(AF153,L153,"y"),"NOT FOUND")</f>
        <v/>
      </c>
      <c r="AH153" s="2">
        <f>IFERROR(INDEX('8_3nf_customer'!$E:$E,MATCH(AD153,'8_3nf_customer'!$B:$B,0)),"NOT FOUND")</f>
        <v/>
      </c>
      <c r="AI153" s="30">
        <f>IF(_xlfn.MAXIFS('9_3nf_customer_history'!$B$2:$B$500,'9_3nf_customer_history'!$A$2:$A$500,AD153,'9_3nf_customer_history'!$B$2:$B$500,"&lt;="&amp;L153)=0,"NOT FOUND",_xlfn.MAXIFS('9_3nf_customer_history'!$B$2:$B$500,'9_3nf_customer_history'!$A$2:$A$500,AD153,'9_3nf_customer_history'!$B$2:$B$500,"&lt;="&amp;L153))</f>
        <v/>
      </c>
      <c r="AJ153" s="2">
        <f>IF(AI153="NOT FOUND","NOT FOUND",INDEX('9_3nf_customer_history'!$C:$C,SUMPRODUCT(('9_3nf_customer_history'!$A$2:$A$500=AD153)*('9_3nf_customer_history'!$B$2:$B$500=AI153)*ROW('9_3nf_customer_history'!$A$2:$A$500))))</f>
        <v/>
      </c>
      <c r="AK153" s="2">
        <f>IF(AI153="NOT FOUND","NOT FOUND",INDEX('9_3nf_customer_history'!$D:$D,SUMPRODUCT(('9_3nf_customer_history'!$A$2:$A$500=AD153)*('9_3nf_customer_history'!$B$2:$B$500=AI153)*ROW('9_3nf_customer_history'!$A$2:$A$500))))</f>
        <v/>
      </c>
      <c r="AL153" s="2">
        <f>UPPER(TRIM(H153))</f>
        <v/>
      </c>
      <c r="AM153" s="30">
        <f>IF(_xlfn.MAXIFS('10_ref_fx_rate'!$B$2:$B$2000,'10_ref_fx_rate'!$A$2:$A$2000,AL153,'10_ref_fx_rate'!$B$2:$B$2000,"&lt;="&amp;L153)=0,"NOT FOUND",_xlfn.MAXIFS('10_ref_fx_rate'!$B$2:$B$2000,'10_ref_fx_rate'!$A$2:$A$2000,AL153,'10_ref_fx_rate'!$B$2:$B$2000,"&lt;="&amp;L153))</f>
        <v/>
      </c>
      <c r="AN153" s="8">
        <f>IF(AM153="NOT FOUND","NOT FOUND",SUMIFS('10_ref_fx_rate'!$D$2:$D$2000,'10_ref_fx_rate'!$A$2:$A$2000,AL153,'10_ref_fx_rate'!$B$2:$B$2000,AM153))</f>
        <v/>
      </c>
      <c r="AO153" s="37">
        <f>IF(ISNUMBER(AN153),I153*AN153,"NOT FOUND")</f>
        <v/>
      </c>
      <c r="AP153" s="2">
        <f>UPPER(TRIM(J153))</f>
        <v/>
      </c>
      <c r="AQ153" s="2">
        <f>IF(AP153="","SELF-DIRECTED",IF(ISNUMBER(MATCH(AP153,'11_3nf_sales_person'!$A:$A,0)),IF(EXACT(AP153,J153),"OK","OK (auto-fixed)"),IF(ISNA(MATCH($A153,'12_sales_person_confirmation'!$A:$A,0)),"CONFIRM (not logged)",IF(INDEX('12_sales_person_confirmation'!$I:$I,MATCH($A153,'12_sales_person_confirmation'!$A:$A,0))="CONFIRMED","CONFIRMED ("&amp;LOWER(INDEX('12_sales_person_confirmation'!$E:$E,MATCH($A153,'12_sales_person_confirmation'!$A:$A,0)))&amp;")","PENDING CONFIRM"))))</f>
        <v/>
      </c>
      <c r="AR153" s="2">
        <f>IF(OR(AQ153="OK",AQ153="OK (auto-fixed)"),AP153,IF(LEFT(AQ153,9)="CONFIRMED",INDEX('12_sales_person_confirmation'!$F:$F,MATCH($A153,'12_sales_person_confirmation'!$A:$A,0)),""))</f>
        <v/>
      </c>
      <c r="AS153" s="2">
        <f>IF(AR153="","",INDEX('11_3nf_sales_person'!$B:$B,MATCH(AR153,'11_3nf_sales_person'!$A:$A,0)))</f>
        <v/>
      </c>
    </row>
    <row r="154">
      <c r="A154" s="2">
        <f>IF(ISBLANK('1_raw_log'!A154),"",'1_raw_log'!A154)</f>
        <v/>
      </c>
      <c r="B154" s="3">
        <f>IF(ISBLANK('1_raw_log'!B154),"",'1_raw_log'!B154)</f>
        <v/>
      </c>
      <c r="C154" s="2">
        <f>IF(ISBLANK('1_raw_log'!C154),"",'1_raw_log'!C154)</f>
        <v/>
      </c>
      <c r="D154" s="2">
        <f>IF(ISBLANK('1_raw_log'!D154),"",'1_raw_log'!D154)</f>
        <v/>
      </c>
      <c r="E154" s="4">
        <f>IF(ISBLANK('1_raw_log'!E154),"",'1_raw_log'!E154)</f>
        <v/>
      </c>
      <c r="F154" s="2">
        <f>IF(ISBLANK('1_raw_log'!F154),"",'1_raw_log'!F154)</f>
        <v/>
      </c>
      <c r="G154" s="2">
        <f>IF(ISBLANK('1_raw_log'!G154),"",'1_raw_log'!G154)</f>
        <v/>
      </c>
      <c r="H154" s="2">
        <f>IF(ISBLANK('1_raw_log'!H154),"",'1_raw_log'!H154)</f>
        <v/>
      </c>
      <c r="I154" s="7">
        <f>IF(ISBLANK('1_raw_log'!I154),"",'1_raw_log'!I154)</f>
        <v/>
      </c>
      <c r="J154" s="2">
        <f>IF(ISBLANK('1_raw_log'!J154),"",'1_raw_log'!J154)</f>
        <v/>
      </c>
      <c r="K154" s="2">
        <f>IF(ISBLANK('1_raw_log'!K154),"",'1_raw_log'!K154)</f>
        <v/>
      </c>
      <c r="L154" s="30">
        <f>INT(B154)</f>
        <v/>
      </c>
      <c r="M154" s="20">
        <f>ROUND(MOD(B154,1)*1440,0)/1440</f>
        <v/>
      </c>
      <c r="N154" s="4">
        <f>IFERROR(INDEX('3_ref_date'!$B:$B,MATCH(L154,'3_ref_date'!$A:$A,0)),"NOT FOUND")</f>
        <v/>
      </c>
      <c r="O154" s="2">
        <f>IFERROR(INDEX('3_ref_date'!$C:$C,MATCH(L154,'3_ref_date'!$A:$A,0)),"NOT FOUND")</f>
        <v/>
      </c>
      <c r="P154" s="4">
        <f>IFERROR(INDEX('3_ref_date'!$D:$D,MATCH(L154,'3_ref_date'!$A:$A,0)),"NOT FOUND")</f>
        <v/>
      </c>
      <c r="Q154" s="4">
        <f>IFERROR(INDEX('3_ref_date'!$E:$E,MATCH(L154,'3_ref_date'!$A:$A,0)),"NOT FOUND")</f>
        <v/>
      </c>
      <c r="R154" s="2">
        <f>IFERROR(INDEX('3_ref_date'!$F:$F,MATCH(L154,'3_ref_date'!$A:$A,0)),"NOT FOUND")</f>
        <v/>
      </c>
      <c r="S154" s="2">
        <f>IFERROR(INDEX('4_ref_time'!$D:$D,MATCH(ROUND(M154*1440,0),'4_ref_time'!$A:$A,0)),"NOT FOUND")</f>
        <v/>
      </c>
      <c r="T154" s="2">
        <f>UPPER(TRIM(C154))</f>
        <v/>
      </c>
      <c r="U154" s="30">
        <f>IF(_xlfn.MAXIFS('6_3nf_branch_history'!$B$2:$B$50,'6_3nf_branch_history'!$A$2:$A$50,T154,'6_3nf_branch_history'!$B$2:$B$50,"&lt;="&amp;L154)=0,"NOT FOUND",_xlfn.MAXIFS('6_3nf_branch_history'!$B$2:$B$50,'6_3nf_branch_history'!$A$2:$A$50,T154,'6_3nf_branch_history'!$B$2:$B$50,"&lt;="&amp;L154))</f>
        <v/>
      </c>
      <c r="V154" s="2">
        <f>IF(U154="NOT FOUND","NOT FOUND",INDEX('6_3nf_branch_history'!$C:$C,SUMPRODUCT(('6_3nf_branch_history'!$A$2:$A$50=T154)*('6_3nf_branch_history'!$B$2:$B$50=U154)*ROW('6_3nf_branch_history'!$A$2:$A$50))))</f>
        <v/>
      </c>
      <c r="W154" s="2">
        <f>IF(U154="NOT FOUND","NOT FOUND",INDEX('6_3nf_branch_history'!$D:$D,SUMPRODUCT(('6_3nf_branch_history'!$A$2:$A$50=T154)*('6_3nf_branch_history'!$B$2:$B$50=U154)*ROW('6_3nf_branch_history'!$A$2:$A$50))))</f>
        <v/>
      </c>
      <c r="X154" s="2">
        <f>IF(U154="NOT FOUND","NOT FOUND",INDEX('6_3nf_branch_history'!$E:$E,SUMPRODUCT(('6_3nf_branch_history'!$A$2:$A$50=T154)*('6_3nf_branch_history'!$B$2:$B$50=U154)*ROW('6_3nf_branch_history'!$A$2:$A$50))))</f>
        <v/>
      </c>
      <c r="Y154" s="2">
        <f>UPPER(TRIM(D154))</f>
        <v/>
      </c>
      <c r="Z154" s="2">
        <f>IFERROR(INDEX('7_3nf_product'!$B:$B,MATCH(Y154,'7_3nf_product'!$A:$A,0)),"NOT FOUND")</f>
        <v/>
      </c>
      <c r="AA154" s="2">
        <f>IFERROR(INDEX('7_3nf_product'!$C:$C,MATCH(Y154,'7_3nf_product'!$A:$A,0)),"NOT FOUND")</f>
        <v/>
      </c>
      <c r="AB154" s="2">
        <f>IFERROR(INDEX('7_3nf_product'!$D:$D,MATCH(Y154,'7_3nf_product'!$A:$A,0)),"NOT FOUND")</f>
        <v/>
      </c>
      <c r="AC154" s="6">
        <f>IFERROR(INDEX('7_3nf_product'!$E:$E,MATCH(Y154,'7_3nf_product'!$A:$A,0)),"NOT FOUND")</f>
        <v/>
      </c>
      <c r="AD154" s="33">
        <f>IF(LEN(TRIM(E154))=10,TRIM(E154),IF(LEN(TRIM(E154))=8,"00"&amp;TRIM(E154),"CHECK"))</f>
        <v/>
      </c>
      <c r="AE154" s="2">
        <f>IFERROR(INDEX('8_3nf_customer'!$C:$C,MATCH(AD154,'8_3nf_customer'!$B:$B,0)),"NOT FOUND")</f>
        <v/>
      </c>
      <c r="AF154" s="30">
        <f>IFERROR(INDEX('8_3nf_customer'!$D:$D,MATCH(AD154,'8_3nf_customer'!$B:$B,0)),"NOT FOUND")</f>
        <v/>
      </c>
      <c r="AG154" s="4">
        <f>IF(ISNUMBER(AF154),DATEDIF(AF154,L154,"y"),"NOT FOUND")</f>
        <v/>
      </c>
      <c r="AH154" s="2">
        <f>IFERROR(INDEX('8_3nf_customer'!$E:$E,MATCH(AD154,'8_3nf_customer'!$B:$B,0)),"NOT FOUND")</f>
        <v/>
      </c>
      <c r="AI154" s="30">
        <f>IF(_xlfn.MAXIFS('9_3nf_customer_history'!$B$2:$B$500,'9_3nf_customer_history'!$A$2:$A$500,AD154,'9_3nf_customer_history'!$B$2:$B$500,"&lt;="&amp;L154)=0,"NOT FOUND",_xlfn.MAXIFS('9_3nf_customer_history'!$B$2:$B$500,'9_3nf_customer_history'!$A$2:$A$500,AD154,'9_3nf_customer_history'!$B$2:$B$500,"&lt;="&amp;L154))</f>
        <v/>
      </c>
      <c r="AJ154" s="2">
        <f>IF(AI154="NOT FOUND","NOT FOUND",INDEX('9_3nf_customer_history'!$C:$C,SUMPRODUCT(('9_3nf_customer_history'!$A$2:$A$500=AD154)*('9_3nf_customer_history'!$B$2:$B$500=AI154)*ROW('9_3nf_customer_history'!$A$2:$A$500))))</f>
        <v/>
      </c>
      <c r="AK154" s="2">
        <f>IF(AI154="NOT FOUND","NOT FOUND",INDEX('9_3nf_customer_history'!$D:$D,SUMPRODUCT(('9_3nf_customer_history'!$A$2:$A$500=AD154)*('9_3nf_customer_history'!$B$2:$B$500=AI154)*ROW('9_3nf_customer_history'!$A$2:$A$500))))</f>
        <v/>
      </c>
      <c r="AL154" s="2">
        <f>UPPER(TRIM(H154))</f>
        <v/>
      </c>
      <c r="AM154" s="30">
        <f>IF(_xlfn.MAXIFS('10_ref_fx_rate'!$B$2:$B$2000,'10_ref_fx_rate'!$A$2:$A$2000,AL154,'10_ref_fx_rate'!$B$2:$B$2000,"&lt;="&amp;L154)=0,"NOT FOUND",_xlfn.MAXIFS('10_ref_fx_rate'!$B$2:$B$2000,'10_ref_fx_rate'!$A$2:$A$2000,AL154,'10_ref_fx_rate'!$B$2:$B$2000,"&lt;="&amp;L154))</f>
        <v/>
      </c>
      <c r="AN154" s="8">
        <f>IF(AM154="NOT FOUND","NOT FOUND",SUMIFS('10_ref_fx_rate'!$D$2:$D$2000,'10_ref_fx_rate'!$A$2:$A$2000,AL154,'10_ref_fx_rate'!$B$2:$B$2000,AM154))</f>
        <v/>
      </c>
      <c r="AO154" s="37">
        <f>IF(ISNUMBER(AN154),I154*AN154,"NOT FOUND")</f>
        <v/>
      </c>
      <c r="AP154" s="2">
        <f>UPPER(TRIM(J154))</f>
        <v/>
      </c>
      <c r="AQ154" s="2">
        <f>IF(AP154="","SELF-DIRECTED",IF(ISNUMBER(MATCH(AP154,'11_3nf_sales_person'!$A:$A,0)),IF(EXACT(AP154,J154),"OK","OK (auto-fixed)"),IF(ISNA(MATCH($A154,'12_sales_person_confirmation'!$A:$A,0)),"CONFIRM (not logged)",IF(INDEX('12_sales_person_confirmation'!$I:$I,MATCH($A154,'12_sales_person_confirmation'!$A:$A,0))="CONFIRMED","CONFIRMED ("&amp;LOWER(INDEX('12_sales_person_confirmation'!$E:$E,MATCH($A154,'12_sales_person_confirmation'!$A:$A,0)))&amp;")","PENDING CONFIRM"))))</f>
        <v/>
      </c>
      <c r="AR154" s="2">
        <f>IF(OR(AQ154="OK",AQ154="OK (auto-fixed)"),AP154,IF(LEFT(AQ154,9)="CONFIRMED",INDEX('12_sales_person_confirmation'!$F:$F,MATCH($A154,'12_sales_person_confirmation'!$A:$A,0)),""))</f>
        <v/>
      </c>
      <c r="AS154" s="2">
        <f>IF(AR154="","",INDEX('11_3nf_sales_person'!$B:$B,MATCH(AR154,'11_3nf_sales_person'!$A:$A,0)))</f>
        <v/>
      </c>
    </row>
    <row r="155">
      <c r="A155" s="2">
        <f>IF(ISBLANK('1_raw_log'!A155),"",'1_raw_log'!A155)</f>
        <v/>
      </c>
      <c r="B155" s="3">
        <f>IF(ISBLANK('1_raw_log'!B155),"",'1_raw_log'!B155)</f>
        <v/>
      </c>
      <c r="C155" s="2">
        <f>IF(ISBLANK('1_raw_log'!C155),"",'1_raw_log'!C155)</f>
        <v/>
      </c>
      <c r="D155" s="2">
        <f>IF(ISBLANK('1_raw_log'!D155),"",'1_raw_log'!D155)</f>
        <v/>
      </c>
      <c r="E155" s="4">
        <f>IF(ISBLANK('1_raw_log'!E155),"",'1_raw_log'!E155)</f>
        <v/>
      </c>
      <c r="F155" s="2">
        <f>IF(ISBLANK('1_raw_log'!F155),"",'1_raw_log'!F155)</f>
        <v/>
      </c>
      <c r="G155" s="2">
        <f>IF(ISBLANK('1_raw_log'!G155),"",'1_raw_log'!G155)</f>
        <v/>
      </c>
      <c r="H155" s="2">
        <f>IF(ISBLANK('1_raw_log'!H155),"",'1_raw_log'!H155)</f>
        <v/>
      </c>
      <c r="I155" s="7">
        <f>IF(ISBLANK('1_raw_log'!I155),"",'1_raw_log'!I155)</f>
        <v/>
      </c>
      <c r="J155" s="2">
        <f>IF(ISBLANK('1_raw_log'!J155),"",'1_raw_log'!J155)</f>
        <v/>
      </c>
      <c r="K155" s="2">
        <f>IF(ISBLANK('1_raw_log'!K155),"",'1_raw_log'!K155)</f>
        <v/>
      </c>
      <c r="L155" s="30">
        <f>INT(B155)</f>
        <v/>
      </c>
      <c r="M155" s="20">
        <f>ROUND(MOD(B155,1)*1440,0)/1440</f>
        <v/>
      </c>
      <c r="N155" s="4">
        <f>IFERROR(INDEX('3_ref_date'!$B:$B,MATCH(L155,'3_ref_date'!$A:$A,0)),"NOT FOUND")</f>
        <v/>
      </c>
      <c r="O155" s="2">
        <f>IFERROR(INDEX('3_ref_date'!$C:$C,MATCH(L155,'3_ref_date'!$A:$A,0)),"NOT FOUND")</f>
        <v/>
      </c>
      <c r="P155" s="4">
        <f>IFERROR(INDEX('3_ref_date'!$D:$D,MATCH(L155,'3_ref_date'!$A:$A,0)),"NOT FOUND")</f>
        <v/>
      </c>
      <c r="Q155" s="4">
        <f>IFERROR(INDEX('3_ref_date'!$E:$E,MATCH(L155,'3_ref_date'!$A:$A,0)),"NOT FOUND")</f>
        <v/>
      </c>
      <c r="R155" s="2">
        <f>IFERROR(INDEX('3_ref_date'!$F:$F,MATCH(L155,'3_ref_date'!$A:$A,0)),"NOT FOUND")</f>
        <v/>
      </c>
      <c r="S155" s="2">
        <f>IFERROR(INDEX('4_ref_time'!$D:$D,MATCH(ROUND(M155*1440,0),'4_ref_time'!$A:$A,0)),"NOT FOUND")</f>
        <v/>
      </c>
      <c r="T155" s="2">
        <f>UPPER(TRIM(C155))</f>
        <v/>
      </c>
      <c r="U155" s="30">
        <f>IF(_xlfn.MAXIFS('6_3nf_branch_history'!$B$2:$B$50,'6_3nf_branch_history'!$A$2:$A$50,T155,'6_3nf_branch_history'!$B$2:$B$50,"&lt;="&amp;L155)=0,"NOT FOUND",_xlfn.MAXIFS('6_3nf_branch_history'!$B$2:$B$50,'6_3nf_branch_history'!$A$2:$A$50,T155,'6_3nf_branch_history'!$B$2:$B$50,"&lt;="&amp;L155))</f>
        <v/>
      </c>
      <c r="V155" s="2">
        <f>IF(U155="NOT FOUND","NOT FOUND",INDEX('6_3nf_branch_history'!$C:$C,SUMPRODUCT(('6_3nf_branch_history'!$A$2:$A$50=T155)*('6_3nf_branch_history'!$B$2:$B$50=U155)*ROW('6_3nf_branch_history'!$A$2:$A$50))))</f>
        <v/>
      </c>
      <c r="W155" s="2">
        <f>IF(U155="NOT FOUND","NOT FOUND",INDEX('6_3nf_branch_history'!$D:$D,SUMPRODUCT(('6_3nf_branch_history'!$A$2:$A$50=T155)*('6_3nf_branch_history'!$B$2:$B$50=U155)*ROW('6_3nf_branch_history'!$A$2:$A$50))))</f>
        <v/>
      </c>
      <c r="X155" s="2">
        <f>IF(U155="NOT FOUND","NOT FOUND",INDEX('6_3nf_branch_history'!$E:$E,SUMPRODUCT(('6_3nf_branch_history'!$A$2:$A$50=T155)*('6_3nf_branch_history'!$B$2:$B$50=U155)*ROW('6_3nf_branch_history'!$A$2:$A$50))))</f>
        <v/>
      </c>
      <c r="Y155" s="2">
        <f>UPPER(TRIM(D155))</f>
        <v/>
      </c>
      <c r="Z155" s="2">
        <f>IFERROR(INDEX('7_3nf_product'!$B:$B,MATCH(Y155,'7_3nf_product'!$A:$A,0)),"NOT FOUND")</f>
        <v/>
      </c>
      <c r="AA155" s="2">
        <f>IFERROR(INDEX('7_3nf_product'!$C:$C,MATCH(Y155,'7_3nf_product'!$A:$A,0)),"NOT FOUND")</f>
        <v/>
      </c>
      <c r="AB155" s="2">
        <f>IFERROR(INDEX('7_3nf_product'!$D:$D,MATCH(Y155,'7_3nf_product'!$A:$A,0)),"NOT FOUND")</f>
        <v/>
      </c>
      <c r="AC155" s="6">
        <f>IFERROR(INDEX('7_3nf_product'!$E:$E,MATCH(Y155,'7_3nf_product'!$A:$A,0)),"NOT FOUND")</f>
        <v/>
      </c>
      <c r="AD155" s="33">
        <f>IF(LEN(TRIM(E155))=10,TRIM(E155),IF(LEN(TRIM(E155))=8,"00"&amp;TRIM(E155),"CHECK"))</f>
        <v/>
      </c>
      <c r="AE155" s="2">
        <f>IFERROR(INDEX('8_3nf_customer'!$C:$C,MATCH(AD155,'8_3nf_customer'!$B:$B,0)),"NOT FOUND")</f>
        <v/>
      </c>
      <c r="AF155" s="30">
        <f>IFERROR(INDEX('8_3nf_customer'!$D:$D,MATCH(AD155,'8_3nf_customer'!$B:$B,0)),"NOT FOUND")</f>
        <v/>
      </c>
      <c r="AG155" s="4">
        <f>IF(ISNUMBER(AF155),DATEDIF(AF155,L155,"y"),"NOT FOUND")</f>
        <v/>
      </c>
      <c r="AH155" s="2">
        <f>IFERROR(INDEX('8_3nf_customer'!$E:$E,MATCH(AD155,'8_3nf_customer'!$B:$B,0)),"NOT FOUND")</f>
        <v/>
      </c>
      <c r="AI155" s="30">
        <f>IF(_xlfn.MAXIFS('9_3nf_customer_history'!$B$2:$B$500,'9_3nf_customer_history'!$A$2:$A$500,AD155,'9_3nf_customer_history'!$B$2:$B$500,"&lt;="&amp;L155)=0,"NOT FOUND",_xlfn.MAXIFS('9_3nf_customer_history'!$B$2:$B$500,'9_3nf_customer_history'!$A$2:$A$500,AD155,'9_3nf_customer_history'!$B$2:$B$500,"&lt;="&amp;L155))</f>
        <v/>
      </c>
      <c r="AJ155" s="2">
        <f>IF(AI155="NOT FOUND","NOT FOUND",INDEX('9_3nf_customer_history'!$C:$C,SUMPRODUCT(('9_3nf_customer_history'!$A$2:$A$500=AD155)*('9_3nf_customer_history'!$B$2:$B$500=AI155)*ROW('9_3nf_customer_history'!$A$2:$A$500))))</f>
        <v/>
      </c>
      <c r="AK155" s="2">
        <f>IF(AI155="NOT FOUND","NOT FOUND",INDEX('9_3nf_customer_history'!$D:$D,SUMPRODUCT(('9_3nf_customer_history'!$A$2:$A$500=AD155)*('9_3nf_customer_history'!$B$2:$B$500=AI155)*ROW('9_3nf_customer_history'!$A$2:$A$500))))</f>
        <v/>
      </c>
      <c r="AL155" s="2">
        <f>UPPER(TRIM(H155))</f>
        <v/>
      </c>
      <c r="AM155" s="30">
        <f>IF(_xlfn.MAXIFS('10_ref_fx_rate'!$B$2:$B$2000,'10_ref_fx_rate'!$A$2:$A$2000,AL155,'10_ref_fx_rate'!$B$2:$B$2000,"&lt;="&amp;L155)=0,"NOT FOUND",_xlfn.MAXIFS('10_ref_fx_rate'!$B$2:$B$2000,'10_ref_fx_rate'!$A$2:$A$2000,AL155,'10_ref_fx_rate'!$B$2:$B$2000,"&lt;="&amp;L155))</f>
        <v/>
      </c>
      <c r="AN155" s="8">
        <f>IF(AM155="NOT FOUND","NOT FOUND",SUMIFS('10_ref_fx_rate'!$D$2:$D$2000,'10_ref_fx_rate'!$A$2:$A$2000,AL155,'10_ref_fx_rate'!$B$2:$B$2000,AM155))</f>
        <v/>
      </c>
      <c r="AO155" s="37">
        <f>IF(ISNUMBER(AN155),I155*AN155,"NOT FOUND")</f>
        <v/>
      </c>
      <c r="AP155" s="2">
        <f>UPPER(TRIM(J155))</f>
        <v/>
      </c>
      <c r="AQ155" s="2">
        <f>IF(AP155="","SELF-DIRECTED",IF(ISNUMBER(MATCH(AP155,'11_3nf_sales_person'!$A:$A,0)),IF(EXACT(AP155,J155),"OK","OK (auto-fixed)"),IF(ISNA(MATCH($A155,'12_sales_person_confirmation'!$A:$A,0)),"CONFIRM (not logged)",IF(INDEX('12_sales_person_confirmation'!$I:$I,MATCH($A155,'12_sales_person_confirmation'!$A:$A,0))="CONFIRMED","CONFIRMED ("&amp;LOWER(INDEX('12_sales_person_confirmation'!$E:$E,MATCH($A155,'12_sales_person_confirmation'!$A:$A,0)))&amp;")","PENDING CONFIRM"))))</f>
        <v/>
      </c>
      <c r="AR155" s="2">
        <f>IF(OR(AQ155="OK",AQ155="OK (auto-fixed)"),AP155,IF(LEFT(AQ155,9)="CONFIRMED",INDEX('12_sales_person_confirmation'!$F:$F,MATCH($A155,'12_sales_person_confirmation'!$A:$A,0)),""))</f>
        <v/>
      </c>
      <c r="AS155" s="2">
        <f>IF(AR155="","",INDEX('11_3nf_sales_person'!$B:$B,MATCH(AR155,'11_3nf_sales_person'!$A:$A,0)))</f>
        <v/>
      </c>
    </row>
    <row r="156">
      <c r="A156" s="2">
        <f>IF(ISBLANK('1_raw_log'!A156),"",'1_raw_log'!A156)</f>
        <v/>
      </c>
      <c r="B156" s="3">
        <f>IF(ISBLANK('1_raw_log'!B156),"",'1_raw_log'!B156)</f>
        <v/>
      </c>
      <c r="C156" s="2">
        <f>IF(ISBLANK('1_raw_log'!C156),"",'1_raw_log'!C156)</f>
        <v/>
      </c>
      <c r="D156" s="2">
        <f>IF(ISBLANK('1_raw_log'!D156),"",'1_raw_log'!D156)</f>
        <v/>
      </c>
      <c r="E156" s="4">
        <f>IF(ISBLANK('1_raw_log'!E156),"",'1_raw_log'!E156)</f>
        <v/>
      </c>
      <c r="F156" s="2">
        <f>IF(ISBLANK('1_raw_log'!F156),"",'1_raw_log'!F156)</f>
        <v/>
      </c>
      <c r="G156" s="2">
        <f>IF(ISBLANK('1_raw_log'!G156),"",'1_raw_log'!G156)</f>
        <v/>
      </c>
      <c r="H156" s="2">
        <f>IF(ISBLANK('1_raw_log'!H156),"",'1_raw_log'!H156)</f>
        <v/>
      </c>
      <c r="I156" s="7">
        <f>IF(ISBLANK('1_raw_log'!I156),"",'1_raw_log'!I156)</f>
        <v/>
      </c>
      <c r="J156" s="2">
        <f>IF(ISBLANK('1_raw_log'!J156),"",'1_raw_log'!J156)</f>
        <v/>
      </c>
      <c r="K156" s="2">
        <f>IF(ISBLANK('1_raw_log'!K156),"",'1_raw_log'!K156)</f>
        <v/>
      </c>
      <c r="L156" s="30">
        <f>INT(B156)</f>
        <v/>
      </c>
      <c r="M156" s="20">
        <f>ROUND(MOD(B156,1)*1440,0)/1440</f>
        <v/>
      </c>
      <c r="N156" s="4">
        <f>IFERROR(INDEX('3_ref_date'!$B:$B,MATCH(L156,'3_ref_date'!$A:$A,0)),"NOT FOUND")</f>
        <v/>
      </c>
      <c r="O156" s="2">
        <f>IFERROR(INDEX('3_ref_date'!$C:$C,MATCH(L156,'3_ref_date'!$A:$A,0)),"NOT FOUND")</f>
        <v/>
      </c>
      <c r="P156" s="4">
        <f>IFERROR(INDEX('3_ref_date'!$D:$D,MATCH(L156,'3_ref_date'!$A:$A,0)),"NOT FOUND")</f>
        <v/>
      </c>
      <c r="Q156" s="4">
        <f>IFERROR(INDEX('3_ref_date'!$E:$E,MATCH(L156,'3_ref_date'!$A:$A,0)),"NOT FOUND")</f>
        <v/>
      </c>
      <c r="R156" s="2">
        <f>IFERROR(INDEX('3_ref_date'!$F:$F,MATCH(L156,'3_ref_date'!$A:$A,0)),"NOT FOUND")</f>
        <v/>
      </c>
      <c r="S156" s="2">
        <f>IFERROR(INDEX('4_ref_time'!$D:$D,MATCH(ROUND(M156*1440,0),'4_ref_time'!$A:$A,0)),"NOT FOUND")</f>
        <v/>
      </c>
      <c r="T156" s="2">
        <f>UPPER(TRIM(C156))</f>
        <v/>
      </c>
      <c r="U156" s="30">
        <f>IF(_xlfn.MAXIFS('6_3nf_branch_history'!$B$2:$B$50,'6_3nf_branch_history'!$A$2:$A$50,T156,'6_3nf_branch_history'!$B$2:$B$50,"&lt;="&amp;L156)=0,"NOT FOUND",_xlfn.MAXIFS('6_3nf_branch_history'!$B$2:$B$50,'6_3nf_branch_history'!$A$2:$A$50,T156,'6_3nf_branch_history'!$B$2:$B$50,"&lt;="&amp;L156))</f>
        <v/>
      </c>
      <c r="V156" s="2">
        <f>IF(U156="NOT FOUND","NOT FOUND",INDEX('6_3nf_branch_history'!$C:$C,SUMPRODUCT(('6_3nf_branch_history'!$A$2:$A$50=T156)*('6_3nf_branch_history'!$B$2:$B$50=U156)*ROW('6_3nf_branch_history'!$A$2:$A$50))))</f>
        <v/>
      </c>
      <c r="W156" s="2">
        <f>IF(U156="NOT FOUND","NOT FOUND",INDEX('6_3nf_branch_history'!$D:$D,SUMPRODUCT(('6_3nf_branch_history'!$A$2:$A$50=T156)*('6_3nf_branch_history'!$B$2:$B$50=U156)*ROW('6_3nf_branch_history'!$A$2:$A$50))))</f>
        <v/>
      </c>
      <c r="X156" s="2">
        <f>IF(U156="NOT FOUND","NOT FOUND",INDEX('6_3nf_branch_history'!$E:$E,SUMPRODUCT(('6_3nf_branch_history'!$A$2:$A$50=T156)*('6_3nf_branch_history'!$B$2:$B$50=U156)*ROW('6_3nf_branch_history'!$A$2:$A$50))))</f>
        <v/>
      </c>
      <c r="Y156" s="2">
        <f>UPPER(TRIM(D156))</f>
        <v/>
      </c>
      <c r="Z156" s="2">
        <f>IFERROR(INDEX('7_3nf_product'!$B:$B,MATCH(Y156,'7_3nf_product'!$A:$A,0)),"NOT FOUND")</f>
        <v/>
      </c>
      <c r="AA156" s="2">
        <f>IFERROR(INDEX('7_3nf_product'!$C:$C,MATCH(Y156,'7_3nf_product'!$A:$A,0)),"NOT FOUND")</f>
        <v/>
      </c>
      <c r="AB156" s="2">
        <f>IFERROR(INDEX('7_3nf_product'!$D:$D,MATCH(Y156,'7_3nf_product'!$A:$A,0)),"NOT FOUND")</f>
        <v/>
      </c>
      <c r="AC156" s="6">
        <f>IFERROR(INDEX('7_3nf_product'!$E:$E,MATCH(Y156,'7_3nf_product'!$A:$A,0)),"NOT FOUND")</f>
        <v/>
      </c>
      <c r="AD156" s="33">
        <f>IF(LEN(TRIM(E156))=10,TRIM(E156),IF(LEN(TRIM(E156))=8,"00"&amp;TRIM(E156),"CHECK"))</f>
        <v/>
      </c>
      <c r="AE156" s="2">
        <f>IFERROR(INDEX('8_3nf_customer'!$C:$C,MATCH(AD156,'8_3nf_customer'!$B:$B,0)),"NOT FOUND")</f>
        <v/>
      </c>
      <c r="AF156" s="30">
        <f>IFERROR(INDEX('8_3nf_customer'!$D:$D,MATCH(AD156,'8_3nf_customer'!$B:$B,0)),"NOT FOUND")</f>
        <v/>
      </c>
      <c r="AG156" s="4">
        <f>IF(ISNUMBER(AF156),DATEDIF(AF156,L156,"y"),"NOT FOUND")</f>
        <v/>
      </c>
      <c r="AH156" s="2">
        <f>IFERROR(INDEX('8_3nf_customer'!$E:$E,MATCH(AD156,'8_3nf_customer'!$B:$B,0)),"NOT FOUND")</f>
        <v/>
      </c>
      <c r="AI156" s="30">
        <f>IF(_xlfn.MAXIFS('9_3nf_customer_history'!$B$2:$B$500,'9_3nf_customer_history'!$A$2:$A$500,AD156,'9_3nf_customer_history'!$B$2:$B$500,"&lt;="&amp;L156)=0,"NOT FOUND",_xlfn.MAXIFS('9_3nf_customer_history'!$B$2:$B$500,'9_3nf_customer_history'!$A$2:$A$500,AD156,'9_3nf_customer_history'!$B$2:$B$500,"&lt;="&amp;L156))</f>
        <v/>
      </c>
      <c r="AJ156" s="2">
        <f>IF(AI156="NOT FOUND","NOT FOUND",INDEX('9_3nf_customer_history'!$C:$C,SUMPRODUCT(('9_3nf_customer_history'!$A$2:$A$500=AD156)*('9_3nf_customer_history'!$B$2:$B$500=AI156)*ROW('9_3nf_customer_history'!$A$2:$A$500))))</f>
        <v/>
      </c>
      <c r="AK156" s="2">
        <f>IF(AI156="NOT FOUND","NOT FOUND",INDEX('9_3nf_customer_history'!$D:$D,SUMPRODUCT(('9_3nf_customer_history'!$A$2:$A$500=AD156)*('9_3nf_customer_history'!$B$2:$B$500=AI156)*ROW('9_3nf_customer_history'!$A$2:$A$500))))</f>
        <v/>
      </c>
      <c r="AL156" s="2">
        <f>UPPER(TRIM(H156))</f>
        <v/>
      </c>
      <c r="AM156" s="30">
        <f>IF(_xlfn.MAXIFS('10_ref_fx_rate'!$B$2:$B$2000,'10_ref_fx_rate'!$A$2:$A$2000,AL156,'10_ref_fx_rate'!$B$2:$B$2000,"&lt;="&amp;L156)=0,"NOT FOUND",_xlfn.MAXIFS('10_ref_fx_rate'!$B$2:$B$2000,'10_ref_fx_rate'!$A$2:$A$2000,AL156,'10_ref_fx_rate'!$B$2:$B$2000,"&lt;="&amp;L156))</f>
        <v/>
      </c>
      <c r="AN156" s="8">
        <f>IF(AM156="NOT FOUND","NOT FOUND",SUMIFS('10_ref_fx_rate'!$D$2:$D$2000,'10_ref_fx_rate'!$A$2:$A$2000,AL156,'10_ref_fx_rate'!$B$2:$B$2000,AM156))</f>
        <v/>
      </c>
      <c r="AO156" s="37">
        <f>IF(ISNUMBER(AN156),I156*AN156,"NOT FOUND")</f>
        <v/>
      </c>
      <c r="AP156" s="2">
        <f>UPPER(TRIM(J156))</f>
        <v/>
      </c>
      <c r="AQ156" s="2">
        <f>IF(AP156="","SELF-DIRECTED",IF(ISNUMBER(MATCH(AP156,'11_3nf_sales_person'!$A:$A,0)),IF(EXACT(AP156,J156),"OK","OK (auto-fixed)"),IF(ISNA(MATCH($A156,'12_sales_person_confirmation'!$A:$A,0)),"CONFIRM (not logged)",IF(INDEX('12_sales_person_confirmation'!$I:$I,MATCH($A156,'12_sales_person_confirmation'!$A:$A,0))="CONFIRMED","CONFIRMED ("&amp;LOWER(INDEX('12_sales_person_confirmation'!$E:$E,MATCH($A156,'12_sales_person_confirmation'!$A:$A,0)))&amp;")","PENDING CONFIRM"))))</f>
        <v/>
      </c>
      <c r="AR156" s="2">
        <f>IF(OR(AQ156="OK",AQ156="OK (auto-fixed)"),AP156,IF(LEFT(AQ156,9)="CONFIRMED",INDEX('12_sales_person_confirmation'!$F:$F,MATCH($A156,'12_sales_person_confirmation'!$A:$A,0)),""))</f>
        <v/>
      </c>
      <c r="AS156" s="2">
        <f>IF(AR156="","",INDEX('11_3nf_sales_person'!$B:$B,MATCH(AR156,'11_3nf_sales_person'!$A:$A,0)))</f>
        <v/>
      </c>
    </row>
    <row r="157">
      <c r="A157" s="2">
        <f>IF(ISBLANK('1_raw_log'!A157),"",'1_raw_log'!A157)</f>
        <v/>
      </c>
      <c r="B157" s="3">
        <f>IF(ISBLANK('1_raw_log'!B157),"",'1_raw_log'!B157)</f>
        <v/>
      </c>
      <c r="C157" s="2">
        <f>IF(ISBLANK('1_raw_log'!C157),"",'1_raw_log'!C157)</f>
        <v/>
      </c>
      <c r="D157" s="2">
        <f>IF(ISBLANK('1_raw_log'!D157),"",'1_raw_log'!D157)</f>
        <v/>
      </c>
      <c r="E157" s="4">
        <f>IF(ISBLANK('1_raw_log'!E157),"",'1_raw_log'!E157)</f>
        <v/>
      </c>
      <c r="F157" s="2">
        <f>IF(ISBLANK('1_raw_log'!F157),"",'1_raw_log'!F157)</f>
        <v/>
      </c>
      <c r="G157" s="2">
        <f>IF(ISBLANK('1_raw_log'!G157),"",'1_raw_log'!G157)</f>
        <v/>
      </c>
      <c r="H157" s="2">
        <f>IF(ISBLANK('1_raw_log'!H157),"",'1_raw_log'!H157)</f>
        <v/>
      </c>
      <c r="I157" s="7">
        <f>IF(ISBLANK('1_raw_log'!I157),"",'1_raw_log'!I157)</f>
        <v/>
      </c>
      <c r="J157" s="2">
        <f>IF(ISBLANK('1_raw_log'!J157),"",'1_raw_log'!J157)</f>
        <v/>
      </c>
      <c r="K157" s="2">
        <f>IF(ISBLANK('1_raw_log'!K157),"",'1_raw_log'!K157)</f>
        <v/>
      </c>
      <c r="L157" s="30">
        <f>INT(B157)</f>
        <v/>
      </c>
      <c r="M157" s="20">
        <f>ROUND(MOD(B157,1)*1440,0)/1440</f>
        <v/>
      </c>
      <c r="N157" s="4">
        <f>IFERROR(INDEX('3_ref_date'!$B:$B,MATCH(L157,'3_ref_date'!$A:$A,0)),"NOT FOUND")</f>
        <v/>
      </c>
      <c r="O157" s="2">
        <f>IFERROR(INDEX('3_ref_date'!$C:$C,MATCH(L157,'3_ref_date'!$A:$A,0)),"NOT FOUND")</f>
        <v/>
      </c>
      <c r="P157" s="4">
        <f>IFERROR(INDEX('3_ref_date'!$D:$D,MATCH(L157,'3_ref_date'!$A:$A,0)),"NOT FOUND")</f>
        <v/>
      </c>
      <c r="Q157" s="4">
        <f>IFERROR(INDEX('3_ref_date'!$E:$E,MATCH(L157,'3_ref_date'!$A:$A,0)),"NOT FOUND")</f>
        <v/>
      </c>
      <c r="R157" s="2">
        <f>IFERROR(INDEX('3_ref_date'!$F:$F,MATCH(L157,'3_ref_date'!$A:$A,0)),"NOT FOUND")</f>
        <v/>
      </c>
      <c r="S157" s="2">
        <f>IFERROR(INDEX('4_ref_time'!$D:$D,MATCH(ROUND(M157*1440,0),'4_ref_time'!$A:$A,0)),"NOT FOUND")</f>
        <v/>
      </c>
      <c r="T157" s="2">
        <f>UPPER(TRIM(C157))</f>
        <v/>
      </c>
      <c r="U157" s="30">
        <f>IF(_xlfn.MAXIFS('6_3nf_branch_history'!$B$2:$B$50,'6_3nf_branch_history'!$A$2:$A$50,T157,'6_3nf_branch_history'!$B$2:$B$50,"&lt;="&amp;L157)=0,"NOT FOUND",_xlfn.MAXIFS('6_3nf_branch_history'!$B$2:$B$50,'6_3nf_branch_history'!$A$2:$A$50,T157,'6_3nf_branch_history'!$B$2:$B$50,"&lt;="&amp;L157))</f>
        <v/>
      </c>
      <c r="V157" s="2">
        <f>IF(U157="NOT FOUND","NOT FOUND",INDEX('6_3nf_branch_history'!$C:$C,SUMPRODUCT(('6_3nf_branch_history'!$A$2:$A$50=T157)*('6_3nf_branch_history'!$B$2:$B$50=U157)*ROW('6_3nf_branch_history'!$A$2:$A$50))))</f>
        <v/>
      </c>
      <c r="W157" s="2">
        <f>IF(U157="NOT FOUND","NOT FOUND",INDEX('6_3nf_branch_history'!$D:$D,SUMPRODUCT(('6_3nf_branch_history'!$A$2:$A$50=T157)*('6_3nf_branch_history'!$B$2:$B$50=U157)*ROW('6_3nf_branch_history'!$A$2:$A$50))))</f>
        <v/>
      </c>
      <c r="X157" s="2">
        <f>IF(U157="NOT FOUND","NOT FOUND",INDEX('6_3nf_branch_history'!$E:$E,SUMPRODUCT(('6_3nf_branch_history'!$A$2:$A$50=T157)*('6_3nf_branch_history'!$B$2:$B$50=U157)*ROW('6_3nf_branch_history'!$A$2:$A$50))))</f>
        <v/>
      </c>
      <c r="Y157" s="2">
        <f>UPPER(TRIM(D157))</f>
        <v/>
      </c>
      <c r="Z157" s="2">
        <f>IFERROR(INDEX('7_3nf_product'!$B:$B,MATCH(Y157,'7_3nf_product'!$A:$A,0)),"NOT FOUND")</f>
        <v/>
      </c>
      <c r="AA157" s="2">
        <f>IFERROR(INDEX('7_3nf_product'!$C:$C,MATCH(Y157,'7_3nf_product'!$A:$A,0)),"NOT FOUND")</f>
        <v/>
      </c>
      <c r="AB157" s="2">
        <f>IFERROR(INDEX('7_3nf_product'!$D:$D,MATCH(Y157,'7_3nf_product'!$A:$A,0)),"NOT FOUND")</f>
        <v/>
      </c>
      <c r="AC157" s="6">
        <f>IFERROR(INDEX('7_3nf_product'!$E:$E,MATCH(Y157,'7_3nf_product'!$A:$A,0)),"NOT FOUND")</f>
        <v/>
      </c>
      <c r="AD157" s="33">
        <f>IF(LEN(TRIM(E157))=10,TRIM(E157),IF(LEN(TRIM(E157))=8,"00"&amp;TRIM(E157),"CHECK"))</f>
        <v/>
      </c>
      <c r="AE157" s="2">
        <f>IFERROR(INDEX('8_3nf_customer'!$C:$C,MATCH(AD157,'8_3nf_customer'!$B:$B,0)),"NOT FOUND")</f>
        <v/>
      </c>
      <c r="AF157" s="30">
        <f>IFERROR(INDEX('8_3nf_customer'!$D:$D,MATCH(AD157,'8_3nf_customer'!$B:$B,0)),"NOT FOUND")</f>
        <v/>
      </c>
      <c r="AG157" s="4">
        <f>IF(ISNUMBER(AF157),DATEDIF(AF157,L157,"y"),"NOT FOUND")</f>
        <v/>
      </c>
      <c r="AH157" s="2">
        <f>IFERROR(INDEX('8_3nf_customer'!$E:$E,MATCH(AD157,'8_3nf_customer'!$B:$B,0)),"NOT FOUND")</f>
        <v/>
      </c>
      <c r="AI157" s="30">
        <f>IF(_xlfn.MAXIFS('9_3nf_customer_history'!$B$2:$B$500,'9_3nf_customer_history'!$A$2:$A$500,AD157,'9_3nf_customer_history'!$B$2:$B$500,"&lt;="&amp;L157)=0,"NOT FOUND",_xlfn.MAXIFS('9_3nf_customer_history'!$B$2:$B$500,'9_3nf_customer_history'!$A$2:$A$500,AD157,'9_3nf_customer_history'!$B$2:$B$500,"&lt;="&amp;L157))</f>
        <v/>
      </c>
      <c r="AJ157" s="2">
        <f>IF(AI157="NOT FOUND","NOT FOUND",INDEX('9_3nf_customer_history'!$C:$C,SUMPRODUCT(('9_3nf_customer_history'!$A$2:$A$500=AD157)*('9_3nf_customer_history'!$B$2:$B$500=AI157)*ROW('9_3nf_customer_history'!$A$2:$A$500))))</f>
        <v/>
      </c>
      <c r="AK157" s="2">
        <f>IF(AI157="NOT FOUND","NOT FOUND",INDEX('9_3nf_customer_history'!$D:$D,SUMPRODUCT(('9_3nf_customer_history'!$A$2:$A$500=AD157)*('9_3nf_customer_history'!$B$2:$B$500=AI157)*ROW('9_3nf_customer_history'!$A$2:$A$500))))</f>
        <v/>
      </c>
      <c r="AL157" s="2">
        <f>UPPER(TRIM(H157))</f>
        <v/>
      </c>
      <c r="AM157" s="30">
        <f>IF(_xlfn.MAXIFS('10_ref_fx_rate'!$B$2:$B$2000,'10_ref_fx_rate'!$A$2:$A$2000,AL157,'10_ref_fx_rate'!$B$2:$B$2000,"&lt;="&amp;L157)=0,"NOT FOUND",_xlfn.MAXIFS('10_ref_fx_rate'!$B$2:$B$2000,'10_ref_fx_rate'!$A$2:$A$2000,AL157,'10_ref_fx_rate'!$B$2:$B$2000,"&lt;="&amp;L157))</f>
        <v/>
      </c>
      <c r="AN157" s="8">
        <f>IF(AM157="NOT FOUND","NOT FOUND",SUMIFS('10_ref_fx_rate'!$D$2:$D$2000,'10_ref_fx_rate'!$A$2:$A$2000,AL157,'10_ref_fx_rate'!$B$2:$B$2000,AM157))</f>
        <v/>
      </c>
      <c r="AO157" s="37">
        <f>IF(ISNUMBER(AN157),I157*AN157,"NOT FOUND")</f>
        <v/>
      </c>
      <c r="AP157" s="2">
        <f>UPPER(TRIM(J157))</f>
        <v/>
      </c>
      <c r="AQ157" s="2">
        <f>IF(AP157="","SELF-DIRECTED",IF(ISNUMBER(MATCH(AP157,'11_3nf_sales_person'!$A:$A,0)),IF(EXACT(AP157,J157),"OK","OK (auto-fixed)"),IF(ISNA(MATCH($A157,'12_sales_person_confirmation'!$A:$A,0)),"CONFIRM (not logged)",IF(INDEX('12_sales_person_confirmation'!$I:$I,MATCH($A157,'12_sales_person_confirmation'!$A:$A,0))="CONFIRMED","CONFIRMED ("&amp;LOWER(INDEX('12_sales_person_confirmation'!$E:$E,MATCH($A157,'12_sales_person_confirmation'!$A:$A,0)))&amp;")","PENDING CONFIRM"))))</f>
        <v/>
      </c>
      <c r="AR157" s="2">
        <f>IF(OR(AQ157="OK",AQ157="OK (auto-fixed)"),AP157,IF(LEFT(AQ157,9)="CONFIRMED",INDEX('12_sales_person_confirmation'!$F:$F,MATCH($A157,'12_sales_person_confirmation'!$A:$A,0)),""))</f>
        <v/>
      </c>
      <c r="AS157" s="2">
        <f>IF(AR157="","",INDEX('11_3nf_sales_person'!$B:$B,MATCH(AR157,'11_3nf_sales_person'!$A:$A,0)))</f>
        <v/>
      </c>
    </row>
    <row r="158">
      <c r="A158" s="2">
        <f>IF(ISBLANK('1_raw_log'!A158),"",'1_raw_log'!A158)</f>
        <v/>
      </c>
      <c r="B158" s="3">
        <f>IF(ISBLANK('1_raw_log'!B158),"",'1_raw_log'!B158)</f>
        <v/>
      </c>
      <c r="C158" s="2">
        <f>IF(ISBLANK('1_raw_log'!C158),"",'1_raw_log'!C158)</f>
        <v/>
      </c>
      <c r="D158" s="2">
        <f>IF(ISBLANK('1_raw_log'!D158),"",'1_raw_log'!D158)</f>
        <v/>
      </c>
      <c r="E158" s="4">
        <f>IF(ISBLANK('1_raw_log'!E158),"",'1_raw_log'!E158)</f>
        <v/>
      </c>
      <c r="F158" s="2">
        <f>IF(ISBLANK('1_raw_log'!F158),"",'1_raw_log'!F158)</f>
        <v/>
      </c>
      <c r="G158" s="2">
        <f>IF(ISBLANK('1_raw_log'!G158),"",'1_raw_log'!G158)</f>
        <v/>
      </c>
      <c r="H158" s="2">
        <f>IF(ISBLANK('1_raw_log'!H158),"",'1_raw_log'!H158)</f>
        <v/>
      </c>
      <c r="I158" s="7">
        <f>IF(ISBLANK('1_raw_log'!I158),"",'1_raw_log'!I158)</f>
        <v/>
      </c>
      <c r="J158" s="2">
        <f>IF(ISBLANK('1_raw_log'!J158),"",'1_raw_log'!J158)</f>
        <v/>
      </c>
      <c r="K158" s="2">
        <f>IF(ISBLANK('1_raw_log'!K158),"",'1_raw_log'!K158)</f>
        <v/>
      </c>
      <c r="L158" s="30">
        <f>INT(B158)</f>
        <v/>
      </c>
      <c r="M158" s="20">
        <f>ROUND(MOD(B158,1)*1440,0)/1440</f>
        <v/>
      </c>
      <c r="N158" s="4">
        <f>IFERROR(INDEX('3_ref_date'!$B:$B,MATCH(L158,'3_ref_date'!$A:$A,0)),"NOT FOUND")</f>
        <v/>
      </c>
      <c r="O158" s="2">
        <f>IFERROR(INDEX('3_ref_date'!$C:$C,MATCH(L158,'3_ref_date'!$A:$A,0)),"NOT FOUND")</f>
        <v/>
      </c>
      <c r="P158" s="4">
        <f>IFERROR(INDEX('3_ref_date'!$D:$D,MATCH(L158,'3_ref_date'!$A:$A,0)),"NOT FOUND")</f>
        <v/>
      </c>
      <c r="Q158" s="4">
        <f>IFERROR(INDEX('3_ref_date'!$E:$E,MATCH(L158,'3_ref_date'!$A:$A,0)),"NOT FOUND")</f>
        <v/>
      </c>
      <c r="R158" s="2">
        <f>IFERROR(INDEX('3_ref_date'!$F:$F,MATCH(L158,'3_ref_date'!$A:$A,0)),"NOT FOUND")</f>
        <v/>
      </c>
      <c r="S158" s="2">
        <f>IFERROR(INDEX('4_ref_time'!$D:$D,MATCH(ROUND(M158*1440,0),'4_ref_time'!$A:$A,0)),"NOT FOUND")</f>
        <v/>
      </c>
      <c r="T158" s="2">
        <f>UPPER(TRIM(C158))</f>
        <v/>
      </c>
      <c r="U158" s="30">
        <f>IF(_xlfn.MAXIFS('6_3nf_branch_history'!$B$2:$B$50,'6_3nf_branch_history'!$A$2:$A$50,T158,'6_3nf_branch_history'!$B$2:$B$50,"&lt;="&amp;L158)=0,"NOT FOUND",_xlfn.MAXIFS('6_3nf_branch_history'!$B$2:$B$50,'6_3nf_branch_history'!$A$2:$A$50,T158,'6_3nf_branch_history'!$B$2:$B$50,"&lt;="&amp;L158))</f>
        <v/>
      </c>
      <c r="V158" s="2">
        <f>IF(U158="NOT FOUND","NOT FOUND",INDEX('6_3nf_branch_history'!$C:$C,SUMPRODUCT(('6_3nf_branch_history'!$A$2:$A$50=T158)*('6_3nf_branch_history'!$B$2:$B$50=U158)*ROW('6_3nf_branch_history'!$A$2:$A$50))))</f>
        <v/>
      </c>
      <c r="W158" s="2">
        <f>IF(U158="NOT FOUND","NOT FOUND",INDEX('6_3nf_branch_history'!$D:$D,SUMPRODUCT(('6_3nf_branch_history'!$A$2:$A$50=T158)*('6_3nf_branch_history'!$B$2:$B$50=U158)*ROW('6_3nf_branch_history'!$A$2:$A$50))))</f>
        <v/>
      </c>
      <c r="X158" s="2">
        <f>IF(U158="NOT FOUND","NOT FOUND",INDEX('6_3nf_branch_history'!$E:$E,SUMPRODUCT(('6_3nf_branch_history'!$A$2:$A$50=T158)*('6_3nf_branch_history'!$B$2:$B$50=U158)*ROW('6_3nf_branch_history'!$A$2:$A$50))))</f>
        <v/>
      </c>
      <c r="Y158" s="2">
        <f>UPPER(TRIM(D158))</f>
        <v/>
      </c>
      <c r="Z158" s="2">
        <f>IFERROR(INDEX('7_3nf_product'!$B:$B,MATCH(Y158,'7_3nf_product'!$A:$A,0)),"NOT FOUND")</f>
        <v/>
      </c>
      <c r="AA158" s="2">
        <f>IFERROR(INDEX('7_3nf_product'!$C:$C,MATCH(Y158,'7_3nf_product'!$A:$A,0)),"NOT FOUND")</f>
        <v/>
      </c>
      <c r="AB158" s="2">
        <f>IFERROR(INDEX('7_3nf_product'!$D:$D,MATCH(Y158,'7_3nf_product'!$A:$A,0)),"NOT FOUND")</f>
        <v/>
      </c>
      <c r="AC158" s="6">
        <f>IFERROR(INDEX('7_3nf_product'!$E:$E,MATCH(Y158,'7_3nf_product'!$A:$A,0)),"NOT FOUND")</f>
        <v/>
      </c>
      <c r="AD158" s="33">
        <f>IF(LEN(TRIM(E158))=10,TRIM(E158),IF(LEN(TRIM(E158))=8,"00"&amp;TRIM(E158),"CHECK"))</f>
        <v/>
      </c>
      <c r="AE158" s="2">
        <f>IFERROR(INDEX('8_3nf_customer'!$C:$C,MATCH(AD158,'8_3nf_customer'!$B:$B,0)),"NOT FOUND")</f>
        <v/>
      </c>
      <c r="AF158" s="30">
        <f>IFERROR(INDEX('8_3nf_customer'!$D:$D,MATCH(AD158,'8_3nf_customer'!$B:$B,0)),"NOT FOUND")</f>
        <v/>
      </c>
      <c r="AG158" s="4">
        <f>IF(ISNUMBER(AF158),DATEDIF(AF158,L158,"y"),"NOT FOUND")</f>
        <v/>
      </c>
      <c r="AH158" s="2">
        <f>IFERROR(INDEX('8_3nf_customer'!$E:$E,MATCH(AD158,'8_3nf_customer'!$B:$B,0)),"NOT FOUND")</f>
        <v/>
      </c>
      <c r="AI158" s="30">
        <f>IF(_xlfn.MAXIFS('9_3nf_customer_history'!$B$2:$B$500,'9_3nf_customer_history'!$A$2:$A$500,AD158,'9_3nf_customer_history'!$B$2:$B$500,"&lt;="&amp;L158)=0,"NOT FOUND",_xlfn.MAXIFS('9_3nf_customer_history'!$B$2:$B$500,'9_3nf_customer_history'!$A$2:$A$500,AD158,'9_3nf_customer_history'!$B$2:$B$500,"&lt;="&amp;L158))</f>
        <v/>
      </c>
      <c r="AJ158" s="2">
        <f>IF(AI158="NOT FOUND","NOT FOUND",INDEX('9_3nf_customer_history'!$C:$C,SUMPRODUCT(('9_3nf_customer_history'!$A$2:$A$500=AD158)*('9_3nf_customer_history'!$B$2:$B$500=AI158)*ROW('9_3nf_customer_history'!$A$2:$A$500))))</f>
        <v/>
      </c>
      <c r="AK158" s="2">
        <f>IF(AI158="NOT FOUND","NOT FOUND",INDEX('9_3nf_customer_history'!$D:$D,SUMPRODUCT(('9_3nf_customer_history'!$A$2:$A$500=AD158)*('9_3nf_customer_history'!$B$2:$B$500=AI158)*ROW('9_3nf_customer_history'!$A$2:$A$500))))</f>
        <v/>
      </c>
      <c r="AL158" s="2">
        <f>UPPER(TRIM(H158))</f>
        <v/>
      </c>
      <c r="AM158" s="30">
        <f>IF(_xlfn.MAXIFS('10_ref_fx_rate'!$B$2:$B$2000,'10_ref_fx_rate'!$A$2:$A$2000,AL158,'10_ref_fx_rate'!$B$2:$B$2000,"&lt;="&amp;L158)=0,"NOT FOUND",_xlfn.MAXIFS('10_ref_fx_rate'!$B$2:$B$2000,'10_ref_fx_rate'!$A$2:$A$2000,AL158,'10_ref_fx_rate'!$B$2:$B$2000,"&lt;="&amp;L158))</f>
        <v/>
      </c>
      <c r="AN158" s="8">
        <f>IF(AM158="NOT FOUND","NOT FOUND",SUMIFS('10_ref_fx_rate'!$D$2:$D$2000,'10_ref_fx_rate'!$A$2:$A$2000,AL158,'10_ref_fx_rate'!$B$2:$B$2000,AM158))</f>
        <v/>
      </c>
      <c r="AO158" s="37">
        <f>IF(ISNUMBER(AN158),I158*AN158,"NOT FOUND")</f>
        <v/>
      </c>
      <c r="AP158" s="2">
        <f>UPPER(TRIM(J158))</f>
        <v/>
      </c>
      <c r="AQ158" s="2">
        <f>IF(AP158="","SELF-DIRECTED",IF(ISNUMBER(MATCH(AP158,'11_3nf_sales_person'!$A:$A,0)),IF(EXACT(AP158,J158),"OK","OK (auto-fixed)"),IF(ISNA(MATCH($A158,'12_sales_person_confirmation'!$A:$A,0)),"CONFIRM (not logged)",IF(INDEX('12_sales_person_confirmation'!$I:$I,MATCH($A158,'12_sales_person_confirmation'!$A:$A,0))="CONFIRMED","CONFIRMED ("&amp;LOWER(INDEX('12_sales_person_confirmation'!$E:$E,MATCH($A158,'12_sales_person_confirmation'!$A:$A,0)))&amp;")","PENDING CONFIRM"))))</f>
        <v/>
      </c>
      <c r="AR158" s="2">
        <f>IF(OR(AQ158="OK",AQ158="OK (auto-fixed)"),AP158,IF(LEFT(AQ158,9)="CONFIRMED",INDEX('12_sales_person_confirmation'!$F:$F,MATCH($A158,'12_sales_person_confirmation'!$A:$A,0)),""))</f>
        <v/>
      </c>
      <c r="AS158" s="2">
        <f>IF(AR158="","",INDEX('11_3nf_sales_person'!$B:$B,MATCH(AR158,'11_3nf_sales_person'!$A:$A,0)))</f>
        <v/>
      </c>
    </row>
    <row r="159">
      <c r="A159" s="2">
        <f>IF(ISBLANK('1_raw_log'!A159),"",'1_raw_log'!A159)</f>
        <v/>
      </c>
      <c r="B159" s="3">
        <f>IF(ISBLANK('1_raw_log'!B159),"",'1_raw_log'!B159)</f>
        <v/>
      </c>
      <c r="C159" s="2">
        <f>IF(ISBLANK('1_raw_log'!C159),"",'1_raw_log'!C159)</f>
        <v/>
      </c>
      <c r="D159" s="2">
        <f>IF(ISBLANK('1_raw_log'!D159),"",'1_raw_log'!D159)</f>
        <v/>
      </c>
      <c r="E159" s="4">
        <f>IF(ISBLANK('1_raw_log'!E159),"",'1_raw_log'!E159)</f>
        <v/>
      </c>
      <c r="F159" s="2">
        <f>IF(ISBLANK('1_raw_log'!F159),"",'1_raw_log'!F159)</f>
        <v/>
      </c>
      <c r="G159" s="2">
        <f>IF(ISBLANK('1_raw_log'!G159),"",'1_raw_log'!G159)</f>
        <v/>
      </c>
      <c r="H159" s="2">
        <f>IF(ISBLANK('1_raw_log'!H159),"",'1_raw_log'!H159)</f>
        <v/>
      </c>
      <c r="I159" s="7">
        <f>IF(ISBLANK('1_raw_log'!I159),"",'1_raw_log'!I159)</f>
        <v/>
      </c>
      <c r="J159" s="2">
        <f>IF(ISBLANK('1_raw_log'!J159),"",'1_raw_log'!J159)</f>
        <v/>
      </c>
      <c r="K159" s="2">
        <f>IF(ISBLANK('1_raw_log'!K159),"",'1_raw_log'!K159)</f>
        <v/>
      </c>
      <c r="L159" s="30">
        <f>INT(B159)</f>
        <v/>
      </c>
      <c r="M159" s="20">
        <f>ROUND(MOD(B159,1)*1440,0)/1440</f>
        <v/>
      </c>
      <c r="N159" s="4">
        <f>IFERROR(INDEX('3_ref_date'!$B:$B,MATCH(L159,'3_ref_date'!$A:$A,0)),"NOT FOUND")</f>
        <v/>
      </c>
      <c r="O159" s="2">
        <f>IFERROR(INDEX('3_ref_date'!$C:$C,MATCH(L159,'3_ref_date'!$A:$A,0)),"NOT FOUND")</f>
        <v/>
      </c>
      <c r="P159" s="4">
        <f>IFERROR(INDEX('3_ref_date'!$D:$D,MATCH(L159,'3_ref_date'!$A:$A,0)),"NOT FOUND")</f>
        <v/>
      </c>
      <c r="Q159" s="4">
        <f>IFERROR(INDEX('3_ref_date'!$E:$E,MATCH(L159,'3_ref_date'!$A:$A,0)),"NOT FOUND")</f>
        <v/>
      </c>
      <c r="R159" s="2">
        <f>IFERROR(INDEX('3_ref_date'!$F:$F,MATCH(L159,'3_ref_date'!$A:$A,0)),"NOT FOUND")</f>
        <v/>
      </c>
      <c r="S159" s="2">
        <f>IFERROR(INDEX('4_ref_time'!$D:$D,MATCH(ROUND(M159*1440,0),'4_ref_time'!$A:$A,0)),"NOT FOUND")</f>
        <v/>
      </c>
      <c r="T159" s="2">
        <f>UPPER(TRIM(C159))</f>
        <v/>
      </c>
      <c r="U159" s="30">
        <f>IF(_xlfn.MAXIFS('6_3nf_branch_history'!$B$2:$B$50,'6_3nf_branch_history'!$A$2:$A$50,T159,'6_3nf_branch_history'!$B$2:$B$50,"&lt;="&amp;L159)=0,"NOT FOUND",_xlfn.MAXIFS('6_3nf_branch_history'!$B$2:$B$50,'6_3nf_branch_history'!$A$2:$A$50,T159,'6_3nf_branch_history'!$B$2:$B$50,"&lt;="&amp;L159))</f>
        <v/>
      </c>
      <c r="V159" s="2">
        <f>IF(U159="NOT FOUND","NOT FOUND",INDEX('6_3nf_branch_history'!$C:$C,SUMPRODUCT(('6_3nf_branch_history'!$A$2:$A$50=T159)*('6_3nf_branch_history'!$B$2:$B$50=U159)*ROW('6_3nf_branch_history'!$A$2:$A$50))))</f>
        <v/>
      </c>
      <c r="W159" s="2">
        <f>IF(U159="NOT FOUND","NOT FOUND",INDEX('6_3nf_branch_history'!$D:$D,SUMPRODUCT(('6_3nf_branch_history'!$A$2:$A$50=T159)*('6_3nf_branch_history'!$B$2:$B$50=U159)*ROW('6_3nf_branch_history'!$A$2:$A$50))))</f>
        <v/>
      </c>
      <c r="X159" s="2">
        <f>IF(U159="NOT FOUND","NOT FOUND",INDEX('6_3nf_branch_history'!$E:$E,SUMPRODUCT(('6_3nf_branch_history'!$A$2:$A$50=T159)*('6_3nf_branch_history'!$B$2:$B$50=U159)*ROW('6_3nf_branch_history'!$A$2:$A$50))))</f>
        <v/>
      </c>
      <c r="Y159" s="2">
        <f>UPPER(TRIM(D159))</f>
        <v/>
      </c>
      <c r="Z159" s="2">
        <f>IFERROR(INDEX('7_3nf_product'!$B:$B,MATCH(Y159,'7_3nf_product'!$A:$A,0)),"NOT FOUND")</f>
        <v/>
      </c>
      <c r="AA159" s="2">
        <f>IFERROR(INDEX('7_3nf_product'!$C:$C,MATCH(Y159,'7_3nf_product'!$A:$A,0)),"NOT FOUND")</f>
        <v/>
      </c>
      <c r="AB159" s="2">
        <f>IFERROR(INDEX('7_3nf_product'!$D:$D,MATCH(Y159,'7_3nf_product'!$A:$A,0)),"NOT FOUND")</f>
        <v/>
      </c>
      <c r="AC159" s="6">
        <f>IFERROR(INDEX('7_3nf_product'!$E:$E,MATCH(Y159,'7_3nf_product'!$A:$A,0)),"NOT FOUND")</f>
        <v/>
      </c>
      <c r="AD159" s="33">
        <f>IF(LEN(TRIM(E159))=10,TRIM(E159),IF(LEN(TRIM(E159))=8,"00"&amp;TRIM(E159),"CHECK"))</f>
        <v/>
      </c>
      <c r="AE159" s="2">
        <f>IFERROR(INDEX('8_3nf_customer'!$C:$C,MATCH(AD159,'8_3nf_customer'!$B:$B,0)),"NOT FOUND")</f>
        <v/>
      </c>
      <c r="AF159" s="30">
        <f>IFERROR(INDEX('8_3nf_customer'!$D:$D,MATCH(AD159,'8_3nf_customer'!$B:$B,0)),"NOT FOUND")</f>
        <v/>
      </c>
      <c r="AG159" s="4">
        <f>IF(ISNUMBER(AF159),DATEDIF(AF159,L159,"y"),"NOT FOUND")</f>
        <v/>
      </c>
      <c r="AH159" s="2">
        <f>IFERROR(INDEX('8_3nf_customer'!$E:$E,MATCH(AD159,'8_3nf_customer'!$B:$B,0)),"NOT FOUND")</f>
        <v/>
      </c>
      <c r="AI159" s="30">
        <f>IF(_xlfn.MAXIFS('9_3nf_customer_history'!$B$2:$B$500,'9_3nf_customer_history'!$A$2:$A$500,AD159,'9_3nf_customer_history'!$B$2:$B$500,"&lt;="&amp;L159)=0,"NOT FOUND",_xlfn.MAXIFS('9_3nf_customer_history'!$B$2:$B$500,'9_3nf_customer_history'!$A$2:$A$500,AD159,'9_3nf_customer_history'!$B$2:$B$500,"&lt;="&amp;L159))</f>
        <v/>
      </c>
      <c r="AJ159" s="2">
        <f>IF(AI159="NOT FOUND","NOT FOUND",INDEX('9_3nf_customer_history'!$C:$C,SUMPRODUCT(('9_3nf_customer_history'!$A$2:$A$500=AD159)*('9_3nf_customer_history'!$B$2:$B$500=AI159)*ROW('9_3nf_customer_history'!$A$2:$A$500))))</f>
        <v/>
      </c>
      <c r="AK159" s="2">
        <f>IF(AI159="NOT FOUND","NOT FOUND",INDEX('9_3nf_customer_history'!$D:$D,SUMPRODUCT(('9_3nf_customer_history'!$A$2:$A$500=AD159)*('9_3nf_customer_history'!$B$2:$B$500=AI159)*ROW('9_3nf_customer_history'!$A$2:$A$500))))</f>
        <v/>
      </c>
      <c r="AL159" s="2">
        <f>UPPER(TRIM(H159))</f>
        <v/>
      </c>
      <c r="AM159" s="30">
        <f>IF(_xlfn.MAXIFS('10_ref_fx_rate'!$B$2:$B$2000,'10_ref_fx_rate'!$A$2:$A$2000,AL159,'10_ref_fx_rate'!$B$2:$B$2000,"&lt;="&amp;L159)=0,"NOT FOUND",_xlfn.MAXIFS('10_ref_fx_rate'!$B$2:$B$2000,'10_ref_fx_rate'!$A$2:$A$2000,AL159,'10_ref_fx_rate'!$B$2:$B$2000,"&lt;="&amp;L159))</f>
        <v/>
      </c>
      <c r="AN159" s="8">
        <f>IF(AM159="NOT FOUND","NOT FOUND",SUMIFS('10_ref_fx_rate'!$D$2:$D$2000,'10_ref_fx_rate'!$A$2:$A$2000,AL159,'10_ref_fx_rate'!$B$2:$B$2000,AM159))</f>
        <v/>
      </c>
      <c r="AO159" s="37">
        <f>IF(ISNUMBER(AN159),I159*AN159,"NOT FOUND")</f>
        <v/>
      </c>
      <c r="AP159" s="2">
        <f>UPPER(TRIM(J159))</f>
        <v/>
      </c>
      <c r="AQ159" s="2">
        <f>IF(AP159="","SELF-DIRECTED",IF(ISNUMBER(MATCH(AP159,'11_3nf_sales_person'!$A:$A,0)),IF(EXACT(AP159,J159),"OK","OK (auto-fixed)"),IF(ISNA(MATCH($A159,'12_sales_person_confirmation'!$A:$A,0)),"CONFIRM (not logged)",IF(INDEX('12_sales_person_confirmation'!$I:$I,MATCH($A159,'12_sales_person_confirmation'!$A:$A,0))="CONFIRMED","CONFIRMED ("&amp;LOWER(INDEX('12_sales_person_confirmation'!$E:$E,MATCH($A159,'12_sales_person_confirmation'!$A:$A,0)))&amp;")","PENDING CONFIRM"))))</f>
        <v/>
      </c>
      <c r="AR159" s="2">
        <f>IF(OR(AQ159="OK",AQ159="OK (auto-fixed)"),AP159,IF(LEFT(AQ159,9)="CONFIRMED",INDEX('12_sales_person_confirmation'!$F:$F,MATCH($A159,'12_sales_person_confirmation'!$A:$A,0)),""))</f>
        <v/>
      </c>
      <c r="AS159" s="2">
        <f>IF(AR159="","",INDEX('11_3nf_sales_person'!$B:$B,MATCH(AR159,'11_3nf_sales_person'!$A:$A,0)))</f>
        <v/>
      </c>
    </row>
    <row r="160">
      <c r="A160" s="2">
        <f>IF(ISBLANK('1_raw_log'!A160),"",'1_raw_log'!A160)</f>
        <v/>
      </c>
      <c r="B160" s="3">
        <f>IF(ISBLANK('1_raw_log'!B160),"",'1_raw_log'!B160)</f>
        <v/>
      </c>
      <c r="C160" s="2">
        <f>IF(ISBLANK('1_raw_log'!C160),"",'1_raw_log'!C160)</f>
        <v/>
      </c>
      <c r="D160" s="2">
        <f>IF(ISBLANK('1_raw_log'!D160),"",'1_raw_log'!D160)</f>
        <v/>
      </c>
      <c r="E160" s="4">
        <f>IF(ISBLANK('1_raw_log'!E160),"",'1_raw_log'!E160)</f>
        <v/>
      </c>
      <c r="F160" s="2">
        <f>IF(ISBLANK('1_raw_log'!F160),"",'1_raw_log'!F160)</f>
        <v/>
      </c>
      <c r="G160" s="2">
        <f>IF(ISBLANK('1_raw_log'!G160),"",'1_raw_log'!G160)</f>
        <v/>
      </c>
      <c r="H160" s="2">
        <f>IF(ISBLANK('1_raw_log'!H160),"",'1_raw_log'!H160)</f>
        <v/>
      </c>
      <c r="I160" s="7">
        <f>IF(ISBLANK('1_raw_log'!I160),"",'1_raw_log'!I160)</f>
        <v/>
      </c>
      <c r="J160" s="2">
        <f>IF(ISBLANK('1_raw_log'!J160),"",'1_raw_log'!J160)</f>
        <v/>
      </c>
      <c r="K160" s="2">
        <f>IF(ISBLANK('1_raw_log'!K160),"",'1_raw_log'!K160)</f>
        <v/>
      </c>
      <c r="L160" s="30">
        <f>INT(B160)</f>
        <v/>
      </c>
      <c r="M160" s="20">
        <f>ROUND(MOD(B160,1)*1440,0)/1440</f>
        <v/>
      </c>
      <c r="N160" s="4">
        <f>IFERROR(INDEX('3_ref_date'!$B:$B,MATCH(L160,'3_ref_date'!$A:$A,0)),"NOT FOUND")</f>
        <v/>
      </c>
      <c r="O160" s="2">
        <f>IFERROR(INDEX('3_ref_date'!$C:$C,MATCH(L160,'3_ref_date'!$A:$A,0)),"NOT FOUND")</f>
        <v/>
      </c>
      <c r="P160" s="4">
        <f>IFERROR(INDEX('3_ref_date'!$D:$D,MATCH(L160,'3_ref_date'!$A:$A,0)),"NOT FOUND")</f>
        <v/>
      </c>
      <c r="Q160" s="4">
        <f>IFERROR(INDEX('3_ref_date'!$E:$E,MATCH(L160,'3_ref_date'!$A:$A,0)),"NOT FOUND")</f>
        <v/>
      </c>
      <c r="R160" s="2">
        <f>IFERROR(INDEX('3_ref_date'!$F:$F,MATCH(L160,'3_ref_date'!$A:$A,0)),"NOT FOUND")</f>
        <v/>
      </c>
      <c r="S160" s="2">
        <f>IFERROR(INDEX('4_ref_time'!$D:$D,MATCH(ROUND(M160*1440,0),'4_ref_time'!$A:$A,0)),"NOT FOUND")</f>
        <v/>
      </c>
      <c r="T160" s="2">
        <f>UPPER(TRIM(C160))</f>
        <v/>
      </c>
      <c r="U160" s="30">
        <f>IF(_xlfn.MAXIFS('6_3nf_branch_history'!$B$2:$B$50,'6_3nf_branch_history'!$A$2:$A$50,T160,'6_3nf_branch_history'!$B$2:$B$50,"&lt;="&amp;L160)=0,"NOT FOUND",_xlfn.MAXIFS('6_3nf_branch_history'!$B$2:$B$50,'6_3nf_branch_history'!$A$2:$A$50,T160,'6_3nf_branch_history'!$B$2:$B$50,"&lt;="&amp;L160))</f>
        <v/>
      </c>
      <c r="V160" s="2">
        <f>IF(U160="NOT FOUND","NOT FOUND",INDEX('6_3nf_branch_history'!$C:$C,SUMPRODUCT(('6_3nf_branch_history'!$A$2:$A$50=T160)*('6_3nf_branch_history'!$B$2:$B$50=U160)*ROW('6_3nf_branch_history'!$A$2:$A$50))))</f>
        <v/>
      </c>
      <c r="W160" s="2">
        <f>IF(U160="NOT FOUND","NOT FOUND",INDEX('6_3nf_branch_history'!$D:$D,SUMPRODUCT(('6_3nf_branch_history'!$A$2:$A$50=T160)*('6_3nf_branch_history'!$B$2:$B$50=U160)*ROW('6_3nf_branch_history'!$A$2:$A$50))))</f>
        <v/>
      </c>
      <c r="X160" s="2">
        <f>IF(U160="NOT FOUND","NOT FOUND",INDEX('6_3nf_branch_history'!$E:$E,SUMPRODUCT(('6_3nf_branch_history'!$A$2:$A$50=T160)*('6_3nf_branch_history'!$B$2:$B$50=U160)*ROW('6_3nf_branch_history'!$A$2:$A$50))))</f>
        <v/>
      </c>
      <c r="Y160" s="2">
        <f>UPPER(TRIM(D160))</f>
        <v/>
      </c>
      <c r="Z160" s="2">
        <f>IFERROR(INDEX('7_3nf_product'!$B:$B,MATCH(Y160,'7_3nf_product'!$A:$A,0)),"NOT FOUND")</f>
        <v/>
      </c>
      <c r="AA160" s="2">
        <f>IFERROR(INDEX('7_3nf_product'!$C:$C,MATCH(Y160,'7_3nf_product'!$A:$A,0)),"NOT FOUND")</f>
        <v/>
      </c>
      <c r="AB160" s="2">
        <f>IFERROR(INDEX('7_3nf_product'!$D:$D,MATCH(Y160,'7_3nf_product'!$A:$A,0)),"NOT FOUND")</f>
        <v/>
      </c>
      <c r="AC160" s="6">
        <f>IFERROR(INDEX('7_3nf_product'!$E:$E,MATCH(Y160,'7_3nf_product'!$A:$A,0)),"NOT FOUND")</f>
        <v/>
      </c>
      <c r="AD160" s="33">
        <f>IF(LEN(TRIM(E160))=10,TRIM(E160),IF(LEN(TRIM(E160))=8,"00"&amp;TRIM(E160),"CHECK"))</f>
        <v/>
      </c>
      <c r="AE160" s="2">
        <f>IFERROR(INDEX('8_3nf_customer'!$C:$C,MATCH(AD160,'8_3nf_customer'!$B:$B,0)),"NOT FOUND")</f>
        <v/>
      </c>
      <c r="AF160" s="30">
        <f>IFERROR(INDEX('8_3nf_customer'!$D:$D,MATCH(AD160,'8_3nf_customer'!$B:$B,0)),"NOT FOUND")</f>
        <v/>
      </c>
      <c r="AG160" s="4">
        <f>IF(ISNUMBER(AF160),DATEDIF(AF160,L160,"y"),"NOT FOUND")</f>
        <v/>
      </c>
      <c r="AH160" s="2">
        <f>IFERROR(INDEX('8_3nf_customer'!$E:$E,MATCH(AD160,'8_3nf_customer'!$B:$B,0)),"NOT FOUND")</f>
        <v/>
      </c>
      <c r="AI160" s="30">
        <f>IF(_xlfn.MAXIFS('9_3nf_customer_history'!$B$2:$B$500,'9_3nf_customer_history'!$A$2:$A$500,AD160,'9_3nf_customer_history'!$B$2:$B$500,"&lt;="&amp;L160)=0,"NOT FOUND",_xlfn.MAXIFS('9_3nf_customer_history'!$B$2:$B$500,'9_3nf_customer_history'!$A$2:$A$500,AD160,'9_3nf_customer_history'!$B$2:$B$500,"&lt;="&amp;L160))</f>
        <v/>
      </c>
      <c r="AJ160" s="2">
        <f>IF(AI160="NOT FOUND","NOT FOUND",INDEX('9_3nf_customer_history'!$C:$C,SUMPRODUCT(('9_3nf_customer_history'!$A$2:$A$500=AD160)*('9_3nf_customer_history'!$B$2:$B$500=AI160)*ROW('9_3nf_customer_history'!$A$2:$A$500))))</f>
        <v/>
      </c>
      <c r="AK160" s="2">
        <f>IF(AI160="NOT FOUND","NOT FOUND",INDEX('9_3nf_customer_history'!$D:$D,SUMPRODUCT(('9_3nf_customer_history'!$A$2:$A$500=AD160)*('9_3nf_customer_history'!$B$2:$B$500=AI160)*ROW('9_3nf_customer_history'!$A$2:$A$500))))</f>
        <v/>
      </c>
      <c r="AL160" s="2">
        <f>UPPER(TRIM(H160))</f>
        <v/>
      </c>
      <c r="AM160" s="30">
        <f>IF(_xlfn.MAXIFS('10_ref_fx_rate'!$B$2:$B$2000,'10_ref_fx_rate'!$A$2:$A$2000,AL160,'10_ref_fx_rate'!$B$2:$B$2000,"&lt;="&amp;L160)=0,"NOT FOUND",_xlfn.MAXIFS('10_ref_fx_rate'!$B$2:$B$2000,'10_ref_fx_rate'!$A$2:$A$2000,AL160,'10_ref_fx_rate'!$B$2:$B$2000,"&lt;="&amp;L160))</f>
        <v/>
      </c>
      <c r="AN160" s="8">
        <f>IF(AM160="NOT FOUND","NOT FOUND",SUMIFS('10_ref_fx_rate'!$D$2:$D$2000,'10_ref_fx_rate'!$A$2:$A$2000,AL160,'10_ref_fx_rate'!$B$2:$B$2000,AM160))</f>
        <v/>
      </c>
      <c r="AO160" s="37">
        <f>IF(ISNUMBER(AN160),I160*AN160,"NOT FOUND")</f>
        <v/>
      </c>
      <c r="AP160" s="2">
        <f>UPPER(TRIM(J160))</f>
        <v/>
      </c>
      <c r="AQ160" s="2">
        <f>IF(AP160="","SELF-DIRECTED",IF(ISNUMBER(MATCH(AP160,'11_3nf_sales_person'!$A:$A,0)),IF(EXACT(AP160,J160),"OK","OK (auto-fixed)"),IF(ISNA(MATCH($A160,'12_sales_person_confirmation'!$A:$A,0)),"CONFIRM (not logged)",IF(INDEX('12_sales_person_confirmation'!$I:$I,MATCH($A160,'12_sales_person_confirmation'!$A:$A,0))="CONFIRMED","CONFIRMED ("&amp;LOWER(INDEX('12_sales_person_confirmation'!$E:$E,MATCH($A160,'12_sales_person_confirmation'!$A:$A,0)))&amp;")","PENDING CONFIRM"))))</f>
        <v/>
      </c>
      <c r="AR160" s="2">
        <f>IF(OR(AQ160="OK",AQ160="OK (auto-fixed)"),AP160,IF(LEFT(AQ160,9)="CONFIRMED",INDEX('12_sales_person_confirmation'!$F:$F,MATCH($A160,'12_sales_person_confirmation'!$A:$A,0)),""))</f>
        <v/>
      </c>
      <c r="AS160" s="2">
        <f>IF(AR160="","",INDEX('11_3nf_sales_person'!$B:$B,MATCH(AR160,'11_3nf_sales_person'!$A:$A,0)))</f>
        <v/>
      </c>
    </row>
    <row r="161">
      <c r="A161" s="2">
        <f>IF(ISBLANK('1_raw_log'!A161),"",'1_raw_log'!A161)</f>
        <v/>
      </c>
      <c r="B161" s="3">
        <f>IF(ISBLANK('1_raw_log'!B161),"",'1_raw_log'!B161)</f>
        <v/>
      </c>
      <c r="C161" s="2">
        <f>IF(ISBLANK('1_raw_log'!C161),"",'1_raw_log'!C161)</f>
        <v/>
      </c>
      <c r="D161" s="2">
        <f>IF(ISBLANK('1_raw_log'!D161),"",'1_raw_log'!D161)</f>
        <v/>
      </c>
      <c r="E161" s="4">
        <f>IF(ISBLANK('1_raw_log'!E161),"",'1_raw_log'!E161)</f>
        <v/>
      </c>
      <c r="F161" s="2">
        <f>IF(ISBLANK('1_raw_log'!F161),"",'1_raw_log'!F161)</f>
        <v/>
      </c>
      <c r="G161" s="2">
        <f>IF(ISBLANK('1_raw_log'!G161),"",'1_raw_log'!G161)</f>
        <v/>
      </c>
      <c r="H161" s="2">
        <f>IF(ISBLANK('1_raw_log'!H161),"",'1_raw_log'!H161)</f>
        <v/>
      </c>
      <c r="I161" s="7">
        <f>IF(ISBLANK('1_raw_log'!I161),"",'1_raw_log'!I161)</f>
        <v/>
      </c>
      <c r="J161" s="2">
        <f>IF(ISBLANK('1_raw_log'!J161),"",'1_raw_log'!J161)</f>
        <v/>
      </c>
      <c r="K161" s="2">
        <f>IF(ISBLANK('1_raw_log'!K161),"",'1_raw_log'!K161)</f>
        <v/>
      </c>
      <c r="L161" s="30">
        <f>INT(B161)</f>
        <v/>
      </c>
      <c r="M161" s="20">
        <f>ROUND(MOD(B161,1)*1440,0)/1440</f>
        <v/>
      </c>
      <c r="N161" s="4">
        <f>IFERROR(INDEX('3_ref_date'!$B:$B,MATCH(L161,'3_ref_date'!$A:$A,0)),"NOT FOUND")</f>
        <v/>
      </c>
      <c r="O161" s="2">
        <f>IFERROR(INDEX('3_ref_date'!$C:$C,MATCH(L161,'3_ref_date'!$A:$A,0)),"NOT FOUND")</f>
        <v/>
      </c>
      <c r="P161" s="4">
        <f>IFERROR(INDEX('3_ref_date'!$D:$D,MATCH(L161,'3_ref_date'!$A:$A,0)),"NOT FOUND")</f>
        <v/>
      </c>
      <c r="Q161" s="4">
        <f>IFERROR(INDEX('3_ref_date'!$E:$E,MATCH(L161,'3_ref_date'!$A:$A,0)),"NOT FOUND")</f>
        <v/>
      </c>
      <c r="R161" s="2">
        <f>IFERROR(INDEX('3_ref_date'!$F:$F,MATCH(L161,'3_ref_date'!$A:$A,0)),"NOT FOUND")</f>
        <v/>
      </c>
      <c r="S161" s="2">
        <f>IFERROR(INDEX('4_ref_time'!$D:$D,MATCH(ROUND(M161*1440,0),'4_ref_time'!$A:$A,0)),"NOT FOUND")</f>
        <v/>
      </c>
      <c r="T161" s="2">
        <f>UPPER(TRIM(C161))</f>
        <v/>
      </c>
      <c r="U161" s="30">
        <f>IF(_xlfn.MAXIFS('6_3nf_branch_history'!$B$2:$B$50,'6_3nf_branch_history'!$A$2:$A$50,T161,'6_3nf_branch_history'!$B$2:$B$50,"&lt;="&amp;L161)=0,"NOT FOUND",_xlfn.MAXIFS('6_3nf_branch_history'!$B$2:$B$50,'6_3nf_branch_history'!$A$2:$A$50,T161,'6_3nf_branch_history'!$B$2:$B$50,"&lt;="&amp;L161))</f>
        <v/>
      </c>
      <c r="V161" s="2">
        <f>IF(U161="NOT FOUND","NOT FOUND",INDEX('6_3nf_branch_history'!$C:$C,SUMPRODUCT(('6_3nf_branch_history'!$A$2:$A$50=T161)*('6_3nf_branch_history'!$B$2:$B$50=U161)*ROW('6_3nf_branch_history'!$A$2:$A$50))))</f>
        <v/>
      </c>
      <c r="W161" s="2">
        <f>IF(U161="NOT FOUND","NOT FOUND",INDEX('6_3nf_branch_history'!$D:$D,SUMPRODUCT(('6_3nf_branch_history'!$A$2:$A$50=T161)*('6_3nf_branch_history'!$B$2:$B$50=U161)*ROW('6_3nf_branch_history'!$A$2:$A$50))))</f>
        <v/>
      </c>
      <c r="X161" s="2">
        <f>IF(U161="NOT FOUND","NOT FOUND",INDEX('6_3nf_branch_history'!$E:$E,SUMPRODUCT(('6_3nf_branch_history'!$A$2:$A$50=T161)*('6_3nf_branch_history'!$B$2:$B$50=U161)*ROW('6_3nf_branch_history'!$A$2:$A$50))))</f>
        <v/>
      </c>
      <c r="Y161" s="2">
        <f>UPPER(TRIM(D161))</f>
        <v/>
      </c>
      <c r="Z161" s="2">
        <f>IFERROR(INDEX('7_3nf_product'!$B:$B,MATCH(Y161,'7_3nf_product'!$A:$A,0)),"NOT FOUND")</f>
        <v/>
      </c>
      <c r="AA161" s="2">
        <f>IFERROR(INDEX('7_3nf_product'!$C:$C,MATCH(Y161,'7_3nf_product'!$A:$A,0)),"NOT FOUND")</f>
        <v/>
      </c>
      <c r="AB161" s="2">
        <f>IFERROR(INDEX('7_3nf_product'!$D:$D,MATCH(Y161,'7_3nf_product'!$A:$A,0)),"NOT FOUND")</f>
        <v/>
      </c>
      <c r="AC161" s="6">
        <f>IFERROR(INDEX('7_3nf_product'!$E:$E,MATCH(Y161,'7_3nf_product'!$A:$A,0)),"NOT FOUND")</f>
        <v/>
      </c>
      <c r="AD161" s="33">
        <f>IF(LEN(TRIM(E161))=10,TRIM(E161),IF(LEN(TRIM(E161))=8,"00"&amp;TRIM(E161),"CHECK"))</f>
        <v/>
      </c>
      <c r="AE161" s="2">
        <f>IFERROR(INDEX('8_3nf_customer'!$C:$C,MATCH(AD161,'8_3nf_customer'!$B:$B,0)),"NOT FOUND")</f>
        <v/>
      </c>
      <c r="AF161" s="30">
        <f>IFERROR(INDEX('8_3nf_customer'!$D:$D,MATCH(AD161,'8_3nf_customer'!$B:$B,0)),"NOT FOUND")</f>
        <v/>
      </c>
      <c r="AG161" s="4">
        <f>IF(ISNUMBER(AF161),DATEDIF(AF161,L161,"y"),"NOT FOUND")</f>
        <v/>
      </c>
      <c r="AH161" s="2">
        <f>IFERROR(INDEX('8_3nf_customer'!$E:$E,MATCH(AD161,'8_3nf_customer'!$B:$B,0)),"NOT FOUND")</f>
        <v/>
      </c>
      <c r="AI161" s="30">
        <f>IF(_xlfn.MAXIFS('9_3nf_customer_history'!$B$2:$B$500,'9_3nf_customer_history'!$A$2:$A$500,AD161,'9_3nf_customer_history'!$B$2:$B$500,"&lt;="&amp;L161)=0,"NOT FOUND",_xlfn.MAXIFS('9_3nf_customer_history'!$B$2:$B$500,'9_3nf_customer_history'!$A$2:$A$500,AD161,'9_3nf_customer_history'!$B$2:$B$500,"&lt;="&amp;L161))</f>
        <v/>
      </c>
      <c r="AJ161" s="2">
        <f>IF(AI161="NOT FOUND","NOT FOUND",INDEX('9_3nf_customer_history'!$C:$C,SUMPRODUCT(('9_3nf_customer_history'!$A$2:$A$500=AD161)*('9_3nf_customer_history'!$B$2:$B$500=AI161)*ROW('9_3nf_customer_history'!$A$2:$A$500))))</f>
        <v/>
      </c>
      <c r="AK161" s="2">
        <f>IF(AI161="NOT FOUND","NOT FOUND",INDEX('9_3nf_customer_history'!$D:$D,SUMPRODUCT(('9_3nf_customer_history'!$A$2:$A$500=AD161)*('9_3nf_customer_history'!$B$2:$B$500=AI161)*ROW('9_3nf_customer_history'!$A$2:$A$500))))</f>
        <v/>
      </c>
      <c r="AL161" s="2">
        <f>UPPER(TRIM(H161))</f>
        <v/>
      </c>
      <c r="AM161" s="30">
        <f>IF(_xlfn.MAXIFS('10_ref_fx_rate'!$B$2:$B$2000,'10_ref_fx_rate'!$A$2:$A$2000,AL161,'10_ref_fx_rate'!$B$2:$B$2000,"&lt;="&amp;L161)=0,"NOT FOUND",_xlfn.MAXIFS('10_ref_fx_rate'!$B$2:$B$2000,'10_ref_fx_rate'!$A$2:$A$2000,AL161,'10_ref_fx_rate'!$B$2:$B$2000,"&lt;="&amp;L161))</f>
        <v/>
      </c>
      <c r="AN161" s="8">
        <f>IF(AM161="NOT FOUND","NOT FOUND",SUMIFS('10_ref_fx_rate'!$D$2:$D$2000,'10_ref_fx_rate'!$A$2:$A$2000,AL161,'10_ref_fx_rate'!$B$2:$B$2000,AM161))</f>
        <v/>
      </c>
      <c r="AO161" s="37">
        <f>IF(ISNUMBER(AN161),I161*AN161,"NOT FOUND")</f>
        <v/>
      </c>
      <c r="AP161" s="2">
        <f>UPPER(TRIM(J161))</f>
        <v/>
      </c>
      <c r="AQ161" s="2">
        <f>IF(AP161="","SELF-DIRECTED",IF(ISNUMBER(MATCH(AP161,'11_3nf_sales_person'!$A:$A,0)),IF(EXACT(AP161,J161),"OK","OK (auto-fixed)"),IF(ISNA(MATCH($A161,'12_sales_person_confirmation'!$A:$A,0)),"CONFIRM (not logged)",IF(INDEX('12_sales_person_confirmation'!$I:$I,MATCH($A161,'12_sales_person_confirmation'!$A:$A,0))="CONFIRMED","CONFIRMED ("&amp;LOWER(INDEX('12_sales_person_confirmation'!$E:$E,MATCH($A161,'12_sales_person_confirmation'!$A:$A,0)))&amp;")","PENDING CONFIRM"))))</f>
        <v/>
      </c>
      <c r="AR161" s="2">
        <f>IF(OR(AQ161="OK",AQ161="OK (auto-fixed)"),AP161,IF(LEFT(AQ161,9)="CONFIRMED",INDEX('12_sales_person_confirmation'!$F:$F,MATCH($A161,'12_sales_person_confirmation'!$A:$A,0)),""))</f>
        <v/>
      </c>
      <c r="AS161" s="2">
        <f>IF(AR161="","",INDEX('11_3nf_sales_person'!$B:$B,MATCH(AR161,'11_3nf_sales_person'!$A:$A,0)))</f>
        <v/>
      </c>
    </row>
    <row r="162">
      <c r="A162" s="2">
        <f>IF(ISBLANK('1_raw_log'!A162),"",'1_raw_log'!A162)</f>
        <v/>
      </c>
      <c r="B162" s="3">
        <f>IF(ISBLANK('1_raw_log'!B162),"",'1_raw_log'!B162)</f>
        <v/>
      </c>
      <c r="C162" s="2">
        <f>IF(ISBLANK('1_raw_log'!C162),"",'1_raw_log'!C162)</f>
        <v/>
      </c>
      <c r="D162" s="2">
        <f>IF(ISBLANK('1_raw_log'!D162),"",'1_raw_log'!D162)</f>
        <v/>
      </c>
      <c r="E162" s="4">
        <f>IF(ISBLANK('1_raw_log'!E162),"",'1_raw_log'!E162)</f>
        <v/>
      </c>
      <c r="F162" s="2">
        <f>IF(ISBLANK('1_raw_log'!F162),"",'1_raw_log'!F162)</f>
        <v/>
      </c>
      <c r="G162" s="2">
        <f>IF(ISBLANK('1_raw_log'!G162),"",'1_raw_log'!G162)</f>
        <v/>
      </c>
      <c r="H162" s="2">
        <f>IF(ISBLANK('1_raw_log'!H162),"",'1_raw_log'!H162)</f>
        <v/>
      </c>
      <c r="I162" s="7">
        <f>IF(ISBLANK('1_raw_log'!I162),"",'1_raw_log'!I162)</f>
        <v/>
      </c>
      <c r="J162" s="2">
        <f>IF(ISBLANK('1_raw_log'!J162),"",'1_raw_log'!J162)</f>
        <v/>
      </c>
      <c r="K162" s="2">
        <f>IF(ISBLANK('1_raw_log'!K162),"",'1_raw_log'!K162)</f>
        <v/>
      </c>
      <c r="L162" s="30">
        <f>INT(B162)</f>
        <v/>
      </c>
      <c r="M162" s="20">
        <f>ROUND(MOD(B162,1)*1440,0)/1440</f>
        <v/>
      </c>
      <c r="N162" s="4">
        <f>IFERROR(INDEX('3_ref_date'!$B:$B,MATCH(L162,'3_ref_date'!$A:$A,0)),"NOT FOUND")</f>
        <v/>
      </c>
      <c r="O162" s="2">
        <f>IFERROR(INDEX('3_ref_date'!$C:$C,MATCH(L162,'3_ref_date'!$A:$A,0)),"NOT FOUND")</f>
        <v/>
      </c>
      <c r="P162" s="4">
        <f>IFERROR(INDEX('3_ref_date'!$D:$D,MATCH(L162,'3_ref_date'!$A:$A,0)),"NOT FOUND")</f>
        <v/>
      </c>
      <c r="Q162" s="4">
        <f>IFERROR(INDEX('3_ref_date'!$E:$E,MATCH(L162,'3_ref_date'!$A:$A,0)),"NOT FOUND")</f>
        <v/>
      </c>
      <c r="R162" s="2">
        <f>IFERROR(INDEX('3_ref_date'!$F:$F,MATCH(L162,'3_ref_date'!$A:$A,0)),"NOT FOUND")</f>
        <v/>
      </c>
      <c r="S162" s="2">
        <f>IFERROR(INDEX('4_ref_time'!$D:$D,MATCH(ROUND(M162*1440,0),'4_ref_time'!$A:$A,0)),"NOT FOUND")</f>
        <v/>
      </c>
      <c r="T162" s="2">
        <f>UPPER(TRIM(C162))</f>
        <v/>
      </c>
      <c r="U162" s="30">
        <f>IF(_xlfn.MAXIFS('6_3nf_branch_history'!$B$2:$B$50,'6_3nf_branch_history'!$A$2:$A$50,T162,'6_3nf_branch_history'!$B$2:$B$50,"&lt;="&amp;L162)=0,"NOT FOUND",_xlfn.MAXIFS('6_3nf_branch_history'!$B$2:$B$50,'6_3nf_branch_history'!$A$2:$A$50,T162,'6_3nf_branch_history'!$B$2:$B$50,"&lt;="&amp;L162))</f>
        <v/>
      </c>
      <c r="V162" s="2">
        <f>IF(U162="NOT FOUND","NOT FOUND",INDEX('6_3nf_branch_history'!$C:$C,SUMPRODUCT(('6_3nf_branch_history'!$A$2:$A$50=T162)*('6_3nf_branch_history'!$B$2:$B$50=U162)*ROW('6_3nf_branch_history'!$A$2:$A$50))))</f>
        <v/>
      </c>
      <c r="W162" s="2">
        <f>IF(U162="NOT FOUND","NOT FOUND",INDEX('6_3nf_branch_history'!$D:$D,SUMPRODUCT(('6_3nf_branch_history'!$A$2:$A$50=T162)*('6_3nf_branch_history'!$B$2:$B$50=U162)*ROW('6_3nf_branch_history'!$A$2:$A$50))))</f>
        <v/>
      </c>
      <c r="X162" s="2">
        <f>IF(U162="NOT FOUND","NOT FOUND",INDEX('6_3nf_branch_history'!$E:$E,SUMPRODUCT(('6_3nf_branch_history'!$A$2:$A$50=T162)*('6_3nf_branch_history'!$B$2:$B$50=U162)*ROW('6_3nf_branch_history'!$A$2:$A$50))))</f>
        <v/>
      </c>
      <c r="Y162" s="2">
        <f>UPPER(TRIM(D162))</f>
        <v/>
      </c>
      <c r="Z162" s="2">
        <f>IFERROR(INDEX('7_3nf_product'!$B:$B,MATCH(Y162,'7_3nf_product'!$A:$A,0)),"NOT FOUND")</f>
        <v/>
      </c>
      <c r="AA162" s="2">
        <f>IFERROR(INDEX('7_3nf_product'!$C:$C,MATCH(Y162,'7_3nf_product'!$A:$A,0)),"NOT FOUND")</f>
        <v/>
      </c>
      <c r="AB162" s="2">
        <f>IFERROR(INDEX('7_3nf_product'!$D:$D,MATCH(Y162,'7_3nf_product'!$A:$A,0)),"NOT FOUND")</f>
        <v/>
      </c>
      <c r="AC162" s="6">
        <f>IFERROR(INDEX('7_3nf_product'!$E:$E,MATCH(Y162,'7_3nf_product'!$A:$A,0)),"NOT FOUND")</f>
        <v/>
      </c>
      <c r="AD162" s="33">
        <f>IF(LEN(TRIM(E162))=10,TRIM(E162),IF(LEN(TRIM(E162))=8,"00"&amp;TRIM(E162),"CHECK"))</f>
        <v/>
      </c>
      <c r="AE162" s="2">
        <f>IFERROR(INDEX('8_3nf_customer'!$C:$C,MATCH(AD162,'8_3nf_customer'!$B:$B,0)),"NOT FOUND")</f>
        <v/>
      </c>
      <c r="AF162" s="30">
        <f>IFERROR(INDEX('8_3nf_customer'!$D:$D,MATCH(AD162,'8_3nf_customer'!$B:$B,0)),"NOT FOUND")</f>
        <v/>
      </c>
      <c r="AG162" s="4">
        <f>IF(ISNUMBER(AF162),DATEDIF(AF162,L162,"y"),"NOT FOUND")</f>
        <v/>
      </c>
      <c r="AH162" s="2">
        <f>IFERROR(INDEX('8_3nf_customer'!$E:$E,MATCH(AD162,'8_3nf_customer'!$B:$B,0)),"NOT FOUND")</f>
        <v/>
      </c>
      <c r="AI162" s="30">
        <f>IF(_xlfn.MAXIFS('9_3nf_customer_history'!$B$2:$B$500,'9_3nf_customer_history'!$A$2:$A$500,AD162,'9_3nf_customer_history'!$B$2:$B$500,"&lt;="&amp;L162)=0,"NOT FOUND",_xlfn.MAXIFS('9_3nf_customer_history'!$B$2:$B$500,'9_3nf_customer_history'!$A$2:$A$500,AD162,'9_3nf_customer_history'!$B$2:$B$500,"&lt;="&amp;L162))</f>
        <v/>
      </c>
      <c r="AJ162" s="2">
        <f>IF(AI162="NOT FOUND","NOT FOUND",INDEX('9_3nf_customer_history'!$C:$C,SUMPRODUCT(('9_3nf_customer_history'!$A$2:$A$500=AD162)*('9_3nf_customer_history'!$B$2:$B$500=AI162)*ROW('9_3nf_customer_history'!$A$2:$A$500))))</f>
        <v/>
      </c>
      <c r="AK162" s="2">
        <f>IF(AI162="NOT FOUND","NOT FOUND",INDEX('9_3nf_customer_history'!$D:$D,SUMPRODUCT(('9_3nf_customer_history'!$A$2:$A$500=AD162)*('9_3nf_customer_history'!$B$2:$B$500=AI162)*ROW('9_3nf_customer_history'!$A$2:$A$500))))</f>
        <v/>
      </c>
      <c r="AL162" s="2">
        <f>UPPER(TRIM(H162))</f>
        <v/>
      </c>
      <c r="AM162" s="30">
        <f>IF(_xlfn.MAXIFS('10_ref_fx_rate'!$B$2:$B$2000,'10_ref_fx_rate'!$A$2:$A$2000,AL162,'10_ref_fx_rate'!$B$2:$B$2000,"&lt;="&amp;L162)=0,"NOT FOUND",_xlfn.MAXIFS('10_ref_fx_rate'!$B$2:$B$2000,'10_ref_fx_rate'!$A$2:$A$2000,AL162,'10_ref_fx_rate'!$B$2:$B$2000,"&lt;="&amp;L162))</f>
        <v/>
      </c>
      <c r="AN162" s="8">
        <f>IF(AM162="NOT FOUND","NOT FOUND",SUMIFS('10_ref_fx_rate'!$D$2:$D$2000,'10_ref_fx_rate'!$A$2:$A$2000,AL162,'10_ref_fx_rate'!$B$2:$B$2000,AM162))</f>
        <v/>
      </c>
      <c r="AO162" s="37">
        <f>IF(ISNUMBER(AN162),I162*AN162,"NOT FOUND")</f>
        <v/>
      </c>
      <c r="AP162" s="2">
        <f>UPPER(TRIM(J162))</f>
        <v/>
      </c>
      <c r="AQ162" s="2">
        <f>IF(AP162="","SELF-DIRECTED",IF(ISNUMBER(MATCH(AP162,'11_3nf_sales_person'!$A:$A,0)),IF(EXACT(AP162,J162),"OK","OK (auto-fixed)"),IF(ISNA(MATCH($A162,'12_sales_person_confirmation'!$A:$A,0)),"CONFIRM (not logged)",IF(INDEX('12_sales_person_confirmation'!$I:$I,MATCH($A162,'12_sales_person_confirmation'!$A:$A,0))="CONFIRMED","CONFIRMED ("&amp;LOWER(INDEX('12_sales_person_confirmation'!$E:$E,MATCH($A162,'12_sales_person_confirmation'!$A:$A,0)))&amp;")","PENDING CONFIRM"))))</f>
        <v/>
      </c>
      <c r="AR162" s="2">
        <f>IF(OR(AQ162="OK",AQ162="OK (auto-fixed)"),AP162,IF(LEFT(AQ162,9)="CONFIRMED",INDEX('12_sales_person_confirmation'!$F:$F,MATCH($A162,'12_sales_person_confirmation'!$A:$A,0)),""))</f>
        <v/>
      </c>
      <c r="AS162" s="2">
        <f>IF(AR162="","",INDEX('11_3nf_sales_person'!$B:$B,MATCH(AR162,'11_3nf_sales_person'!$A:$A,0)))</f>
        <v/>
      </c>
    </row>
    <row r="163">
      <c r="A163" s="2">
        <f>IF(ISBLANK('1_raw_log'!A163),"",'1_raw_log'!A163)</f>
        <v/>
      </c>
      <c r="B163" s="3">
        <f>IF(ISBLANK('1_raw_log'!B163),"",'1_raw_log'!B163)</f>
        <v/>
      </c>
      <c r="C163" s="2">
        <f>IF(ISBLANK('1_raw_log'!C163),"",'1_raw_log'!C163)</f>
        <v/>
      </c>
      <c r="D163" s="2">
        <f>IF(ISBLANK('1_raw_log'!D163),"",'1_raw_log'!D163)</f>
        <v/>
      </c>
      <c r="E163" s="4">
        <f>IF(ISBLANK('1_raw_log'!E163),"",'1_raw_log'!E163)</f>
        <v/>
      </c>
      <c r="F163" s="2">
        <f>IF(ISBLANK('1_raw_log'!F163),"",'1_raw_log'!F163)</f>
        <v/>
      </c>
      <c r="G163" s="2">
        <f>IF(ISBLANK('1_raw_log'!G163),"",'1_raw_log'!G163)</f>
        <v/>
      </c>
      <c r="H163" s="2">
        <f>IF(ISBLANK('1_raw_log'!H163),"",'1_raw_log'!H163)</f>
        <v/>
      </c>
      <c r="I163" s="7">
        <f>IF(ISBLANK('1_raw_log'!I163),"",'1_raw_log'!I163)</f>
        <v/>
      </c>
      <c r="J163" s="2">
        <f>IF(ISBLANK('1_raw_log'!J163),"",'1_raw_log'!J163)</f>
        <v/>
      </c>
      <c r="K163" s="2">
        <f>IF(ISBLANK('1_raw_log'!K163),"",'1_raw_log'!K163)</f>
        <v/>
      </c>
      <c r="L163" s="30">
        <f>INT(B163)</f>
        <v/>
      </c>
      <c r="M163" s="20">
        <f>ROUND(MOD(B163,1)*1440,0)/1440</f>
        <v/>
      </c>
      <c r="N163" s="4">
        <f>IFERROR(INDEX('3_ref_date'!$B:$B,MATCH(L163,'3_ref_date'!$A:$A,0)),"NOT FOUND")</f>
        <v/>
      </c>
      <c r="O163" s="2">
        <f>IFERROR(INDEX('3_ref_date'!$C:$C,MATCH(L163,'3_ref_date'!$A:$A,0)),"NOT FOUND")</f>
        <v/>
      </c>
      <c r="P163" s="4">
        <f>IFERROR(INDEX('3_ref_date'!$D:$D,MATCH(L163,'3_ref_date'!$A:$A,0)),"NOT FOUND")</f>
        <v/>
      </c>
      <c r="Q163" s="4">
        <f>IFERROR(INDEX('3_ref_date'!$E:$E,MATCH(L163,'3_ref_date'!$A:$A,0)),"NOT FOUND")</f>
        <v/>
      </c>
      <c r="R163" s="2">
        <f>IFERROR(INDEX('3_ref_date'!$F:$F,MATCH(L163,'3_ref_date'!$A:$A,0)),"NOT FOUND")</f>
        <v/>
      </c>
      <c r="S163" s="2">
        <f>IFERROR(INDEX('4_ref_time'!$D:$D,MATCH(ROUND(M163*1440,0),'4_ref_time'!$A:$A,0)),"NOT FOUND")</f>
        <v/>
      </c>
      <c r="T163" s="2">
        <f>UPPER(TRIM(C163))</f>
        <v/>
      </c>
      <c r="U163" s="30">
        <f>IF(_xlfn.MAXIFS('6_3nf_branch_history'!$B$2:$B$50,'6_3nf_branch_history'!$A$2:$A$50,T163,'6_3nf_branch_history'!$B$2:$B$50,"&lt;="&amp;L163)=0,"NOT FOUND",_xlfn.MAXIFS('6_3nf_branch_history'!$B$2:$B$50,'6_3nf_branch_history'!$A$2:$A$50,T163,'6_3nf_branch_history'!$B$2:$B$50,"&lt;="&amp;L163))</f>
        <v/>
      </c>
      <c r="V163" s="2">
        <f>IF(U163="NOT FOUND","NOT FOUND",INDEX('6_3nf_branch_history'!$C:$C,SUMPRODUCT(('6_3nf_branch_history'!$A$2:$A$50=T163)*('6_3nf_branch_history'!$B$2:$B$50=U163)*ROW('6_3nf_branch_history'!$A$2:$A$50))))</f>
        <v/>
      </c>
      <c r="W163" s="2">
        <f>IF(U163="NOT FOUND","NOT FOUND",INDEX('6_3nf_branch_history'!$D:$D,SUMPRODUCT(('6_3nf_branch_history'!$A$2:$A$50=T163)*('6_3nf_branch_history'!$B$2:$B$50=U163)*ROW('6_3nf_branch_history'!$A$2:$A$50))))</f>
        <v/>
      </c>
      <c r="X163" s="2">
        <f>IF(U163="NOT FOUND","NOT FOUND",INDEX('6_3nf_branch_history'!$E:$E,SUMPRODUCT(('6_3nf_branch_history'!$A$2:$A$50=T163)*('6_3nf_branch_history'!$B$2:$B$50=U163)*ROW('6_3nf_branch_history'!$A$2:$A$50))))</f>
        <v/>
      </c>
      <c r="Y163" s="2">
        <f>UPPER(TRIM(D163))</f>
        <v/>
      </c>
      <c r="Z163" s="2">
        <f>IFERROR(INDEX('7_3nf_product'!$B:$B,MATCH(Y163,'7_3nf_product'!$A:$A,0)),"NOT FOUND")</f>
        <v/>
      </c>
      <c r="AA163" s="2">
        <f>IFERROR(INDEX('7_3nf_product'!$C:$C,MATCH(Y163,'7_3nf_product'!$A:$A,0)),"NOT FOUND")</f>
        <v/>
      </c>
      <c r="AB163" s="2">
        <f>IFERROR(INDEX('7_3nf_product'!$D:$D,MATCH(Y163,'7_3nf_product'!$A:$A,0)),"NOT FOUND")</f>
        <v/>
      </c>
      <c r="AC163" s="6">
        <f>IFERROR(INDEX('7_3nf_product'!$E:$E,MATCH(Y163,'7_3nf_product'!$A:$A,0)),"NOT FOUND")</f>
        <v/>
      </c>
      <c r="AD163" s="33">
        <f>IF(LEN(TRIM(E163))=10,TRIM(E163),IF(LEN(TRIM(E163))=8,"00"&amp;TRIM(E163),"CHECK"))</f>
        <v/>
      </c>
      <c r="AE163" s="2">
        <f>IFERROR(INDEX('8_3nf_customer'!$C:$C,MATCH(AD163,'8_3nf_customer'!$B:$B,0)),"NOT FOUND")</f>
        <v/>
      </c>
      <c r="AF163" s="30">
        <f>IFERROR(INDEX('8_3nf_customer'!$D:$D,MATCH(AD163,'8_3nf_customer'!$B:$B,0)),"NOT FOUND")</f>
        <v/>
      </c>
      <c r="AG163" s="4">
        <f>IF(ISNUMBER(AF163),DATEDIF(AF163,L163,"y"),"NOT FOUND")</f>
        <v/>
      </c>
      <c r="AH163" s="2">
        <f>IFERROR(INDEX('8_3nf_customer'!$E:$E,MATCH(AD163,'8_3nf_customer'!$B:$B,0)),"NOT FOUND")</f>
        <v/>
      </c>
      <c r="AI163" s="30">
        <f>IF(_xlfn.MAXIFS('9_3nf_customer_history'!$B$2:$B$500,'9_3nf_customer_history'!$A$2:$A$500,AD163,'9_3nf_customer_history'!$B$2:$B$500,"&lt;="&amp;L163)=0,"NOT FOUND",_xlfn.MAXIFS('9_3nf_customer_history'!$B$2:$B$500,'9_3nf_customer_history'!$A$2:$A$500,AD163,'9_3nf_customer_history'!$B$2:$B$500,"&lt;="&amp;L163))</f>
        <v/>
      </c>
      <c r="AJ163" s="2">
        <f>IF(AI163="NOT FOUND","NOT FOUND",INDEX('9_3nf_customer_history'!$C:$C,SUMPRODUCT(('9_3nf_customer_history'!$A$2:$A$500=AD163)*('9_3nf_customer_history'!$B$2:$B$500=AI163)*ROW('9_3nf_customer_history'!$A$2:$A$500))))</f>
        <v/>
      </c>
      <c r="AK163" s="2">
        <f>IF(AI163="NOT FOUND","NOT FOUND",INDEX('9_3nf_customer_history'!$D:$D,SUMPRODUCT(('9_3nf_customer_history'!$A$2:$A$500=AD163)*('9_3nf_customer_history'!$B$2:$B$500=AI163)*ROW('9_3nf_customer_history'!$A$2:$A$500))))</f>
        <v/>
      </c>
      <c r="AL163" s="2">
        <f>UPPER(TRIM(H163))</f>
        <v/>
      </c>
      <c r="AM163" s="30">
        <f>IF(_xlfn.MAXIFS('10_ref_fx_rate'!$B$2:$B$2000,'10_ref_fx_rate'!$A$2:$A$2000,AL163,'10_ref_fx_rate'!$B$2:$B$2000,"&lt;="&amp;L163)=0,"NOT FOUND",_xlfn.MAXIFS('10_ref_fx_rate'!$B$2:$B$2000,'10_ref_fx_rate'!$A$2:$A$2000,AL163,'10_ref_fx_rate'!$B$2:$B$2000,"&lt;="&amp;L163))</f>
        <v/>
      </c>
      <c r="AN163" s="8">
        <f>IF(AM163="NOT FOUND","NOT FOUND",SUMIFS('10_ref_fx_rate'!$D$2:$D$2000,'10_ref_fx_rate'!$A$2:$A$2000,AL163,'10_ref_fx_rate'!$B$2:$B$2000,AM163))</f>
        <v/>
      </c>
      <c r="AO163" s="37">
        <f>IF(ISNUMBER(AN163),I163*AN163,"NOT FOUND")</f>
        <v/>
      </c>
      <c r="AP163" s="2">
        <f>UPPER(TRIM(J163))</f>
        <v/>
      </c>
      <c r="AQ163" s="2">
        <f>IF(AP163="","SELF-DIRECTED",IF(ISNUMBER(MATCH(AP163,'11_3nf_sales_person'!$A:$A,0)),IF(EXACT(AP163,J163),"OK","OK (auto-fixed)"),IF(ISNA(MATCH($A163,'12_sales_person_confirmation'!$A:$A,0)),"CONFIRM (not logged)",IF(INDEX('12_sales_person_confirmation'!$I:$I,MATCH($A163,'12_sales_person_confirmation'!$A:$A,0))="CONFIRMED","CONFIRMED ("&amp;LOWER(INDEX('12_sales_person_confirmation'!$E:$E,MATCH($A163,'12_sales_person_confirmation'!$A:$A,0)))&amp;")","PENDING CONFIRM"))))</f>
        <v/>
      </c>
      <c r="AR163" s="2">
        <f>IF(OR(AQ163="OK",AQ163="OK (auto-fixed)"),AP163,IF(LEFT(AQ163,9)="CONFIRMED",INDEX('12_sales_person_confirmation'!$F:$F,MATCH($A163,'12_sales_person_confirmation'!$A:$A,0)),""))</f>
        <v/>
      </c>
      <c r="AS163" s="2">
        <f>IF(AR163="","",INDEX('11_3nf_sales_person'!$B:$B,MATCH(AR163,'11_3nf_sales_person'!$A:$A,0)))</f>
        <v/>
      </c>
    </row>
    <row r="164">
      <c r="A164" s="2">
        <f>IF(ISBLANK('1_raw_log'!A164),"",'1_raw_log'!A164)</f>
        <v/>
      </c>
      <c r="B164" s="3">
        <f>IF(ISBLANK('1_raw_log'!B164),"",'1_raw_log'!B164)</f>
        <v/>
      </c>
      <c r="C164" s="2">
        <f>IF(ISBLANK('1_raw_log'!C164),"",'1_raw_log'!C164)</f>
        <v/>
      </c>
      <c r="D164" s="2">
        <f>IF(ISBLANK('1_raw_log'!D164),"",'1_raw_log'!D164)</f>
        <v/>
      </c>
      <c r="E164" s="4">
        <f>IF(ISBLANK('1_raw_log'!E164),"",'1_raw_log'!E164)</f>
        <v/>
      </c>
      <c r="F164" s="2">
        <f>IF(ISBLANK('1_raw_log'!F164),"",'1_raw_log'!F164)</f>
        <v/>
      </c>
      <c r="G164" s="2">
        <f>IF(ISBLANK('1_raw_log'!G164),"",'1_raw_log'!G164)</f>
        <v/>
      </c>
      <c r="H164" s="2">
        <f>IF(ISBLANK('1_raw_log'!H164),"",'1_raw_log'!H164)</f>
        <v/>
      </c>
      <c r="I164" s="7">
        <f>IF(ISBLANK('1_raw_log'!I164),"",'1_raw_log'!I164)</f>
        <v/>
      </c>
      <c r="J164" s="2">
        <f>IF(ISBLANK('1_raw_log'!J164),"",'1_raw_log'!J164)</f>
        <v/>
      </c>
      <c r="K164" s="2">
        <f>IF(ISBLANK('1_raw_log'!K164),"",'1_raw_log'!K164)</f>
        <v/>
      </c>
      <c r="L164" s="30">
        <f>INT(B164)</f>
        <v/>
      </c>
      <c r="M164" s="20">
        <f>ROUND(MOD(B164,1)*1440,0)/1440</f>
        <v/>
      </c>
      <c r="N164" s="4">
        <f>IFERROR(INDEX('3_ref_date'!$B:$B,MATCH(L164,'3_ref_date'!$A:$A,0)),"NOT FOUND")</f>
        <v/>
      </c>
      <c r="O164" s="2">
        <f>IFERROR(INDEX('3_ref_date'!$C:$C,MATCH(L164,'3_ref_date'!$A:$A,0)),"NOT FOUND")</f>
        <v/>
      </c>
      <c r="P164" s="4">
        <f>IFERROR(INDEX('3_ref_date'!$D:$D,MATCH(L164,'3_ref_date'!$A:$A,0)),"NOT FOUND")</f>
        <v/>
      </c>
      <c r="Q164" s="4">
        <f>IFERROR(INDEX('3_ref_date'!$E:$E,MATCH(L164,'3_ref_date'!$A:$A,0)),"NOT FOUND")</f>
        <v/>
      </c>
      <c r="R164" s="2">
        <f>IFERROR(INDEX('3_ref_date'!$F:$F,MATCH(L164,'3_ref_date'!$A:$A,0)),"NOT FOUND")</f>
        <v/>
      </c>
      <c r="S164" s="2">
        <f>IFERROR(INDEX('4_ref_time'!$D:$D,MATCH(ROUND(M164*1440,0),'4_ref_time'!$A:$A,0)),"NOT FOUND")</f>
        <v/>
      </c>
      <c r="T164" s="2">
        <f>UPPER(TRIM(C164))</f>
        <v/>
      </c>
      <c r="U164" s="30">
        <f>IF(_xlfn.MAXIFS('6_3nf_branch_history'!$B$2:$B$50,'6_3nf_branch_history'!$A$2:$A$50,T164,'6_3nf_branch_history'!$B$2:$B$50,"&lt;="&amp;L164)=0,"NOT FOUND",_xlfn.MAXIFS('6_3nf_branch_history'!$B$2:$B$50,'6_3nf_branch_history'!$A$2:$A$50,T164,'6_3nf_branch_history'!$B$2:$B$50,"&lt;="&amp;L164))</f>
        <v/>
      </c>
      <c r="V164" s="2">
        <f>IF(U164="NOT FOUND","NOT FOUND",INDEX('6_3nf_branch_history'!$C:$C,SUMPRODUCT(('6_3nf_branch_history'!$A$2:$A$50=T164)*('6_3nf_branch_history'!$B$2:$B$50=U164)*ROW('6_3nf_branch_history'!$A$2:$A$50))))</f>
        <v/>
      </c>
      <c r="W164" s="2">
        <f>IF(U164="NOT FOUND","NOT FOUND",INDEX('6_3nf_branch_history'!$D:$D,SUMPRODUCT(('6_3nf_branch_history'!$A$2:$A$50=T164)*('6_3nf_branch_history'!$B$2:$B$50=U164)*ROW('6_3nf_branch_history'!$A$2:$A$50))))</f>
        <v/>
      </c>
      <c r="X164" s="2">
        <f>IF(U164="NOT FOUND","NOT FOUND",INDEX('6_3nf_branch_history'!$E:$E,SUMPRODUCT(('6_3nf_branch_history'!$A$2:$A$50=T164)*('6_3nf_branch_history'!$B$2:$B$50=U164)*ROW('6_3nf_branch_history'!$A$2:$A$50))))</f>
        <v/>
      </c>
      <c r="Y164" s="2">
        <f>UPPER(TRIM(D164))</f>
        <v/>
      </c>
      <c r="Z164" s="2">
        <f>IFERROR(INDEX('7_3nf_product'!$B:$B,MATCH(Y164,'7_3nf_product'!$A:$A,0)),"NOT FOUND")</f>
        <v/>
      </c>
      <c r="AA164" s="2">
        <f>IFERROR(INDEX('7_3nf_product'!$C:$C,MATCH(Y164,'7_3nf_product'!$A:$A,0)),"NOT FOUND")</f>
        <v/>
      </c>
      <c r="AB164" s="2">
        <f>IFERROR(INDEX('7_3nf_product'!$D:$D,MATCH(Y164,'7_3nf_product'!$A:$A,0)),"NOT FOUND")</f>
        <v/>
      </c>
      <c r="AC164" s="6">
        <f>IFERROR(INDEX('7_3nf_product'!$E:$E,MATCH(Y164,'7_3nf_product'!$A:$A,0)),"NOT FOUND")</f>
        <v/>
      </c>
      <c r="AD164" s="33">
        <f>IF(LEN(TRIM(E164))=10,TRIM(E164),IF(LEN(TRIM(E164))=8,"00"&amp;TRIM(E164),"CHECK"))</f>
        <v/>
      </c>
      <c r="AE164" s="2">
        <f>IFERROR(INDEX('8_3nf_customer'!$C:$C,MATCH(AD164,'8_3nf_customer'!$B:$B,0)),"NOT FOUND")</f>
        <v/>
      </c>
      <c r="AF164" s="30">
        <f>IFERROR(INDEX('8_3nf_customer'!$D:$D,MATCH(AD164,'8_3nf_customer'!$B:$B,0)),"NOT FOUND")</f>
        <v/>
      </c>
      <c r="AG164" s="4">
        <f>IF(ISNUMBER(AF164),DATEDIF(AF164,L164,"y"),"NOT FOUND")</f>
        <v/>
      </c>
      <c r="AH164" s="2">
        <f>IFERROR(INDEX('8_3nf_customer'!$E:$E,MATCH(AD164,'8_3nf_customer'!$B:$B,0)),"NOT FOUND")</f>
        <v/>
      </c>
      <c r="AI164" s="30">
        <f>IF(_xlfn.MAXIFS('9_3nf_customer_history'!$B$2:$B$500,'9_3nf_customer_history'!$A$2:$A$500,AD164,'9_3nf_customer_history'!$B$2:$B$500,"&lt;="&amp;L164)=0,"NOT FOUND",_xlfn.MAXIFS('9_3nf_customer_history'!$B$2:$B$500,'9_3nf_customer_history'!$A$2:$A$500,AD164,'9_3nf_customer_history'!$B$2:$B$500,"&lt;="&amp;L164))</f>
        <v/>
      </c>
      <c r="AJ164" s="2">
        <f>IF(AI164="NOT FOUND","NOT FOUND",INDEX('9_3nf_customer_history'!$C:$C,SUMPRODUCT(('9_3nf_customer_history'!$A$2:$A$500=AD164)*('9_3nf_customer_history'!$B$2:$B$500=AI164)*ROW('9_3nf_customer_history'!$A$2:$A$500))))</f>
        <v/>
      </c>
      <c r="AK164" s="2">
        <f>IF(AI164="NOT FOUND","NOT FOUND",INDEX('9_3nf_customer_history'!$D:$D,SUMPRODUCT(('9_3nf_customer_history'!$A$2:$A$500=AD164)*('9_3nf_customer_history'!$B$2:$B$500=AI164)*ROW('9_3nf_customer_history'!$A$2:$A$500))))</f>
        <v/>
      </c>
      <c r="AL164" s="2">
        <f>UPPER(TRIM(H164))</f>
        <v/>
      </c>
      <c r="AM164" s="30">
        <f>IF(_xlfn.MAXIFS('10_ref_fx_rate'!$B$2:$B$2000,'10_ref_fx_rate'!$A$2:$A$2000,AL164,'10_ref_fx_rate'!$B$2:$B$2000,"&lt;="&amp;L164)=0,"NOT FOUND",_xlfn.MAXIFS('10_ref_fx_rate'!$B$2:$B$2000,'10_ref_fx_rate'!$A$2:$A$2000,AL164,'10_ref_fx_rate'!$B$2:$B$2000,"&lt;="&amp;L164))</f>
        <v/>
      </c>
      <c r="AN164" s="8">
        <f>IF(AM164="NOT FOUND","NOT FOUND",SUMIFS('10_ref_fx_rate'!$D$2:$D$2000,'10_ref_fx_rate'!$A$2:$A$2000,AL164,'10_ref_fx_rate'!$B$2:$B$2000,AM164))</f>
        <v/>
      </c>
      <c r="AO164" s="37">
        <f>IF(ISNUMBER(AN164),I164*AN164,"NOT FOUND")</f>
        <v/>
      </c>
      <c r="AP164" s="2">
        <f>UPPER(TRIM(J164))</f>
        <v/>
      </c>
      <c r="AQ164" s="2">
        <f>IF(AP164="","SELF-DIRECTED",IF(ISNUMBER(MATCH(AP164,'11_3nf_sales_person'!$A:$A,0)),IF(EXACT(AP164,J164),"OK","OK (auto-fixed)"),IF(ISNA(MATCH($A164,'12_sales_person_confirmation'!$A:$A,0)),"CONFIRM (not logged)",IF(INDEX('12_sales_person_confirmation'!$I:$I,MATCH($A164,'12_sales_person_confirmation'!$A:$A,0))="CONFIRMED","CONFIRMED ("&amp;LOWER(INDEX('12_sales_person_confirmation'!$E:$E,MATCH($A164,'12_sales_person_confirmation'!$A:$A,0)))&amp;")","PENDING CONFIRM"))))</f>
        <v/>
      </c>
      <c r="AR164" s="2">
        <f>IF(OR(AQ164="OK",AQ164="OK (auto-fixed)"),AP164,IF(LEFT(AQ164,9)="CONFIRMED",INDEX('12_sales_person_confirmation'!$F:$F,MATCH($A164,'12_sales_person_confirmation'!$A:$A,0)),""))</f>
        <v/>
      </c>
      <c r="AS164" s="2">
        <f>IF(AR164="","",INDEX('11_3nf_sales_person'!$B:$B,MATCH(AR164,'11_3nf_sales_person'!$A:$A,0)))</f>
        <v/>
      </c>
    </row>
    <row r="165">
      <c r="A165" s="2">
        <f>IF(ISBLANK('1_raw_log'!A165),"",'1_raw_log'!A165)</f>
        <v/>
      </c>
      <c r="B165" s="3">
        <f>IF(ISBLANK('1_raw_log'!B165),"",'1_raw_log'!B165)</f>
        <v/>
      </c>
      <c r="C165" s="2">
        <f>IF(ISBLANK('1_raw_log'!C165),"",'1_raw_log'!C165)</f>
        <v/>
      </c>
      <c r="D165" s="2">
        <f>IF(ISBLANK('1_raw_log'!D165),"",'1_raw_log'!D165)</f>
        <v/>
      </c>
      <c r="E165" s="4">
        <f>IF(ISBLANK('1_raw_log'!E165),"",'1_raw_log'!E165)</f>
        <v/>
      </c>
      <c r="F165" s="2">
        <f>IF(ISBLANK('1_raw_log'!F165),"",'1_raw_log'!F165)</f>
        <v/>
      </c>
      <c r="G165" s="2">
        <f>IF(ISBLANK('1_raw_log'!G165),"",'1_raw_log'!G165)</f>
        <v/>
      </c>
      <c r="H165" s="2">
        <f>IF(ISBLANK('1_raw_log'!H165),"",'1_raw_log'!H165)</f>
        <v/>
      </c>
      <c r="I165" s="7">
        <f>IF(ISBLANK('1_raw_log'!I165),"",'1_raw_log'!I165)</f>
        <v/>
      </c>
      <c r="J165" s="2">
        <f>IF(ISBLANK('1_raw_log'!J165),"",'1_raw_log'!J165)</f>
        <v/>
      </c>
      <c r="K165" s="2">
        <f>IF(ISBLANK('1_raw_log'!K165),"",'1_raw_log'!K165)</f>
        <v/>
      </c>
      <c r="L165" s="30">
        <f>INT(B165)</f>
        <v/>
      </c>
      <c r="M165" s="20">
        <f>ROUND(MOD(B165,1)*1440,0)/1440</f>
        <v/>
      </c>
      <c r="N165" s="4">
        <f>IFERROR(INDEX('3_ref_date'!$B:$B,MATCH(L165,'3_ref_date'!$A:$A,0)),"NOT FOUND")</f>
        <v/>
      </c>
      <c r="O165" s="2">
        <f>IFERROR(INDEX('3_ref_date'!$C:$C,MATCH(L165,'3_ref_date'!$A:$A,0)),"NOT FOUND")</f>
        <v/>
      </c>
      <c r="P165" s="4">
        <f>IFERROR(INDEX('3_ref_date'!$D:$D,MATCH(L165,'3_ref_date'!$A:$A,0)),"NOT FOUND")</f>
        <v/>
      </c>
      <c r="Q165" s="4">
        <f>IFERROR(INDEX('3_ref_date'!$E:$E,MATCH(L165,'3_ref_date'!$A:$A,0)),"NOT FOUND")</f>
        <v/>
      </c>
      <c r="R165" s="2">
        <f>IFERROR(INDEX('3_ref_date'!$F:$F,MATCH(L165,'3_ref_date'!$A:$A,0)),"NOT FOUND")</f>
        <v/>
      </c>
      <c r="S165" s="2">
        <f>IFERROR(INDEX('4_ref_time'!$D:$D,MATCH(ROUND(M165*1440,0),'4_ref_time'!$A:$A,0)),"NOT FOUND")</f>
        <v/>
      </c>
      <c r="T165" s="2">
        <f>UPPER(TRIM(C165))</f>
        <v/>
      </c>
      <c r="U165" s="30">
        <f>IF(_xlfn.MAXIFS('6_3nf_branch_history'!$B$2:$B$50,'6_3nf_branch_history'!$A$2:$A$50,T165,'6_3nf_branch_history'!$B$2:$B$50,"&lt;="&amp;L165)=0,"NOT FOUND",_xlfn.MAXIFS('6_3nf_branch_history'!$B$2:$B$50,'6_3nf_branch_history'!$A$2:$A$50,T165,'6_3nf_branch_history'!$B$2:$B$50,"&lt;="&amp;L165))</f>
        <v/>
      </c>
      <c r="V165" s="2">
        <f>IF(U165="NOT FOUND","NOT FOUND",INDEX('6_3nf_branch_history'!$C:$C,SUMPRODUCT(('6_3nf_branch_history'!$A$2:$A$50=T165)*('6_3nf_branch_history'!$B$2:$B$50=U165)*ROW('6_3nf_branch_history'!$A$2:$A$50))))</f>
        <v/>
      </c>
      <c r="W165" s="2">
        <f>IF(U165="NOT FOUND","NOT FOUND",INDEX('6_3nf_branch_history'!$D:$D,SUMPRODUCT(('6_3nf_branch_history'!$A$2:$A$50=T165)*('6_3nf_branch_history'!$B$2:$B$50=U165)*ROW('6_3nf_branch_history'!$A$2:$A$50))))</f>
        <v/>
      </c>
      <c r="X165" s="2">
        <f>IF(U165="NOT FOUND","NOT FOUND",INDEX('6_3nf_branch_history'!$E:$E,SUMPRODUCT(('6_3nf_branch_history'!$A$2:$A$50=T165)*('6_3nf_branch_history'!$B$2:$B$50=U165)*ROW('6_3nf_branch_history'!$A$2:$A$50))))</f>
        <v/>
      </c>
      <c r="Y165" s="2">
        <f>UPPER(TRIM(D165))</f>
        <v/>
      </c>
      <c r="Z165" s="2">
        <f>IFERROR(INDEX('7_3nf_product'!$B:$B,MATCH(Y165,'7_3nf_product'!$A:$A,0)),"NOT FOUND")</f>
        <v/>
      </c>
      <c r="AA165" s="2">
        <f>IFERROR(INDEX('7_3nf_product'!$C:$C,MATCH(Y165,'7_3nf_product'!$A:$A,0)),"NOT FOUND")</f>
        <v/>
      </c>
      <c r="AB165" s="2">
        <f>IFERROR(INDEX('7_3nf_product'!$D:$D,MATCH(Y165,'7_3nf_product'!$A:$A,0)),"NOT FOUND")</f>
        <v/>
      </c>
      <c r="AC165" s="6">
        <f>IFERROR(INDEX('7_3nf_product'!$E:$E,MATCH(Y165,'7_3nf_product'!$A:$A,0)),"NOT FOUND")</f>
        <v/>
      </c>
      <c r="AD165" s="33">
        <f>IF(LEN(TRIM(E165))=10,TRIM(E165),IF(LEN(TRIM(E165))=8,"00"&amp;TRIM(E165),"CHECK"))</f>
        <v/>
      </c>
      <c r="AE165" s="2">
        <f>IFERROR(INDEX('8_3nf_customer'!$C:$C,MATCH(AD165,'8_3nf_customer'!$B:$B,0)),"NOT FOUND")</f>
        <v/>
      </c>
      <c r="AF165" s="30">
        <f>IFERROR(INDEX('8_3nf_customer'!$D:$D,MATCH(AD165,'8_3nf_customer'!$B:$B,0)),"NOT FOUND")</f>
        <v/>
      </c>
      <c r="AG165" s="4">
        <f>IF(ISNUMBER(AF165),DATEDIF(AF165,L165,"y"),"NOT FOUND")</f>
        <v/>
      </c>
      <c r="AH165" s="2">
        <f>IFERROR(INDEX('8_3nf_customer'!$E:$E,MATCH(AD165,'8_3nf_customer'!$B:$B,0)),"NOT FOUND")</f>
        <v/>
      </c>
      <c r="AI165" s="30">
        <f>IF(_xlfn.MAXIFS('9_3nf_customer_history'!$B$2:$B$500,'9_3nf_customer_history'!$A$2:$A$500,AD165,'9_3nf_customer_history'!$B$2:$B$500,"&lt;="&amp;L165)=0,"NOT FOUND",_xlfn.MAXIFS('9_3nf_customer_history'!$B$2:$B$500,'9_3nf_customer_history'!$A$2:$A$500,AD165,'9_3nf_customer_history'!$B$2:$B$500,"&lt;="&amp;L165))</f>
        <v/>
      </c>
      <c r="AJ165" s="2">
        <f>IF(AI165="NOT FOUND","NOT FOUND",INDEX('9_3nf_customer_history'!$C:$C,SUMPRODUCT(('9_3nf_customer_history'!$A$2:$A$500=AD165)*('9_3nf_customer_history'!$B$2:$B$500=AI165)*ROW('9_3nf_customer_history'!$A$2:$A$500))))</f>
        <v/>
      </c>
      <c r="AK165" s="2">
        <f>IF(AI165="NOT FOUND","NOT FOUND",INDEX('9_3nf_customer_history'!$D:$D,SUMPRODUCT(('9_3nf_customer_history'!$A$2:$A$500=AD165)*('9_3nf_customer_history'!$B$2:$B$500=AI165)*ROW('9_3nf_customer_history'!$A$2:$A$500))))</f>
        <v/>
      </c>
      <c r="AL165" s="2">
        <f>UPPER(TRIM(H165))</f>
        <v/>
      </c>
      <c r="AM165" s="30">
        <f>IF(_xlfn.MAXIFS('10_ref_fx_rate'!$B$2:$B$2000,'10_ref_fx_rate'!$A$2:$A$2000,AL165,'10_ref_fx_rate'!$B$2:$B$2000,"&lt;="&amp;L165)=0,"NOT FOUND",_xlfn.MAXIFS('10_ref_fx_rate'!$B$2:$B$2000,'10_ref_fx_rate'!$A$2:$A$2000,AL165,'10_ref_fx_rate'!$B$2:$B$2000,"&lt;="&amp;L165))</f>
        <v/>
      </c>
      <c r="AN165" s="8">
        <f>IF(AM165="NOT FOUND","NOT FOUND",SUMIFS('10_ref_fx_rate'!$D$2:$D$2000,'10_ref_fx_rate'!$A$2:$A$2000,AL165,'10_ref_fx_rate'!$B$2:$B$2000,AM165))</f>
        <v/>
      </c>
      <c r="AO165" s="37">
        <f>IF(ISNUMBER(AN165),I165*AN165,"NOT FOUND")</f>
        <v/>
      </c>
      <c r="AP165" s="2">
        <f>UPPER(TRIM(J165))</f>
        <v/>
      </c>
      <c r="AQ165" s="2">
        <f>IF(AP165="","SELF-DIRECTED",IF(ISNUMBER(MATCH(AP165,'11_3nf_sales_person'!$A:$A,0)),IF(EXACT(AP165,J165),"OK","OK (auto-fixed)"),IF(ISNA(MATCH($A165,'12_sales_person_confirmation'!$A:$A,0)),"CONFIRM (not logged)",IF(INDEX('12_sales_person_confirmation'!$I:$I,MATCH($A165,'12_sales_person_confirmation'!$A:$A,0))="CONFIRMED","CONFIRMED ("&amp;LOWER(INDEX('12_sales_person_confirmation'!$E:$E,MATCH($A165,'12_sales_person_confirmation'!$A:$A,0)))&amp;")","PENDING CONFIRM"))))</f>
        <v/>
      </c>
      <c r="AR165" s="2">
        <f>IF(OR(AQ165="OK",AQ165="OK (auto-fixed)"),AP165,IF(LEFT(AQ165,9)="CONFIRMED",INDEX('12_sales_person_confirmation'!$F:$F,MATCH($A165,'12_sales_person_confirmation'!$A:$A,0)),""))</f>
        <v/>
      </c>
      <c r="AS165" s="2">
        <f>IF(AR165="","",INDEX('11_3nf_sales_person'!$B:$B,MATCH(AR165,'11_3nf_sales_person'!$A:$A,0)))</f>
        <v/>
      </c>
    </row>
    <row r="166">
      <c r="A166" s="2">
        <f>IF(ISBLANK('1_raw_log'!A166),"",'1_raw_log'!A166)</f>
        <v/>
      </c>
      <c r="B166" s="3">
        <f>IF(ISBLANK('1_raw_log'!B166),"",'1_raw_log'!B166)</f>
        <v/>
      </c>
      <c r="C166" s="2">
        <f>IF(ISBLANK('1_raw_log'!C166),"",'1_raw_log'!C166)</f>
        <v/>
      </c>
      <c r="D166" s="2">
        <f>IF(ISBLANK('1_raw_log'!D166),"",'1_raw_log'!D166)</f>
        <v/>
      </c>
      <c r="E166" s="4">
        <f>IF(ISBLANK('1_raw_log'!E166),"",'1_raw_log'!E166)</f>
        <v/>
      </c>
      <c r="F166" s="2">
        <f>IF(ISBLANK('1_raw_log'!F166),"",'1_raw_log'!F166)</f>
        <v/>
      </c>
      <c r="G166" s="2">
        <f>IF(ISBLANK('1_raw_log'!G166),"",'1_raw_log'!G166)</f>
        <v/>
      </c>
      <c r="H166" s="2">
        <f>IF(ISBLANK('1_raw_log'!H166),"",'1_raw_log'!H166)</f>
        <v/>
      </c>
      <c r="I166" s="7">
        <f>IF(ISBLANK('1_raw_log'!I166),"",'1_raw_log'!I166)</f>
        <v/>
      </c>
      <c r="J166" s="2">
        <f>IF(ISBLANK('1_raw_log'!J166),"",'1_raw_log'!J166)</f>
        <v/>
      </c>
      <c r="K166" s="2">
        <f>IF(ISBLANK('1_raw_log'!K166),"",'1_raw_log'!K166)</f>
        <v/>
      </c>
      <c r="L166" s="30">
        <f>INT(B166)</f>
        <v/>
      </c>
      <c r="M166" s="20">
        <f>ROUND(MOD(B166,1)*1440,0)/1440</f>
        <v/>
      </c>
      <c r="N166" s="4">
        <f>IFERROR(INDEX('3_ref_date'!$B:$B,MATCH(L166,'3_ref_date'!$A:$A,0)),"NOT FOUND")</f>
        <v/>
      </c>
      <c r="O166" s="2">
        <f>IFERROR(INDEX('3_ref_date'!$C:$C,MATCH(L166,'3_ref_date'!$A:$A,0)),"NOT FOUND")</f>
        <v/>
      </c>
      <c r="P166" s="4">
        <f>IFERROR(INDEX('3_ref_date'!$D:$D,MATCH(L166,'3_ref_date'!$A:$A,0)),"NOT FOUND")</f>
        <v/>
      </c>
      <c r="Q166" s="4">
        <f>IFERROR(INDEX('3_ref_date'!$E:$E,MATCH(L166,'3_ref_date'!$A:$A,0)),"NOT FOUND")</f>
        <v/>
      </c>
      <c r="R166" s="2">
        <f>IFERROR(INDEX('3_ref_date'!$F:$F,MATCH(L166,'3_ref_date'!$A:$A,0)),"NOT FOUND")</f>
        <v/>
      </c>
      <c r="S166" s="2">
        <f>IFERROR(INDEX('4_ref_time'!$D:$D,MATCH(ROUND(M166*1440,0),'4_ref_time'!$A:$A,0)),"NOT FOUND")</f>
        <v/>
      </c>
      <c r="T166" s="2">
        <f>UPPER(TRIM(C166))</f>
        <v/>
      </c>
      <c r="U166" s="30">
        <f>IF(_xlfn.MAXIFS('6_3nf_branch_history'!$B$2:$B$50,'6_3nf_branch_history'!$A$2:$A$50,T166,'6_3nf_branch_history'!$B$2:$B$50,"&lt;="&amp;L166)=0,"NOT FOUND",_xlfn.MAXIFS('6_3nf_branch_history'!$B$2:$B$50,'6_3nf_branch_history'!$A$2:$A$50,T166,'6_3nf_branch_history'!$B$2:$B$50,"&lt;="&amp;L166))</f>
        <v/>
      </c>
      <c r="V166" s="2">
        <f>IF(U166="NOT FOUND","NOT FOUND",INDEX('6_3nf_branch_history'!$C:$C,SUMPRODUCT(('6_3nf_branch_history'!$A$2:$A$50=T166)*('6_3nf_branch_history'!$B$2:$B$50=U166)*ROW('6_3nf_branch_history'!$A$2:$A$50))))</f>
        <v/>
      </c>
      <c r="W166" s="2">
        <f>IF(U166="NOT FOUND","NOT FOUND",INDEX('6_3nf_branch_history'!$D:$D,SUMPRODUCT(('6_3nf_branch_history'!$A$2:$A$50=T166)*('6_3nf_branch_history'!$B$2:$B$50=U166)*ROW('6_3nf_branch_history'!$A$2:$A$50))))</f>
        <v/>
      </c>
      <c r="X166" s="2">
        <f>IF(U166="NOT FOUND","NOT FOUND",INDEX('6_3nf_branch_history'!$E:$E,SUMPRODUCT(('6_3nf_branch_history'!$A$2:$A$50=T166)*('6_3nf_branch_history'!$B$2:$B$50=U166)*ROW('6_3nf_branch_history'!$A$2:$A$50))))</f>
        <v/>
      </c>
      <c r="Y166" s="2">
        <f>UPPER(TRIM(D166))</f>
        <v/>
      </c>
      <c r="Z166" s="2">
        <f>IFERROR(INDEX('7_3nf_product'!$B:$B,MATCH(Y166,'7_3nf_product'!$A:$A,0)),"NOT FOUND")</f>
        <v/>
      </c>
      <c r="AA166" s="2">
        <f>IFERROR(INDEX('7_3nf_product'!$C:$C,MATCH(Y166,'7_3nf_product'!$A:$A,0)),"NOT FOUND")</f>
        <v/>
      </c>
      <c r="AB166" s="2">
        <f>IFERROR(INDEX('7_3nf_product'!$D:$D,MATCH(Y166,'7_3nf_product'!$A:$A,0)),"NOT FOUND")</f>
        <v/>
      </c>
      <c r="AC166" s="6">
        <f>IFERROR(INDEX('7_3nf_product'!$E:$E,MATCH(Y166,'7_3nf_product'!$A:$A,0)),"NOT FOUND")</f>
        <v/>
      </c>
      <c r="AD166" s="33">
        <f>IF(LEN(TRIM(E166))=10,TRIM(E166),IF(LEN(TRIM(E166))=8,"00"&amp;TRIM(E166),"CHECK"))</f>
        <v/>
      </c>
      <c r="AE166" s="2">
        <f>IFERROR(INDEX('8_3nf_customer'!$C:$C,MATCH(AD166,'8_3nf_customer'!$B:$B,0)),"NOT FOUND")</f>
        <v/>
      </c>
      <c r="AF166" s="30">
        <f>IFERROR(INDEX('8_3nf_customer'!$D:$D,MATCH(AD166,'8_3nf_customer'!$B:$B,0)),"NOT FOUND")</f>
        <v/>
      </c>
      <c r="AG166" s="4">
        <f>IF(ISNUMBER(AF166),DATEDIF(AF166,L166,"y"),"NOT FOUND")</f>
        <v/>
      </c>
      <c r="AH166" s="2">
        <f>IFERROR(INDEX('8_3nf_customer'!$E:$E,MATCH(AD166,'8_3nf_customer'!$B:$B,0)),"NOT FOUND")</f>
        <v/>
      </c>
      <c r="AI166" s="30">
        <f>IF(_xlfn.MAXIFS('9_3nf_customer_history'!$B$2:$B$500,'9_3nf_customer_history'!$A$2:$A$500,AD166,'9_3nf_customer_history'!$B$2:$B$500,"&lt;="&amp;L166)=0,"NOT FOUND",_xlfn.MAXIFS('9_3nf_customer_history'!$B$2:$B$500,'9_3nf_customer_history'!$A$2:$A$500,AD166,'9_3nf_customer_history'!$B$2:$B$500,"&lt;="&amp;L166))</f>
        <v/>
      </c>
      <c r="AJ166" s="2">
        <f>IF(AI166="NOT FOUND","NOT FOUND",INDEX('9_3nf_customer_history'!$C:$C,SUMPRODUCT(('9_3nf_customer_history'!$A$2:$A$500=AD166)*('9_3nf_customer_history'!$B$2:$B$500=AI166)*ROW('9_3nf_customer_history'!$A$2:$A$500))))</f>
        <v/>
      </c>
      <c r="AK166" s="2">
        <f>IF(AI166="NOT FOUND","NOT FOUND",INDEX('9_3nf_customer_history'!$D:$D,SUMPRODUCT(('9_3nf_customer_history'!$A$2:$A$500=AD166)*('9_3nf_customer_history'!$B$2:$B$500=AI166)*ROW('9_3nf_customer_history'!$A$2:$A$500))))</f>
        <v/>
      </c>
      <c r="AL166" s="2">
        <f>UPPER(TRIM(H166))</f>
        <v/>
      </c>
      <c r="AM166" s="30">
        <f>IF(_xlfn.MAXIFS('10_ref_fx_rate'!$B$2:$B$2000,'10_ref_fx_rate'!$A$2:$A$2000,AL166,'10_ref_fx_rate'!$B$2:$B$2000,"&lt;="&amp;L166)=0,"NOT FOUND",_xlfn.MAXIFS('10_ref_fx_rate'!$B$2:$B$2000,'10_ref_fx_rate'!$A$2:$A$2000,AL166,'10_ref_fx_rate'!$B$2:$B$2000,"&lt;="&amp;L166))</f>
        <v/>
      </c>
      <c r="AN166" s="8">
        <f>IF(AM166="NOT FOUND","NOT FOUND",SUMIFS('10_ref_fx_rate'!$D$2:$D$2000,'10_ref_fx_rate'!$A$2:$A$2000,AL166,'10_ref_fx_rate'!$B$2:$B$2000,AM166))</f>
        <v/>
      </c>
      <c r="AO166" s="37">
        <f>IF(ISNUMBER(AN166),I166*AN166,"NOT FOUND")</f>
        <v/>
      </c>
      <c r="AP166" s="2">
        <f>UPPER(TRIM(J166))</f>
        <v/>
      </c>
      <c r="AQ166" s="2">
        <f>IF(AP166="","SELF-DIRECTED",IF(ISNUMBER(MATCH(AP166,'11_3nf_sales_person'!$A:$A,0)),IF(EXACT(AP166,J166),"OK","OK (auto-fixed)"),IF(ISNA(MATCH($A166,'12_sales_person_confirmation'!$A:$A,0)),"CONFIRM (not logged)",IF(INDEX('12_sales_person_confirmation'!$I:$I,MATCH($A166,'12_sales_person_confirmation'!$A:$A,0))="CONFIRMED","CONFIRMED ("&amp;LOWER(INDEX('12_sales_person_confirmation'!$E:$E,MATCH($A166,'12_sales_person_confirmation'!$A:$A,0)))&amp;")","PENDING CONFIRM"))))</f>
        <v/>
      </c>
      <c r="AR166" s="2">
        <f>IF(OR(AQ166="OK",AQ166="OK (auto-fixed)"),AP166,IF(LEFT(AQ166,9)="CONFIRMED",INDEX('12_sales_person_confirmation'!$F:$F,MATCH($A166,'12_sales_person_confirmation'!$A:$A,0)),""))</f>
        <v/>
      </c>
      <c r="AS166" s="2">
        <f>IF(AR166="","",INDEX('11_3nf_sales_person'!$B:$B,MATCH(AR166,'11_3nf_sales_person'!$A:$A,0)))</f>
        <v/>
      </c>
    </row>
    <row r="167">
      <c r="A167" s="2">
        <f>IF(ISBLANK('1_raw_log'!A167),"",'1_raw_log'!A167)</f>
        <v/>
      </c>
      <c r="B167" s="3">
        <f>IF(ISBLANK('1_raw_log'!B167),"",'1_raw_log'!B167)</f>
        <v/>
      </c>
      <c r="C167" s="2">
        <f>IF(ISBLANK('1_raw_log'!C167),"",'1_raw_log'!C167)</f>
        <v/>
      </c>
      <c r="D167" s="2">
        <f>IF(ISBLANK('1_raw_log'!D167),"",'1_raw_log'!D167)</f>
        <v/>
      </c>
      <c r="E167" s="4">
        <f>IF(ISBLANK('1_raw_log'!E167),"",'1_raw_log'!E167)</f>
        <v/>
      </c>
      <c r="F167" s="2">
        <f>IF(ISBLANK('1_raw_log'!F167),"",'1_raw_log'!F167)</f>
        <v/>
      </c>
      <c r="G167" s="2">
        <f>IF(ISBLANK('1_raw_log'!G167),"",'1_raw_log'!G167)</f>
        <v/>
      </c>
      <c r="H167" s="2">
        <f>IF(ISBLANK('1_raw_log'!H167),"",'1_raw_log'!H167)</f>
        <v/>
      </c>
      <c r="I167" s="7">
        <f>IF(ISBLANK('1_raw_log'!I167),"",'1_raw_log'!I167)</f>
        <v/>
      </c>
      <c r="J167" s="2">
        <f>IF(ISBLANK('1_raw_log'!J167),"",'1_raw_log'!J167)</f>
        <v/>
      </c>
      <c r="K167" s="2">
        <f>IF(ISBLANK('1_raw_log'!K167),"",'1_raw_log'!K167)</f>
        <v/>
      </c>
      <c r="L167" s="30">
        <f>INT(B167)</f>
        <v/>
      </c>
      <c r="M167" s="20">
        <f>ROUND(MOD(B167,1)*1440,0)/1440</f>
        <v/>
      </c>
      <c r="N167" s="4">
        <f>IFERROR(INDEX('3_ref_date'!$B:$B,MATCH(L167,'3_ref_date'!$A:$A,0)),"NOT FOUND")</f>
        <v/>
      </c>
      <c r="O167" s="2">
        <f>IFERROR(INDEX('3_ref_date'!$C:$C,MATCH(L167,'3_ref_date'!$A:$A,0)),"NOT FOUND")</f>
        <v/>
      </c>
      <c r="P167" s="4">
        <f>IFERROR(INDEX('3_ref_date'!$D:$D,MATCH(L167,'3_ref_date'!$A:$A,0)),"NOT FOUND")</f>
        <v/>
      </c>
      <c r="Q167" s="4">
        <f>IFERROR(INDEX('3_ref_date'!$E:$E,MATCH(L167,'3_ref_date'!$A:$A,0)),"NOT FOUND")</f>
        <v/>
      </c>
      <c r="R167" s="2">
        <f>IFERROR(INDEX('3_ref_date'!$F:$F,MATCH(L167,'3_ref_date'!$A:$A,0)),"NOT FOUND")</f>
        <v/>
      </c>
      <c r="S167" s="2">
        <f>IFERROR(INDEX('4_ref_time'!$D:$D,MATCH(ROUND(M167*1440,0),'4_ref_time'!$A:$A,0)),"NOT FOUND")</f>
        <v/>
      </c>
      <c r="T167" s="2">
        <f>UPPER(TRIM(C167))</f>
        <v/>
      </c>
      <c r="U167" s="30">
        <f>IF(_xlfn.MAXIFS('6_3nf_branch_history'!$B$2:$B$50,'6_3nf_branch_history'!$A$2:$A$50,T167,'6_3nf_branch_history'!$B$2:$B$50,"&lt;="&amp;L167)=0,"NOT FOUND",_xlfn.MAXIFS('6_3nf_branch_history'!$B$2:$B$50,'6_3nf_branch_history'!$A$2:$A$50,T167,'6_3nf_branch_history'!$B$2:$B$50,"&lt;="&amp;L167))</f>
        <v/>
      </c>
      <c r="V167" s="2">
        <f>IF(U167="NOT FOUND","NOT FOUND",INDEX('6_3nf_branch_history'!$C:$C,SUMPRODUCT(('6_3nf_branch_history'!$A$2:$A$50=T167)*('6_3nf_branch_history'!$B$2:$B$50=U167)*ROW('6_3nf_branch_history'!$A$2:$A$50))))</f>
        <v/>
      </c>
      <c r="W167" s="2">
        <f>IF(U167="NOT FOUND","NOT FOUND",INDEX('6_3nf_branch_history'!$D:$D,SUMPRODUCT(('6_3nf_branch_history'!$A$2:$A$50=T167)*('6_3nf_branch_history'!$B$2:$B$50=U167)*ROW('6_3nf_branch_history'!$A$2:$A$50))))</f>
        <v/>
      </c>
      <c r="X167" s="2">
        <f>IF(U167="NOT FOUND","NOT FOUND",INDEX('6_3nf_branch_history'!$E:$E,SUMPRODUCT(('6_3nf_branch_history'!$A$2:$A$50=T167)*('6_3nf_branch_history'!$B$2:$B$50=U167)*ROW('6_3nf_branch_history'!$A$2:$A$50))))</f>
        <v/>
      </c>
      <c r="Y167" s="2">
        <f>UPPER(TRIM(D167))</f>
        <v/>
      </c>
      <c r="Z167" s="2">
        <f>IFERROR(INDEX('7_3nf_product'!$B:$B,MATCH(Y167,'7_3nf_product'!$A:$A,0)),"NOT FOUND")</f>
        <v/>
      </c>
      <c r="AA167" s="2">
        <f>IFERROR(INDEX('7_3nf_product'!$C:$C,MATCH(Y167,'7_3nf_product'!$A:$A,0)),"NOT FOUND")</f>
        <v/>
      </c>
      <c r="AB167" s="2">
        <f>IFERROR(INDEX('7_3nf_product'!$D:$D,MATCH(Y167,'7_3nf_product'!$A:$A,0)),"NOT FOUND")</f>
        <v/>
      </c>
      <c r="AC167" s="6">
        <f>IFERROR(INDEX('7_3nf_product'!$E:$E,MATCH(Y167,'7_3nf_product'!$A:$A,0)),"NOT FOUND")</f>
        <v/>
      </c>
      <c r="AD167" s="33">
        <f>IF(LEN(TRIM(E167))=10,TRIM(E167),IF(LEN(TRIM(E167))=8,"00"&amp;TRIM(E167),"CHECK"))</f>
        <v/>
      </c>
      <c r="AE167" s="2">
        <f>IFERROR(INDEX('8_3nf_customer'!$C:$C,MATCH(AD167,'8_3nf_customer'!$B:$B,0)),"NOT FOUND")</f>
        <v/>
      </c>
      <c r="AF167" s="30">
        <f>IFERROR(INDEX('8_3nf_customer'!$D:$D,MATCH(AD167,'8_3nf_customer'!$B:$B,0)),"NOT FOUND")</f>
        <v/>
      </c>
      <c r="AG167" s="4">
        <f>IF(ISNUMBER(AF167),DATEDIF(AF167,L167,"y"),"NOT FOUND")</f>
        <v/>
      </c>
      <c r="AH167" s="2">
        <f>IFERROR(INDEX('8_3nf_customer'!$E:$E,MATCH(AD167,'8_3nf_customer'!$B:$B,0)),"NOT FOUND")</f>
        <v/>
      </c>
      <c r="AI167" s="30">
        <f>IF(_xlfn.MAXIFS('9_3nf_customer_history'!$B$2:$B$500,'9_3nf_customer_history'!$A$2:$A$500,AD167,'9_3nf_customer_history'!$B$2:$B$500,"&lt;="&amp;L167)=0,"NOT FOUND",_xlfn.MAXIFS('9_3nf_customer_history'!$B$2:$B$500,'9_3nf_customer_history'!$A$2:$A$500,AD167,'9_3nf_customer_history'!$B$2:$B$500,"&lt;="&amp;L167))</f>
        <v/>
      </c>
      <c r="AJ167" s="2">
        <f>IF(AI167="NOT FOUND","NOT FOUND",INDEX('9_3nf_customer_history'!$C:$C,SUMPRODUCT(('9_3nf_customer_history'!$A$2:$A$500=AD167)*('9_3nf_customer_history'!$B$2:$B$500=AI167)*ROW('9_3nf_customer_history'!$A$2:$A$500))))</f>
        <v/>
      </c>
      <c r="AK167" s="2">
        <f>IF(AI167="NOT FOUND","NOT FOUND",INDEX('9_3nf_customer_history'!$D:$D,SUMPRODUCT(('9_3nf_customer_history'!$A$2:$A$500=AD167)*('9_3nf_customer_history'!$B$2:$B$500=AI167)*ROW('9_3nf_customer_history'!$A$2:$A$500))))</f>
        <v/>
      </c>
      <c r="AL167" s="2">
        <f>UPPER(TRIM(H167))</f>
        <v/>
      </c>
      <c r="AM167" s="30">
        <f>IF(_xlfn.MAXIFS('10_ref_fx_rate'!$B$2:$B$2000,'10_ref_fx_rate'!$A$2:$A$2000,AL167,'10_ref_fx_rate'!$B$2:$B$2000,"&lt;="&amp;L167)=0,"NOT FOUND",_xlfn.MAXIFS('10_ref_fx_rate'!$B$2:$B$2000,'10_ref_fx_rate'!$A$2:$A$2000,AL167,'10_ref_fx_rate'!$B$2:$B$2000,"&lt;="&amp;L167))</f>
        <v/>
      </c>
      <c r="AN167" s="8">
        <f>IF(AM167="NOT FOUND","NOT FOUND",SUMIFS('10_ref_fx_rate'!$D$2:$D$2000,'10_ref_fx_rate'!$A$2:$A$2000,AL167,'10_ref_fx_rate'!$B$2:$B$2000,AM167))</f>
        <v/>
      </c>
      <c r="AO167" s="37">
        <f>IF(ISNUMBER(AN167),I167*AN167,"NOT FOUND")</f>
        <v/>
      </c>
      <c r="AP167" s="2">
        <f>UPPER(TRIM(J167))</f>
        <v/>
      </c>
      <c r="AQ167" s="2">
        <f>IF(AP167="","SELF-DIRECTED",IF(ISNUMBER(MATCH(AP167,'11_3nf_sales_person'!$A:$A,0)),IF(EXACT(AP167,J167),"OK","OK (auto-fixed)"),IF(ISNA(MATCH($A167,'12_sales_person_confirmation'!$A:$A,0)),"CONFIRM (not logged)",IF(INDEX('12_sales_person_confirmation'!$I:$I,MATCH($A167,'12_sales_person_confirmation'!$A:$A,0))="CONFIRMED","CONFIRMED ("&amp;LOWER(INDEX('12_sales_person_confirmation'!$E:$E,MATCH($A167,'12_sales_person_confirmation'!$A:$A,0)))&amp;")","PENDING CONFIRM"))))</f>
        <v/>
      </c>
      <c r="AR167" s="2">
        <f>IF(OR(AQ167="OK",AQ167="OK (auto-fixed)"),AP167,IF(LEFT(AQ167,9)="CONFIRMED",INDEX('12_sales_person_confirmation'!$F:$F,MATCH($A167,'12_sales_person_confirmation'!$A:$A,0)),""))</f>
        <v/>
      </c>
      <c r="AS167" s="2">
        <f>IF(AR167="","",INDEX('11_3nf_sales_person'!$B:$B,MATCH(AR167,'11_3nf_sales_person'!$A:$A,0)))</f>
        <v/>
      </c>
    </row>
    <row r="168">
      <c r="A168" s="2">
        <f>IF(ISBLANK('1_raw_log'!A168),"",'1_raw_log'!A168)</f>
        <v/>
      </c>
      <c r="B168" s="3">
        <f>IF(ISBLANK('1_raw_log'!B168),"",'1_raw_log'!B168)</f>
        <v/>
      </c>
      <c r="C168" s="2">
        <f>IF(ISBLANK('1_raw_log'!C168),"",'1_raw_log'!C168)</f>
        <v/>
      </c>
      <c r="D168" s="2">
        <f>IF(ISBLANK('1_raw_log'!D168),"",'1_raw_log'!D168)</f>
        <v/>
      </c>
      <c r="E168" s="4">
        <f>IF(ISBLANK('1_raw_log'!E168),"",'1_raw_log'!E168)</f>
        <v/>
      </c>
      <c r="F168" s="2">
        <f>IF(ISBLANK('1_raw_log'!F168),"",'1_raw_log'!F168)</f>
        <v/>
      </c>
      <c r="G168" s="2">
        <f>IF(ISBLANK('1_raw_log'!G168),"",'1_raw_log'!G168)</f>
        <v/>
      </c>
      <c r="H168" s="2">
        <f>IF(ISBLANK('1_raw_log'!H168),"",'1_raw_log'!H168)</f>
        <v/>
      </c>
      <c r="I168" s="7">
        <f>IF(ISBLANK('1_raw_log'!I168),"",'1_raw_log'!I168)</f>
        <v/>
      </c>
      <c r="J168" s="2">
        <f>IF(ISBLANK('1_raw_log'!J168),"",'1_raw_log'!J168)</f>
        <v/>
      </c>
      <c r="K168" s="2">
        <f>IF(ISBLANK('1_raw_log'!K168),"",'1_raw_log'!K168)</f>
        <v/>
      </c>
      <c r="L168" s="30">
        <f>INT(B168)</f>
        <v/>
      </c>
      <c r="M168" s="20">
        <f>ROUND(MOD(B168,1)*1440,0)/1440</f>
        <v/>
      </c>
      <c r="N168" s="4">
        <f>IFERROR(INDEX('3_ref_date'!$B:$B,MATCH(L168,'3_ref_date'!$A:$A,0)),"NOT FOUND")</f>
        <v/>
      </c>
      <c r="O168" s="2">
        <f>IFERROR(INDEX('3_ref_date'!$C:$C,MATCH(L168,'3_ref_date'!$A:$A,0)),"NOT FOUND")</f>
        <v/>
      </c>
      <c r="P168" s="4">
        <f>IFERROR(INDEX('3_ref_date'!$D:$D,MATCH(L168,'3_ref_date'!$A:$A,0)),"NOT FOUND")</f>
        <v/>
      </c>
      <c r="Q168" s="4">
        <f>IFERROR(INDEX('3_ref_date'!$E:$E,MATCH(L168,'3_ref_date'!$A:$A,0)),"NOT FOUND")</f>
        <v/>
      </c>
      <c r="R168" s="2">
        <f>IFERROR(INDEX('3_ref_date'!$F:$F,MATCH(L168,'3_ref_date'!$A:$A,0)),"NOT FOUND")</f>
        <v/>
      </c>
      <c r="S168" s="2">
        <f>IFERROR(INDEX('4_ref_time'!$D:$D,MATCH(ROUND(M168*1440,0),'4_ref_time'!$A:$A,0)),"NOT FOUND")</f>
        <v/>
      </c>
      <c r="T168" s="2">
        <f>UPPER(TRIM(C168))</f>
        <v/>
      </c>
      <c r="U168" s="30">
        <f>IF(_xlfn.MAXIFS('6_3nf_branch_history'!$B$2:$B$50,'6_3nf_branch_history'!$A$2:$A$50,T168,'6_3nf_branch_history'!$B$2:$B$50,"&lt;="&amp;L168)=0,"NOT FOUND",_xlfn.MAXIFS('6_3nf_branch_history'!$B$2:$B$50,'6_3nf_branch_history'!$A$2:$A$50,T168,'6_3nf_branch_history'!$B$2:$B$50,"&lt;="&amp;L168))</f>
        <v/>
      </c>
      <c r="V168" s="2">
        <f>IF(U168="NOT FOUND","NOT FOUND",INDEX('6_3nf_branch_history'!$C:$C,SUMPRODUCT(('6_3nf_branch_history'!$A$2:$A$50=T168)*('6_3nf_branch_history'!$B$2:$B$50=U168)*ROW('6_3nf_branch_history'!$A$2:$A$50))))</f>
        <v/>
      </c>
      <c r="W168" s="2">
        <f>IF(U168="NOT FOUND","NOT FOUND",INDEX('6_3nf_branch_history'!$D:$D,SUMPRODUCT(('6_3nf_branch_history'!$A$2:$A$50=T168)*('6_3nf_branch_history'!$B$2:$B$50=U168)*ROW('6_3nf_branch_history'!$A$2:$A$50))))</f>
        <v/>
      </c>
      <c r="X168" s="2">
        <f>IF(U168="NOT FOUND","NOT FOUND",INDEX('6_3nf_branch_history'!$E:$E,SUMPRODUCT(('6_3nf_branch_history'!$A$2:$A$50=T168)*('6_3nf_branch_history'!$B$2:$B$50=U168)*ROW('6_3nf_branch_history'!$A$2:$A$50))))</f>
        <v/>
      </c>
      <c r="Y168" s="2">
        <f>UPPER(TRIM(D168))</f>
        <v/>
      </c>
      <c r="Z168" s="2">
        <f>IFERROR(INDEX('7_3nf_product'!$B:$B,MATCH(Y168,'7_3nf_product'!$A:$A,0)),"NOT FOUND")</f>
        <v/>
      </c>
      <c r="AA168" s="2">
        <f>IFERROR(INDEX('7_3nf_product'!$C:$C,MATCH(Y168,'7_3nf_product'!$A:$A,0)),"NOT FOUND")</f>
        <v/>
      </c>
      <c r="AB168" s="2">
        <f>IFERROR(INDEX('7_3nf_product'!$D:$D,MATCH(Y168,'7_3nf_product'!$A:$A,0)),"NOT FOUND")</f>
        <v/>
      </c>
      <c r="AC168" s="6">
        <f>IFERROR(INDEX('7_3nf_product'!$E:$E,MATCH(Y168,'7_3nf_product'!$A:$A,0)),"NOT FOUND")</f>
        <v/>
      </c>
      <c r="AD168" s="33">
        <f>IF(LEN(TRIM(E168))=10,TRIM(E168),IF(LEN(TRIM(E168))=8,"00"&amp;TRIM(E168),"CHECK"))</f>
        <v/>
      </c>
      <c r="AE168" s="2">
        <f>IFERROR(INDEX('8_3nf_customer'!$C:$C,MATCH(AD168,'8_3nf_customer'!$B:$B,0)),"NOT FOUND")</f>
        <v/>
      </c>
      <c r="AF168" s="30">
        <f>IFERROR(INDEX('8_3nf_customer'!$D:$D,MATCH(AD168,'8_3nf_customer'!$B:$B,0)),"NOT FOUND")</f>
        <v/>
      </c>
      <c r="AG168" s="4">
        <f>IF(ISNUMBER(AF168),DATEDIF(AF168,L168,"y"),"NOT FOUND")</f>
        <v/>
      </c>
      <c r="AH168" s="2">
        <f>IFERROR(INDEX('8_3nf_customer'!$E:$E,MATCH(AD168,'8_3nf_customer'!$B:$B,0)),"NOT FOUND")</f>
        <v/>
      </c>
      <c r="AI168" s="30">
        <f>IF(_xlfn.MAXIFS('9_3nf_customer_history'!$B$2:$B$500,'9_3nf_customer_history'!$A$2:$A$500,AD168,'9_3nf_customer_history'!$B$2:$B$500,"&lt;="&amp;L168)=0,"NOT FOUND",_xlfn.MAXIFS('9_3nf_customer_history'!$B$2:$B$500,'9_3nf_customer_history'!$A$2:$A$500,AD168,'9_3nf_customer_history'!$B$2:$B$500,"&lt;="&amp;L168))</f>
        <v/>
      </c>
      <c r="AJ168" s="2">
        <f>IF(AI168="NOT FOUND","NOT FOUND",INDEX('9_3nf_customer_history'!$C:$C,SUMPRODUCT(('9_3nf_customer_history'!$A$2:$A$500=AD168)*('9_3nf_customer_history'!$B$2:$B$500=AI168)*ROW('9_3nf_customer_history'!$A$2:$A$500))))</f>
        <v/>
      </c>
      <c r="AK168" s="2">
        <f>IF(AI168="NOT FOUND","NOT FOUND",INDEX('9_3nf_customer_history'!$D:$D,SUMPRODUCT(('9_3nf_customer_history'!$A$2:$A$500=AD168)*('9_3nf_customer_history'!$B$2:$B$500=AI168)*ROW('9_3nf_customer_history'!$A$2:$A$500))))</f>
        <v/>
      </c>
      <c r="AL168" s="2">
        <f>UPPER(TRIM(H168))</f>
        <v/>
      </c>
      <c r="AM168" s="30">
        <f>IF(_xlfn.MAXIFS('10_ref_fx_rate'!$B$2:$B$2000,'10_ref_fx_rate'!$A$2:$A$2000,AL168,'10_ref_fx_rate'!$B$2:$B$2000,"&lt;="&amp;L168)=0,"NOT FOUND",_xlfn.MAXIFS('10_ref_fx_rate'!$B$2:$B$2000,'10_ref_fx_rate'!$A$2:$A$2000,AL168,'10_ref_fx_rate'!$B$2:$B$2000,"&lt;="&amp;L168))</f>
        <v/>
      </c>
      <c r="AN168" s="8">
        <f>IF(AM168="NOT FOUND","NOT FOUND",SUMIFS('10_ref_fx_rate'!$D$2:$D$2000,'10_ref_fx_rate'!$A$2:$A$2000,AL168,'10_ref_fx_rate'!$B$2:$B$2000,AM168))</f>
        <v/>
      </c>
      <c r="AO168" s="37">
        <f>IF(ISNUMBER(AN168),I168*AN168,"NOT FOUND")</f>
        <v/>
      </c>
      <c r="AP168" s="2">
        <f>UPPER(TRIM(J168))</f>
        <v/>
      </c>
      <c r="AQ168" s="2">
        <f>IF(AP168="","SELF-DIRECTED",IF(ISNUMBER(MATCH(AP168,'11_3nf_sales_person'!$A:$A,0)),IF(EXACT(AP168,J168),"OK","OK (auto-fixed)"),IF(ISNA(MATCH($A168,'12_sales_person_confirmation'!$A:$A,0)),"CONFIRM (not logged)",IF(INDEX('12_sales_person_confirmation'!$I:$I,MATCH($A168,'12_sales_person_confirmation'!$A:$A,0))="CONFIRMED","CONFIRMED ("&amp;LOWER(INDEX('12_sales_person_confirmation'!$E:$E,MATCH($A168,'12_sales_person_confirmation'!$A:$A,0)))&amp;")","PENDING CONFIRM"))))</f>
        <v/>
      </c>
      <c r="AR168" s="2">
        <f>IF(OR(AQ168="OK",AQ168="OK (auto-fixed)"),AP168,IF(LEFT(AQ168,9)="CONFIRMED",INDEX('12_sales_person_confirmation'!$F:$F,MATCH($A168,'12_sales_person_confirmation'!$A:$A,0)),""))</f>
        <v/>
      </c>
      <c r="AS168" s="2">
        <f>IF(AR168="","",INDEX('11_3nf_sales_person'!$B:$B,MATCH(AR168,'11_3nf_sales_person'!$A:$A,0)))</f>
        <v/>
      </c>
    </row>
    <row r="169">
      <c r="A169" s="2">
        <f>IF(ISBLANK('1_raw_log'!A169),"",'1_raw_log'!A169)</f>
        <v/>
      </c>
      <c r="B169" s="3">
        <f>IF(ISBLANK('1_raw_log'!B169),"",'1_raw_log'!B169)</f>
        <v/>
      </c>
      <c r="C169" s="2">
        <f>IF(ISBLANK('1_raw_log'!C169),"",'1_raw_log'!C169)</f>
        <v/>
      </c>
      <c r="D169" s="2">
        <f>IF(ISBLANK('1_raw_log'!D169),"",'1_raw_log'!D169)</f>
        <v/>
      </c>
      <c r="E169" s="4">
        <f>IF(ISBLANK('1_raw_log'!E169),"",'1_raw_log'!E169)</f>
        <v/>
      </c>
      <c r="F169" s="2">
        <f>IF(ISBLANK('1_raw_log'!F169),"",'1_raw_log'!F169)</f>
        <v/>
      </c>
      <c r="G169" s="2">
        <f>IF(ISBLANK('1_raw_log'!G169),"",'1_raw_log'!G169)</f>
        <v/>
      </c>
      <c r="H169" s="2">
        <f>IF(ISBLANK('1_raw_log'!H169),"",'1_raw_log'!H169)</f>
        <v/>
      </c>
      <c r="I169" s="7">
        <f>IF(ISBLANK('1_raw_log'!I169),"",'1_raw_log'!I169)</f>
        <v/>
      </c>
      <c r="J169" s="2">
        <f>IF(ISBLANK('1_raw_log'!J169),"",'1_raw_log'!J169)</f>
        <v/>
      </c>
      <c r="K169" s="2">
        <f>IF(ISBLANK('1_raw_log'!K169),"",'1_raw_log'!K169)</f>
        <v/>
      </c>
      <c r="L169" s="30">
        <f>INT(B169)</f>
        <v/>
      </c>
      <c r="M169" s="20">
        <f>ROUND(MOD(B169,1)*1440,0)/1440</f>
        <v/>
      </c>
      <c r="N169" s="4">
        <f>IFERROR(INDEX('3_ref_date'!$B:$B,MATCH(L169,'3_ref_date'!$A:$A,0)),"NOT FOUND")</f>
        <v/>
      </c>
      <c r="O169" s="2">
        <f>IFERROR(INDEX('3_ref_date'!$C:$C,MATCH(L169,'3_ref_date'!$A:$A,0)),"NOT FOUND")</f>
        <v/>
      </c>
      <c r="P169" s="4">
        <f>IFERROR(INDEX('3_ref_date'!$D:$D,MATCH(L169,'3_ref_date'!$A:$A,0)),"NOT FOUND")</f>
        <v/>
      </c>
      <c r="Q169" s="4">
        <f>IFERROR(INDEX('3_ref_date'!$E:$E,MATCH(L169,'3_ref_date'!$A:$A,0)),"NOT FOUND")</f>
        <v/>
      </c>
      <c r="R169" s="2">
        <f>IFERROR(INDEX('3_ref_date'!$F:$F,MATCH(L169,'3_ref_date'!$A:$A,0)),"NOT FOUND")</f>
        <v/>
      </c>
      <c r="S169" s="2">
        <f>IFERROR(INDEX('4_ref_time'!$D:$D,MATCH(ROUND(M169*1440,0),'4_ref_time'!$A:$A,0)),"NOT FOUND")</f>
        <v/>
      </c>
      <c r="T169" s="2">
        <f>UPPER(TRIM(C169))</f>
        <v/>
      </c>
      <c r="U169" s="30">
        <f>IF(_xlfn.MAXIFS('6_3nf_branch_history'!$B$2:$B$50,'6_3nf_branch_history'!$A$2:$A$50,T169,'6_3nf_branch_history'!$B$2:$B$50,"&lt;="&amp;L169)=0,"NOT FOUND",_xlfn.MAXIFS('6_3nf_branch_history'!$B$2:$B$50,'6_3nf_branch_history'!$A$2:$A$50,T169,'6_3nf_branch_history'!$B$2:$B$50,"&lt;="&amp;L169))</f>
        <v/>
      </c>
      <c r="V169" s="2">
        <f>IF(U169="NOT FOUND","NOT FOUND",INDEX('6_3nf_branch_history'!$C:$C,SUMPRODUCT(('6_3nf_branch_history'!$A$2:$A$50=T169)*('6_3nf_branch_history'!$B$2:$B$50=U169)*ROW('6_3nf_branch_history'!$A$2:$A$50))))</f>
        <v/>
      </c>
      <c r="W169" s="2">
        <f>IF(U169="NOT FOUND","NOT FOUND",INDEX('6_3nf_branch_history'!$D:$D,SUMPRODUCT(('6_3nf_branch_history'!$A$2:$A$50=T169)*('6_3nf_branch_history'!$B$2:$B$50=U169)*ROW('6_3nf_branch_history'!$A$2:$A$50))))</f>
        <v/>
      </c>
      <c r="X169" s="2">
        <f>IF(U169="NOT FOUND","NOT FOUND",INDEX('6_3nf_branch_history'!$E:$E,SUMPRODUCT(('6_3nf_branch_history'!$A$2:$A$50=T169)*('6_3nf_branch_history'!$B$2:$B$50=U169)*ROW('6_3nf_branch_history'!$A$2:$A$50))))</f>
        <v/>
      </c>
      <c r="Y169" s="2">
        <f>UPPER(TRIM(D169))</f>
        <v/>
      </c>
      <c r="Z169" s="2">
        <f>IFERROR(INDEX('7_3nf_product'!$B:$B,MATCH(Y169,'7_3nf_product'!$A:$A,0)),"NOT FOUND")</f>
        <v/>
      </c>
      <c r="AA169" s="2">
        <f>IFERROR(INDEX('7_3nf_product'!$C:$C,MATCH(Y169,'7_3nf_product'!$A:$A,0)),"NOT FOUND")</f>
        <v/>
      </c>
      <c r="AB169" s="2">
        <f>IFERROR(INDEX('7_3nf_product'!$D:$D,MATCH(Y169,'7_3nf_product'!$A:$A,0)),"NOT FOUND")</f>
        <v/>
      </c>
      <c r="AC169" s="6">
        <f>IFERROR(INDEX('7_3nf_product'!$E:$E,MATCH(Y169,'7_3nf_product'!$A:$A,0)),"NOT FOUND")</f>
        <v/>
      </c>
      <c r="AD169" s="33">
        <f>IF(LEN(TRIM(E169))=10,TRIM(E169),IF(LEN(TRIM(E169))=8,"00"&amp;TRIM(E169),"CHECK"))</f>
        <v/>
      </c>
      <c r="AE169" s="2">
        <f>IFERROR(INDEX('8_3nf_customer'!$C:$C,MATCH(AD169,'8_3nf_customer'!$B:$B,0)),"NOT FOUND")</f>
        <v/>
      </c>
      <c r="AF169" s="30">
        <f>IFERROR(INDEX('8_3nf_customer'!$D:$D,MATCH(AD169,'8_3nf_customer'!$B:$B,0)),"NOT FOUND")</f>
        <v/>
      </c>
      <c r="AG169" s="4">
        <f>IF(ISNUMBER(AF169),DATEDIF(AF169,L169,"y"),"NOT FOUND")</f>
        <v/>
      </c>
      <c r="AH169" s="2">
        <f>IFERROR(INDEX('8_3nf_customer'!$E:$E,MATCH(AD169,'8_3nf_customer'!$B:$B,0)),"NOT FOUND")</f>
        <v/>
      </c>
      <c r="AI169" s="30">
        <f>IF(_xlfn.MAXIFS('9_3nf_customer_history'!$B$2:$B$500,'9_3nf_customer_history'!$A$2:$A$500,AD169,'9_3nf_customer_history'!$B$2:$B$500,"&lt;="&amp;L169)=0,"NOT FOUND",_xlfn.MAXIFS('9_3nf_customer_history'!$B$2:$B$500,'9_3nf_customer_history'!$A$2:$A$500,AD169,'9_3nf_customer_history'!$B$2:$B$500,"&lt;="&amp;L169))</f>
        <v/>
      </c>
      <c r="AJ169" s="2">
        <f>IF(AI169="NOT FOUND","NOT FOUND",INDEX('9_3nf_customer_history'!$C:$C,SUMPRODUCT(('9_3nf_customer_history'!$A$2:$A$500=AD169)*('9_3nf_customer_history'!$B$2:$B$500=AI169)*ROW('9_3nf_customer_history'!$A$2:$A$500))))</f>
        <v/>
      </c>
      <c r="AK169" s="2">
        <f>IF(AI169="NOT FOUND","NOT FOUND",INDEX('9_3nf_customer_history'!$D:$D,SUMPRODUCT(('9_3nf_customer_history'!$A$2:$A$500=AD169)*('9_3nf_customer_history'!$B$2:$B$500=AI169)*ROW('9_3nf_customer_history'!$A$2:$A$500))))</f>
        <v/>
      </c>
      <c r="AL169" s="2">
        <f>UPPER(TRIM(H169))</f>
        <v/>
      </c>
      <c r="AM169" s="30">
        <f>IF(_xlfn.MAXIFS('10_ref_fx_rate'!$B$2:$B$2000,'10_ref_fx_rate'!$A$2:$A$2000,AL169,'10_ref_fx_rate'!$B$2:$B$2000,"&lt;="&amp;L169)=0,"NOT FOUND",_xlfn.MAXIFS('10_ref_fx_rate'!$B$2:$B$2000,'10_ref_fx_rate'!$A$2:$A$2000,AL169,'10_ref_fx_rate'!$B$2:$B$2000,"&lt;="&amp;L169))</f>
        <v/>
      </c>
      <c r="AN169" s="8">
        <f>IF(AM169="NOT FOUND","NOT FOUND",SUMIFS('10_ref_fx_rate'!$D$2:$D$2000,'10_ref_fx_rate'!$A$2:$A$2000,AL169,'10_ref_fx_rate'!$B$2:$B$2000,AM169))</f>
        <v/>
      </c>
      <c r="AO169" s="37">
        <f>IF(ISNUMBER(AN169),I169*AN169,"NOT FOUND")</f>
        <v/>
      </c>
      <c r="AP169" s="2">
        <f>UPPER(TRIM(J169))</f>
        <v/>
      </c>
      <c r="AQ169" s="2">
        <f>IF(AP169="","SELF-DIRECTED",IF(ISNUMBER(MATCH(AP169,'11_3nf_sales_person'!$A:$A,0)),IF(EXACT(AP169,J169),"OK","OK (auto-fixed)"),IF(ISNA(MATCH($A169,'12_sales_person_confirmation'!$A:$A,0)),"CONFIRM (not logged)",IF(INDEX('12_sales_person_confirmation'!$I:$I,MATCH($A169,'12_sales_person_confirmation'!$A:$A,0))="CONFIRMED","CONFIRMED ("&amp;LOWER(INDEX('12_sales_person_confirmation'!$E:$E,MATCH($A169,'12_sales_person_confirmation'!$A:$A,0)))&amp;")","PENDING CONFIRM"))))</f>
        <v/>
      </c>
      <c r="AR169" s="2">
        <f>IF(OR(AQ169="OK",AQ169="OK (auto-fixed)"),AP169,IF(LEFT(AQ169,9)="CONFIRMED",INDEX('12_sales_person_confirmation'!$F:$F,MATCH($A169,'12_sales_person_confirmation'!$A:$A,0)),""))</f>
        <v/>
      </c>
      <c r="AS169" s="2">
        <f>IF(AR169="","",INDEX('11_3nf_sales_person'!$B:$B,MATCH(AR169,'11_3nf_sales_person'!$A:$A,0)))</f>
        <v/>
      </c>
    </row>
    <row r="170">
      <c r="A170" s="2">
        <f>IF(ISBLANK('1_raw_log'!A170),"",'1_raw_log'!A170)</f>
        <v/>
      </c>
      <c r="B170" s="3">
        <f>IF(ISBLANK('1_raw_log'!B170),"",'1_raw_log'!B170)</f>
        <v/>
      </c>
      <c r="C170" s="2">
        <f>IF(ISBLANK('1_raw_log'!C170),"",'1_raw_log'!C170)</f>
        <v/>
      </c>
      <c r="D170" s="2">
        <f>IF(ISBLANK('1_raw_log'!D170),"",'1_raw_log'!D170)</f>
        <v/>
      </c>
      <c r="E170" s="4">
        <f>IF(ISBLANK('1_raw_log'!E170),"",'1_raw_log'!E170)</f>
        <v/>
      </c>
      <c r="F170" s="2">
        <f>IF(ISBLANK('1_raw_log'!F170),"",'1_raw_log'!F170)</f>
        <v/>
      </c>
      <c r="G170" s="2">
        <f>IF(ISBLANK('1_raw_log'!G170),"",'1_raw_log'!G170)</f>
        <v/>
      </c>
      <c r="H170" s="2">
        <f>IF(ISBLANK('1_raw_log'!H170),"",'1_raw_log'!H170)</f>
        <v/>
      </c>
      <c r="I170" s="7">
        <f>IF(ISBLANK('1_raw_log'!I170),"",'1_raw_log'!I170)</f>
        <v/>
      </c>
      <c r="J170" s="2">
        <f>IF(ISBLANK('1_raw_log'!J170),"",'1_raw_log'!J170)</f>
        <v/>
      </c>
      <c r="K170" s="2">
        <f>IF(ISBLANK('1_raw_log'!K170),"",'1_raw_log'!K170)</f>
        <v/>
      </c>
      <c r="L170" s="30">
        <f>INT(B170)</f>
        <v/>
      </c>
      <c r="M170" s="20">
        <f>ROUND(MOD(B170,1)*1440,0)/1440</f>
        <v/>
      </c>
      <c r="N170" s="4">
        <f>IFERROR(INDEX('3_ref_date'!$B:$B,MATCH(L170,'3_ref_date'!$A:$A,0)),"NOT FOUND")</f>
        <v/>
      </c>
      <c r="O170" s="2">
        <f>IFERROR(INDEX('3_ref_date'!$C:$C,MATCH(L170,'3_ref_date'!$A:$A,0)),"NOT FOUND")</f>
        <v/>
      </c>
      <c r="P170" s="4">
        <f>IFERROR(INDEX('3_ref_date'!$D:$D,MATCH(L170,'3_ref_date'!$A:$A,0)),"NOT FOUND")</f>
        <v/>
      </c>
      <c r="Q170" s="4">
        <f>IFERROR(INDEX('3_ref_date'!$E:$E,MATCH(L170,'3_ref_date'!$A:$A,0)),"NOT FOUND")</f>
        <v/>
      </c>
      <c r="R170" s="2">
        <f>IFERROR(INDEX('3_ref_date'!$F:$F,MATCH(L170,'3_ref_date'!$A:$A,0)),"NOT FOUND")</f>
        <v/>
      </c>
      <c r="S170" s="2">
        <f>IFERROR(INDEX('4_ref_time'!$D:$D,MATCH(ROUND(M170*1440,0),'4_ref_time'!$A:$A,0)),"NOT FOUND")</f>
        <v/>
      </c>
      <c r="T170" s="2">
        <f>UPPER(TRIM(C170))</f>
        <v/>
      </c>
      <c r="U170" s="30">
        <f>IF(_xlfn.MAXIFS('6_3nf_branch_history'!$B$2:$B$50,'6_3nf_branch_history'!$A$2:$A$50,T170,'6_3nf_branch_history'!$B$2:$B$50,"&lt;="&amp;L170)=0,"NOT FOUND",_xlfn.MAXIFS('6_3nf_branch_history'!$B$2:$B$50,'6_3nf_branch_history'!$A$2:$A$50,T170,'6_3nf_branch_history'!$B$2:$B$50,"&lt;="&amp;L170))</f>
        <v/>
      </c>
      <c r="V170" s="2">
        <f>IF(U170="NOT FOUND","NOT FOUND",INDEX('6_3nf_branch_history'!$C:$C,SUMPRODUCT(('6_3nf_branch_history'!$A$2:$A$50=T170)*('6_3nf_branch_history'!$B$2:$B$50=U170)*ROW('6_3nf_branch_history'!$A$2:$A$50))))</f>
        <v/>
      </c>
      <c r="W170" s="2">
        <f>IF(U170="NOT FOUND","NOT FOUND",INDEX('6_3nf_branch_history'!$D:$D,SUMPRODUCT(('6_3nf_branch_history'!$A$2:$A$50=T170)*('6_3nf_branch_history'!$B$2:$B$50=U170)*ROW('6_3nf_branch_history'!$A$2:$A$50))))</f>
        <v/>
      </c>
      <c r="X170" s="2">
        <f>IF(U170="NOT FOUND","NOT FOUND",INDEX('6_3nf_branch_history'!$E:$E,SUMPRODUCT(('6_3nf_branch_history'!$A$2:$A$50=T170)*('6_3nf_branch_history'!$B$2:$B$50=U170)*ROW('6_3nf_branch_history'!$A$2:$A$50))))</f>
        <v/>
      </c>
      <c r="Y170" s="2">
        <f>UPPER(TRIM(D170))</f>
        <v/>
      </c>
      <c r="Z170" s="2">
        <f>IFERROR(INDEX('7_3nf_product'!$B:$B,MATCH(Y170,'7_3nf_product'!$A:$A,0)),"NOT FOUND")</f>
        <v/>
      </c>
      <c r="AA170" s="2">
        <f>IFERROR(INDEX('7_3nf_product'!$C:$C,MATCH(Y170,'7_3nf_product'!$A:$A,0)),"NOT FOUND")</f>
        <v/>
      </c>
      <c r="AB170" s="2">
        <f>IFERROR(INDEX('7_3nf_product'!$D:$D,MATCH(Y170,'7_3nf_product'!$A:$A,0)),"NOT FOUND")</f>
        <v/>
      </c>
      <c r="AC170" s="6">
        <f>IFERROR(INDEX('7_3nf_product'!$E:$E,MATCH(Y170,'7_3nf_product'!$A:$A,0)),"NOT FOUND")</f>
        <v/>
      </c>
      <c r="AD170" s="33">
        <f>IF(LEN(TRIM(E170))=10,TRIM(E170),IF(LEN(TRIM(E170))=8,"00"&amp;TRIM(E170),"CHECK"))</f>
        <v/>
      </c>
      <c r="AE170" s="2">
        <f>IFERROR(INDEX('8_3nf_customer'!$C:$C,MATCH(AD170,'8_3nf_customer'!$B:$B,0)),"NOT FOUND")</f>
        <v/>
      </c>
      <c r="AF170" s="30">
        <f>IFERROR(INDEX('8_3nf_customer'!$D:$D,MATCH(AD170,'8_3nf_customer'!$B:$B,0)),"NOT FOUND")</f>
        <v/>
      </c>
      <c r="AG170" s="4">
        <f>IF(ISNUMBER(AF170),DATEDIF(AF170,L170,"y"),"NOT FOUND")</f>
        <v/>
      </c>
      <c r="AH170" s="2">
        <f>IFERROR(INDEX('8_3nf_customer'!$E:$E,MATCH(AD170,'8_3nf_customer'!$B:$B,0)),"NOT FOUND")</f>
        <v/>
      </c>
      <c r="AI170" s="30">
        <f>IF(_xlfn.MAXIFS('9_3nf_customer_history'!$B$2:$B$500,'9_3nf_customer_history'!$A$2:$A$500,AD170,'9_3nf_customer_history'!$B$2:$B$500,"&lt;="&amp;L170)=0,"NOT FOUND",_xlfn.MAXIFS('9_3nf_customer_history'!$B$2:$B$500,'9_3nf_customer_history'!$A$2:$A$500,AD170,'9_3nf_customer_history'!$B$2:$B$500,"&lt;="&amp;L170))</f>
        <v/>
      </c>
      <c r="AJ170" s="2">
        <f>IF(AI170="NOT FOUND","NOT FOUND",INDEX('9_3nf_customer_history'!$C:$C,SUMPRODUCT(('9_3nf_customer_history'!$A$2:$A$500=AD170)*('9_3nf_customer_history'!$B$2:$B$500=AI170)*ROW('9_3nf_customer_history'!$A$2:$A$500))))</f>
        <v/>
      </c>
      <c r="AK170" s="2">
        <f>IF(AI170="NOT FOUND","NOT FOUND",INDEX('9_3nf_customer_history'!$D:$D,SUMPRODUCT(('9_3nf_customer_history'!$A$2:$A$500=AD170)*('9_3nf_customer_history'!$B$2:$B$500=AI170)*ROW('9_3nf_customer_history'!$A$2:$A$500))))</f>
        <v/>
      </c>
      <c r="AL170" s="2">
        <f>UPPER(TRIM(H170))</f>
        <v/>
      </c>
      <c r="AM170" s="30">
        <f>IF(_xlfn.MAXIFS('10_ref_fx_rate'!$B$2:$B$2000,'10_ref_fx_rate'!$A$2:$A$2000,AL170,'10_ref_fx_rate'!$B$2:$B$2000,"&lt;="&amp;L170)=0,"NOT FOUND",_xlfn.MAXIFS('10_ref_fx_rate'!$B$2:$B$2000,'10_ref_fx_rate'!$A$2:$A$2000,AL170,'10_ref_fx_rate'!$B$2:$B$2000,"&lt;="&amp;L170))</f>
        <v/>
      </c>
      <c r="AN170" s="8">
        <f>IF(AM170="NOT FOUND","NOT FOUND",SUMIFS('10_ref_fx_rate'!$D$2:$D$2000,'10_ref_fx_rate'!$A$2:$A$2000,AL170,'10_ref_fx_rate'!$B$2:$B$2000,AM170))</f>
        <v/>
      </c>
      <c r="AO170" s="37">
        <f>IF(ISNUMBER(AN170),I170*AN170,"NOT FOUND")</f>
        <v/>
      </c>
      <c r="AP170" s="2">
        <f>UPPER(TRIM(J170))</f>
        <v/>
      </c>
      <c r="AQ170" s="2">
        <f>IF(AP170="","SELF-DIRECTED",IF(ISNUMBER(MATCH(AP170,'11_3nf_sales_person'!$A:$A,0)),IF(EXACT(AP170,J170),"OK","OK (auto-fixed)"),IF(ISNA(MATCH($A170,'12_sales_person_confirmation'!$A:$A,0)),"CONFIRM (not logged)",IF(INDEX('12_sales_person_confirmation'!$I:$I,MATCH($A170,'12_sales_person_confirmation'!$A:$A,0))="CONFIRMED","CONFIRMED ("&amp;LOWER(INDEX('12_sales_person_confirmation'!$E:$E,MATCH($A170,'12_sales_person_confirmation'!$A:$A,0)))&amp;")","PENDING CONFIRM"))))</f>
        <v/>
      </c>
      <c r="AR170" s="2">
        <f>IF(OR(AQ170="OK",AQ170="OK (auto-fixed)"),AP170,IF(LEFT(AQ170,9)="CONFIRMED",INDEX('12_sales_person_confirmation'!$F:$F,MATCH($A170,'12_sales_person_confirmation'!$A:$A,0)),""))</f>
        <v/>
      </c>
      <c r="AS170" s="2">
        <f>IF(AR170="","",INDEX('11_3nf_sales_person'!$B:$B,MATCH(AR170,'11_3nf_sales_person'!$A:$A,0)))</f>
        <v/>
      </c>
    </row>
    <row r="171">
      <c r="A171" s="2">
        <f>IF(ISBLANK('1_raw_log'!A171),"",'1_raw_log'!A171)</f>
        <v/>
      </c>
      <c r="B171" s="3">
        <f>IF(ISBLANK('1_raw_log'!B171),"",'1_raw_log'!B171)</f>
        <v/>
      </c>
      <c r="C171" s="2">
        <f>IF(ISBLANK('1_raw_log'!C171),"",'1_raw_log'!C171)</f>
        <v/>
      </c>
      <c r="D171" s="2">
        <f>IF(ISBLANK('1_raw_log'!D171),"",'1_raw_log'!D171)</f>
        <v/>
      </c>
      <c r="E171" s="4">
        <f>IF(ISBLANK('1_raw_log'!E171),"",'1_raw_log'!E171)</f>
        <v/>
      </c>
      <c r="F171" s="2">
        <f>IF(ISBLANK('1_raw_log'!F171),"",'1_raw_log'!F171)</f>
        <v/>
      </c>
      <c r="G171" s="2">
        <f>IF(ISBLANK('1_raw_log'!G171),"",'1_raw_log'!G171)</f>
        <v/>
      </c>
      <c r="H171" s="2">
        <f>IF(ISBLANK('1_raw_log'!H171),"",'1_raw_log'!H171)</f>
        <v/>
      </c>
      <c r="I171" s="7">
        <f>IF(ISBLANK('1_raw_log'!I171),"",'1_raw_log'!I171)</f>
        <v/>
      </c>
      <c r="J171" s="2">
        <f>IF(ISBLANK('1_raw_log'!J171),"",'1_raw_log'!J171)</f>
        <v/>
      </c>
      <c r="K171" s="2">
        <f>IF(ISBLANK('1_raw_log'!K171),"",'1_raw_log'!K171)</f>
        <v/>
      </c>
      <c r="L171" s="30">
        <f>INT(B171)</f>
        <v/>
      </c>
      <c r="M171" s="20">
        <f>ROUND(MOD(B171,1)*1440,0)/1440</f>
        <v/>
      </c>
      <c r="N171" s="4">
        <f>IFERROR(INDEX('3_ref_date'!$B:$B,MATCH(L171,'3_ref_date'!$A:$A,0)),"NOT FOUND")</f>
        <v/>
      </c>
      <c r="O171" s="2">
        <f>IFERROR(INDEX('3_ref_date'!$C:$C,MATCH(L171,'3_ref_date'!$A:$A,0)),"NOT FOUND")</f>
        <v/>
      </c>
      <c r="P171" s="4">
        <f>IFERROR(INDEX('3_ref_date'!$D:$D,MATCH(L171,'3_ref_date'!$A:$A,0)),"NOT FOUND")</f>
        <v/>
      </c>
      <c r="Q171" s="4">
        <f>IFERROR(INDEX('3_ref_date'!$E:$E,MATCH(L171,'3_ref_date'!$A:$A,0)),"NOT FOUND")</f>
        <v/>
      </c>
      <c r="R171" s="2">
        <f>IFERROR(INDEX('3_ref_date'!$F:$F,MATCH(L171,'3_ref_date'!$A:$A,0)),"NOT FOUND")</f>
        <v/>
      </c>
      <c r="S171" s="2">
        <f>IFERROR(INDEX('4_ref_time'!$D:$D,MATCH(ROUND(M171*1440,0),'4_ref_time'!$A:$A,0)),"NOT FOUND")</f>
        <v/>
      </c>
      <c r="T171" s="2">
        <f>UPPER(TRIM(C171))</f>
        <v/>
      </c>
      <c r="U171" s="30">
        <f>IF(_xlfn.MAXIFS('6_3nf_branch_history'!$B$2:$B$50,'6_3nf_branch_history'!$A$2:$A$50,T171,'6_3nf_branch_history'!$B$2:$B$50,"&lt;="&amp;L171)=0,"NOT FOUND",_xlfn.MAXIFS('6_3nf_branch_history'!$B$2:$B$50,'6_3nf_branch_history'!$A$2:$A$50,T171,'6_3nf_branch_history'!$B$2:$B$50,"&lt;="&amp;L171))</f>
        <v/>
      </c>
      <c r="V171" s="2">
        <f>IF(U171="NOT FOUND","NOT FOUND",INDEX('6_3nf_branch_history'!$C:$C,SUMPRODUCT(('6_3nf_branch_history'!$A$2:$A$50=T171)*('6_3nf_branch_history'!$B$2:$B$50=U171)*ROW('6_3nf_branch_history'!$A$2:$A$50))))</f>
        <v/>
      </c>
      <c r="W171" s="2">
        <f>IF(U171="NOT FOUND","NOT FOUND",INDEX('6_3nf_branch_history'!$D:$D,SUMPRODUCT(('6_3nf_branch_history'!$A$2:$A$50=T171)*('6_3nf_branch_history'!$B$2:$B$50=U171)*ROW('6_3nf_branch_history'!$A$2:$A$50))))</f>
        <v/>
      </c>
      <c r="X171" s="2">
        <f>IF(U171="NOT FOUND","NOT FOUND",INDEX('6_3nf_branch_history'!$E:$E,SUMPRODUCT(('6_3nf_branch_history'!$A$2:$A$50=T171)*('6_3nf_branch_history'!$B$2:$B$50=U171)*ROW('6_3nf_branch_history'!$A$2:$A$50))))</f>
        <v/>
      </c>
      <c r="Y171" s="2">
        <f>UPPER(TRIM(D171))</f>
        <v/>
      </c>
      <c r="Z171" s="2">
        <f>IFERROR(INDEX('7_3nf_product'!$B:$B,MATCH(Y171,'7_3nf_product'!$A:$A,0)),"NOT FOUND")</f>
        <v/>
      </c>
      <c r="AA171" s="2">
        <f>IFERROR(INDEX('7_3nf_product'!$C:$C,MATCH(Y171,'7_3nf_product'!$A:$A,0)),"NOT FOUND")</f>
        <v/>
      </c>
      <c r="AB171" s="2">
        <f>IFERROR(INDEX('7_3nf_product'!$D:$D,MATCH(Y171,'7_3nf_product'!$A:$A,0)),"NOT FOUND")</f>
        <v/>
      </c>
      <c r="AC171" s="6">
        <f>IFERROR(INDEX('7_3nf_product'!$E:$E,MATCH(Y171,'7_3nf_product'!$A:$A,0)),"NOT FOUND")</f>
        <v/>
      </c>
      <c r="AD171" s="33">
        <f>IF(LEN(TRIM(E171))=10,TRIM(E171),IF(LEN(TRIM(E171))=8,"00"&amp;TRIM(E171),"CHECK"))</f>
        <v/>
      </c>
      <c r="AE171" s="2">
        <f>IFERROR(INDEX('8_3nf_customer'!$C:$C,MATCH(AD171,'8_3nf_customer'!$B:$B,0)),"NOT FOUND")</f>
        <v/>
      </c>
      <c r="AF171" s="30">
        <f>IFERROR(INDEX('8_3nf_customer'!$D:$D,MATCH(AD171,'8_3nf_customer'!$B:$B,0)),"NOT FOUND")</f>
        <v/>
      </c>
      <c r="AG171" s="4">
        <f>IF(ISNUMBER(AF171),DATEDIF(AF171,L171,"y"),"NOT FOUND")</f>
        <v/>
      </c>
      <c r="AH171" s="2">
        <f>IFERROR(INDEX('8_3nf_customer'!$E:$E,MATCH(AD171,'8_3nf_customer'!$B:$B,0)),"NOT FOUND")</f>
        <v/>
      </c>
      <c r="AI171" s="30">
        <f>IF(_xlfn.MAXIFS('9_3nf_customer_history'!$B$2:$B$500,'9_3nf_customer_history'!$A$2:$A$500,AD171,'9_3nf_customer_history'!$B$2:$B$500,"&lt;="&amp;L171)=0,"NOT FOUND",_xlfn.MAXIFS('9_3nf_customer_history'!$B$2:$B$500,'9_3nf_customer_history'!$A$2:$A$500,AD171,'9_3nf_customer_history'!$B$2:$B$500,"&lt;="&amp;L171))</f>
        <v/>
      </c>
      <c r="AJ171" s="2">
        <f>IF(AI171="NOT FOUND","NOT FOUND",INDEX('9_3nf_customer_history'!$C:$C,SUMPRODUCT(('9_3nf_customer_history'!$A$2:$A$500=AD171)*('9_3nf_customer_history'!$B$2:$B$500=AI171)*ROW('9_3nf_customer_history'!$A$2:$A$500))))</f>
        <v/>
      </c>
      <c r="AK171" s="2">
        <f>IF(AI171="NOT FOUND","NOT FOUND",INDEX('9_3nf_customer_history'!$D:$D,SUMPRODUCT(('9_3nf_customer_history'!$A$2:$A$500=AD171)*('9_3nf_customer_history'!$B$2:$B$500=AI171)*ROW('9_3nf_customer_history'!$A$2:$A$500))))</f>
        <v/>
      </c>
      <c r="AL171" s="2">
        <f>UPPER(TRIM(H171))</f>
        <v/>
      </c>
      <c r="AM171" s="30">
        <f>IF(_xlfn.MAXIFS('10_ref_fx_rate'!$B$2:$B$2000,'10_ref_fx_rate'!$A$2:$A$2000,AL171,'10_ref_fx_rate'!$B$2:$B$2000,"&lt;="&amp;L171)=0,"NOT FOUND",_xlfn.MAXIFS('10_ref_fx_rate'!$B$2:$B$2000,'10_ref_fx_rate'!$A$2:$A$2000,AL171,'10_ref_fx_rate'!$B$2:$B$2000,"&lt;="&amp;L171))</f>
        <v/>
      </c>
      <c r="AN171" s="8">
        <f>IF(AM171="NOT FOUND","NOT FOUND",SUMIFS('10_ref_fx_rate'!$D$2:$D$2000,'10_ref_fx_rate'!$A$2:$A$2000,AL171,'10_ref_fx_rate'!$B$2:$B$2000,AM171))</f>
        <v/>
      </c>
      <c r="AO171" s="37">
        <f>IF(ISNUMBER(AN171),I171*AN171,"NOT FOUND")</f>
        <v/>
      </c>
      <c r="AP171" s="2">
        <f>UPPER(TRIM(J171))</f>
        <v/>
      </c>
      <c r="AQ171" s="2">
        <f>IF(AP171="","SELF-DIRECTED",IF(ISNUMBER(MATCH(AP171,'11_3nf_sales_person'!$A:$A,0)),IF(EXACT(AP171,J171),"OK","OK (auto-fixed)"),IF(ISNA(MATCH($A171,'12_sales_person_confirmation'!$A:$A,0)),"CONFIRM (not logged)",IF(INDEX('12_sales_person_confirmation'!$I:$I,MATCH($A171,'12_sales_person_confirmation'!$A:$A,0))="CONFIRMED","CONFIRMED ("&amp;LOWER(INDEX('12_sales_person_confirmation'!$E:$E,MATCH($A171,'12_sales_person_confirmation'!$A:$A,0)))&amp;")","PENDING CONFIRM"))))</f>
        <v/>
      </c>
      <c r="AR171" s="2">
        <f>IF(OR(AQ171="OK",AQ171="OK (auto-fixed)"),AP171,IF(LEFT(AQ171,9)="CONFIRMED",INDEX('12_sales_person_confirmation'!$F:$F,MATCH($A171,'12_sales_person_confirmation'!$A:$A,0)),""))</f>
        <v/>
      </c>
      <c r="AS171" s="2">
        <f>IF(AR171="","",INDEX('11_3nf_sales_person'!$B:$B,MATCH(AR171,'11_3nf_sales_person'!$A:$A,0)))</f>
        <v/>
      </c>
    </row>
    <row r="172">
      <c r="A172" s="2">
        <f>IF(ISBLANK('1_raw_log'!A172),"",'1_raw_log'!A172)</f>
        <v/>
      </c>
      <c r="B172" s="3">
        <f>IF(ISBLANK('1_raw_log'!B172),"",'1_raw_log'!B172)</f>
        <v/>
      </c>
      <c r="C172" s="2">
        <f>IF(ISBLANK('1_raw_log'!C172),"",'1_raw_log'!C172)</f>
        <v/>
      </c>
      <c r="D172" s="2">
        <f>IF(ISBLANK('1_raw_log'!D172),"",'1_raw_log'!D172)</f>
        <v/>
      </c>
      <c r="E172" s="4">
        <f>IF(ISBLANK('1_raw_log'!E172),"",'1_raw_log'!E172)</f>
        <v/>
      </c>
      <c r="F172" s="2">
        <f>IF(ISBLANK('1_raw_log'!F172),"",'1_raw_log'!F172)</f>
        <v/>
      </c>
      <c r="G172" s="2">
        <f>IF(ISBLANK('1_raw_log'!G172),"",'1_raw_log'!G172)</f>
        <v/>
      </c>
      <c r="H172" s="2">
        <f>IF(ISBLANK('1_raw_log'!H172),"",'1_raw_log'!H172)</f>
        <v/>
      </c>
      <c r="I172" s="7">
        <f>IF(ISBLANK('1_raw_log'!I172),"",'1_raw_log'!I172)</f>
        <v/>
      </c>
      <c r="J172" s="2">
        <f>IF(ISBLANK('1_raw_log'!J172),"",'1_raw_log'!J172)</f>
        <v/>
      </c>
      <c r="K172" s="2">
        <f>IF(ISBLANK('1_raw_log'!K172),"",'1_raw_log'!K172)</f>
        <v/>
      </c>
      <c r="L172" s="30">
        <f>INT(B172)</f>
        <v/>
      </c>
      <c r="M172" s="20">
        <f>ROUND(MOD(B172,1)*1440,0)/1440</f>
        <v/>
      </c>
      <c r="N172" s="4">
        <f>IFERROR(INDEX('3_ref_date'!$B:$B,MATCH(L172,'3_ref_date'!$A:$A,0)),"NOT FOUND")</f>
        <v/>
      </c>
      <c r="O172" s="2">
        <f>IFERROR(INDEX('3_ref_date'!$C:$C,MATCH(L172,'3_ref_date'!$A:$A,0)),"NOT FOUND")</f>
        <v/>
      </c>
      <c r="P172" s="4">
        <f>IFERROR(INDEX('3_ref_date'!$D:$D,MATCH(L172,'3_ref_date'!$A:$A,0)),"NOT FOUND")</f>
        <v/>
      </c>
      <c r="Q172" s="4">
        <f>IFERROR(INDEX('3_ref_date'!$E:$E,MATCH(L172,'3_ref_date'!$A:$A,0)),"NOT FOUND")</f>
        <v/>
      </c>
      <c r="R172" s="2">
        <f>IFERROR(INDEX('3_ref_date'!$F:$F,MATCH(L172,'3_ref_date'!$A:$A,0)),"NOT FOUND")</f>
        <v/>
      </c>
      <c r="S172" s="2">
        <f>IFERROR(INDEX('4_ref_time'!$D:$D,MATCH(ROUND(M172*1440,0),'4_ref_time'!$A:$A,0)),"NOT FOUND")</f>
        <v/>
      </c>
      <c r="T172" s="2">
        <f>UPPER(TRIM(C172))</f>
        <v/>
      </c>
      <c r="U172" s="30">
        <f>IF(_xlfn.MAXIFS('6_3nf_branch_history'!$B$2:$B$50,'6_3nf_branch_history'!$A$2:$A$50,T172,'6_3nf_branch_history'!$B$2:$B$50,"&lt;="&amp;L172)=0,"NOT FOUND",_xlfn.MAXIFS('6_3nf_branch_history'!$B$2:$B$50,'6_3nf_branch_history'!$A$2:$A$50,T172,'6_3nf_branch_history'!$B$2:$B$50,"&lt;="&amp;L172))</f>
        <v/>
      </c>
      <c r="V172" s="2">
        <f>IF(U172="NOT FOUND","NOT FOUND",INDEX('6_3nf_branch_history'!$C:$C,SUMPRODUCT(('6_3nf_branch_history'!$A$2:$A$50=T172)*('6_3nf_branch_history'!$B$2:$B$50=U172)*ROW('6_3nf_branch_history'!$A$2:$A$50))))</f>
        <v/>
      </c>
      <c r="W172" s="2">
        <f>IF(U172="NOT FOUND","NOT FOUND",INDEX('6_3nf_branch_history'!$D:$D,SUMPRODUCT(('6_3nf_branch_history'!$A$2:$A$50=T172)*('6_3nf_branch_history'!$B$2:$B$50=U172)*ROW('6_3nf_branch_history'!$A$2:$A$50))))</f>
        <v/>
      </c>
      <c r="X172" s="2">
        <f>IF(U172="NOT FOUND","NOT FOUND",INDEX('6_3nf_branch_history'!$E:$E,SUMPRODUCT(('6_3nf_branch_history'!$A$2:$A$50=T172)*('6_3nf_branch_history'!$B$2:$B$50=U172)*ROW('6_3nf_branch_history'!$A$2:$A$50))))</f>
        <v/>
      </c>
      <c r="Y172" s="2">
        <f>UPPER(TRIM(D172))</f>
        <v/>
      </c>
      <c r="Z172" s="2">
        <f>IFERROR(INDEX('7_3nf_product'!$B:$B,MATCH(Y172,'7_3nf_product'!$A:$A,0)),"NOT FOUND")</f>
        <v/>
      </c>
      <c r="AA172" s="2">
        <f>IFERROR(INDEX('7_3nf_product'!$C:$C,MATCH(Y172,'7_3nf_product'!$A:$A,0)),"NOT FOUND")</f>
        <v/>
      </c>
      <c r="AB172" s="2">
        <f>IFERROR(INDEX('7_3nf_product'!$D:$D,MATCH(Y172,'7_3nf_product'!$A:$A,0)),"NOT FOUND")</f>
        <v/>
      </c>
      <c r="AC172" s="6">
        <f>IFERROR(INDEX('7_3nf_product'!$E:$E,MATCH(Y172,'7_3nf_product'!$A:$A,0)),"NOT FOUND")</f>
        <v/>
      </c>
      <c r="AD172" s="33">
        <f>IF(LEN(TRIM(E172))=10,TRIM(E172),IF(LEN(TRIM(E172))=8,"00"&amp;TRIM(E172),"CHECK"))</f>
        <v/>
      </c>
      <c r="AE172" s="2">
        <f>IFERROR(INDEX('8_3nf_customer'!$C:$C,MATCH(AD172,'8_3nf_customer'!$B:$B,0)),"NOT FOUND")</f>
        <v/>
      </c>
      <c r="AF172" s="30">
        <f>IFERROR(INDEX('8_3nf_customer'!$D:$D,MATCH(AD172,'8_3nf_customer'!$B:$B,0)),"NOT FOUND")</f>
        <v/>
      </c>
      <c r="AG172" s="4">
        <f>IF(ISNUMBER(AF172),DATEDIF(AF172,L172,"y"),"NOT FOUND")</f>
        <v/>
      </c>
      <c r="AH172" s="2">
        <f>IFERROR(INDEX('8_3nf_customer'!$E:$E,MATCH(AD172,'8_3nf_customer'!$B:$B,0)),"NOT FOUND")</f>
        <v/>
      </c>
      <c r="AI172" s="30">
        <f>IF(_xlfn.MAXIFS('9_3nf_customer_history'!$B$2:$B$500,'9_3nf_customer_history'!$A$2:$A$500,AD172,'9_3nf_customer_history'!$B$2:$B$500,"&lt;="&amp;L172)=0,"NOT FOUND",_xlfn.MAXIFS('9_3nf_customer_history'!$B$2:$B$500,'9_3nf_customer_history'!$A$2:$A$500,AD172,'9_3nf_customer_history'!$B$2:$B$500,"&lt;="&amp;L172))</f>
        <v/>
      </c>
      <c r="AJ172" s="2">
        <f>IF(AI172="NOT FOUND","NOT FOUND",INDEX('9_3nf_customer_history'!$C:$C,SUMPRODUCT(('9_3nf_customer_history'!$A$2:$A$500=AD172)*('9_3nf_customer_history'!$B$2:$B$500=AI172)*ROW('9_3nf_customer_history'!$A$2:$A$500))))</f>
        <v/>
      </c>
      <c r="AK172" s="2">
        <f>IF(AI172="NOT FOUND","NOT FOUND",INDEX('9_3nf_customer_history'!$D:$D,SUMPRODUCT(('9_3nf_customer_history'!$A$2:$A$500=AD172)*('9_3nf_customer_history'!$B$2:$B$500=AI172)*ROW('9_3nf_customer_history'!$A$2:$A$500))))</f>
        <v/>
      </c>
      <c r="AL172" s="2">
        <f>UPPER(TRIM(H172))</f>
        <v/>
      </c>
      <c r="AM172" s="30">
        <f>IF(_xlfn.MAXIFS('10_ref_fx_rate'!$B$2:$B$2000,'10_ref_fx_rate'!$A$2:$A$2000,AL172,'10_ref_fx_rate'!$B$2:$B$2000,"&lt;="&amp;L172)=0,"NOT FOUND",_xlfn.MAXIFS('10_ref_fx_rate'!$B$2:$B$2000,'10_ref_fx_rate'!$A$2:$A$2000,AL172,'10_ref_fx_rate'!$B$2:$B$2000,"&lt;="&amp;L172))</f>
        <v/>
      </c>
      <c r="AN172" s="8">
        <f>IF(AM172="NOT FOUND","NOT FOUND",SUMIFS('10_ref_fx_rate'!$D$2:$D$2000,'10_ref_fx_rate'!$A$2:$A$2000,AL172,'10_ref_fx_rate'!$B$2:$B$2000,AM172))</f>
        <v/>
      </c>
      <c r="AO172" s="37">
        <f>IF(ISNUMBER(AN172),I172*AN172,"NOT FOUND")</f>
        <v/>
      </c>
      <c r="AP172" s="2">
        <f>UPPER(TRIM(J172))</f>
        <v/>
      </c>
      <c r="AQ172" s="2">
        <f>IF(AP172="","SELF-DIRECTED",IF(ISNUMBER(MATCH(AP172,'11_3nf_sales_person'!$A:$A,0)),IF(EXACT(AP172,J172),"OK","OK (auto-fixed)"),IF(ISNA(MATCH($A172,'12_sales_person_confirmation'!$A:$A,0)),"CONFIRM (not logged)",IF(INDEX('12_sales_person_confirmation'!$I:$I,MATCH($A172,'12_sales_person_confirmation'!$A:$A,0))="CONFIRMED","CONFIRMED ("&amp;LOWER(INDEX('12_sales_person_confirmation'!$E:$E,MATCH($A172,'12_sales_person_confirmation'!$A:$A,0)))&amp;")","PENDING CONFIRM"))))</f>
        <v/>
      </c>
      <c r="AR172" s="2">
        <f>IF(OR(AQ172="OK",AQ172="OK (auto-fixed)"),AP172,IF(LEFT(AQ172,9)="CONFIRMED",INDEX('12_sales_person_confirmation'!$F:$F,MATCH($A172,'12_sales_person_confirmation'!$A:$A,0)),""))</f>
        <v/>
      </c>
      <c r="AS172" s="2">
        <f>IF(AR172="","",INDEX('11_3nf_sales_person'!$B:$B,MATCH(AR172,'11_3nf_sales_person'!$A:$A,0)))</f>
        <v/>
      </c>
    </row>
    <row r="173">
      <c r="A173" s="2">
        <f>IF(ISBLANK('1_raw_log'!A173),"",'1_raw_log'!A173)</f>
        <v/>
      </c>
      <c r="B173" s="3">
        <f>IF(ISBLANK('1_raw_log'!B173),"",'1_raw_log'!B173)</f>
        <v/>
      </c>
      <c r="C173" s="2">
        <f>IF(ISBLANK('1_raw_log'!C173),"",'1_raw_log'!C173)</f>
        <v/>
      </c>
      <c r="D173" s="2">
        <f>IF(ISBLANK('1_raw_log'!D173),"",'1_raw_log'!D173)</f>
        <v/>
      </c>
      <c r="E173" s="4">
        <f>IF(ISBLANK('1_raw_log'!E173),"",'1_raw_log'!E173)</f>
        <v/>
      </c>
      <c r="F173" s="2">
        <f>IF(ISBLANK('1_raw_log'!F173),"",'1_raw_log'!F173)</f>
        <v/>
      </c>
      <c r="G173" s="2">
        <f>IF(ISBLANK('1_raw_log'!G173),"",'1_raw_log'!G173)</f>
        <v/>
      </c>
      <c r="H173" s="2">
        <f>IF(ISBLANK('1_raw_log'!H173),"",'1_raw_log'!H173)</f>
        <v/>
      </c>
      <c r="I173" s="7">
        <f>IF(ISBLANK('1_raw_log'!I173),"",'1_raw_log'!I173)</f>
        <v/>
      </c>
      <c r="J173" s="2">
        <f>IF(ISBLANK('1_raw_log'!J173),"",'1_raw_log'!J173)</f>
        <v/>
      </c>
      <c r="K173" s="2">
        <f>IF(ISBLANK('1_raw_log'!K173),"",'1_raw_log'!K173)</f>
        <v/>
      </c>
      <c r="L173" s="30">
        <f>INT(B173)</f>
        <v/>
      </c>
      <c r="M173" s="20">
        <f>ROUND(MOD(B173,1)*1440,0)/1440</f>
        <v/>
      </c>
      <c r="N173" s="4">
        <f>IFERROR(INDEX('3_ref_date'!$B:$B,MATCH(L173,'3_ref_date'!$A:$A,0)),"NOT FOUND")</f>
        <v/>
      </c>
      <c r="O173" s="2">
        <f>IFERROR(INDEX('3_ref_date'!$C:$C,MATCH(L173,'3_ref_date'!$A:$A,0)),"NOT FOUND")</f>
        <v/>
      </c>
      <c r="P173" s="4">
        <f>IFERROR(INDEX('3_ref_date'!$D:$D,MATCH(L173,'3_ref_date'!$A:$A,0)),"NOT FOUND")</f>
        <v/>
      </c>
      <c r="Q173" s="4">
        <f>IFERROR(INDEX('3_ref_date'!$E:$E,MATCH(L173,'3_ref_date'!$A:$A,0)),"NOT FOUND")</f>
        <v/>
      </c>
      <c r="R173" s="2">
        <f>IFERROR(INDEX('3_ref_date'!$F:$F,MATCH(L173,'3_ref_date'!$A:$A,0)),"NOT FOUND")</f>
        <v/>
      </c>
      <c r="S173" s="2">
        <f>IFERROR(INDEX('4_ref_time'!$D:$D,MATCH(ROUND(M173*1440,0),'4_ref_time'!$A:$A,0)),"NOT FOUND")</f>
        <v/>
      </c>
      <c r="T173" s="2">
        <f>UPPER(TRIM(C173))</f>
        <v/>
      </c>
      <c r="U173" s="30">
        <f>IF(_xlfn.MAXIFS('6_3nf_branch_history'!$B$2:$B$50,'6_3nf_branch_history'!$A$2:$A$50,T173,'6_3nf_branch_history'!$B$2:$B$50,"&lt;="&amp;L173)=0,"NOT FOUND",_xlfn.MAXIFS('6_3nf_branch_history'!$B$2:$B$50,'6_3nf_branch_history'!$A$2:$A$50,T173,'6_3nf_branch_history'!$B$2:$B$50,"&lt;="&amp;L173))</f>
        <v/>
      </c>
      <c r="V173" s="2">
        <f>IF(U173="NOT FOUND","NOT FOUND",INDEX('6_3nf_branch_history'!$C:$C,SUMPRODUCT(('6_3nf_branch_history'!$A$2:$A$50=T173)*('6_3nf_branch_history'!$B$2:$B$50=U173)*ROW('6_3nf_branch_history'!$A$2:$A$50))))</f>
        <v/>
      </c>
      <c r="W173" s="2">
        <f>IF(U173="NOT FOUND","NOT FOUND",INDEX('6_3nf_branch_history'!$D:$D,SUMPRODUCT(('6_3nf_branch_history'!$A$2:$A$50=T173)*('6_3nf_branch_history'!$B$2:$B$50=U173)*ROW('6_3nf_branch_history'!$A$2:$A$50))))</f>
        <v/>
      </c>
      <c r="X173" s="2">
        <f>IF(U173="NOT FOUND","NOT FOUND",INDEX('6_3nf_branch_history'!$E:$E,SUMPRODUCT(('6_3nf_branch_history'!$A$2:$A$50=T173)*('6_3nf_branch_history'!$B$2:$B$50=U173)*ROW('6_3nf_branch_history'!$A$2:$A$50))))</f>
        <v/>
      </c>
      <c r="Y173" s="2">
        <f>UPPER(TRIM(D173))</f>
        <v/>
      </c>
      <c r="Z173" s="2">
        <f>IFERROR(INDEX('7_3nf_product'!$B:$B,MATCH(Y173,'7_3nf_product'!$A:$A,0)),"NOT FOUND")</f>
        <v/>
      </c>
      <c r="AA173" s="2">
        <f>IFERROR(INDEX('7_3nf_product'!$C:$C,MATCH(Y173,'7_3nf_product'!$A:$A,0)),"NOT FOUND")</f>
        <v/>
      </c>
      <c r="AB173" s="2">
        <f>IFERROR(INDEX('7_3nf_product'!$D:$D,MATCH(Y173,'7_3nf_product'!$A:$A,0)),"NOT FOUND")</f>
        <v/>
      </c>
      <c r="AC173" s="6">
        <f>IFERROR(INDEX('7_3nf_product'!$E:$E,MATCH(Y173,'7_3nf_product'!$A:$A,0)),"NOT FOUND")</f>
        <v/>
      </c>
      <c r="AD173" s="33">
        <f>IF(LEN(TRIM(E173))=10,TRIM(E173),IF(LEN(TRIM(E173))=8,"00"&amp;TRIM(E173),"CHECK"))</f>
        <v/>
      </c>
      <c r="AE173" s="2">
        <f>IFERROR(INDEX('8_3nf_customer'!$C:$C,MATCH(AD173,'8_3nf_customer'!$B:$B,0)),"NOT FOUND")</f>
        <v/>
      </c>
      <c r="AF173" s="30">
        <f>IFERROR(INDEX('8_3nf_customer'!$D:$D,MATCH(AD173,'8_3nf_customer'!$B:$B,0)),"NOT FOUND")</f>
        <v/>
      </c>
      <c r="AG173" s="4">
        <f>IF(ISNUMBER(AF173),DATEDIF(AF173,L173,"y"),"NOT FOUND")</f>
        <v/>
      </c>
      <c r="AH173" s="2">
        <f>IFERROR(INDEX('8_3nf_customer'!$E:$E,MATCH(AD173,'8_3nf_customer'!$B:$B,0)),"NOT FOUND")</f>
        <v/>
      </c>
      <c r="AI173" s="30">
        <f>IF(_xlfn.MAXIFS('9_3nf_customer_history'!$B$2:$B$500,'9_3nf_customer_history'!$A$2:$A$500,AD173,'9_3nf_customer_history'!$B$2:$B$500,"&lt;="&amp;L173)=0,"NOT FOUND",_xlfn.MAXIFS('9_3nf_customer_history'!$B$2:$B$500,'9_3nf_customer_history'!$A$2:$A$500,AD173,'9_3nf_customer_history'!$B$2:$B$500,"&lt;="&amp;L173))</f>
        <v/>
      </c>
      <c r="AJ173" s="2">
        <f>IF(AI173="NOT FOUND","NOT FOUND",INDEX('9_3nf_customer_history'!$C:$C,SUMPRODUCT(('9_3nf_customer_history'!$A$2:$A$500=AD173)*('9_3nf_customer_history'!$B$2:$B$500=AI173)*ROW('9_3nf_customer_history'!$A$2:$A$500))))</f>
        <v/>
      </c>
      <c r="AK173" s="2">
        <f>IF(AI173="NOT FOUND","NOT FOUND",INDEX('9_3nf_customer_history'!$D:$D,SUMPRODUCT(('9_3nf_customer_history'!$A$2:$A$500=AD173)*('9_3nf_customer_history'!$B$2:$B$500=AI173)*ROW('9_3nf_customer_history'!$A$2:$A$500))))</f>
        <v/>
      </c>
      <c r="AL173" s="2">
        <f>UPPER(TRIM(H173))</f>
        <v/>
      </c>
      <c r="AM173" s="30">
        <f>IF(_xlfn.MAXIFS('10_ref_fx_rate'!$B$2:$B$2000,'10_ref_fx_rate'!$A$2:$A$2000,AL173,'10_ref_fx_rate'!$B$2:$B$2000,"&lt;="&amp;L173)=0,"NOT FOUND",_xlfn.MAXIFS('10_ref_fx_rate'!$B$2:$B$2000,'10_ref_fx_rate'!$A$2:$A$2000,AL173,'10_ref_fx_rate'!$B$2:$B$2000,"&lt;="&amp;L173))</f>
        <v/>
      </c>
      <c r="AN173" s="8">
        <f>IF(AM173="NOT FOUND","NOT FOUND",SUMIFS('10_ref_fx_rate'!$D$2:$D$2000,'10_ref_fx_rate'!$A$2:$A$2000,AL173,'10_ref_fx_rate'!$B$2:$B$2000,AM173))</f>
        <v/>
      </c>
      <c r="AO173" s="37">
        <f>IF(ISNUMBER(AN173),I173*AN173,"NOT FOUND")</f>
        <v/>
      </c>
      <c r="AP173" s="2">
        <f>UPPER(TRIM(J173))</f>
        <v/>
      </c>
      <c r="AQ173" s="2">
        <f>IF(AP173="","SELF-DIRECTED",IF(ISNUMBER(MATCH(AP173,'11_3nf_sales_person'!$A:$A,0)),IF(EXACT(AP173,J173),"OK","OK (auto-fixed)"),IF(ISNA(MATCH($A173,'12_sales_person_confirmation'!$A:$A,0)),"CONFIRM (not logged)",IF(INDEX('12_sales_person_confirmation'!$I:$I,MATCH($A173,'12_sales_person_confirmation'!$A:$A,0))="CONFIRMED","CONFIRMED ("&amp;LOWER(INDEX('12_sales_person_confirmation'!$E:$E,MATCH($A173,'12_sales_person_confirmation'!$A:$A,0)))&amp;")","PENDING CONFIRM"))))</f>
        <v/>
      </c>
      <c r="AR173" s="2">
        <f>IF(OR(AQ173="OK",AQ173="OK (auto-fixed)"),AP173,IF(LEFT(AQ173,9)="CONFIRMED",INDEX('12_sales_person_confirmation'!$F:$F,MATCH($A173,'12_sales_person_confirmation'!$A:$A,0)),""))</f>
        <v/>
      </c>
      <c r="AS173" s="2">
        <f>IF(AR173="","",INDEX('11_3nf_sales_person'!$B:$B,MATCH(AR173,'11_3nf_sales_person'!$A:$A,0)))</f>
        <v/>
      </c>
    </row>
    <row r="174">
      <c r="A174" s="2">
        <f>IF(ISBLANK('1_raw_log'!A174),"",'1_raw_log'!A174)</f>
        <v/>
      </c>
      <c r="B174" s="3">
        <f>IF(ISBLANK('1_raw_log'!B174),"",'1_raw_log'!B174)</f>
        <v/>
      </c>
      <c r="C174" s="2">
        <f>IF(ISBLANK('1_raw_log'!C174),"",'1_raw_log'!C174)</f>
        <v/>
      </c>
      <c r="D174" s="2">
        <f>IF(ISBLANK('1_raw_log'!D174),"",'1_raw_log'!D174)</f>
        <v/>
      </c>
      <c r="E174" s="4">
        <f>IF(ISBLANK('1_raw_log'!E174),"",'1_raw_log'!E174)</f>
        <v/>
      </c>
      <c r="F174" s="2">
        <f>IF(ISBLANK('1_raw_log'!F174),"",'1_raw_log'!F174)</f>
        <v/>
      </c>
      <c r="G174" s="2">
        <f>IF(ISBLANK('1_raw_log'!G174),"",'1_raw_log'!G174)</f>
        <v/>
      </c>
      <c r="H174" s="2">
        <f>IF(ISBLANK('1_raw_log'!H174),"",'1_raw_log'!H174)</f>
        <v/>
      </c>
      <c r="I174" s="7">
        <f>IF(ISBLANK('1_raw_log'!I174),"",'1_raw_log'!I174)</f>
        <v/>
      </c>
      <c r="J174" s="2">
        <f>IF(ISBLANK('1_raw_log'!J174),"",'1_raw_log'!J174)</f>
        <v/>
      </c>
      <c r="K174" s="2">
        <f>IF(ISBLANK('1_raw_log'!K174),"",'1_raw_log'!K174)</f>
        <v/>
      </c>
      <c r="L174" s="30">
        <f>INT(B174)</f>
        <v/>
      </c>
      <c r="M174" s="20">
        <f>ROUND(MOD(B174,1)*1440,0)/1440</f>
        <v/>
      </c>
      <c r="N174" s="4">
        <f>IFERROR(INDEX('3_ref_date'!$B:$B,MATCH(L174,'3_ref_date'!$A:$A,0)),"NOT FOUND")</f>
        <v/>
      </c>
      <c r="O174" s="2">
        <f>IFERROR(INDEX('3_ref_date'!$C:$C,MATCH(L174,'3_ref_date'!$A:$A,0)),"NOT FOUND")</f>
        <v/>
      </c>
      <c r="P174" s="4">
        <f>IFERROR(INDEX('3_ref_date'!$D:$D,MATCH(L174,'3_ref_date'!$A:$A,0)),"NOT FOUND")</f>
        <v/>
      </c>
      <c r="Q174" s="4">
        <f>IFERROR(INDEX('3_ref_date'!$E:$E,MATCH(L174,'3_ref_date'!$A:$A,0)),"NOT FOUND")</f>
        <v/>
      </c>
      <c r="R174" s="2">
        <f>IFERROR(INDEX('3_ref_date'!$F:$F,MATCH(L174,'3_ref_date'!$A:$A,0)),"NOT FOUND")</f>
        <v/>
      </c>
      <c r="S174" s="2">
        <f>IFERROR(INDEX('4_ref_time'!$D:$D,MATCH(ROUND(M174*1440,0),'4_ref_time'!$A:$A,0)),"NOT FOUND")</f>
        <v/>
      </c>
      <c r="T174" s="2">
        <f>UPPER(TRIM(C174))</f>
        <v/>
      </c>
      <c r="U174" s="30">
        <f>IF(_xlfn.MAXIFS('6_3nf_branch_history'!$B$2:$B$50,'6_3nf_branch_history'!$A$2:$A$50,T174,'6_3nf_branch_history'!$B$2:$B$50,"&lt;="&amp;L174)=0,"NOT FOUND",_xlfn.MAXIFS('6_3nf_branch_history'!$B$2:$B$50,'6_3nf_branch_history'!$A$2:$A$50,T174,'6_3nf_branch_history'!$B$2:$B$50,"&lt;="&amp;L174))</f>
        <v/>
      </c>
      <c r="V174" s="2">
        <f>IF(U174="NOT FOUND","NOT FOUND",INDEX('6_3nf_branch_history'!$C:$C,SUMPRODUCT(('6_3nf_branch_history'!$A$2:$A$50=T174)*('6_3nf_branch_history'!$B$2:$B$50=U174)*ROW('6_3nf_branch_history'!$A$2:$A$50))))</f>
        <v/>
      </c>
      <c r="W174" s="2">
        <f>IF(U174="NOT FOUND","NOT FOUND",INDEX('6_3nf_branch_history'!$D:$D,SUMPRODUCT(('6_3nf_branch_history'!$A$2:$A$50=T174)*('6_3nf_branch_history'!$B$2:$B$50=U174)*ROW('6_3nf_branch_history'!$A$2:$A$50))))</f>
        <v/>
      </c>
      <c r="X174" s="2">
        <f>IF(U174="NOT FOUND","NOT FOUND",INDEX('6_3nf_branch_history'!$E:$E,SUMPRODUCT(('6_3nf_branch_history'!$A$2:$A$50=T174)*('6_3nf_branch_history'!$B$2:$B$50=U174)*ROW('6_3nf_branch_history'!$A$2:$A$50))))</f>
        <v/>
      </c>
      <c r="Y174" s="2">
        <f>UPPER(TRIM(D174))</f>
        <v/>
      </c>
      <c r="Z174" s="2">
        <f>IFERROR(INDEX('7_3nf_product'!$B:$B,MATCH(Y174,'7_3nf_product'!$A:$A,0)),"NOT FOUND")</f>
        <v/>
      </c>
      <c r="AA174" s="2">
        <f>IFERROR(INDEX('7_3nf_product'!$C:$C,MATCH(Y174,'7_3nf_product'!$A:$A,0)),"NOT FOUND")</f>
        <v/>
      </c>
      <c r="AB174" s="2">
        <f>IFERROR(INDEX('7_3nf_product'!$D:$D,MATCH(Y174,'7_3nf_product'!$A:$A,0)),"NOT FOUND")</f>
        <v/>
      </c>
      <c r="AC174" s="6">
        <f>IFERROR(INDEX('7_3nf_product'!$E:$E,MATCH(Y174,'7_3nf_product'!$A:$A,0)),"NOT FOUND")</f>
        <v/>
      </c>
      <c r="AD174" s="33">
        <f>IF(LEN(TRIM(E174))=10,TRIM(E174),IF(LEN(TRIM(E174))=8,"00"&amp;TRIM(E174),"CHECK"))</f>
        <v/>
      </c>
      <c r="AE174" s="2">
        <f>IFERROR(INDEX('8_3nf_customer'!$C:$C,MATCH(AD174,'8_3nf_customer'!$B:$B,0)),"NOT FOUND")</f>
        <v/>
      </c>
      <c r="AF174" s="30">
        <f>IFERROR(INDEX('8_3nf_customer'!$D:$D,MATCH(AD174,'8_3nf_customer'!$B:$B,0)),"NOT FOUND")</f>
        <v/>
      </c>
      <c r="AG174" s="4">
        <f>IF(ISNUMBER(AF174),DATEDIF(AF174,L174,"y"),"NOT FOUND")</f>
        <v/>
      </c>
      <c r="AH174" s="2">
        <f>IFERROR(INDEX('8_3nf_customer'!$E:$E,MATCH(AD174,'8_3nf_customer'!$B:$B,0)),"NOT FOUND")</f>
        <v/>
      </c>
      <c r="AI174" s="30">
        <f>IF(_xlfn.MAXIFS('9_3nf_customer_history'!$B$2:$B$500,'9_3nf_customer_history'!$A$2:$A$500,AD174,'9_3nf_customer_history'!$B$2:$B$500,"&lt;="&amp;L174)=0,"NOT FOUND",_xlfn.MAXIFS('9_3nf_customer_history'!$B$2:$B$500,'9_3nf_customer_history'!$A$2:$A$500,AD174,'9_3nf_customer_history'!$B$2:$B$500,"&lt;="&amp;L174))</f>
        <v/>
      </c>
      <c r="AJ174" s="2">
        <f>IF(AI174="NOT FOUND","NOT FOUND",INDEX('9_3nf_customer_history'!$C:$C,SUMPRODUCT(('9_3nf_customer_history'!$A$2:$A$500=AD174)*('9_3nf_customer_history'!$B$2:$B$500=AI174)*ROW('9_3nf_customer_history'!$A$2:$A$500))))</f>
        <v/>
      </c>
      <c r="AK174" s="2">
        <f>IF(AI174="NOT FOUND","NOT FOUND",INDEX('9_3nf_customer_history'!$D:$D,SUMPRODUCT(('9_3nf_customer_history'!$A$2:$A$500=AD174)*('9_3nf_customer_history'!$B$2:$B$500=AI174)*ROW('9_3nf_customer_history'!$A$2:$A$500))))</f>
        <v/>
      </c>
      <c r="AL174" s="2">
        <f>UPPER(TRIM(H174))</f>
        <v/>
      </c>
      <c r="AM174" s="30">
        <f>IF(_xlfn.MAXIFS('10_ref_fx_rate'!$B$2:$B$2000,'10_ref_fx_rate'!$A$2:$A$2000,AL174,'10_ref_fx_rate'!$B$2:$B$2000,"&lt;="&amp;L174)=0,"NOT FOUND",_xlfn.MAXIFS('10_ref_fx_rate'!$B$2:$B$2000,'10_ref_fx_rate'!$A$2:$A$2000,AL174,'10_ref_fx_rate'!$B$2:$B$2000,"&lt;="&amp;L174))</f>
        <v/>
      </c>
      <c r="AN174" s="8">
        <f>IF(AM174="NOT FOUND","NOT FOUND",SUMIFS('10_ref_fx_rate'!$D$2:$D$2000,'10_ref_fx_rate'!$A$2:$A$2000,AL174,'10_ref_fx_rate'!$B$2:$B$2000,AM174))</f>
        <v/>
      </c>
      <c r="AO174" s="37">
        <f>IF(ISNUMBER(AN174),I174*AN174,"NOT FOUND")</f>
        <v/>
      </c>
      <c r="AP174" s="2">
        <f>UPPER(TRIM(J174))</f>
        <v/>
      </c>
      <c r="AQ174" s="2">
        <f>IF(AP174="","SELF-DIRECTED",IF(ISNUMBER(MATCH(AP174,'11_3nf_sales_person'!$A:$A,0)),IF(EXACT(AP174,J174),"OK","OK (auto-fixed)"),IF(ISNA(MATCH($A174,'12_sales_person_confirmation'!$A:$A,0)),"CONFIRM (not logged)",IF(INDEX('12_sales_person_confirmation'!$I:$I,MATCH($A174,'12_sales_person_confirmation'!$A:$A,0))="CONFIRMED","CONFIRMED ("&amp;LOWER(INDEX('12_sales_person_confirmation'!$E:$E,MATCH($A174,'12_sales_person_confirmation'!$A:$A,0)))&amp;")","PENDING CONFIRM"))))</f>
        <v/>
      </c>
      <c r="AR174" s="2">
        <f>IF(OR(AQ174="OK",AQ174="OK (auto-fixed)"),AP174,IF(LEFT(AQ174,9)="CONFIRMED",INDEX('12_sales_person_confirmation'!$F:$F,MATCH($A174,'12_sales_person_confirmation'!$A:$A,0)),""))</f>
        <v/>
      </c>
      <c r="AS174" s="2">
        <f>IF(AR174="","",INDEX('11_3nf_sales_person'!$B:$B,MATCH(AR174,'11_3nf_sales_person'!$A:$A,0)))</f>
        <v/>
      </c>
    </row>
    <row r="175">
      <c r="A175" s="2">
        <f>IF(ISBLANK('1_raw_log'!A175),"",'1_raw_log'!A175)</f>
        <v/>
      </c>
      <c r="B175" s="3">
        <f>IF(ISBLANK('1_raw_log'!B175),"",'1_raw_log'!B175)</f>
        <v/>
      </c>
      <c r="C175" s="2">
        <f>IF(ISBLANK('1_raw_log'!C175),"",'1_raw_log'!C175)</f>
        <v/>
      </c>
      <c r="D175" s="2">
        <f>IF(ISBLANK('1_raw_log'!D175),"",'1_raw_log'!D175)</f>
        <v/>
      </c>
      <c r="E175" s="4">
        <f>IF(ISBLANK('1_raw_log'!E175),"",'1_raw_log'!E175)</f>
        <v/>
      </c>
      <c r="F175" s="2">
        <f>IF(ISBLANK('1_raw_log'!F175),"",'1_raw_log'!F175)</f>
        <v/>
      </c>
      <c r="G175" s="2">
        <f>IF(ISBLANK('1_raw_log'!G175),"",'1_raw_log'!G175)</f>
        <v/>
      </c>
      <c r="H175" s="2">
        <f>IF(ISBLANK('1_raw_log'!H175),"",'1_raw_log'!H175)</f>
        <v/>
      </c>
      <c r="I175" s="7">
        <f>IF(ISBLANK('1_raw_log'!I175),"",'1_raw_log'!I175)</f>
        <v/>
      </c>
      <c r="J175" s="2">
        <f>IF(ISBLANK('1_raw_log'!J175),"",'1_raw_log'!J175)</f>
        <v/>
      </c>
      <c r="K175" s="2">
        <f>IF(ISBLANK('1_raw_log'!K175),"",'1_raw_log'!K175)</f>
        <v/>
      </c>
      <c r="L175" s="30">
        <f>INT(B175)</f>
        <v/>
      </c>
      <c r="M175" s="20">
        <f>ROUND(MOD(B175,1)*1440,0)/1440</f>
        <v/>
      </c>
      <c r="N175" s="4">
        <f>IFERROR(INDEX('3_ref_date'!$B:$B,MATCH(L175,'3_ref_date'!$A:$A,0)),"NOT FOUND")</f>
        <v/>
      </c>
      <c r="O175" s="2">
        <f>IFERROR(INDEX('3_ref_date'!$C:$C,MATCH(L175,'3_ref_date'!$A:$A,0)),"NOT FOUND")</f>
        <v/>
      </c>
      <c r="P175" s="4">
        <f>IFERROR(INDEX('3_ref_date'!$D:$D,MATCH(L175,'3_ref_date'!$A:$A,0)),"NOT FOUND")</f>
        <v/>
      </c>
      <c r="Q175" s="4">
        <f>IFERROR(INDEX('3_ref_date'!$E:$E,MATCH(L175,'3_ref_date'!$A:$A,0)),"NOT FOUND")</f>
        <v/>
      </c>
      <c r="R175" s="2">
        <f>IFERROR(INDEX('3_ref_date'!$F:$F,MATCH(L175,'3_ref_date'!$A:$A,0)),"NOT FOUND")</f>
        <v/>
      </c>
      <c r="S175" s="2">
        <f>IFERROR(INDEX('4_ref_time'!$D:$D,MATCH(ROUND(M175*1440,0),'4_ref_time'!$A:$A,0)),"NOT FOUND")</f>
        <v/>
      </c>
      <c r="T175" s="2">
        <f>UPPER(TRIM(C175))</f>
        <v/>
      </c>
      <c r="U175" s="30">
        <f>IF(_xlfn.MAXIFS('6_3nf_branch_history'!$B$2:$B$50,'6_3nf_branch_history'!$A$2:$A$50,T175,'6_3nf_branch_history'!$B$2:$B$50,"&lt;="&amp;L175)=0,"NOT FOUND",_xlfn.MAXIFS('6_3nf_branch_history'!$B$2:$B$50,'6_3nf_branch_history'!$A$2:$A$50,T175,'6_3nf_branch_history'!$B$2:$B$50,"&lt;="&amp;L175))</f>
        <v/>
      </c>
      <c r="V175" s="2">
        <f>IF(U175="NOT FOUND","NOT FOUND",INDEX('6_3nf_branch_history'!$C:$C,SUMPRODUCT(('6_3nf_branch_history'!$A$2:$A$50=T175)*('6_3nf_branch_history'!$B$2:$B$50=U175)*ROW('6_3nf_branch_history'!$A$2:$A$50))))</f>
        <v/>
      </c>
      <c r="W175" s="2">
        <f>IF(U175="NOT FOUND","NOT FOUND",INDEX('6_3nf_branch_history'!$D:$D,SUMPRODUCT(('6_3nf_branch_history'!$A$2:$A$50=T175)*('6_3nf_branch_history'!$B$2:$B$50=U175)*ROW('6_3nf_branch_history'!$A$2:$A$50))))</f>
        <v/>
      </c>
      <c r="X175" s="2">
        <f>IF(U175="NOT FOUND","NOT FOUND",INDEX('6_3nf_branch_history'!$E:$E,SUMPRODUCT(('6_3nf_branch_history'!$A$2:$A$50=T175)*('6_3nf_branch_history'!$B$2:$B$50=U175)*ROW('6_3nf_branch_history'!$A$2:$A$50))))</f>
        <v/>
      </c>
      <c r="Y175" s="2">
        <f>UPPER(TRIM(D175))</f>
        <v/>
      </c>
      <c r="Z175" s="2">
        <f>IFERROR(INDEX('7_3nf_product'!$B:$B,MATCH(Y175,'7_3nf_product'!$A:$A,0)),"NOT FOUND")</f>
        <v/>
      </c>
      <c r="AA175" s="2">
        <f>IFERROR(INDEX('7_3nf_product'!$C:$C,MATCH(Y175,'7_3nf_product'!$A:$A,0)),"NOT FOUND")</f>
        <v/>
      </c>
      <c r="AB175" s="2">
        <f>IFERROR(INDEX('7_3nf_product'!$D:$D,MATCH(Y175,'7_3nf_product'!$A:$A,0)),"NOT FOUND")</f>
        <v/>
      </c>
      <c r="AC175" s="6">
        <f>IFERROR(INDEX('7_3nf_product'!$E:$E,MATCH(Y175,'7_3nf_product'!$A:$A,0)),"NOT FOUND")</f>
        <v/>
      </c>
      <c r="AD175" s="33">
        <f>IF(LEN(TRIM(E175))=10,TRIM(E175),IF(LEN(TRIM(E175))=8,"00"&amp;TRIM(E175),"CHECK"))</f>
        <v/>
      </c>
      <c r="AE175" s="2">
        <f>IFERROR(INDEX('8_3nf_customer'!$C:$C,MATCH(AD175,'8_3nf_customer'!$B:$B,0)),"NOT FOUND")</f>
        <v/>
      </c>
      <c r="AF175" s="30">
        <f>IFERROR(INDEX('8_3nf_customer'!$D:$D,MATCH(AD175,'8_3nf_customer'!$B:$B,0)),"NOT FOUND")</f>
        <v/>
      </c>
      <c r="AG175" s="4">
        <f>IF(ISNUMBER(AF175),DATEDIF(AF175,L175,"y"),"NOT FOUND")</f>
        <v/>
      </c>
      <c r="AH175" s="2">
        <f>IFERROR(INDEX('8_3nf_customer'!$E:$E,MATCH(AD175,'8_3nf_customer'!$B:$B,0)),"NOT FOUND")</f>
        <v/>
      </c>
      <c r="AI175" s="30">
        <f>IF(_xlfn.MAXIFS('9_3nf_customer_history'!$B$2:$B$500,'9_3nf_customer_history'!$A$2:$A$500,AD175,'9_3nf_customer_history'!$B$2:$B$500,"&lt;="&amp;L175)=0,"NOT FOUND",_xlfn.MAXIFS('9_3nf_customer_history'!$B$2:$B$500,'9_3nf_customer_history'!$A$2:$A$500,AD175,'9_3nf_customer_history'!$B$2:$B$500,"&lt;="&amp;L175))</f>
        <v/>
      </c>
      <c r="AJ175" s="2">
        <f>IF(AI175="NOT FOUND","NOT FOUND",INDEX('9_3nf_customer_history'!$C:$C,SUMPRODUCT(('9_3nf_customer_history'!$A$2:$A$500=AD175)*('9_3nf_customer_history'!$B$2:$B$500=AI175)*ROW('9_3nf_customer_history'!$A$2:$A$500))))</f>
        <v/>
      </c>
      <c r="AK175" s="2">
        <f>IF(AI175="NOT FOUND","NOT FOUND",INDEX('9_3nf_customer_history'!$D:$D,SUMPRODUCT(('9_3nf_customer_history'!$A$2:$A$500=AD175)*('9_3nf_customer_history'!$B$2:$B$500=AI175)*ROW('9_3nf_customer_history'!$A$2:$A$500))))</f>
        <v/>
      </c>
      <c r="AL175" s="2">
        <f>UPPER(TRIM(H175))</f>
        <v/>
      </c>
      <c r="AM175" s="30">
        <f>IF(_xlfn.MAXIFS('10_ref_fx_rate'!$B$2:$B$2000,'10_ref_fx_rate'!$A$2:$A$2000,AL175,'10_ref_fx_rate'!$B$2:$B$2000,"&lt;="&amp;L175)=0,"NOT FOUND",_xlfn.MAXIFS('10_ref_fx_rate'!$B$2:$B$2000,'10_ref_fx_rate'!$A$2:$A$2000,AL175,'10_ref_fx_rate'!$B$2:$B$2000,"&lt;="&amp;L175))</f>
        <v/>
      </c>
      <c r="AN175" s="8">
        <f>IF(AM175="NOT FOUND","NOT FOUND",SUMIFS('10_ref_fx_rate'!$D$2:$D$2000,'10_ref_fx_rate'!$A$2:$A$2000,AL175,'10_ref_fx_rate'!$B$2:$B$2000,AM175))</f>
        <v/>
      </c>
      <c r="AO175" s="37">
        <f>IF(ISNUMBER(AN175),I175*AN175,"NOT FOUND")</f>
        <v/>
      </c>
      <c r="AP175" s="2">
        <f>UPPER(TRIM(J175))</f>
        <v/>
      </c>
      <c r="AQ175" s="2">
        <f>IF(AP175="","SELF-DIRECTED",IF(ISNUMBER(MATCH(AP175,'11_3nf_sales_person'!$A:$A,0)),IF(EXACT(AP175,J175),"OK","OK (auto-fixed)"),IF(ISNA(MATCH($A175,'12_sales_person_confirmation'!$A:$A,0)),"CONFIRM (not logged)",IF(INDEX('12_sales_person_confirmation'!$I:$I,MATCH($A175,'12_sales_person_confirmation'!$A:$A,0))="CONFIRMED","CONFIRMED ("&amp;LOWER(INDEX('12_sales_person_confirmation'!$E:$E,MATCH($A175,'12_sales_person_confirmation'!$A:$A,0)))&amp;")","PENDING CONFIRM"))))</f>
        <v/>
      </c>
      <c r="AR175" s="2">
        <f>IF(OR(AQ175="OK",AQ175="OK (auto-fixed)"),AP175,IF(LEFT(AQ175,9)="CONFIRMED",INDEX('12_sales_person_confirmation'!$F:$F,MATCH($A175,'12_sales_person_confirmation'!$A:$A,0)),""))</f>
        <v/>
      </c>
      <c r="AS175" s="2">
        <f>IF(AR175="","",INDEX('11_3nf_sales_person'!$B:$B,MATCH(AR175,'11_3nf_sales_person'!$A:$A,0)))</f>
        <v/>
      </c>
    </row>
    <row r="176">
      <c r="A176" s="2">
        <f>IF(ISBLANK('1_raw_log'!A176),"",'1_raw_log'!A176)</f>
        <v/>
      </c>
      <c r="B176" s="3">
        <f>IF(ISBLANK('1_raw_log'!B176),"",'1_raw_log'!B176)</f>
        <v/>
      </c>
      <c r="C176" s="2">
        <f>IF(ISBLANK('1_raw_log'!C176),"",'1_raw_log'!C176)</f>
        <v/>
      </c>
      <c r="D176" s="2">
        <f>IF(ISBLANK('1_raw_log'!D176),"",'1_raw_log'!D176)</f>
        <v/>
      </c>
      <c r="E176" s="4">
        <f>IF(ISBLANK('1_raw_log'!E176),"",'1_raw_log'!E176)</f>
        <v/>
      </c>
      <c r="F176" s="2">
        <f>IF(ISBLANK('1_raw_log'!F176),"",'1_raw_log'!F176)</f>
        <v/>
      </c>
      <c r="G176" s="2">
        <f>IF(ISBLANK('1_raw_log'!G176),"",'1_raw_log'!G176)</f>
        <v/>
      </c>
      <c r="H176" s="2">
        <f>IF(ISBLANK('1_raw_log'!H176),"",'1_raw_log'!H176)</f>
        <v/>
      </c>
      <c r="I176" s="7">
        <f>IF(ISBLANK('1_raw_log'!I176),"",'1_raw_log'!I176)</f>
        <v/>
      </c>
      <c r="J176" s="2">
        <f>IF(ISBLANK('1_raw_log'!J176),"",'1_raw_log'!J176)</f>
        <v/>
      </c>
      <c r="K176" s="2">
        <f>IF(ISBLANK('1_raw_log'!K176),"",'1_raw_log'!K176)</f>
        <v/>
      </c>
      <c r="L176" s="30">
        <f>INT(B176)</f>
        <v/>
      </c>
      <c r="M176" s="20">
        <f>ROUND(MOD(B176,1)*1440,0)/1440</f>
        <v/>
      </c>
      <c r="N176" s="4">
        <f>IFERROR(INDEX('3_ref_date'!$B:$B,MATCH(L176,'3_ref_date'!$A:$A,0)),"NOT FOUND")</f>
        <v/>
      </c>
      <c r="O176" s="2">
        <f>IFERROR(INDEX('3_ref_date'!$C:$C,MATCH(L176,'3_ref_date'!$A:$A,0)),"NOT FOUND")</f>
        <v/>
      </c>
      <c r="P176" s="4">
        <f>IFERROR(INDEX('3_ref_date'!$D:$D,MATCH(L176,'3_ref_date'!$A:$A,0)),"NOT FOUND")</f>
        <v/>
      </c>
      <c r="Q176" s="4">
        <f>IFERROR(INDEX('3_ref_date'!$E:$E,MATCH(L176,'3_ref_date'!$A:$A,0)),"NOT FOUND")</f>
        <v/>
      </c>
      <c r="R176" s="2">
        <f>IFERROR(INDEX('3_ref_date'!$F:$F,MATCH(L176,'3_ref_date'!$A:$A,0)),"NOT FOUND")</f>
        <v/>
      </c>
      <c r="S176" s="2">
        <f>IFERROR(INDEX('4_ref_time'!$D:$D,MATCH(ROUND(M176*1440,0),'4_ref_time'!$A:$A,0)),"NOT FOUND")</f>
        <v/>
      </c>
      <c r="T176" s="2">
        <f>UPPER(TRIM(C176))</f>
        <v/>
      </c>
      <c r="U176" s="30">
        <f>IF(_xlfn.MAXIFS('6_3nf_branch_history'!$B$2:$B$50,'6_3nf_branch_history'!$A$2:$A$50,T176,'6_3nf_branch_history'!$B$2:$B$50,"&lt;="&amp;L176)=0,"NOT FOUND",_xlfn.MAXIFS('6_3nf_branch_history'!$B$2:$B$50,'6_3nf_branch_history'!$A$2:$A$50,T176,'6_3nf_branch_history'!$B$2:$B$50,"&lt;="&amp;L176))</f>
        <v/>
      </c>
      <c r="V176" s="2">
        <f>IF(U176="NOT FOUND","NOT FOUND",INDEX('6_3nf_branch_history'!$C:$C,SUMPRODUCT(('6_3nf_branch_history'!$A$2:$A$50=T176)*('6_3nf_branch_history'!$B$2:$B$50=U176)*ROW('6_3nf_branch_history'!$A$2:$A$50))))</f>
        <v/>
      </c>
      <c r="W176" s="2">
        <f>IF(U176="NOT FOUND","NOT FOUND",INDEX('6_3nf_branch_history'!$D:$D,SUMPRODUCT(('6_3nf_branch_history'!$A$2:$A$50=T176)*('6_3nf_branch_history'!$B$2:$B$50=U176)*ROW('6_3nf_branch_history'!$A$2:$A$50))))</f>
        <v/>
      </c>
      <c r="X176" s="2">
        <f>IF(U176="NOT FOUND","NOT FOUND",INDEX('6_3nf_branch_history'!$E:$E,SUMPRODUCT(('6_3nf_branch_history'!$A$2:$A$50=T176)*('6_3nf_branch_history'!$B$2:$B$50=U176)*ROW('6_3nf_branch_history'!$A$2:$A$50))))</f>
        <v/>
      </c>
      <c r="Y176" s="2">
        <f>UPPER(TRIM(D176))</f>
        <v/>
      </c>
      <c r="Z176" s="2">
        <f>IFERROR(INDEX('7_3nf_product'!$B:$B,MATCH(Y176,'7_3nf_product'!$A:$A,0)),"NOT FOUND")</f>
        <v/>
      </c>
      <c r="AA176" s="2">
        <f>IFERROR(INDEX('7_3nf_product'!$C:$C,MATCH(Y176,'7_3nf_product'!$A:$A,0)),"NOT FOUND")</f>
        <v/>
      </c>
      <c r="AB176" s="2">
        <f>IFERROR(INDEX('7_3nf_product'!$D:$D,MATCH(Y176,'7_3nf_product'!$A:$A,0)),"NOT FOUND")</f>
        <v/>
      </c>
      <c r="AC176" s="6">
        <f>IFERROR(INDEX('7_3nf_product'!$E:$E,MATCH(Y176,'7_3nf_product'!$A:$A,0)),"NOT FOUND")</f>
        <v/>
      </c>
      <c r="AD176" s="33">
        <f>IF(LEN(TRIM(E176))=10,TRIM(E176),IF(LEN(TRIM(E176))=8,"00"&amp;TRIM(E176),"CHECK"))</f>
        <v/>
      </c>
      <c r="AE176" s="2">
        <f>IFERROR(INDEX('8_3nf_customer'!$C:$C,MATCH(AD176,'8_3nf_customer'!$B:$B,0)),"NOT FOUND")</f>
        <v/>
      </c>
      <c r="AF176" s="30">
        <f>IFERROR(INDEX('8_3nf_customer'!$D:$D,MATCH(AD176,'8_3nf_customer'!$B:$B,0)),"NOT FOUND")</f>
        <v/>
      </c>
      <c r="AG176" s="4">
        <f>IF(ISNUMBER(AF176),DATEDIF(AF176,L176,"y"),"NOT FOUND")</f>
        <v/>
      </c>
      <c r="AH176" s="2">
        <f>IFERROR(INDEX('8_3nf_customer'!$E:$E,MATCH(AD176,'8_3nf_customer'!$B:$B,0)),"NOT FOUND")</f>
        <v/>
      </c>
      <c r="AI176" s="30">
        <f>IF(_xlfn.MAXIFS('9_3nf_customer_history'!$B$2:$B$500,'9_3nf_customer_history'!$A$2:$A$500,AD176,'9_3nf_customer_history'!$B$2:$B$500,"&lt;="&amp;L176)=0,"NOT FOUND",_xlfn.MAXIFS('9_3nf_customer_history'!$B$2:$B$500,'9_3nf_customer_history'!$A$2:$A$500,AD176,'9_3nf_customer_history'!$B$2:$B$500,"&lt;="&amp;L176))</f>
        <v/>
      </c>
      <c r="AJ176" s="2">
        <f>IF(AI176="NOT FOUND","NOT FOUND",INDEX('9_3nf_customer_history'!$C:$C,SUMPRODUCT(('9_3nf_customer_history'!$A$2:$A$500=AD176)*('9_3nf_customer_history'!$B$2:$B$500=AI176)*ROW('9_3nf_customer_history'!$A$2:$A$500))))</f>
        <v/>
      </c>
      <c r="AK176" s="2">
        <f>IF(AI176="NOT FOUND","NOT FOUND",INDEX('9_3nf_customer_history'!$D:$D,SUMPRODUCT(('9_3nf_customer_history'!$A$2:$A$500=AD176)*('9_3nf_customer_history'!$B$2:$B$500=AI176)*ROW('9_3nf_customer_history'!$A$2:$A$500))))</f>
        <v/>
      </c>
      <c r="AL176" s="2">
        <f>UPPER(TRIM(H176))</f>
        <v/>
      </c>
      <c r="AM176" s="30">
        <f>IF(_xlfn.MAXIFS('10_ref_fx_rate'!$B$2:$B$2000,'10_ref_fx_rate'!$A$2:$A$2000,AL176,'10_ref_fx_rate'!$B$2:$B$2000,"&lt;="&amp;L176)=0,"NOT FOUND",_xlfn.MAXIFS('10_ref_fx_rate'!$B$2:$B$2000,'10_ref_fx_rate'!$A$2:$A$2000,AL176,'10_ref_fx_rate'!$B$2:$B$2000,"&lt;="&amp;L176))</f>
        <v/>
      </c>
      <c r="AN176" s="8">
        <f>IF(AM176="NOT FOUND","NOT FOUND",SUMIFS('10_ref_fx_rate'!$D$2:$D$2000,'10_ref_fx_rate'!$A$2:$A$2000,AL176,'10_ref_fx_rate'!$B$2:$B$2000,AM176))</f>
        <v/>
      </c>
      <c r="AO176" s="37">
        <f>IF(ISNUMBER(AN176),I176*AN176,"NOT FOUND")</f>
        <v/>
      </c>
      <c r="AP176" s="2">
        <f>UPPER(TRIM(J176))</f>
        <v/>
      </c>
      <c r="AQ176" s="2">
        <f>IF(AP176="","SELF-DIRECTED",IF(ISNUMBER(MATCH(AP176,'11_3nf_sales_person'!$A:$A,0)),IF(EXACT(AP176,J176),"OK","OK (auto-fixed)"),IF(ISNA(MATCH($A176,'12_sales_person_confirmation'!$A:$A,0)),"CONFIRM (not logged)",IF(INDEX('12_sales_person_confirmation'!$I:$I,MATCH($A176,'12_sales_person_confirmation'!$A:$A,0))="CONFIRMED","CONFIRMED ("&amp;LOWER(INDEX('12_sales_person_confirmation'!$E:$E,MATCH($A176,'12_sales_person_confirmation'!$A:$A,0)))&amp;")","PENDING CONFIRM"))))</f>
        <v/>
      </c>
      <c r="AR176" s="2">
        <f>IF(OR(AQ176="OK",AQ176="OK (auto-fixed)"),AP176,IF(LEFT(AQ176,9)="CONFIRMED",INDEX('12_sales_person_confirmation'!$F:$F,MATCH($A176,'12_sales_person_confirmation'!$A:$A,0)),""))</f>
        <v/>
      </c>
      <c r="AS176" s="2">
        <f>IF(AR176="","",INDEX('11_3nf_sales_person'!$B:$B,MATCH(AR176,'11_3nf_sales_person'!$A:$A,0)))</f>
        <v/>
      </c>
    </row>
    <row r="177">
      <c r="A177" s="2">
        <f>IF(ISBLANK('1_raw_log'!A177),"",'1_raw_log'!A177)</f>
        <v/>
      </c>
      <c r="B177" s="3">
        <f>IF(ISBLANK('1_raw_log'!B177),"",'1_raw_log'!B177)</f>
        <v/>
      </c>
      <c r="C177" s="2">
        <f>IF(ISBLANK('1_raw_log'!C177),"",'1_raw_log'!C177)</f>
        <v/>
      </c>
      <c r="D177" s="2">
        <f>IF(ISBLANK('1_raw_log'!D177),"",'1_raw_log'!D177)</f>
        <v/>
      </c>
      <c r="E177" s="4">
        <f>IF(ISBLANK('1_raw_log'!E177),"",'1_raw_log'!E177)</f>
        <v/>
      </c>
      <c r="F177" s="2">
        <f>IF(ISBLANK('1_raw_log'!F177),"",'1_raw_log'!F177)</f>
        <v/>
      </c>
      <c r="G177" s="2">
        <f>IF(ISBLANK('1_raw_log'!G177),"",'1_raw_log'!G177)</f>
        <v/>
      </c>
      <c r="H177" s="2">
        <f>IF(ISBLANK('1_raw_log'!H177),"",'1_raw_log'!H177)</f>
        <v/>
      </c>
      <c r="I177" s="7">
        <f>IF(ISBLANK('1_raw_log'!I177),"",'1_raw_log'!I177)</f>
        <v/>
      </c>
      <c r="J177" s="2">
        <f>IF(ISBLANK('1_raw_log'!J177),"",'1_raw_log'!J177)</f>
        <v/>
      </c>
      <c r="K177" s="2">
        <f>IF(ISBLANK('1_raw_log'!K177),"",'1_raw_log'!K177)</f>
        <v/>
      </c>
      <c r="L177" s="30">
        <f>INT(B177)</f>
        <v/>
      </c>
      <c r="M177" s="20">
        <f>ROUND(MOD(B177,1)*1440,0)/1440</f>
        <v/>
      </c>
      <c r="N177" s="4">
        <f>IFERROR(INDEX('3_ref_date'!$B:$B,MATCH(L177,'3_ref_date'!$A:$A,0)),"NOT FOUND")</f>
        <v/>
      </c>
      <c r="O177" s="2">
        <f>IFERROR(INDEX('3_ref_date'!$C:$C,MATCH(L177,'3_ref_date'!$A:$A,0)),"NOT FOUND")</f>
        <v/>
      </c>
      <c r="P177" s="4">
        <f>IFERROR(INDEX('3_ref_date'!$D:$D,MATCH(L177,'3_ref_date'!$A:$A,0)),"NOT FOUND")</f>
        <v/>
      </c>
      <c r="Q177" s="4">
        <f>IFERROR(INDEX('3_ref_date'!$E:$E,MATCH(L177,'3_ref_date'!$A:$A,0)),"NOT FOUND")</f>
        <v/>
      </c>
      <c r="R177" s="2">
        <f>IFERROR(INDEX('3_ref_date'!$F:$F,MATCH(L177,'3_ref_date'!$A:$A,0)),"NOT FOUND")</f>
        <v/>
      </c>
      <c r="S177" s="2">
        <f>IFERROR(INDEX('4_ref_time'!$D:$D,MATCH(ROUND(M177*1440,0),'4_ref_time'!$A:$A,0)),"NOT FOUND")</f>
        <v/>
      </c>
      <c r="T177" s="2">
        <f>UPPER(TRIM(C177))</f>
        <v/>
      </c>
      <c r="U177" s="30">
        <f>IF(_xlfn.MAXIFS('6_3nf_branch_history'!$B$2:$B$50,'6_3nf_branch_history'!$A$2:$A$50,T177,'6_3nf_branch_history'!$B$2:$B$50,"&lt;="&amp;L177)=0,"NOT FOUND",_xlfn.MAXIFS('6_3nf_branch_history'!$B$2:$B$50,'6_3nf_branch_history'!$A$2:$A$50,T177,'6_3nf_branch_history'!$B$2:$B$50,"&lt;="&amp;L177))</f>
        <v/>
      </c>
      <c r="V177" s="2">
        <f>IF(U177="NOT FOUND","NOT FOUND",INDEX('6_3nf_branch_history'!$C:$C,SUMPRODUCT(('6_3nf_branch_history'!$A$2:$A$50=T177)*('6_3nf_branch_history'!$B$2:$B$50=U177)*ROW('6_3nf_branch_history'!$A$2:$A$50))))</f>
        <v/>
      </c>
      <c r="W177" s="2">
        <f>IF(U177="NOT FOUND","NOT FOUND",INDEX('6_3nf_branch_history'!$D:$D,SUMPRODUCT(('6_3nf_branch_history'!$A$2:$A$50=T177)*('6_3nf_branch_history'!$B$2:$B$50=U177)*ROW('6_3nf_branch_history'!$A$2:$A$50))))</f>
        <v/>
      </c>
      <c r="X177" s="2">
        <f>IF(U177="NOT FOUND","NOT FOUND",INDEX('6_3nf_branch_history'!$E:$E,SUMPRODUCT(('6_3nf_branch_history'!$A$2:$A$50=T177)*('6_3nf_branch_history'!$B$2:$B$50=U177)*ROW('6_3nf_branch_history'!$A$2:$A$50))))</f>
        <v/>
      </c>
      <c r="Y177" s="2">
        <f>UPPER(TRIM(D177))</f>
        <v/>
      </c>
      <c r="Z177" s="2">
        <f>IFERROR(INDEX('7_3nf_product'!$B:$B,MATCH(Y177,'7_3nf_product'!$A:$A,0)),"NOT FOUND")</f>
        <v/>
      </c>
      <c r="AA177" s="2">
        <f>IFERROR(INDEX('7_3nf_product'!$C:$C,MATCH(Y177,'7_3nf_product'!$A:$A,0)),"NOT FOUND")</f>
        <v/>
      </c>
      <c r="AB177" s="2">
        <f>IFERROR(INDEX('7_3nf_product'!$D:$D,MATCH(Y177,'7_3nf_product'!$A:$A,0)),"NOT FOUND")</f>
        <v/>
      </c>
      <c r="AC177" s="6">
        <f>IFERROR(INDEX('7_3nf_product'!$E:$E,MATCH(Y177,'7_3nf_product'!$A:$A,0)),"NOT FOUND")</f>
        <v/>
      </c>
      <c r="AD177" s="33">
        <f>IF(LEN(TRIM(E177))=10,TRIM(E177),IF(LEN(TRIM(E177))=8,"00"&amp;TRIM(E177),"CHECK"))</f>
        <v/>
      </c>
      <c r="AE177" s="2">
        <f>IFERROR(INDEX('8_3nf_customer'!$C:$C,MATCH(AD177,'8_3nf_customer'!$B:$B,0)),"NOT FOUND")</f>
        <v/>
      </c>
      <c r="AF177" s="30">
        <f>IFERROR(INDEX('8_3nf_customer'!$D:$D,MATCH(AD177,'8_3nf_customer'!$B:$B,0)),"NOT FOUND")</f>
        <v/>
      </c>
      <c r="AG177" s="4">
        <f>IF(ISNUMBER(AF177),DATEDIF(AF177,L177,"y"),"NOT FOUND")</f>
        <v/>
      </c>
      <c r="AH177" s="2">
        <f>IFERROR(INDEX('8_3nf_customer'!$E:$E,MATCH(AD177,'8_3nf_customer'!$B:$B,0)),"NOT FOUND")</f>
        <v/>
      </c>
      <c r="AI177" s="30">
        <f>IF(_xlfn.MAXIFS('9_3nf_customer_history'!$B$2:$B$500,'9_3nf_customer_history'!$A$2:$A$500,AD177,'9_3nf_customer_history'!$B$2:$B$500,"&lt;="&amp;L177)=0,"NOT FOUND",_xlfn.MAXIFS('9_3nf_customer_history'!$B$2:$B$500,'9_3nf_customer_history'!$A$2:$A$500,AD177,'9_3nf_customer_history'!$B$2:$B$500,"&lt;="&amp;L177))</f>
        <v/>
      </c>
      <c r="AJ177" s="2">
        <f>IF(AI177="NOT FOUND","NOT FOUND",INDEX('9_3nf_customer_history'!$C:$C,SUMPRODUCT(('9_3nf_customer_history'!$A$2:$A$500=AD177)*('9_3nf_customer_history'!$B$2:$B$500=AI177)*ROW('9_3nf_customer_history'!$A$2:$A$500))))</f>
        <v/>
      </c>
      <c r="AK177" s="2">
        <f>IF(AI177="NOT FOUND","NOT FOUND",INDEX('9_3nf_customer_history'!$D:$D,SUMPRODUCT(('9_3nf_customer_history'!$A$2:$A$500=AD177)*('9_3nf_customer_history'!$B$2:$B$500=AI177)*ROW('9_3nf_customer_history'!$A$2:$A$500))))</f>
        <v/>
      </c>
      <c r="AL177" s="2">
        <f>UPPER(TRIM(H177))</f>
        <v/>
      </c>
      <c r="AM177" s="30">
        <f>IF(_xlfn.MAXIFS('10_ref_fx_rate'!$B$2:$B$2000,'10_ref_fx_rate'!$A$2:$A$2000,AL177,'10_ref_fx_rate'!$B$2:$B$2000,"&lt;="&amp;L177)=0,"NOT FOUND",_xlfn.MAXIFS('10_ref_fx_rate'!$B$2:$B$2000,'10_ref_fx_rate'!$A$2:$A$2000,AL177,'10_ref_fx_rate'!$B$2:$B$2000,"&lt;="&amp;L177))</f>
        <v/>
      </c>
      <c r="AN177" s="8">
        <f>IF(AM177="NOT FOUND","NOT FOUND",SUMIFS('10_ref_fx_rate'!$D$2:$D$2000,'10_ref_fx_rate'!$A$2:$A$2000,AL177,'10_ref_fx_rate'!$B$2:$B$2000,AM177))</f>
        <v/>
      </c>
      <c r="AO177" s="37">
        <f>IF(ISNUMBER(AN177),I177*AN177,"NOT FOUND")</f>
        <v/>
      </c>
      <c r="AP177" s="2">
        <f>UPPER(TRIM(J177))</f>
        <v/>
      </c>
      <c r="AQ177" s="2">
        <f>IF(AP177="","SELF-DIRECTED",IF(ISNUMBER(MATCH(AP177,'11_3nf_sales_person'!$A:$A,0)),IF(EXACT(AP177,J177),"OK","OK (auto-fixed)"),IF(ISNA(MATCH($A177,'12_sales_person_confirmation'!$A:$A,0)),"CONFIRM (not logged)",IF(INDEX('12_sales_person_confirmation'!$I:$I,MATCH($A177,'12_sales_person_confirmation'!$A:$A,0))="CONFIRMED","CONFIRMED ("&amp;LOWER(INDEX('12_sales_person_confirmation'!$E:$E,MATCH($A177,'12_sales_person_confirmation'!$A:$A,0)))&amp;")","PENDING CONFIRM"))))</f>
        <v/>
      </c>
      <c r="AR177" s="2">
        <f>IF(OR(AQ177="OK",AQ177="OK (auto-fixed)"),AP177,IF(LEFT(AQ177,9)="CONFIRMED",INDEX('12_sales_person_confirmation'!$F:$F,MATCH($A177,'12_sales_person_confirmation'!$A:$A,0)),""))</f>
        <v/>
      </c>
      <c r="AS177" s="2">
        <f>IF(AR177="","",INDEX('11_3nf_sales_person'!$B:$B,MATCH(AR177,'11_3nf_sales_person'!$A:$A,0)))</f>
        <v/>
      </c>
    </row>
    <row r="178">
      <c r="A178" s="2">
        <f>IF(ISBLANK('1_raw_log'!A178),"",'1_raw_log'!A178)</f>
        <v/>
      </c>
      <c r="B178" s="3">
        <f>IF(ISBLANK('1_raw_log'!B178),"",'1_raw_log'!B178)</f>
        <v/>
      </c>
      <c r="C178" s="2">
        <f>IF(ISBLANK('1_raw_log'!C178),"",'1_raw_log'!C178)</f>
        <v/>
      </c>
      <c r="D178" s="2">
        <f>IF(ISBLANK('1_raw_log'!D178),"",'1_raw_log'!D178)</f>
        <v/>
      </c>
      <c r="E178" s="4">
        <f>IF(ISBLANK('1_raw_log'!E178),"",'1_raw_log'!E178)</f>
        <v/>
      </c>
      <c r="F178" s="2">
        <f>IF(ISBLANK('1_raw_log'!F178),"",'1_raw_log'!F178)</f>
        <v/>
      </c>
      <c r="G178" s="2">
        <f>IF(ISBLANK('1_raw_log'!G178),"",'1_raw_log'!G178)</f>
        <v/>
      </c>
      <c r="H178" s="2">
        <f>IF(ISBLANK('1_raw_log'!H178),"",'1_raw_log'!H178)</f>
        <v/>
      </c>
      <c r="I178" s="7">
        <f>IF(ISBLANK('1_raw_log'!I178),"",'1_raw_log'!I178)</f>
        <v/>
      </c>
      <c r="J178" s="2">
        <f>IF(ISBLANK('1_raw_log'!J178),"",'1_raw_log'!J178)</f>
        <v/>
      </c>
      <c r="K178" s="2">
        <f>IF(ISBLANK('1_raw_log'!K178),"",'1_raw_log'!K178)</f>
        <v/>
      </c>
      <c r="L178" s="30">
        <f>INT(B178)</f>
        <v/>
      </c>
      <c r="M178" s="20">
        <f>ROUND(MOD(B178,1)*1440,0)/1440</f>
        <v/>
      </c>
      <c r="N178" s="4">
        <f>IFERROR(INDEX('3_ref_date'!$B:$B,MATCH(L178,'3_ref_date'!$A:$A,0)),"NOT FOUND")</f>
        <v/>
      </c>
      <c r="O178" s="2">
        <f>IFERROR(INDEX('3_ref_date'!$C:$C,MATCH(L178,'3_ref_date'!$A:$A,0)),"NOT FOUND")</f>
        <v/>
      </c>
      <c r="P178" s="4">
        <f>IFERROR(INDEX('3_ref_date'!$D:$D,MATCH(L178,'3_ref_date'!$A:$A,0)),"NOT FOUND")</f>
        <v/>
      </c>
      <c r="Q178" s="4">
        <f>IFERROR(INDEX('3_ref_date'!$E:$E,MATCH(L178,'3_ref_date'!$A:$A,0)),"NOT FOUND")</f>
        <v/>
      </c>
      <c r="R178" s="2">
        <f>IFERROR(INDEX('3_ref_date'!$F:$F,MATCH(L178,'3_ref_date'!$A:$A,0)),"NOT FOUND")</f>
        <v/>
      </c>
      <c r="S178" s="2">
        <f>IFERROR(INDEX('4_ref_time'!$D:$D,MATCH(ROUND(M178*1440,0),'4_ref_time'!$A:$A,0)),"NOT FOUND")</f>
        <v/>
      </c>
      <c r="T178" s="2">
        <f>UPPER(TRIM(C178))</f>
        <v/>
      </c>
      <c r="U178" s="30">
        <f>IF(_xlfn.MAXIFS('6_3nf_branch_history'!$B$2:$B$50,'6_3nf_branch_history'!$A$2:$A$50,T178,'6_3nf_branch_history'!$B$2:$B$50,"&lt;="&amp;L178)=0,"NOT FOUND",_xlfn.MAXIFS('6_3nf_branch_history'!$B$2:$B$50,'6_3nf_branch_history'!$A$2:$A$50,T178,'6_3nf_branch_history'!$B$2:$B$50,"&lt;="&amp;L178))</f>
        <v/>
      </c>
      <c r="V178" s="2">
        <f>IF(U178="NOT FOUND","NOT FOUND",INDEX('6_3nf_branch_history'!$C:$C,SUMPRODUCT(('6_3nf_branch_history'!$A$2:$A$50=T178)*('6_3nf_branch_history'!$B$2:$B$50=U178)*ROW('6_3nf_branch_history'!$A$2:$A$50))))</f>
        <v/>
      </c>
      <c r="W178" s="2">
        <f>IF(U178="NOT FOUND","NOT FOUND",INDEX('6_3nf_branch_history'!$D:$D,SUMPRODUCT(('6_3nf_branch_history'!$A$2:$A$50=T178)*('6_3nf_branch_history'!$B$2:$B$50=U178)*ROW('6_3nf_branch_history'!$A$2:$A$50))))</f>
        <v/>
      </c>
      <c r="X178" s="2">
        <f>IF(U178="NOT FOUND","NOT FOUND",INDEX('6_3nf_branch_history'!$E:$E,SUMPRODUCT(('6_3nf_branch_history'!$A$2:$A$50=T178)*('6_3nf_branch_history'!$B$2:$B$50=U178)*ROW('6_3nf_branch_history'!$A$2:$A$50))))</f>
        <v/>
      </c>
      <c r="Y178" s="2">
        <f>UPPER(TRIM(D178))</f>
        <v/>
      </c>
      <c r="Z178" s="2">
        <f>IFERROR(INDEX('7_3nf_product'!$B:$B,MATCH(Y178,'7_3nf_product'!$A:$A,0)),"NOT FOUND")</f>
        <v/>
      </c>
      <c r="AA178" s="2">
        <f>IFERROR(INDEX('7_3nf_product'!$C:$C,MATCH(Y178,'7_3nf_product'!$A:$A,0)),"NOT FOUND")</f>
        <v/>
      </c>
      <c r="AB178" s="2">
        <f>IFERROR(INDEX('7_3nf_product'!$D:$D,MATCH(Y178,'7_3nf_product'!$A:$A,0)),"NOT FOUND")</f>
        <v/>
      </c>
      <c r="AC178" s="6">
        <f>IFERROR(INDEX('7_3nf_product'!$E:$E,MATCH(Y178,'7_3nf_product'!$A:$A,0)),"NOT FOUND")</f>
        <v/>
      </c>
      <c r="AD178" s="33">
        <f>IF(LEN(TRIM(E178))=10,TRIM(E178),IF(LEN(TRIM(E178))=8,"00"&amp;TRIM(E178),"CHECK"))</f>
        <v/>
      </c>
      <c r="AE178" s="2">
        <f>IFERROR(INDEX('8_3nf_customer'!$C:$C,MATCH(AD178,'8_3nf_customer'!$B:$B,0)),"NOT FOUND")</f>
        <v/>
      </c>
      <c r="AF178" s="30">
        <f>IFERROR(INDEX('8_3nf_customer'!$D:$D,MATCH(AD178,'8_3nf_customer'!$B:$B,0)),"NOT FOUND")</f>
        <v/>
      </c>
      <c r="AG178" s="4">
        <f>IF(ISNUMBER(AF178),DATEDIF(AF178,L178,"y"),"NOT FOUND")</f>
        <v/>
      </c>
      <c r="AH178" s="2">
        <f>IFERROR(INDEX('8_3nf_customer'!$E:$E,MATCH(AD178,'8_3nf_customer'!$B:$B,0)),"NOT FOUND")</f>
        <v/>
      </c>
      <c r="AI178" s="30">
        <f>IF(_xlfn.MAXIFS('9_3nf_customer_history'!$B$2:$B$500,'9_3nf_customer_history'!$A$2:$A$500,AD178,'9_3nf_customer_history'!$B$2:$B$500,"&lt;="&amp;L178)=0,"NOT FOUND",_xlfn.MAXIFS('9_3nf_customer_history'!$B$2:$B$500,'9_3nf_customer_history'!$A$2:$A$500,AD178,'9_3nf_customer_history'!$B$2:$B$500,"&lt;="&amp;L178))</f>
        <v/>
      </c>
      <c r="AJ178" s="2">
        <f>IF(AI178="NOT FOUND","NOT FOUND",INDEX('9_3nf_customer_history'!$C:$C,SUMPRODUCT(('9_3nf_customer_history'!$A$2:$A$500=AD178)*('9_3nf_customer_history'!$B$2:$B$500=AI178)*ROW('9_3nf_customer_history'!$A$2:$A$500))))</f>
        <v/>
      </c>
      <c r="AK178" s="2">
        <f>IF(AI178="NOT FOUND","NOT FOUND",INDEX('9_3nf_customer_history'!$D:$D,SUMPRODUCT(('9_3nf_customer_history'!$A$2:$A$500=AD178)*('9_3nf_customer_history'!$B$2:$B$500=AI178)*ROW('9_3nf_customer_history'!$A$2:$A$500))))</f>
        <v/>
      </c>
      <c r="AL178" s="2">
        <f>UPPER(TRIM(H178))</f>
        <v/>
      </c>
      <c r="AM178" s="30">
        <f>IF(_xlfn.MAXIFS('10_ref_fx_rate'!$B$2:$B$2000,'10_ref_fx_rate'!$A$2:$A$2000,AL178,'10_ref_fx_rate'!$B$2:$B$2000,"&lt;="&amp;L178)=0,"NOT FOUND",_xlfn.MAXIFS('10_ref_fx_rate'!$B$2:$B$2000,'10_ref_fx_rate'!$A$2:$A$2000,AL178,'10_ref_fx_rate'!$B$2:$B$2000,"&lt;="&amp;L178))</f>
        <v/>
      </c>
      <c r="AN178" s="8">
        <f>IF(AM178="NOT FOUND","NOT FOUND",SUMIFS('10_ref_fx_rate'!$D$2:$D$2000,'10_ref_fx_rate'!$A$2:$A$2000,AL178,'10_ref_fx_rate'!$B$2:$B$2000,AM178))</f>
        <v/>
      </c>
      <c r="AO178" s="37">
        <f>IF(ISNUMBER(AN178),I178*AN178,"NOT FOUND")</f>
        <v/>
      </c>
      <c r="AP178" s="2">
        <f>UPPER(TRIM(J178))</f>
        <v/>
      </c>
      <c r="AQ178" s="2">
        <f>IF(AP178="","SELF-DIRECTED",IF(ISNUMBER(MATCH(AP178,'11_3nf_sales_person'!$A:$A,0)),IF(EXACT(AP178,J178),"OK","OK (auto-fixed)"),IF(ISNA(MATCH($A178,'12_sales_person_confirmation'!$A:$A,0)),"CONFIRM (not logged)",IF(INDEX('12_sales_person_confirmation'!$I:$I,MATCH($A178,'12_sales_person_confirmation'!$A:$A,0))="CONFIRMED","CONFIRMED ("&amp;LOWER(INDEX('12_sales_person_confirmation'!$E:$E,MATCH($A178,'12_sales_person_confirmation'!$A:$A,0)))&amp;")","PENDING CONFIRM"))))</f>
        <v/>
      </c>
      <c r="AR178" s="2">
        <f>IF(OR(AQ178="OK",AQ178="OK (auto-fixed)"),AP178,IF(LEFT(AQ178,9)="CONFIRMED",INDEX('12_sales_person_confirmation'!$F:$F,MATCH($A178,'12_sales_person_confirmation'!$A:$A,0)),""))</f>
        <v/>
      </c>
      <c r="AS178" s="2">
        <f>IF(AR178="","",INDEX('11_3nf_sales_person'!$B:$B,MATCH(AR178,'11_3nf_sales_person'!$A:$A,0)))</f>
        <v/>
      </c>
    </row>
    <row r="179">
      <c r="A179" s="2">
        <f>IF(ISBLANK('1_raw_log'!A179),"",'1_raw_log'!A179)</f>
        <v/>
      </c>
      <c r="B179" s="3">
        <f>IF(ISBLANK('1_raw_log'!B179),"",'1_raw_log'!B179)</f>
        <v/>
      </c>
      <c r="C179" s="2">
        <f>IF(ISBLANK('1_raw_log'!C179),"",'1_raw_log'!C179)</f>
        <v/>
      </c>
      <c r="D179" s="2">
        <f>IF(ISBLANK('1_raw_log'!D179),"",'1_raw_log'!D179)</f>
        <v/>
      </c>
      <c r="E179" s="4">
        <f>IF(ISBLANK('1_raw_log'!E179),"",'1_raw_log'!E179)</f>
        <v/>
      </c>
      <c r="F179" s="2">
        <f>IF(ISBLANK('1_raw_log'!F179),"",'1_raw_log'!F179)</f>
        <v/>
      </c>
      <c r="G179" s="2">
        <f>IF(ISBLANK('1_raw_log'!G179),"",'1_raw_log'!G179)</f>
        <v/>
      </c>
      <c r="H179" s="2">
        <f>IF(ISBLANK('1_raw_log'!H179),"",'1_raw_log'!H179)</f>
        <v/>
      </c>
      <c r="I179" s="7">
        <f>IF(ISBLANK('1_raw_log'!I179),"",'1_raw_log'!I179)</f>
        <v/>
      </c>
      <c r="J179" s="2">
        <f>IF(ISBLANK('1_raw_log'!J179),"",'1_raw_log'!J179)</f>
        <v/>
      </c>
      <c r="K179" s="2">
        <f>IF(ISBLANK('1_raw_log'!K179),"",'1_raw_log'!K179)</f>
        <v/>
      </c>
      <c r="L179" s="30">
        <f>INT(B179)</f>
        <v/>
      </c>
      <c r="M179" s="20">
        <f>ROUND(MOD(B179,1)*1440,0)/1440</f>
        <v/>
      </c>
      <c r="N179" s="4">
        <f>IFERROR(INDEX('3_ref_date'!$B:$B,MATCH(L179,'3_ref_date'!$A:$A,0)),"NOT FOUND")</f>
        <v/>
      </c>
      <c r="O179" s="2">
        <f>IFERROR(INDEX('3_ref_date'!$C:$C,MATCH(L179,'3_ref_date'!$A:$A,0)),"NOT FOUND")</f>
        <v/>
      </c>
      <c r="P179" s="4">
        <f>IFERROR(INDEX('3_ref_date'!$D:$D,MATCH(L179,'3_ref_date'!$A:$A,0)),"NOT FOUND")</f>
        <v/>
      </c>
      <c r="Q179" s="4">
        <f>IFERROR(INDEX('3_ref_date'!$E:$E,MATCH(L179,'3_ref_date'!$A:$A,0)),"NOT FOUND")</f>
        <v/>
      </c>
      <c r="R179" s="2">
        <f>IFERROR(INDEX('3_ref_date'!$F:$F,MATCH(L179,'3_ref_date'!$A:$A,0)),"NOT FOUND")</f>
        <v/>
      </c>
      <c r="S179" s="2">
        <f>IFERROR(INDEX('4_ref_time'!$D:$D,MATCH(ROUND(M179*1440,0),'4_ref_time'!$A:$A,0)),"NOT FOUND")</f>
        <v/>
      </c>
      <c r="T179" s="2">
        <f>UPPER(TRIM(C179))</f>
        <v/>
      </c>
      <c r="U179" s="30">
        <f>IF(_xlfn.MAXIFS('6_3nf_branch_history'!$B$2:$B$50,'6_3nf_branch_history'!$A$2:$A$50,T179,'6_3nf_branch_history'!$B$2:$B$50,"&lt;="&amp;L179)=0,"NOT FOUND",_xlfn.MAXIFS('6_3nf_branch_history'!$B$2:$B$50,'6_3nf_branch_history'!$A$2:$A$50,T179,'6_3nf_branch_history'!$B$2:$B$50,"&lt;="&amp;L179))</f>
        <v/>
      </c>
      <c r="V179" s="2">
        <f>IF(U179="NOT FOUND","NOT FOUND",INDEX('6_3nf_branch_history'!$C:$C,SUMPRODUCT(('6_3nf_branch_history'!$A$2:$A$50=T179)*('6_3nf_branch_history'!$B$2:$B$50=U179)*ROW('6_3nf_branch_history'!$A$2:$A$50))))</f>
        <v/>
      </c>
      <c r="W179" s="2">
        <f>IF(U179="NOT FOUND","NOT FOUND",INDEX('6_3nf_branch_history'!$D:$D,SUMPRODUCT(('6_3nf_branch_history'!$A$2:$A$50=T179)*('6_3nf_branch_history'!$B$2:$B$50=U179)*ROW('6_3nf_branch_history'!$A$2:$A$50))))</f>
        <v/>
      </c>
      <c r="X179" s="2">
        <f>IF(U179="NOT FOUND","NOT FOUND",INDEX('6_3nf_branch_history'!$E:$E,SUMPRODUCT(('6_3nf_branch_history'!$A$2:$A$50=T179)*('6_3nf_branch_history'!$B$2:$B$50=U179)*ROW('6_3nf_branch_history'!$A$2:$A$50))))</f>
        <v/>
      </c>
      <c r="Y179" s="2">
        <f>UPPER(TRIM(D179))</f>
        <v/>
      </c>
      <c r="Z179" s="2">
        <f>IFERROR(INDEX('7_3nf_product'!$B:$B,MATCH(Y179,'7_3nf_product'!$A:$A,0)),"NOT FOUND")</f>
        <v/>
      </c>
      <c r="AA179" s="2">
        <f>IFERROR(INDEX('7_3nf_product'!$C:$C,MATCH(Y179,'7_3nf_product'!$A:$A,0)),"NOT FOUND")</f>
        <v/>
      </c>
      <c r="AB179" s="2">
        <f>IFERROR(INDEX('7_3nf_product'!$D:$D,MATCH(Y179,'7_3nf_product'!$A:$A,0)),"NOT FOUND")</f>
        <v/>
      </c>
      <c r="AC179" s="6">
        <f>IFERROR(INDEX('7_3nf_product'!$E:$E,MATCH(Y179,'7_3nf_product'!$A:$A,0)),"NOT FOUND")</f>
        <v/>
      </c>
      <c r="AD179" s="33">
        <f>IF(LEN(TRIM(E179))=10,TRIM(E179),IF(LEN(TRIM(E179))=8,"00"&amp;TRIM(E179),"CHECK"))</f>
        <v/>
      </c>
      <c r="AE179" s="2">
        <f>IFERROR(INDEX('8_3nf_customer'!$C:$C,MATCH(AD179,'8_3nf_customer'!$B:$B,0)),"NOT FOUND")</f>
        <v/>
      </c>
      <c r="AF179" s="30">
        <f>IFERROR(INDEX('8_3nf_customer'!$D:$D,MATCH(AD179,'8_3nf_customer'!$B:$B,0)),"NOT FOUND")</f>
        <v/>
      </c>
      <c r="AG179" s="4">
        <f>IF(ISNUMBER(AF179),DATEDIF(AF179,L179,"y"),"NOT FOUND")</f>
        <v/>
      </c>
      <c r="AH179" s="2">
        <f>IFERROR(INDEX('8_3nf_customer'!$E:$E,MATCH(AD179,'8_3nf_customer'!$B:$B,0)),"NOT FOUND")</f>
        <v/>
      </c>
      <c r="AI179" s="30">
        <f>IF(_xlfn.MAXIFS('9_3nf_customer_history'!$B$2:$B$500,'9_3nf_customer_history'!$A$2:$A$500,AD179,'9_3nf_customer_history'!$B$2:$B$500,"&lt;="&amp;L179)=0,"NOT FOUND",_xlfn.MAXIFS('9_3nf_customer_history'!$B$2:$B$500,'9_3nf_customer_history'!$A$2:$A$500,AD179,'9_3nf_customer_history'!$B$2:$B$500,"&lt;="&amp;L179))</f>
        <v/>
      </c>
      <c r="AJ179" s="2">
        <f>IF(AI179="NOT FOUND","NOT FOUND",INDEX('9_3nf_customer_history'!$C:$C,SUMPRODUCT(('9_3nf_customer_history'!$A$2:$A$500=AD179)*('9_3nf_customer_history'!$B$2:$B$500=AI179)*ROW('9_3nf_customer_history'!$A$2:$A$500))))</f>
        <v/>
      </c>
      <c r="AK179" s="2">
        <f>IF(AI179="NOT FOUND","NOT FOUND",INDEX('9_3nf_customer_history'!$D:$D,SUMPRODUCT(('9_3nf_customer_history'!$A$2:$A$500=AD179)*('9_3nf_customer_history'!$B$2:$B$500=AI179)*ROW('9_3nf_customer_history'!$A$2:$A$500))))</f>
        <v/>
      </c>
      <c r="AL179" s="2">
        <f>UPPER(TRIM(H179))</f>
        <v/>
      </c>
      <c r="AM179" s="30">
        <f>IF(_xlfn.MAXIFS('10_ref_fx_rate'!$B$2:$B$2000,'10_ref_fx_rate'!$A$2:$A$2000,AL179,'10_ref_fx_rate'!$B$2:$B$2000,"&lt;="&amp;L179)=0,"NOT FOUND",_xlfn.MAXIFS('10_ref_fx_rate'!$B$2:$B$2000,'10_ref_fx_rate'!$A$2:$A$2000,AL179,'10_ref_fx_rate'!$B$2:$B$2000,"&lt;="&amp;L179))</f>
        <v/>
      </c>
      <c r="AN179" s="8">
        <f>IF(AM179="NOT FOUND","NOT FOUND",SUMIFS('10_ref_fx_rate'!$D$2:$D$2000,'10_ref_fx_rate'!$A$2:$A$2000,AL179,'10_ref_fx_rate'!$B$2:$B$2000,AM179))</f>
        <v/>
      </c>
      <c r="AO179" s="37">
        <f>IF(ISNUMBER(AN179),I179*AN179,"NOT FOUND")</f>
        <v/>
      </c>
      <c r="AP179" s="2">
        <f>UPPER(TRIM(J179))</f>
        <v/>
      </c>
      <c r="AQ179" s="2">
        <f>IF(AP179="","SELF-DIRECTED",IF(ISNUMBER(MATCH(AP179,'11_3nf_sales_person'!$A:$A,0)),IF(EXACT(AP179,J179),"OK","OK (auto-fixed)"),IF(ISNA(MATCH($A179,'12_sales_person_confirmation'!$A:$A,0)),"CONFIRM (not logged)",IF(INDEX('12_sales_person_confirmation'!$I:$I,MATCH($A179,'12_sales_person_confirmation'!$A:$A,0))="CONFIRMED","CONFIRMED ("&amp;LOWER(INDEX('12_sales_person_confirmation'!$E:$E,MATCH($A179,'12_sales_person_confirmation'!$A:$A,0)))&amp;")","PENDING CONFIRM"))))</f>
        <v/>
      </c>
      <c r="AR179" s="2">
        <f>IF(OR(AQ179="OK",AQ179="OK (auto-fixed)"),AP179,IF(LEFT(AQ179,9)="CONFIRMED",INDEX('12_sales_person_confirmation'!$F:$F,MATCH($A179,'12_sales_person_confirmation'!$A:$A,0)),""))</f>
        <v/>
      </c>
      <c r="AS179" s="2">
        <f>IF(AR179="","",INDEX('11_3nf_sales_person'!$B:$B,MATCH(AR179,'11_3nf_sales_person'!$A:$A,0)))</f>
        <v/>
      </c>
    </row>
    <row r="180">
      <c r="A180" s="2">
        <f>IF(ISBLANK('1_raw_log'!A180),"",'1_raw_log'!A180)</f>
        <v/>
      </c>
      <c r="B180" s="3">
        <f>IF(ISBLANK('1_raw_log'!B180),"",'1_raw_log'!B180)</f>
        <v/>
      </c>
      <c r="C180" s="2">
        <f>IF(ISBLANK('1_raw_log'!C180),"",'1_raw_log'!C180)</f>
        <v/>
      </c>
      <c r="D180" s="2">
        <f>IF(ISBLANK('1_raw_log'!D180),"",'1_raw_log'!D180)</f>
        <v/>
      </c>
      <c r="E180" s="4">
        <f>IF(ISBLANK('1_raw_log'!E180),"",'1_raw_log'!E180)</f>
        <v/>
      </c>
      <c r="F180" s="2">
        <f>IF(ISBLANK('1_raw_log'!F180),"",'1_raw_log'!F180)</f>
        <v/>
      </c>
      <c r="G180" s="2">
        <f>IF(ISBLANK('1_raw_log'!G180),"",'1_raw_log'!G180)</f>
        <v/>
      </c>
      <c r="H180" s="2">
        <f>IF(ISBLANK('1_raw_log'!H180),"",'1_raw_log'!H180)</f>
        <v/>
      </c>
      <c r="I180" s="7">
        <f>IF(ISBLANK('1_raw_log'!I180),"",'1_raw_log'!I180)</f>
        <v/>
      </c>
      <c r="J180" s="2">
        <f>IF(ISBLANK('1_raw_log'!J180),"",'1_raw_log'!J180)</f>
        <v/>
      </c>
      <c r="K180" s="2">
        <f>IF(ISBLANK('1_raw_log'!K180),"",'1_raw_log'!K180)</f>
        <v/>
      </c>
      <c r="L180" s="30">
        <f>INT(B180)</f>
        <v/>
      </c>
      <c r="M180" s="20">
        <f>ROUND(MOD(B180,1)*1440,0)/1440</f>
        <v/>
      </c>
      <c r="N180" s="4">
        <f>IFERROR(INDEX('3_ref_date'!$B:$B,MATCH(L180,'3_ref_date'!$A:$A,0)),"NOT FOUND")</f>
        <v/>
      </c>
      <c r="O180" s="2">
        <f>IFERROR(INDEX('3_ref_date'!$C:$C,MATCH(L180,'3_ref_date'!$A:$A,0)),"NOT FOUND")</f>
        <v/>
      </c>
      <c r="P180" s="4">
        <f>IFERROR(INDEX('3_ref_date'!$D:$D,MATCH(L180,'3_ref_date'!$A:$A,0)),"NOT FOUND")</f>
        <v/>
      </c>
      <c r="Q180" s="4">
        <f>IFERROR(INDEX('3_ref_date'!$E:$E,MATCH(L180,'3_ref_date'!$A:$A,0)),"NOT FOUND")</f>
        <v/>
      </c>
      <c r="R180" s="2">
        <f>IFERROR(INDEX('3_ref_date'!$F:$F,MATCH(L180,'3_ref_date'!$A:$A,0)),"NOT FOUND")</f>
        <v/>
      </c>
      <c r="S180" s="2">
        <f>IFERROR(INDEX('4_ref_time'!$D:$D,MATCH(ROUND(M180*1440,0),'4_ref_time'!$A:$A,0)),"NOT FOUND")</f>
        <v/>
      </c>
      <c r="T180" s="2">
        <f>UPPER(TRIM(C180))</f>
        <v/>
      </c>
      <c r="U180" s="30">
        <f>IF(_xlfn.MAXIFS('6_3nf_branch_history'!$B$2:$B$50,'6_3nf_branch_history'!$A$2:$A$50,T180,'6_3nf_branch_history'!$B$2:$B$50,"&lt;="&amp;L180)=0,"NOT FOUND",_xlfn.MAXIFS('6_3nf_branch_history'!$B$2:$B$50,'6_3nf_branch_history'!$A$2:$A$50,T180,'6_3nf_branch_history'!$B$2:$B$50,"&lt;="&amp;L180))</f>
        <v/>
      </c>
      <c r="V180" s="2">
        <f>IF(U180="NOT FOUND","NOT FOUND",INDEX('6_3nf_branch_history'!$C:$C,SUMPRODUCT(('6_3nf_branch_history'!$A$2:$A$50=T180)*('6_3nf_branch_history'!$B$2:$B$50=U180)*ROW('6_3nf_branch_history'!$A$2:$A$50))))</f>
        <v/>
      </c>
      <c r="W180" s="2">
        <f>IF(U180="NOT FOUND","NOT FOUND",INDEX('6_3nf_branch_history'!$D:$D,SUMPRODUCT(('6_3nf_branch_history'!$A$2:$A$50=T180)*('6_3nf_branch_history'!$B$2:$B$50=U180)*ROW('6_3nf_branch_history'!$A$2:$A$50))))</f>
        <v/>
      </c>
      <c r="X180" s="2">
        <f>IF(U180="NOT FOUND","NOT FOUND",INDEX('6_3nf_branch_history'!$E:$E,SUMPRODUCT(('6_3nf_branch_history'!$A$2:$A$50=T180)*('6_3nf_branch_history'!$B$2:$B$50=U180)*ROW('6_3nf_branch_history'!$A$2:$A$50))))</f>
        <v/>
      </c>
      <c r="Y180" s="2">
        <f>UPPER(TRIM(D180))</f>
        <v/>
      </c>
      <c r="Z180" s="2">
        <f>IFERROR(INDEX('7_3nf_product'!$B:$B,MATCH(Y180,'7_3nf_product'!$A:$A,0)),"NOT FOUND")</f>
        <v/>
      </c>
      <c r="AA180" s="2">
        <f>IFERROR(INDEX('7_3nf_product'!$C:$C,MATCH(Y180,'7_3nf_product'!$A:$A,0)),"NOT FOUND")</f>
        <v/>
      </c>
      <c r="AB180" s="2">
        <f>IFERROR(INDEX('7_3nf_product'!$D:$D,MATCH(Y180,'7_3nf_product'!$A:$A,0)),"NOT FOUND")</f>
        <v/>
      </c>
      <c r="AC180" s="6">
        <f>IFERROR(INDEX('7_3nf_product'!$E:$E,MATCH(Y180,'7_3nf_product'!$A:$A,0)),"NOT FOUND")</f>
        <v/>
      </c>
      <c r="AD180" s="33">
        <f>IF(LEN(TRIM(E180))=10,TRIM(E180),IF(LEN(TRIM(E180))=8,"00"&amp;TRIM(E180),"CHECK"))</f>
        <v/>
      </c>
      <c r="AE180" s="2">
        <f>IFERROR(INDEX('8_3nf_customer'!$C:$C,MATCH(AD180,'8_3nf_customer'!$B:$B,0)),"NOT FOUND")</f>
        <v/>
      </c>
      <c r="AF180" s="30">
        <f>IFERROR(INDEX('8_3nf_customer'!$D:$D,MATCH(AD180,'8_3nf_customer'!$B:$B,0)),"NOT FOUND")</f>
        <v/>
      </c>
      <c r="AG180" s="4">
        <f>IF(ISNUMBER(AF180),DATEDIF(AF180,L180,"y"),"NOT FOUND")</f>
        <v/>
      </c>
      <c r="AH180" s="2">
        <f>IFERROR(INDEX('8_3nf_customer'!$E:$E,MATCH(AD180,'8_3nf_customer'!$B:$B,0)),"NOT FOUND")</f>
        <v/>
      </c>
      <c r="AI180" s="30">
        <f>IF(_xlfn.MAXIFS('9_3nf_customer_history'!$B$2:$B$500,'9_3nf_customer_history'!$A$2:$A$500,AD180,'9_3nf_customer_history'!$B$2:$B$500,"&lt;="&amp;L180)=0,"NOT FOUND",_xlfn.MAXIFS('9_3nf_customer_history'!$B$2:$B$500,'9_3nf_customer_history'!$A$2:$A$500,AD180,'9_3nf_customer_history'!$B$2:$B$500,"&lt;="&amp;L180))</f>
        <v/>
      </c>
      <c r="AJ180" s="2">
        <f>IF(AI180="NOT FOUND","NOT FOUND",INDEX('9_3nf_customer_history'!$C:$C,SUMPRODUCT(('9_3nf_customer_history'!$A$2:$A$500=AD180)*('9_3nf_customer_history'!$B$2:$B$500=AI180)*ROW('9_3nf_customer_history'!$A$2:$A$500))))</f>
        <v/>
      </c>
      <c r="AK180" s="2">
        <f>IF(AI180="NOT FOUND","NOT FOUND",INDEX('9_3nf_customer_history'!$D:$D,SUMPRODUCT(('9_3nf_customer_history'!$A$2:$A$500=AD180)*('9_3nf_customer_history'!$B$2:$B$500=AI180)*ROW('9_3nf_customer_history'!$A$2:$A$500))))</f>
        <v/>
      </c>
      <c r="AL180" s="2">
        <f>UPPER(TRIM(H180))</f>
        <v/>
      </c>
      <c r="AM180" s="30">
        <f>IF(_xlfn.MAXIFS('10_ref_fx_rate'!$B$2:$B$2000,'10_ref_fx_rate'!$A$2:$A$2000,AL180,'10_ref_fx_rate'!$B$2:$B$2000,"&lt;="&amp;L180)=0,"NOT FOUND",_xlfn.MAXIFS('10_ref_fx_rate'!$B$2:$B$2000,'10_ref_fx_rate'!$A$2:$A$2000,AL180,'10_ref_fx_rate'!$B$2:$B$2000,"&lt;="&amp;L180))</f>
        <v/>
      </c>
      <c r="AN180" s="8">
        <f>IF(AM180="NOT FOUND","NOT FOUND",SUMIFS('10_ref_fx_rate'!$D$2:$D$2000,'10_ref_fx_rate'!$A$2:$A$2000,AL180,'10_ref_fx_rate'!$B$2:$B$2000,AM180))</f>
        <v/>
      </c>
      <c r="AO180" s="37">
        <f>IF(ISNUMBER(AN180),I180*AN180,"NOT FOUND")</f>
        <v/>
      </c>
      <c r="AP180" s="2">
        <f>UPPER(TRIM(J180))</f>
        <v/>
      </c>
      <c r="AQ180" s="2">
        <f>IF(AP180="","SELF-DIRECTED",IF(ISNUMBER(MATCH(AP180,'11_3nf_sales_person'!$A:$A,0)),IF(EXACT(AP180,J180),"OK","OK (auto-fixed)"),IF(ISNA(MATCH($A180,'12_sales_person_confirmation'!$A:$A,0)),"CONFIRM (not logged)",IF(INDEX('12_sales_person_confirmation'!$I:$I,MATCH($A180,'12_sales_person_confirmation'!$A:$A,0))="CONFIRMED","CONFIRMED ("&amp;LOWER(INDEX('12_sales_person_confirmation'!$E:$E,MATCH($A180,'12_sales_person_confirmation'!$A:$A,0)))&amp;")","PENDING CONFIRM"))))</f>
        <v/>
      </c>
      <c r="AR180" s="2">
        <f>IF(OR(AQ180="OK",AQ180="OK (auto-fixed)"),AP180,IF(LEFT(AQ180,9)="CONFIRMED",INDEX('12_sales_person_confirmation'!$F:$F,MATCH($A180,'12_sales_person_confirmation'!$A:$A,0)),""))</f>
        <v/>
      </c>
      <c r="AS180" s="2">
        <f>IF(AR180="","",INDEX('11_3nf_sales_person'!$B:$B,MATCH(AR180,'11_3nf_sales_person'!$A:$A,0)))</f>
        <v/>
      </c>
    </row>
    <row r="181">
      <c r="A181" s="2">
        <f>IF(ISBLANK('1_raw_log'!A181),"",'1_raw_log'!A181)</f>
        <v/>
      </c>
      <c r="B181" s="3">
        <f>IF(ISBLANK('1_raw_log'!B181),"",'1_raw_log'!B181)</f>
        <v/>
      </c>
      <c r="C181" s="2">
        <f>IF(ISBLANK('1_raw_log'!C181),"",'1_raw_log'!C181)</f>
        <v/>
      </c>
      <c r="D181" s="2">
        <f>IF(ISBLANK('1_raw_log'!D181),"",'1_raw_log'!D181)</f>
        <v/>
      </c>
      <c r="E181" s="4">
        <f>IF(ISBLANK('1_raw_log'!E181),"",'1_raw_log'!E181)</f>
        <v/>
      </c>
      <c r="F181" s="2">
        <f>IF(ISBLANK('1_raw_log'!F181),"",'1_raw_log'!F181)</f>
        <v/>
      </c>
      <c r="G181" s="2">
        <f>IF(ISBLANK('1_raw_log'!G181),"",'1_raw_log'!G181)</f>
        <v/>
      </c>
      <c r="H181" s="2">
        <f>IF(ISBLANK('1_raw_log'!H181),"",'1_raw_log'!H181)</f>
        <v/>
      </c>
      <c r="I181" s="7">
        <f>IF(ISBLANK('1_raw_log'!I181),"",'1_raw_log'!I181)</f>
        <v/>
      </c>
      <c r="J181" s="2">
        <f>IF(ISBLANK('1_raw_log'!J181),"",'1_raw_log'!J181)</f>
        <v/>
      </c>
      <c r="K181" s="2">
        <f>IF(ISBLANK('1_raw_log'!K181),"",'1_raw_log'!K181)</f>
        <v/>
      </c>
      <c r="L181" s="30">
        <f>INT(B181)</f>
        <v/>
      </c>
      <c r="M181" s="20">
        <f>ROUND(MOD(B181,1)*1440,0)/1440</f>
        <v/>
      </c>
      <c r="N181" s="4">
        <f>IFERROR(INDEX('3_ref_date'!$B:$B,MATCH(L181,'3_ref_date'!$A:$A,0)),"NOT FOUND")</f>
        <v/>
      </c>
      <c r="O181" s="2">
        <f>IFERROR(INDEX('3_ref_date'!$C:$C,MATCH(L181,'3_ref_date'!$A:$A,0)),"NOT FOUND")</f>
        <v/>
      </c>
      <c r="P181" s="4">
        <f>IFERROR(INDEX('3_ref_date'!$D:$D,MATCH(L181,'3_ref_date'!$A:$A,0)),"NOT FOUND")</f>
        <v/>
      </c>
      <c r="Q181" s="4">
        <f>IFERROR(INDEX('3_ref_date'!$E:$E,MATCH(L181,'3_ref_date'!$A:$A,0)),"NOT FOUND")</f>
        <v/>
      </c>
      <c r="R181" s="2">
        <f>IFERROR(INDEX('3_ref_date'!$F:$F,MATCH(L181,'3_ref_date'!$A:$A,0)),"NOT FOUND")</f>
        <v/>
      </c>
      <c r="S181" s="2">
        <f>IFERROR(INDEX('4_ref_time'!$D:$D,MATCH(ROUND(M181*1440,0),'4_ref_time'!$A:$A,0)),"NOT FOUND")</f>
        <v/>
      </c>
      <c r="T181" s="2">
        <f>UPPER(TRIM(C181))</f>
        <v/>
      </c>
      <c r="U181" s="30">
        <f>IF(_xlfn.MAXIFS('6_3nf_branch_history'!$B$2:$B$50,'6_3nf_branch_history'!$A$2:$A$50,T181,'6_3nf_branch_history'!$B$2:$B$50,"&lt;="&amp;L181)=0,"NOT FOUND",_xlfn.MAXIFS('6_3nf_branch_history'!$B$2:$B$50,'6_3nf_branch_history'!$A$2:$A$50,T181,'6_3nf_branch_history'!$B$2:$B$50,"&lt;="&amp;L181))</f>
        <v/>
      </c>
      <c r="V181" s="2">
        <f>IF(U181="NOT FOUND","NOT FOUND",INDEX('6_3nf_branch_history'!$C:$C,SUMPRODUCT(('6_3nf_branch_history'!$A$2:$A$50=T181)*('6_3nf_branch_history'!$B$2:$B$50=U181)*ROW('6_3nf_branch_history'!$A$2:$A$50))))</f>
        <v/>
      </c>
      <c r="W181" s="2">
        <f>IF(U181="NOT FOUND","NOT FOUND",INDEX('6_3nf_branch_history'!$D:$D,SUMPRODUCT(('6_3nf_branch_history'!$A$2:$A$50=T181)*('6_3nf_branch_history'!$B$2:$B$50=U181)*ROW('6_3nf_branch_history'!$A$2:$A$50))))</f>
        <v/>
      </c>
      <c r="X181" s="2">
        <f>IF(U181="NOT FOUND","NOT FOUND",INDEX('6_3nf_branch_history'!$E:$E,SUMPRODUCT(('6_3nf_branch_history'!$A$2:$A$50=T181)*('6_3nf_branch_history'!$B$2:$B$50=U181)*ROW('6_3nf_branch_history'!$A$2:$A$50))))</f>
        <v/>
      </c>
      <c r="Y181" s="2">
        <f>UPPER(TRIM(D181))</f>
        <v/>
      </c>
      <c r="Z181" s="2">
        <f>IFERROR(INDEX('7_3nf_product'!$B:$B,MATCH(Y181,'7_3nf_product'!$A:$A,0)),"NOT FOUND")</f>
        <v/>
      </c>
      <c r="AA181" s="2">
        <f>IFERROR(INDEX('7_3nf_product'!$C:$C,MATCH(Y181,'7_3nf_product'!$A:$A,0)),"NOT FOUND")</f>
        <v/>
      </c>
      <c r="AB181" s="2">
        <f>IFERROR(INDEX('7_3nf_product'!$D:$D,MATCH(Y181,'7_3nf_product'!$A:$A,0)),"NOT FOUND")</f>
        <v/>
      </c>
      <c r="AC181" s="6">
        <f>IFERROR(INDEX('7_3nf_product'!$E:$E,MATCH(Y181,'7_3nf_product'!$A:$A,0)),"NOT FOUND")</f>
        <v/>
      </c>
      <c r="AD181" s="33">
        <f>IF(LEN(TRIM(E181))=10,TRIM(E181),IF(LEN(TRIM(E181))=8,"00"&amp;TRIM(E181),"CHECK"))</f>
        <v/>
      </c>
      <c r="AE181" s="2">
        <f>IFERROR(INDEX('8_3nf_customer'!$C:$C,MATCH(AD181,'8_3nf_customer'!$B:$B,0)),"NOT FOUND")</f>
        <v/>
      </c>
      <c r="AF181" s="30">
        <f>IFERROR(INDEX('8_3nf_customer'!$D:$D,MATCH(AD181,'8_3nf_customer'!$B:$B,0)),"NOT FOUND")</f>
        <v/>
      </c>
      <c r="AG181" s="4">
        <f>IF(ISNUMBER(AF181),DATEDIF(AF181,L181,"y"),"NOT FOUND")</f>
        <v/>
      </c>
      <c r="AH181" s="2">
        <f>IFERROR(INDEX('8_3nf_customer'!$E:$E,MATCH(AD181,'8_3nf_customer'!$B:$B,0)),"NOT FOUND")</f>
        <v/>
      </c>
      <c r="AI181" s="30">
        <f>IF(_xlfn.MAXIFS('9_3nf_customer_history'!$B$2:$B$500,'9_3nf_customer_history'!$A$2:$A$500,AD181,'9_3nf_customer_history'!$B$2:$B$500,"&lt;="&amp;L181)=0,"NOT FOUND",_xlfn.MAXIFS('9_3nf_customer_history'!$B$2:$B$500,'9_3nf_customer_history'!$A$2:$A$500,AD181,'9_3nf_customer_history'!$B$2:$B$500,"&lt;="&amp;L181))</f>
        <v/>
      </c>
      <c r="AJ181" s="2">
        <f>IF(AI181="NOT FOUND","NOT FOUND",INDEX('9_3nf_customer_history'!$C:$C,SUMPRODUCT(('9_3nf_customer_history'!$A$2:$A$500=AD181)*('9_3nf_customer_history'!$B$2:$B$500=AI181)*ROW('9_3nf_customer_history'!$A$2:$A$500))))</f>
        <v/>
      </c>
      <c r="AK181" s="2">
        <f>IF(AI181="NOT FOUND","NOT FOUND",INDEX('9_3nf_customer_history'!$D:$D,SUMPRODUCT(('9_3nf_customer_history'!$A$2:$A$500=AD181)*('9_3nf_customer_history'!$B$2:$B$500=AI181)*ROW('9_3nf_customer_history'!$A$2:$A$500))))</f>
        <v/>
      </c>
      <c r="AL181" s="2">
        <f>UPPER(TRIM(H181))</f>
        <v/>
      </c>
      <c r="AM181" s="30">
        <f>IF(_xlfn.MAXIFS('10_ref_fx_rate'!$B$2:$B$2000,'10_ref_fx_rate'!$A$2:$A$2000,AL181,'10_ref_fx_rate'!$B$2:$B$2000,"&lt;="&amp;L181)=0,"NOT FOUND",_xlfn.MAXIFS('10_ref_fx_rate'!$B$2:$B$2000,'10_ref_fx_rate'!$A$2:$A$2000,AL181,'10_ref_fx_rate'!$B$2:$B$2000,"&lt;="&amp;L181))</f>
        <v/>
      </c>
      <c r="AN181" s="8">
        <f>IF(AM181="NOT FOUND","NOT FOUND",SUMIFS('10_ref_fx_rate'!$D$2:$D$2000,'10_ref_fx_rate'!$A$2:$A$2000,AL181,'10_ref_fx_rate'!$B$2:$B$2000,AM181))</f>
        <v/>
      </c>
      <c r="AO181" s="37">
        <f>IF(ISNUMBER(AN181),I181*AN181,"NOT FOUND")</f>
        <v/>
      </c>
      <c r="AP181" s="2">
        <f>UPPER(TRIM(J181))</f>
        <v/>
      </c>
      <c r="AQ181" s="2">
        <f>IF(AP181="","SELF-DIRECTED",IF(ISNUMBER(MATCH(AP181,'11_3nf_sales_person'!$A:$A,0)),IF(EXACT(AP181,J181),"OK","OK (auto-fixed)"),IF(ISNA(MATCH($A181,'12_sales_person_confirmation'!$A:$A,0)),"CONFIRM (not logged)",IF(INDEX('12_sales_person_confirmation'!$I:$I,MATCH($A181,'12_sales_person_confirmation'!$A:$A,0))="CONFIRMED","CONFIRMED ("&amp;LOWER(INDEX('12_sales_person_confirmation'!$E:$E,MATCH($A181,'12_sales_person_confirmation'!$A:$A,0)))&amp;")","PENDING CONFIRM"))))</f>
        <v/>
      </c>
      <c r="AR181" s="2">
        <f>IF(OR(AQ181="OK",AQ181="OK (auto-fixed)"),AP181,IF(LEFT(AQ181,9)="CONFIRMED",INDEX('12_sales_person_confirmation'!$F:$F,MATCH($A181,'12_sales_person_confirmation'!$A:$A,0)),""))</f>
        <v/>
      </c>
      <c r="AS181" s="2">
        <f>IF(AR181="","",INDEX('11_3nf_sales_person'!$B:$B,MATCH(AR181,'11_3nf_sales_person'!$A:$A,0)))</f>
        <v/>
      </c>
    </row>
    <row r="182">
      <c r="A182" s="2">
        <f>IF(ISBLANK('1_raw_log'!A182),"",'1_raw_log'!A182)</f>
        <v/>
      </c>
      <c r="B182" s="3">
        <f>IF(ISBLANK('1_raw_log'!B182),"",'1_raw_log'!B182)</f>
        <v/>
      </c>
      <c r="C182" s="2">
        <f>IF(ISBLANK('1_raw_log'!C182),"",'1_raw_log'!C182)</f>
        <v/>
      </c>
      <c r="D182" s="2">
        <f>IF(ISBLANK('1_raw_log'!D182),"",'1_raw_log'!D182)</f>
        <v/>
      </c>
      <c r="E182" s="4">
        <f>IF(ISBLANK('1_raw_log'!E182),"",'1_raw_log'!E182)</f>
        <v/>
      </c>
      <c r="F182" s="2">
        <f>IF(ISBLANK('1_raw_log'!F182),"",'1_raw_log'!F182)</f>
        <v/>
      </c>
      <c r="G182" s="2">
        <f>IF(ISBLANK('1_raw_log'!G182),"",'1_raw_log'!G182)</f>
        <v/>
      </c>
      <c r="H182" s="2">
        <f>IF(ISBLANK('1_raw_log'!H182),"",'1_raw_log'!H182)</f>
        <v/>
      </c>
      <c r="I182" s="7">
        <f>IF(ISBLANK('1_raw_log'!I182),"",'1_raw_log'!I182)</f>
        <v/>
      </c>
      <c r="J182" s="2">
        <f>IF(ISBLANK('1_raw_log'!J182),"",'1_raw_log'!J182)</f>
        <v/>
      </c>
      <c r="K182" s="2">
        <f>IF(ISBLANK('1_raw_log'!K182),"",'1_raw_log'!K182)</f>
        <v/>
      </c>
      <c r="L182" s="30">
        <f>INT(B182)</f>
        <v/>
      </c>
      <c r="M182" s="20">
        <f>ROUND(MOD(B182,1)*1440,0)/1440</f>
        <v/>
      </c>
      <c r="N182" s="4">
        <f>IFERROR(INDEX('3_ref_date'!$B:$B,MATCH(L182,'3_ref_date'!$A:$A,0)),"NOT FOUND")</f>
        <v/>
      </c>
      <c r="O182" s="2">
        <f>IFERROR(INDEX('3_ref_date'!$C:$C,MATCH(L182,'3_ref_date'!$A:$A,0)),"NOT FOUND")</f>
        <v/>
      </c>
      <c r="P182" s="4">
        <f>IFERROR(INDEX('3_ref_date'!$D:$D,MATCH(L182,'3_ref_date'!$A:$A,0)),"NOT FOUND")</f>
        <v/>
      </c>
      <c r="Q182" s="4">
        <f>IFERROR(INDEX('3_ref_date'!$E:$E,MATCH(L182,'3_ref_date'!$A:$A,0)),"NOT FOUND")</f>
        <v/>
      </c>
      <c r="R182" s="2">
        <f>IFERROR(INDEX('3_ref_date'!$F:$F,MATCH(L182,'3_ref_date'!$A:$A,0)),"NOT FOUND")</f>
        <v/>
      </c>
      <c r="S182" s="2">
        <f>IFERROR(INDEX('4_ref_time'!$D:$D,MATCH(ROUND(M182*1440,0),'4_ref_time'!$A:$A,0)),"NOT FOUND")</f>
        <v/>
      </c>
      <c r="T182" s="2">
        <f>UPPER(TRIM(C182))</f>
        <v/>
      </c>
      <c r="U182" s="30">
        <f>IF(_xlfn.MAXIFS('6_3nf_branch_history'!$B$2:$B$50,'6_3nf_branch_history'!$A$2:$A$50,T182,'6_3nf_branch_history'!$B$2:$B$50,"&lt;="&amp;L182)=0,"NOT FOUND",_xlfn.MAXIFS('6_3nf_branch_history'!$B$2:$B$50,'6_3nf_branch_history'!$A$2:$A$50,T182,'6_3nf_branch_history'!$B$2:$B$50,"&lt;="&amp;L182))</f>
        <v/>
      </c>
      <c r="V182" s="2">
        <f>IF(U182="NOT FOUND","NOT FOUND",INDEX('6_3nf_branch_history'!$C:$C,SUMPRODUCT(('6_3nf_branch_history'!$A$2:$A$50=T182)*('6_3nf_branch_history'!$B$2:$B$50=U182)*ROW('6_3nf_branch_history'!$A$2:$A$50))))</f>
        <v/>
      </c>
      <c r="W182" s="2">
        <f>IF(U182="NOT FOUND","NOT FOUND",INDEX('6_3nf_branch_history'!$D:$D,SUMPRODUCT(('6_3nf_branch_history'!$A$2:$A$50=T182)*('6_3nf_branch_history'!$B$2:$B$50=U182)*ROW('6_3nf_branch_history'!$A$2:$A$50))))</f>
        <v/>
      </c>
      <c r="X182" s="2">
        <f>IF(U182="NOT FOUND","NOT FOUND",INDEX('6_3nf_branch_history'!$E:$E,SUMPRODUCT(('6_3nf_branch_history'!$A$2:$A$50=T182)*('6_3nf_branch_history'!$B$2:$B$50=U182)*ROW('6_3nf_branch_history'!$A$2:$A$50))))</f>
        <v/>
      </c>
      <c r="Y182" s="2">
        <f>UPPER(TRIM(D182))</f>
        <v/>
      </c>
      <c r="Z182" s="2">
        <f>IFERROR(INDEX('7_3nf_product'!$B:$B,MATCH(Y182,'7_3nf_product'!$A:$A,0)),"NOT FOUND")</f>
        <v/>
      </c>
      <c r="AA182" s="2">
        <f>IFERROR(INDEX('7_3nf_product'!$C:$C,MATCH(Y182,'7_3nf_product'!$A:$A,0)),"NOT FOUND")</f>
        <v/>
      </c>
      <c r="AB182" s="2">
        <f>IFERROR(INDEX('7_3nf_product'!$D:$D,MATCH(Y182,'7_3nf_product'!$A:$A,0)),"NOT FOUND")</f>
        <v/>
      </c>
      <c r="AC182" s="6">
        <f>IFERROR(INDEX('7_3nf_product'!$E:$E,MATCH(Y182,'7_3nf_product'!$A:$A,0)),"NOT FOUND")</f>
        <v/>
      </c>
      <c r="AD182" s="33">
        <f>IF(LEN(TRIM(E182))=10,TRIM(E182),IF(LEN(TRIM(E182))=8,"00"&amp;TRIM(E182),"CHECK"))</f>
        <v/>
      </c>
      <c r="AE182" s="2">
        <f>IFERROR(INDEX('8_3nf_customer'!$C:$C,MATCH(AD182,'8_3nf_customer'!$B:$B,0)),"NOT FOUND")</f>
        <v/>
      </c>
      <c r="AF182" s="30">
        <f>IFERROR(INDEX('8_3nf_customer'!$D:$D,MATCH(AD182,'8_3nf_customer'!$B:$B,0)),"NOT FOUND")</f>
        <v/>
      </c>
      <c r="AG182" s="4">
        <f>IF(ISNUMBER(AF182),DATEDIF(AF182,L182,"y"),"NOT FOUND")</f>
        <v/>
      </c>
      <c r="AH182" s="2">
        <f>IFERROR(INDEX('8_3nf_customer'!$E:$E,MATCH(AD182,'8_3nf_customer'!$B:$B,0)),"NOT FOUND")</f>
        <v/>
      </c>
      <c r="AI182" s="30">
        <f>IF(_xlfn.MAXIFS('9_3nf_customer_history'!$B$2:$B$500,'9_3nf_customer_history'!$A$2:$A$500,AD182,'9_3nf_customer_history'!$B$2:$B$500,"&lt;="&amp;L182)=0,"NOT FOUND",_xlfn.MAXIFS('9_3nf_customer_history'!$B$2:$B$500,'9_3nf_customer_history'!$A$2:$A$500,AD182,'9_3nf_customer_history'!$B$2:$B$500,"&lt;="&amp;L182))</f>
        <v/>
      </c>
      <c r="AJ182" s="2">
        <f>IF(AI182="NOT FOUND","NOT FOUND",INDEX('9_3nf_customer_history'!$C:$C,SUMPRODUCT(('9_3nf_customer_history'!$A$2:$A$500=AD182)*('9_3nf_customer_history'!$B$2:$B$500=AI182)*ROW('9_3nf_customer_history'!$A$2:$A$500))))</f>
        <v/>
      </c>
      <c r="AK182" s="2">
        <f>IF(AI182="NOT FOUND","NOT FOUND",INDEX('9_3nf_customer_history'!$D:$D,SUMPRODUCT(('9_3nf_customer_history'!$A$2:$A$500=AD182)*('9_3nf_customer_history'!$B$2:$B$500=AI182)*ROW('9_3nf_customer_history'!$A$2:$A$500))))</f>
        <v/>
      </c>
      <c r="AL182" s="2">
        <f>UPPER(TRIM(H182))</f>
        <v/>
      </c>
      <c r="AM182" s="30">
        <f>IF(_xlfn.MAXIFS('10_ref_fx_rate'!$B$2:$B$2000,'10_ref_fx_rate'!$A$2:$A$2000,AL182,'10_ref_fx_rate'!$B$2:$B$2000,"&lt;="&amp;L182)=0,"NOT FOUND",_xlfn.MAXIFS('10_ref_fx_rate'!$B$2:$B$2000,'10_ref_fx_rate'!$A$2:$A$2000,AL182,'10_ref_fx_rate'!$B$2:$B$2000,"&lt;="&amp;L182))</f>
        <v/>
      </c>
      <c r="AN182" s="8">
        <f>IF(AM182="NOT FOUND","NOT FOUND",SUMIFS('10_ref_fx_rate'!$D$2:$D$2000,'10_ref_fx_rate'!$A$2:$A$2000,AL182,'10_ref_fx_rate'!$B$2:$B$2000,AM182))</f>
        <v/>
      </c>
      <c r="AO182" s="37">
        <f>IF(ISNUMBER(AN182),I182*AN182,"NOT FOUND")</f>
        <v/>
      </c>
      <c r="AP182" s="2">
        <f>UPPER(TRIM(J182))</f>
        <v/>
      </c>
      <c r="AQ182" s="2">
        <f>IF(AP182="","SELF-DIRECTED",IF(ISNUMBER(MATCH(AP182,'11_3nf_sales_person'!$A:$A,0)),IF(EXACT(AP182,J182),"OK","OK (auto-fixed)"),IF(ISNA(MATCH($A182,'12_sales_person_confirmation'!$A:$A,0)),"CONFIRM (not logged)",IF(INDEX('12_sales_person_confirmation'!$I:$I,MATCH($A182,'12_sales_person_confirmation'!$A:$A,0))="CONFIRMED","CONFIRMED ("&amp;LOWER(INDEX('12_sales_person_confirmation'!$E:$E,MATCH($A182,'12_sales_person_confirmation'!$A:$A,0)))&amp;")","PENDING CONFIRM"))))</f>
        <v/>
      </c>
      <c r="AR182" s="2">
        <f>IF(OR(AQ182="OK",AQ182="OK (auto-fixed)"),AP182,IF(LEFT(AQ182,9)="CONFIRMED",INDEX('12_sales_person_confirmation'!$F:$F,MATCH($A182,'12_sales_person_confirmation'!$A:$A,0)),""))</f>
        <v/>
      </c>
      <c r="AS182" s="2">
        <f>IF(AR182="","",INDEX('11_3nf_sales_person'!$B:$B,MATCH(AR182,'11_3nf_sales_person'!$A:$A,0)))</f>
        <v/>
      </c>
    </row>
    <row r="183">
      <c r="A183" s="2">
        <f>IF(ISBLANK('1_raw_log'!A183),"",'1_raw_log'!A183)</f>
        <v/>
      </c>
      <c r="B183" s="3">
        <f>IF(ISBLANK('1_raw_log'!B183),"",'1_raw_log'!B183)</f>
        <v/>
      </c>
      <c r="C183" s="2">
        <f>IF(ISBLANK('1_raw_log'!C183),"",'1_raw_log'!C183)</f>
        <v/>
      </c>
      <c r="D183" s="2">
        <f>IF(ISBLANK('1_raw_log'!D183),"",'1_raw_log'!D183)</f>
        <v/>
      </c>
      <c r="E183" s="4">
        <f>IF(ISBLANK('1_raw_log'!E183),"",'1_raw_log'!E183)</f>
        <v/>
      </c>
      <c r="F183" s="2">
        <f>IF(ISBLANK('1_raw_log'!F183),"",'1_raw_log'!F183)</f>
        <v/>
      </c>
      <c r="G183" s="2">
        <f>IF(ISBLANK('1_raw_log'!G183),"",'1_raw_log'!G183)</f>
        <v/>
      </c>
      <c r="H183" s="2">
        <f>IF(ISBLANK('1_raw_log'!H183),"",'1_raw_log'!H183)</f>
        <v/>
      </c>
      <c r="I183" s="7">
        <f>IF(ISBLANK('1_raw_log'!I183),"",'1_raw_log'!I183)</f>
        <v/>
      </c>
      <c r="J183" s="2">
        <f>IF(ISBLANK('1_raw_log'!J183),"",'1_raw_log'!J183)</f>
        <v/>
      </c>
      <c r="K183" s="2">
        <f>IF(ISBLANK('1_raw_log'!K183),"",'1_raw_log'!K183)</f>
        <v/>
      </c>
      <c r="L183" s="30">
        <f>INT(B183)</f>
        <v/>
      </c>
      <c r="M183" s="20">
        <f>ROUND(MOD(B183,1)*1440,0)/1440</f>
        <v/>
      </c>
      <c r="N183" s="4">
        <f>IFERROR(INDEX('3_ref_date'!$B:$B,MATCH(L183,'3_ref_date'!$A:$A,0)),"NOT FOUND")</f>
        <v/>
      </c>
      <c r="O183" s="2">
        <f>IFERROR(INDEX('3_ref_date'!$C:$C,MATCH(L183,'3_ref_date'!$A:$A,0)),"NOT FOUND")</f>
        <v/>
      </c>
      <c r="P183" s="4">
        <f>IFERROR(INDEX('3_ref_date'!$D:$D,MATCH(L183,'3_ref_date'!$A:$A,0)),"NOT FOUND")</f>
        <v/>
      </c>
      <c r="Q183" s="4">
        <f>IFERROR(INDEX('3_ref_date'!$E:$E,MATCH(L183,'3_ref_date'!$A:$A,0)),"NOT FOUND")</f>
        <v/>
      </c>
      <c r="R183" s="2">
        <f>IFERROR(INDEX('3_ref_date'!$F:$F,MATCH(L183,'3_ref_date'!$A:$A,0)),"NOT FOUND")</f>
        <v/>
      </c>
      <c r="S183" s="2">
        <f>IFERROR(INDEX('4_ref_time'!$D:$D,MATCH(ROUND(M183*1440,0),'4_ref_time'!$A:$A,0)),"NOT FOUND")</f>
        <v/>
      </c>
      <c r="T183" s="2">
        <f>UPPER(TRIM(C183))</f>
        <v/>
      </c>
      <c r="U183" s="30">
        <f>IF(_xlfn.MAXIFS('6_3nf_branch_history'!$B$2:$B$50,'6_3nf_branch_history'!$A$2:$A$50,T183,'6_3nf_branch_history'!$B$2:$B$50,"&lt;="&amp;L183)=0,"NOT FOUND",_xlfn.MAXIFS('6_3nf_branch_history'!$B$2:$B$50,'6_3nf_branch_history'!$A$2:$A$50,T183,'6_3nf_branch_history'!$B$2:$B$50,"&lt;="&amp;L183))</f>
        <v/>
      </c>
      <c r="V183" s="2">
        <f>IF(U183="NOT FOUND","NOT FOUND",INDEX('6_3nf_branch_history'!$C:$C,SUMPRODUCT(('6_3nf_branch_history'!$A$2:$A$50=T183)*('6_3nf_branch_history'!$B$2:$B$50=U183)*ROW('6_3nf_branch_history'!$A$2:$A$50))))</f>
        <v/>
      </c>
      <c r="W183" s="2">
        <f>IF(U183="NOT FOUND","NOT FOUND",INDEX('6_3nf_branch_history'!$D:$D,SUMPRODUCT(('6_3nf_branch_history'!$A$2:$A$50=T183)*('6_3nf_branch_history'!$B$2:$B$50=U183)*ROW('6_3nf_branch_history'!$A$2:$A$50))))</f>
        <v/>
      </c>
      <c r="X183" s="2">
        <f>IF(U183="NOT FOUND","NOT FOUND",INDEX('6_3nf_branch_history'!$E:$E,SUMPRODUCT(('6_3nf_branch_history'!$A$2:$A$50=T183)*('6_3nf_branch_history'!$B$2:$B$50=U183)*ROW('6_3nf_branch_history'!$A$2:$A$50))))</f>
        <v/>
      </c>
      <c r="Y183" s="2">
        <f>UPPER(TRIM(D183))</f>
        <v/>
      </c>
      <c r="Z183" s="2">
        <f>IFERROR(INDEX('7_3nf_product'!$B:$B,MATCH(Y183,'7_3nf_product'!$A:$A,0)),"NOT FOUND")</f>
        <v/>
      </c>
      <c r="AA183" s="2">
        <f>IFERROR(INDEX('7_3nf_product'!$C:$C,MATCH(Y183,'7_3nf_product'!$A:$A,0)),"NOT FOUND")</f>
        <v/>
      </c>
      <c r="AB183" s="2">
        <f>IFERROR(INDEX('7_3nf_product'!$D:$D,MATCH(Y183,'7_3nf_product'!$A:$A,0)),"NOT FOUND")</f>
        <v/>
      </c>
      <c r="AC183" s="6">
        <f>IFERROR(INDEX('7_3nf_product'!$E:$E,MATCH(Y183,'7_3nf_product'!$A:$A,0)),"NOT FOUND")</f>
        <v/>
      </c>
      <c r="AD183" s="33">
        <f>IF(LEN(TRIM(E183))=10,TRIM(E183),IF(LEN(TRIM(E183))=8,"00"&amp;TRIM(E183),"CHECK"))</f>
        <v/>
      </c>
      <c r="AE183" s="2">
        <f>IFERROR(INDEX('8_3nf_customer'!$C:$C,MATCH(AD183,'8_3nf_customer'!$B:$B,0)),"NOT FOUND")</f>
        <v/>
      </c>
      <c r="AF183" s="30">
        <f>IFERROR(INDEX('8_3nf_customer'!$D:$D,MATCH(AD183,'8_3nf_customer'!$B:$B,0)),"NOT FOUND")</f>
        <v/>
      </c>
      <c r="AG183" s="4">
        <f>IF(ISNUMBER(AF183),DATEDIF(AF183,L183,"y"),"NOT FOUND")</f>
        <v/>
      </c>
      <c r="AH183" s="2">
        <f>IFERROR(INDEX('8_3nf_customer'!$E:$E,MATCH(AD183,'8_3nf_customer'!$B:$B,0)),"NOT FOUND")</f>
        <v/>
      </c>
      <c r="AI183" s="30">
        <f>IF(_xlfn.MAXIFS('9_3nf_customer_history'!$B$2:$B$500,'9_3nf_customer_history'!$A$2:$A$500,AD183,'9_3nf_customer_history'!$B$2:$B$500,"&lt;="&amp;L183)=0,"NOT FOUND",_xlfn.MAXIFS('9_3nf_customer_history'!$B$2:$B$500,'9_3nf_customer_history'!$A$2:$A$500,AD183,'9_3nf_customer_history'!$B$2:$B$500,"&lt;="&amp;L183))</f>
        <v/>
      </c>
      <c r="AJ183" s="2">
        <f>IF(AI183="NOT FOUND","NOT FOUND",INDEX('9_3nf_customer_history'!$C:$C,SUMPRODUCT(('9_3nf_customer_history'!$A$2:$A$500=AD183)*('9_3nf_customer_history'!$B$2:$B$500=AI183)*ROW('9_3nf_customer_history'!$A$2:$A$500))))</f>
        <v/>
      </c>
      <c r="AK183" s="2">
        <f>IF(AI183="NOT FOUND","NOT FOUND",INDEX('9_3nf_customer_history'!$D:$D,SUMPRODUCT(('9_3nf_customer_history'!$A$2:$A$500=AD183)*('9_3nf_customer_history'!$B$2:$B$500=AI183)*ROW('9_3nf_customer_history'!$A$2:$A$500))))</f>
        <v/>
      </c>
      <c r="AL183" s="2">
        <f>UPPER(TRIM(H183))</f>
        <v/>
      </c>
      <c r="AM183" s="30">
        <f>IF(_xlfn.MAXIFS('10_ref_fx_rate'!$B$2:$B$2000,'10_ref_fx_rate'!$A$2:$A$2000,AL183,'10_ref_fx_rate'!$B$2:$B$2000,"&lt;="&amp;L183)=0,"NOT FOUND",_xlfn.MAXIFS('10_ref_fx_rate'!$B$2:$B$2000,'10_ref_fx_rate'!$A$2:$A$2000,AL183,'10_ref_fx_rate'!$B$2:$B$2000,"&lt;="&amp;L183))</f>
        <v/>
      </c>
      <c r="AN183" s="8">
        <f>IF(AM183="NOT FOUND","NOT FOUND",SUMIFS('10_ref_fx_rate'!$D$2:$D$2000,'10_ref_fx_rate'!$A$2:$A$2000,AL183,'10_ref_fx_rate'!$B$2:$B$2000,AM183))</f>
        <v/>
      </c>
      <c r="AO183" s="37">
        <f>IF(ISNUMBER(AN183),I183*AN183,"NOT FOUND")</f>
        <v/>
      </c>
      <c r="AP183" s="2">
        <f>UPPER(TRIM(J183))</f>
        <v/>
      </c>
      <c r="AQ183" s="2">
        <f>IF(AP183="","SELF-DIRECTED",IF(ISNUMBER(MATCH(AP183,'11_3nf_sales_person'!$A:$A,0)),IF(EXACT(AP183,J183),"OK","OK (auto-fixed)"),IF(ISNA(MATCH($A183,'12_sales_person_confirmation'!$A:$A,0)),"CONFIRM (not logged)",IF(INDEX('12_sales_person_confirmation'!$I:$I,MATCH($A183,'12_sales_person_confirmation'!$A:$A,0))="CONFIRMED","CONFIRMED ("&amp;LOWER(INDEX('12_sales_person_confirmation'!$E:$E,MATCH($A183,'12_sales_person_confirmation'!$A:$A,0)))&amp;")","PENDING CONFIRM"))))</f>
        <v/>
      </c>
      <c r="AR183" s="2">
        <f>IF(OR(AQ183="OK",AQ183="OK (auto-fixed)"),AP183,IF(LEFT(AQ183,9)="CONFIRMED",INDEX('12_sales_person_confirmation'!$F:$F,MATCH($A183,'12_sales_person_confirmation'!$A:$A,0)),""))</f>
        <v/>
      </c>
      <c r="AS183" s="2">
        <f>IF(AR183="","",INDEX('11_3nf_sales_person'!$B:$B,MATCH(AR183,'11_3nf_sales_person'!$A:$A,0)))</f>
        <v/>
      </c>
    </row>
    <row r="184">
      <c r="A184" s="2">
        <f>IF(ISBLANK('1_raw_log'!A184),"",'1_raw_log'!A184)</f>
        <v/>
      </c>
      <c r="B184" s="3">
        <f>IF(ISBLANK('1_raw_log'!B184),"",'1_raw_log'!B184)</f>
        <v/>
      </c>
      <c r="C184" s="2">
        <f>IF(ISBLANK('1_raw_log'!C184),"",'1_raw_log'!C184)</f>
        <v/>
      </c>
      <c r="D184" s="2">
        <f>IF(ISBLANK('1_raw_log'!D184),"",'1_raw_log'!D184)</f>
        <v/>
      </c>
      <c r="E184" s="4">
        <f>IF(ISBLANK('1_raw_log'!E184),"",'1_raw_log'!E184)</f>
        <v/>
      </c>
      <c r="F184" s="2">
        <f>IF(ISBLANK('1_raw_log'!F184),"",'1_raw_log'!F184)</f>
        <v/>
      </c>
      <c r="G184" s="2">
        <f>IF(ISBLANK('1_raw_log'!G184),"",'1_raw_log'!G184)</f>
        <v/>
      </c>
      <c r="H184" s="2">
        <f>IF(ISBLANK('1_raw_log'!H184),"",'1_raw_log'!H184)</f>
        <v/>
      </c>
      <c r="I184" s="7">
        <f>IF(ISBLANK('1_raw_log'!I184),"",'1_raw_log'!I184)</f>
        <v/>
      </c>
      <c r="J184" s="2">
        <f>IF(ISBLANK('1_raw_log'!J184),"",'1_raw_log'!J184)</f>
        <v/>
      </c>
      <c r="K184" s="2">
        <f>IF(ISBLANK('1_raw_log'!K184),"",'1_raw_log'!K184)</f>
        <v/>
      </c>
      <c r="L184" s="30">
        <f>INT(B184)</f>
        <v/>
      </c>
      <c r="M184" s="20">
        <f>ROUND(MOD(B184,1)*1440,0)/1440</f>
        <v/>
      </c>
      <c r="N184" s="4">
        <f>IFERROR(INDEX('3_ref_date'!$B:$B,MATCH(L184,'3_ref_date'!$A:$A,0)),"NOT FOUND")</f>
        <v/>
      </c>
      <c r="O184" s="2">
        <f>IFERROR(INDEX('3_ref_date'!$C:$C,MATCH(L184,'3_ref_date'!$A:$A,0)),"NOT FOUND")</f>
        <v/>
      </c>
      <c r="P184" s="4">
        <f>IFERROR(INDEX('3_ref_date'!$D:$D,MATCH(L184,'3_ref_date'!$A:$A,0)),"NOT FOUND")</f>
        <v/>
      </c>
      <c r="Q184" s="4">
        <f>IFERROR(INDEX('3_ref_date'!$E:$E,MATCH(L184,'3_ref_date'!$A:$A,0)),"NOT FOUND")</f>
        <v/>
      </c>
      <c r="R184" s="2">
        <f>IFERROR(INDEX('3_ref_date'!$F:$F,MATCH(L184,'3_ref_date'!$A:$A,0)),"NOT FOUND")</f>
        <v/>
      </c>
      <c r="S184" s="2">
        <f>IFERROR(INDEX('4_ref_time'!$D:$D,MATCH(ROUND(M184*1440,0),'4_ref_time'!$A:$A,0)),"NOT FOUND")</f>
        <v/>
      </c>
      <c r="T184" s="2">
        <f>UPPER(TRIM(C184))</f>
        <v/>
      </c>
      <c r="U184" s="30">
        <f>IF(_xlfn.MAXIFS('6_3nf_branch_history'!$B$2:$B$50,'6_3nf_branch_history'!$A$2:$A$50,T184,'6_3nf_branch_history'!$B$2:$B$50,"&lt;="&amp;L184)=0,"NOT FOUND",_xlfn.MAXIFS('6_3nf_branch_history'!$B$2:$B$50,'6_3nf_branch_history'!$A$2:$A$50,T184,'6_3nf_branch_history'!$B$2:$B$50,"&lt;="&amp;L184))</f>
        <v/>
      </c>
      <c r="V184" s="2">
        <f>IF(U184="NOT FOUND","NOT FOUND",INDEX('6_3nf_branch_history'!$C:$C,SUMPRODUCT(('6_3nf_branch_history'!$A$2:$A$50=T184)*('6_3nf_branch_history'!$B$2:$B$50=U184)*ROW('6_3nf_branch_history'!$A$2:$A$50))))</f>
        <v/>
      </c>
      <c r="W184" s="2">
        <f>IF(U184="NOT FOUND","NOT FOUND",INDEX('6_3nf_branch_history'!$D:$D,SUMPRODUCT(('6_3nf_branch_history'!$A$2:$A$50=T184)*('6_3nf_branch_history'!$B$2:$B$50=U184)*ROW('6_3nf_branch_history'!$A$2:$A$50))))</f>
        <v/>
      </c>
      <c r="X184" s="2">
        <f>IF(U184="NOT FOUND","NOT FOUND",INDEX('6_3nf_branch_history'!$E:$E,SUMPRODUCT(('6_3nf_branch_history'!$A$2:$A$50=T184)*('6_3nf_branch_history'!$B$2:$B$50=U184)*ROW('6_3nf_branch_history'!$A$2:$A$50))))</f>
        <v/>
      </c>
      <c r="Y184" s="2">
        <f>UPPER(TRIM(D184))</f>
        <v/>
      </c>
      <c r="Z184" s="2">
        <f>IFERROR(INDEX('7_3nf_product'!$B:$B,MATCH(Y184,'7_3nf_product'!$A:$A,0)),"NOT FOUND")</f>
        <v/>
      </c>
      <c r="AA184" s="2">
        <f>IFERROR(INDEX('7_3nf_product'!$C:$C,MATCH(Y184,'7_3nf_product'!$A:$A,0)),"NOT FOUND")</f>
        <v/>
      </c>
      <c r="AB184" s="2">
        <f>IFERROR(INDEX('7_3nf_product'!$D:$D,MATCH(Y184,'7_3nf_product'!$A:$A,0)),"NOT FOUND")</f>
        <v/>
      </c>
      <c r="AC184" s="6">
        <f>IFERROR(INDEX('7_3nf_product'!$E:$E,MATCH(Y184,'7_3nf_product'!$A:$A,0)),"NOT FOUND")</f>
        <v/>
      </c>
      <c r="AD184" s="33">
        <f>IF(LEN(TRIM(E184))=10,TRIM(E184),IF(LEN(TRIM(E184))=8,"00"&amp;TRIM(E184),"CHECK"))</f>
        <v/>
      </c>
      <c r="AE184" s="2">
        <f>IFERROR(INDEX('8_3nf_customer'!$C:$C,MATCH(AD184,'8_3nf_customer'!$B:$B,0)),"NOT FOUND")</f>
        <v/>
      </c>
      <c r="AF184" s="30">
        <f>IFERROR(INDEX('8_3nf_customer'!$D:$D,MATCH(AD184,'8_3nf_customer'!$B:$B,0)),"NOT FOUND")</f>
        <v/>
      </c>
      <c r="AG184" s="4">
        <f>IF(ISNUMBER(AF184),DATEDIF(AF184,L184,"y"),"NOT FOUND")</f>
        <v/>
      </c>
      <c r="AH184" s="2">
        <f>IFERROR(INDEX('8_3nf_customer'!$E:$E,MATCH(AD184,'8_3nf_customer'!$B:$B,0)),"NOT FOUND")</f>
        <v/>
      </c>
      <c r="AI184" s="30">
        <f>IF(_xlfn.MAXIFS('9_3nf_customer_history'!$B$2:$B$500,'9_3nf_customer_history'!$A$2:$A$500,AD184,'9_3nf_customer_history'!$B$2:$B$500,"&lt;="&amp;L184)=0,"NOT FOUND",_xlfn.MAXIFS('9_3nf_customer_history'!$B$2:$B$500,'9_3nf_customer_history'!$A$2:$A$500,AD184,'9_3nf_customer_history'!$B$2:$B$500,"&lt;="&amp;L184))</f>
        <v/>
      </c>
      <c r="AJ184" s="2">
        <f>IF(AI184="NOT FOUND","NOT FOUND",INDEX('9_3nf_customer_history'!$C:$C,SUMPRODUCT(('9_3nf_customer_history'!$A$2:$A$500=AD184)*('9_3nf_customer_history'!$B$2:$B$500=AI184)*ROW('9_3nf_customer_history'!$A$2:$A$500))))</f>
        <v/>
      </c>
      <c r="AK184" s="2">
        <f>IF(AI184="NOT FOUND","NOT FOUND",INDEX('9_3nf_customer_history'!$D:$D,SUMPRODUCT(('9_3nf_customer_history'!$A$2:$A$500=AD184)*('9_3nf_customer_history'!$B$2:$B$500=AI184)*ROW('9_3nf_customer_history'!$A$2:$A$500))))</f>
        <v/>
      </c>
      <c r="AL184" s="2">
        <f>UPPER(TRIM(H184))</f>
        <v/>
      </c>
      <c r="AM184" s="30">
        <f>IF(_xlfn.MAXIFS('10_ref_fx_rate'!$B$2:$B$2000,'10_ref_fx_rate'!$A$2:$A$2000,AL184,'10_ref_fx_rate'!$B$2:$B$2000,"&lt;="&amp;L184)=0,"NOT FOUND",_xlfn.MAXIFS('10_ref_fx_rate'!$B$2:$B$2000,'10_ref_fx_rate'!$A$2:$A$2000,AL184,'10_ref_fx_rate'!$B$2:$B$2000,"&lt;="&amp;L184))</f>
        <v/>
      </c>
      <c r="AN184" s="8">
        <f>IF(AM184="NOT FOUND","NOT FOUND",SUMIFS('10_ref_fx_rate'!$D$2:$D$2000,'10_ref_fx_rate'!$A$2:$A$2000,AL184,'10_ref_fx_rate'!$B$2:$B$2000,AM184))</f>
        <v/>
      </c>
      <c r="AO184" s="37">
        <f>IF(ISNUMBER(AN184),I184*AN184,"NOT FOUND")</f>
        <v/>
      </c>
      <c r="AP184" s="2">
        <f>UPPER(TRIM(J184))</f>
        <v/>
      </c>
      <c r="AQ184" s="2">
        <f>IF(AP184="","SELF-DIRECTED",IF(ISNUMBER(MATCH(AP184,'11_3nf_sales_person'!$A:$A,0)),IF(EXACT(AP184,J184),"OK","OK (auto-fixed)"),IF(ISNA(MATCH($A184,'12_sales_person_confirmation'!$A:$A,0)),"CONFIRM (not logged)",IF(INDEX('12_sales_person_confirmation'!$I:$I,MATCH($A184,'12_sales_person_confirmation'!$A:$A,0))="CONFIRMED","CONFIRMED ("&amp;LOWER(INDEX('12_sales_person_confirmation'!$E:$E,MATCH($A184,'12_sales_person_confirmation'!$A:$A,0)))&amp;")","PENDING CONFIRM"))))</f>
        <v/>
      </c>
      <c r="AR184" s="2">
        <f>IF(OR(AQ184="OK",AQ184="OK (auto-fixed)"),AP184,IF(LEFT(AQ184,9)="CONFIRMED",INDEX('12_sales_person_confirmation'!$F:$F,MATCH($A184,'12_sales_person_confirmation'!$A:$A,0)),""))</f>
        <v/>
      </c>
      <c r="AS184" s="2">
        <f>IF(AR184="","",INDEX('11_3nf_sales_person'!$B:$B,MATCH(AR184,'11_3nf_sales_person'!$A:$A,0)))</f>
        <v/>
      </c>
    </row>
    <row r="185">
      <c r="A185" s="2">
        <f>IF(ISBLANK('1_raw_log'!A185),"",'1_raw_log'!A185)</f>
        <v/>
      </c>
      <c r="B185" s="3">
        <f>IF(ISBLANK('1_raw_log'!B185),"",'1_raw_log'!B185)</f>
        <v/>
      </c>
      <c r="C185" s="2">
        <f>IF(ISBLANK('1_raw_log'!C185),"",'1_raw_log'!C185)</f>
        <v/>
      </c>
      <c r="D185" s="2">
        <f>IF(ISBLANK('1_raw_log'!D185),"",'1_raw_log'!D185)</f>
        <v/>
      </c>
      <c r="E185" s="4">
        <f>IF(ISBLANK('1_raw_log'!E185),"",'1_raw_log'!E185)</f>
        <v/>
      </c>
      <c r="F185" s="2">
        <f>IF(ISBLANK('1_raw_log'!F185),"",'1_raw_log'!F185)</f>
        <v/>
      </c>
      <c r="G185" s="2">
        <f>IF(ISBLANK('1_raw_log'!G185),"",'1_raw_log'!G185)</f>
        <v/>
      </c>
      <c r="H185" s="2">
        <f>IF(ISBLANK('1_raw_log'!H185),"",'1_raw_log'!H185)</f>
        <v/>
      </c>
      <c r="I185" s="7">
        <f>IF(ISBLANK('1_raw_log'!I185),"",'1_raw_log'!I185)</f>
        <v/>
      </c>
      <c r="J185" s="2">
        <f>IF(ISBLANK('1_raw_log'!J185),"",'1_raw_log'!J185)</f>
        <v/>
      </c>
      <c r="K185" s="2">
        <f>IF(ISBLANK('1_raw_log'!K185),"",'1_raw_log'!K185)</f>
        <v/>
      </c>
      <c r="L185" s="30">
        <f>INT(B185)</f>
        <v/>
      </c>
      <c r="M185" s="20">
        <f>ROUND(MOD(B185,1)*1440,0)/1440</f>
        <v/>
      </c>
      <c r="N185" s="4">
        <f>IFERROR(INDEX('3_ref_date'!$B:$B,MATCH(L185,'3_ref_date'!$A:$A,0)),"NOT FOUND")</f>
        <v/>
      </c>
      <c r="O185" s="2">
        <f>IFERROR(INDEX('3_ref_date'!$C:$C,MATCH(L185,'3_ref_date'!$A:$A,0)),"NOT FOUND")</f>
        <v/>
      </c>
      <c r="P185" s="4">
        <f>IFERROR(INDEX('3_ref_date'!$D:$D,MATCH(L185,'3_ref_date'!$A:$A,0)),"NOT FOUND")</f>
        <v/>
      </c>
      <c r="Q185" s="4">
        <f>IFERROR(INDEX('3_ref_date'!$E:$E,MATCH(L185,'3_ref_date'!$A:$A,0)),"NOT FOUND")</f>
        <v/>
      </c>
      <c r="R185" s="2">
        <f>IFERROR(INDEX('3_ref_date'!$F:$F,MATCH(L185,'3_ref_date'!$A:$A,0)),"NOT FOUND")</f>
        <v/>
      </c>
      <c r="S185" s="2">
        <f>IFERROR(INDEX('4_ref_time'!$D:$D,MATCH(ROUND(M185*1440,0),'4_ref_time'!$A:$A,0)),"NOT FOUND")</f>
        <v/>
      </c>
      <c r="T185" s="2">
        <f>UPPER(TRIM(C185))</f>
        <v/>
      </c>
      <c r="U185" s="30">
        <f>IF(_xlfn.MAXIFS('6_3nf_branch_history'!$B$2:$B$50,'6_3nf_branch_history'!$A$2:$A$50,T185,'6_3nf_branch_history'!$B$2:$B$50,"&lt;="&amp;L185)=0,"NOT FOUND",_xlfn.MAXIFS('6_3nf_branch_history'!$B$2:$B$50,'6_3nf_branch_history'!$A$2:$A$50,T185,'6_3nf_branch_history'!$B$2:$B$50,"&lt;="&amp;L185))</f>
        <v/>
      </c>
      <c r="V185" s="2">
        <f>IF(U185="NOT FOUND","NOT FOUND",INDEX('6_3nf_branch_history'!$C:$C,SUMPRODUCT(('6_3nf_branch_history'!$A$2:$A$50=T185)*('6_3nf_branch_history'!$B$2:$B$50=U185)*ROW('6_3nf_branch_history'!$A$2:$A$50))))</f>
        <v/>
      </c>
      <c r="W185" s="2">
        <f>IF(U185="NOT FOUND","NOT FOUND",INDEX('6_3nf_branch_history'!$D:$D,SUMPRODUCT(('6_3nf_branch_history'!$A$2:$A$50=T185)*('6_3nf_branch_history'!$B$2:$B$50=U185)*ROW('6_3nf_branch_history'!$A$2:$A$50))))</f>
        <v/>
      </c>
      <c r="X185" s="2">
        <f>IF(U185="NOT FOUND","NOT FOUND",INDEX('6_3nf_branch_history'!$E:$E,SUMPRODUCT(('6_3nf_branch_history'!$A$2:$A$50=T185)*('6_3nf_branch_history'!$B$2:$B$50=U185)*ROW('6_3nf_branch_history'!$A$2:$A$50))))</f>
        <v/>
      </c>
      <c r="Y185" s="2">
        <f>UPPER(TRIM(D185))</f>
        <v/>
      </c>
      <c r="Z185" s="2">
        <f>IFERROR(INDEX('7_3nf_product'!$B:$B,MATCH(Y185,'7_3nf_product'!$A:$A,0)),"NOT FOUND")</f>
        <v/>
      </c>
      <c r="AA185" s="2">
        <f>IFERROR(INDEX('7_3nf_product'!$C:$C,MATCH(Y185,'7_3nf_product'!$A:$A,0)),"NOT FOUND")</f>
        <v/>
      </c>
      <c r="AB185" s="2">
        <f>IFERROR(INDEX('7_3nf_product'!$D:$D,MATCH(Y185,'7_3nf_product'!$A:$A,0)),"NOT FOUND")</f>
        <v/>
      </c>
      <c r="AC185" s="6">
        <f>IFERROR(INDEX('7_3nf_product'!$E:$E,MATCH(Y185,'7_3nf_product'!$A:$A,0)),"NOT FOUND")</f>
        <v/>
      </c>
      <c r="AD185" s="33">
        <f>IF(LEN(TRIM(E185))=10,TRIM(E185),IF(LEN(TRIM(E185))=8,"00"&amp;TRIM(E185),"CHECK"))</f>
        <v/>
      </c>
      <c r="AE185" s="2">
        <f>IFERROR(INDEX('8_3nf_customer'!$C:$C,MATCH(AD185,'8_3nf_customer'!$B:$B,0)),"NOT FOUND")</f>
        <v/>
      </c>
      <c r="AF185" s="30">
        <f>IFERROR(INDEX('8_3nf_customer'!$D:$D,MATCH(AD185,'8_3nf_customer'!$B:$B,0)),"NOT FOUND")</f>
        <v/>
      </c>
      <c r="AG185" s="4">
        <f>IF(ISNUMBER(AF185),DATEDIF(AF185,L185,"y"),"NOT FOUND")</f>
        <v/>
      </c>
      <c r="AH185" s="2">
        <f>IFERROR(INDEX('8_3nf_customer'!$E:$E,MATCH(AD185,'8_3nf_customer'!$B:$B,0)),"NOT FOUND")</f>
        <v/>
      </c>
      <c r="AI185" s="30">
        <f>IF(_xlfn.MAXIFS('9_3nf_customer_history'!$B$2:$B$500,'9_3nf_customer_history'!$A$2:$A$500,AD185,'9_3nf_customer_history'!$B$2:$B$500,"&lt;="&amp;L185)=0,"NOT FOUND",_xlfn.MAXIFS('9_3nf_customer_history'!$B$2:$B$500,'9_3nf_customer_history'!$A$2:$A$500,AD185,'9_3nf_customer_history'!$B$2:$B$500,"&lt;="&amp;L185))</f>
        <v/>
      </c>
      <c r="AJ185" s="2">
        <f>IF(AI185="NOT FOUND","NOT FOUND",INDEX('9_3nf_customer_history'!$C:$C,SUMPRODUCT(('9_3nf_customer_history'!$A$2:$A$500=AD185)*('9_3nf_customer_history'!$B$2:$B$500=AI185)*ROW('9_3nf_customer_history'!$A$2:$A$500))))</f>
        <v/>
      </c>
      <c r="AK185" s="2">
        <f>IF(AI185="NOT FOUND","NOT FOUND",INDEX('9_3nf_customer_history'!$D:$D,SUMPRODUCT(('9_3nf_customer_history'!$A$2:$A$500=AD185)*('9_3nf_customer_history'!$B$2:$B$500=AI185)*ROW('9_3nf_customer_history'!$A$2:$A$500))))</f>
        <v/>
      </c>
      <c r="AL185" s="2">
        <f>UPPER(TRIM(H185))</f>
        <v/>
      </c>
      <c r="AM185" s="30">
        <f>IF(_xlfn.MAXIFS('10_ref_fx_rate'!$B$2:$B$2000,'10_ref_fx_rate'!$A$2:$A$2000,AL185,'10_ref_fx_rate'!$B$2:$B$2000,"&lt;="&amp;L185)=0,"NOT FOUND",_xlfn.MAXIFS('10_ref_fx_rate'!$B$2:$B$2000,'10_ref_fx_rate'!$A$2:$A$2000,AL185,'10_ref_fx_rate'!$B$2:$B$2000,"&lt;="&amp;L185))</f>
        <v/>
      </c>
      <c r="AN185" s="8">
        <f>IF(AM185="NOT FOUND","NOT FOUND",SUMIFS('10_ref_fx_rate'!$D$2:$D$2000,'10_ref_fx_rate'!$A$2:$A$2000,AL185,'10_ref_fx_rate'!$B$2:$B$2000,AM185))</f>
        <v/>
      </c>
      <c r="AO185" s="37">
        <f>IF(ISNUMBER(AN185),I185*AN185,"NOT FOUND")</f>
        <v/>
      </c>
      <c r="AP185" s="2">
        <f>UPPER(TRIM(J185))</f>
        <v/>
      </c>
      <c r="AQ185" s="2">
        <f>IF(AP185="","SELF-DIRECTED",IF(ISNUMBER(MATCH(AP185,'11_3nf_sales_person'!$A:$A,0)),IF(EXACT(AP185,J185),"OK","OK (auto-fixed)"),IF(ISNA(MATCH($A185,'12_sales_person_confirmation'!$A:$A,0)),"CONFIRM (not logged)",IF(INDEX('12_sales_person_confirmation'!$I:$I,MATCH($A185,'12_sales_person_confirmation'!$A:$A,0))="CONFIRMED","CONFIRMED ("&amp;LOWER(INDEX('12_sales_person_confirmation'!$E:$E,MATCH($A185,'12_sales_person_confirmation'!$A:$A,0)))&amp;")","PENDING CONFIRM"))))</f>
        <v/>
      </c>
      <c r="AR185" s="2">
        <f>IF(OR(AQ185="OK",AQ185="OK (auto-fixed)"),AP185,IF(LEFT(AQ185,9)="CONFIRMED",INDEX('12_sales_person_confirmation'!$F:$F,MATCH($A185,'12_sales_person_confirmation'!$A:$A,0)),""))</f>
        <v/>
      </c>
      <c r="AS185" s="2">
        <f>IF(AR185="","",INDEX('11_3nf_sales_person'!$B:$B,MATCH(AR185,'11_3nf_sales_person'!$A:$A,0)))</f>
        <v/>
      </c>
    </row>
    <row r="186">
      <c r="A186" s="2">
        <f>IF(ISBLANK('1_raw_log'!A186),"",'1_raw_log'!A186)</f>
        <v/>
      </c>
      <c r="B186" s="3">
        <f>IF(ISBLANK('1_raw_log'!B186),"",'1_raw_log'!B186)</f>
        <v/>
      </c>
      <c r="C186" s="2">
        <f>IF(ISBLANK('1_raw_log'!C186),"",'1_raw_log'!C186)</f>
        <v/>
      </c>
      <c r="D186" s="2">
        <f>IF(ISBLANK('1_raw_log'!D186),"",'1_raw_log'!D186)</f>
        <v/>
      </c>
      <c r="E186" s="4">
        <f>IF(ISBLANK('1_raw_log'!E186),"",'1_raw_log'!E186)</f>
        <v/>
      </c>
      <c r="F186" s="2">
        <f>IF(ISBLANK('1_raw_log'!F186),"",'1_raw_log'!F186)</f>
        <v/>
      </c>
      <c r="G186" s="2">
        <f>IF(ISBLANK('1_raw_log'!G186),"",'1_raw_log'!G186)</f>
        <v/>
      </c>
      <c r="H186" s="2">
        <f>IF(ISBLANK('1_raw_log'!H186),"",'1_raw_log'!H186)</f>
        <v/>
      </c>
      <c r="I186" s="7">
        <f>IF(ISBLANK('1_raw_log'!I186),"",'1_raw_log'!I186)</f>
        <v/>
      </c>
      <c r="J186" s="2">
        <f>IF(ISBLANK('1_raw_log'!J186),"",'1_raw_log'!J186)</f>
        <v/>
      </c>
      <c r="K186" s="2">
        <f>IF(ISBLANK('1_raw_log'!K186),"",'1_raw_log'!K186)</f>
        <v/>
      </c>
      <c r="L186" s="30">
        <f>INT(B186)</f>
        <v/>
      </c>
      <c r="M186" s="20">
        <f>ROUND(MOD(B186,1)*1440,0)/1440</f>
        <v/>
      </c>
      <c r="N186" s="4">
        <f>IFERROR(INDEX('3_ref_date'!$B:$B,MATCH(L186,'3_ref_date'!$A:$A,0)),"NOT FOUND")</f>
        <v/>
      </c>
      <c r="O186" s="2">
        <f>IFERROR(INDEX('3_ref_date'!$C:$C,MATCH(L186,'3_ref_date'!$A:$A,0)),"NOT FOUND")</f>
        <v/>
      </c>
      <c r="P186" s="4">
        <f>IFERROR(INDEX('3_ref_date'!$D:$D,MATCH(L186,'3_ref_date'!$A:$A,0)),"NOT FOUND")</f>
        <v/>
      </c>
      <c r="Q186" s="4">
        <f>IFERROR(INDEX('3_ref_date'!$E:$E,MATCH(L186,'3_ref_date'!$A:$A,0)),"NOT FOUND")</f>
        <v/>
      </c>
      <c r="R186" s="2">
        <f>IFERROR(INDEX('3_ref_date'!$F:$F,MATCH(L186,'3_ref_date'!$A:$A,0)),"NOT FOUND")</f>
        <v/>
      </c>
      <c r="S186" s="2">
        <f>IFERROR(INDEX('4_ref_time'!$D:$D,MATCH(ROUND(M186*1440,0),'4_ref_time'!$A:$A,0)),"NOT FOUND")</f>
        <v/>
      </c>
      <c r="T186" s="2">
        <f>UPPER(TRIM(C186))</f>
        <v/>
      </c>
      <c r="U186" s="30">
        <f>IF(_xlfn.MAXIFS('6_3nf_branch_history'!$B$2:$B$50,'6_3nf_branch_history'!$A$2:$A$50,T186,'6_3nf_branch_history'!$B$2:$B$50,"&lt;="&amp;L186)=0,"NOT FOUND",_xlfn.MAXIFS('6_3nf_branch_history'!$B$2:$B$50,'6_3nf_branch_history'!$A$2:$A$50,T186,'6_3nf_branch_history'!$B$2:$B$50,"&lt;="&amp;L186))</f>
        <v/>
      </c>
      <c r="V186" s="2">
        <f>IF(U186="NOT FOUND","NOT FOUND",INDEX('6_3nf_branch_history'!$C:$C,SUMPRODUCT(('6_3nf_branch_history'!$A$2:$A$50=T186)*('6_3nf_branch_history'!$B$2:$B$50=U186)*ROW('6_3nf_branch_history'!$A$2:$A$50))))</f>
        <v/>
      </c>
      <c r="W186" s="2">
        <f>IF(U186="NOT FOUND","NOT FOUND",INDEX('6_3nf_branch_history'!$D:$D,SUMPRODUCT(('6_3nf_branch_history'!$A$2:$A$50=T186)*('6_3nf_branch_history'!$B$2:$B$50=U186)*ROW('6_3nf_branch_history'!$A$2:$A$50))))</f>
        <v/>
      </c>
      <c r="X186" s="2">
        <f>IF(U186="NOT FOUND","NOT FOUND",INDEX('6_3nf_branch_history'!$E:$E,SUMPRODUCT(('6_3nf_branch_history'!$A$2:$A$50=T186)*('6_3nf_branch_history'!$B$2:$B$50=U186)*ROW('6_3nf_branch_history'!$A$2:$A$50))))</f>
        <v/>
      </c>
      <c r="Y186" s="2">
        <f>UPPER(TRIM(D186))</f>
        <v/>
      </c>
      <c r="Z186" s="2">
        <f>IFERROR(INDEX('7_3nf_product'!$B:$B,MATCH(Y186,'7_3nf_product'!$A:$A,0)),"NOT FOUND")</f>
        <v/>
      </c>
      <c r="AA186" s="2">
        <f>IFERROR(INDEX('7_3nf_product'!$C:$C,MATCH(Y186,'7_3nf_product'!$A:$A,0)),"NOT FOUND")</f>
        <v/>
      </c>
      <c r="AB186" s="2">
        <f>IFERROR(INDEX('7_3nf_product'!$D:$D,MATCH(Y186,'7_3nf_product'!$A:$A,0)),"NOT FOUND")</f>
        <v/>
      </c>
      <c r="AC186" s="6">
        <f>IFERROR(INDEX('7_3nf_product'!$E:$E,MATCH(Y186,'7_3nf_product'!$A:$A,0)),"NOT FOUND")</f>
        <v/>
      </c>
      <c r="AD186" s="33">
        <f>IF(LEN(TRIM(E186))=10,TRIM(E186),IF(LEN(TRIM(E186))=8,"00"&amp;TRIM(E186),"CHECK"))</f>
        <v/>
      </c>
      <c r="AE186" s="2">
        <f>IFERROR(INDEX('8_3nf_customer'!$C:$C,MATCH(AD186,'8_3nf_customer'!$B:$B,0)),"NOT FOUND")</f>
        <v/>
      </c>
      <c r="AF186" s="30">
        <f>IFERROR(INDEX('8_3nf_customer'!$D:$D,MATCH(AD186,'8_3nf_customer'!$B:$B,0)),"NOT FOUND")</f>
        <v/>
      </c>
      <c r="AG186" s="4">
        <f>IF(ISNUMBER(AF186),DATEDIF(AF186,L186,"y"),"NOT FOUND")</f>
        <v/>
      </c>
      <c r="AH186" s="2">
        <f>IFERROR(INDEX('8_3nf_customer'!$E:$E,MATCH(AD186,'8_3nf_customer'!$B:$B,0)),"NOT FOUND")</f>
        <v/>
      </c>
      <c r="AI186" s="30">
        <f>IF(_xlfn.MAXIFS('9_3nf_customer_history'!$B$2:$B$500,'9_3nf_customer_history'!$A$2:$A$500,AD186,'9_3nf_customer_history'!$B$2:$B$500,"&lt;="&amp;L186)=0,"NOT FOUND",_xlfn.MAXIFS('9_3nf_customer_history'!$B$2:$B$500,'9_3nf_customer_history'!$A$2:$A$500,AD186,'9_3nf_customer_history'!$B$2:$B$500,"&lt;="&amp;L186))</f>
        <v/>
      </c>
      <c r="AJ186" s="2">
        <f>IF(AI186="NOT FOUND","NOT FOUND",INDEX('9_3nf_customer_history'!$C:$C,SUMPRODUCT(('9_3nf_customer_history'!$A$2:$A$500=AD186)*('9_3nf_customer_history'!$B$2:$B$500=AI186)*ROW('9_3nf_customer_history'!$A$2:$A$500))))</f>
        <v/>
      </c>
      <c r="AK186" s="2">
        <f>IF(AI186="NOT FOUND","NOT FOUND",INDEX('9_3nf_customer_history'!$D:$D,SUMPRODUCT(('9_3nf_customer_history'!$A$2:$A$500=AD186)*('9_3nf_customer_history'!$B$2:$B$500=AI186)*ROW('9_3nf_customer_history'!$A$2:$A$500))))</f>
        <v/>
      </c>
      <c r="AL186" s="2">
        <f>UPPER(TRIM(H186))</f>
        <v/>
      </c>
      <c r="AM186" s="30">
        <f>IF(_xlfn.MAXIFS('10_ref_fx_rate'!$B$2:$B$2000,'10_ref_fx_rate'!$A$2:$A$2000,AL186,'10_ref_fx_rate'!$B$2:$B$2000,"&lt;="&amp;L186)=0,"NOT FOUND",_xlfn.MAXIFS('10_ref_fx_rate'!$B$2:$B$2000,'10_ref_fx_rate'!$A$2:$A$2000,AL186,'10_ref_fx_rate'!$B$2:$B$2000,"&lt;="&amp;L186))</f>
        <v/>
      </c>
      <c r="AN186" s="8">
        <f>IF(AM186="NOT FOUND","NOT FOUND",SUMIFS('10_ref_fx_rate'!$D$2:$D$2000,'10_ref_fx_rate'!$A$2:$A$2000,AL186,'10_ref_fx_rate'!$B$2:$B$2000,AM186))</f>
        <v/>
      </c>
      <c r="AO186" s="37">
        <f>IF(ISNUMBER(AN186),I186*AN186,"NOT FOUND")</f>
        <v/>
      </c>
      <c r="AP186" s="2">
        <f>UPPER(TRIM(J186))</f>
        <v/>
      </c>
      <c r="AQ186" s="2">
        <f>IF(AP186="","SELF-DIRECTED",IF(ISNUMBER(MATCH(AP186,'11_3nf_sales_person'!$A:$A,0)),IF(EXACT(AP186,J186),"OK","OK (auto-fixed)"),IF(ISNA(MATCH($A186,'12_sales_person_confirmation'!$A:$A,0)),"CONFIRM (not logged)",IF(INDEX('12_sales_person_confirmation'!$I:$I,MATCH($A186,'12_sales_person_confirmation'!$A:$A,0))="CONFIRMED","CONFIRMED ("&amp;LOWER(INDEX('12_sales_person_confirmation'!$E:$E,MATCH($A186,'12_sales_person_confirmation'!$A:$A,0)))&amp;")","PENDING CONFIRM"))))</f>
        <v/>
      </c>
      <c r="AR186" s="2">
        <f>IF(OR(AQ186="OK",AQ186="OK (auto-fixed)"),AP186,IF(LEFT(AQ186,9)="CONFIRMED",INDEX('12_sales_person_confirmation'!$F:$F,MATCH($A186,'12_sales_person_confirmation'!$A:$A,0)),""))</f>
        <v/>
      </c>
      <c r="AS186" s="2">
        <f>IF(AR186="","",INDEX('11_3nf_sales_person'!$B:$B,MATCH(AR186,'11_3nf_sales_person'!$A:$A,0)))</f>
        <v/>
      </c>
    </row>
    <row r="187">
      <c r="A187" s="2">
        <f>IF(ISBLANK('1_raw_log'!A187),"",'1_raw_log'!A187)</f>
        <v/>
      </c>
      <c r="B187" s="3">
        <f>IF(ISBLANK('1_raw_log'!B187),"",'1_raw_log'!B187)</f>
        <v/>
      </c>
      <c r="C187" s="2">
        <f>IF(ISBLANK('1_raw_log'!C187),"",'1_raw_log'!C187)</f>
        <v/>
      </c>
      <c r="D187" s="2">
        <f>IF(ISBLANK('1_raw_log'!D187),"",'1_raw_log'!D187)</f>
        <v/>
      </c>
      <c r="E187" s="4">
        <f>IF(ISBLANK('1_raw_log'!E187),"",'1_raw_log'!E187)</f>
        <v/>
      </c>
      <c r="F187" s="2">
        <f>IF(ISBLANK('1_raw_log'!F187),"",'1_raw_log'!F187)</f>
        <v/>
      </c>
      <c r="G187" s="2">
        <f>IF(ISBLANK('1_raw_log'!G187),"",'1_raw_log'!G187)</f>
        <v/>
      </c>
      <c r="H187" s="2">
        <f>IF(ISBLANK('1_raw_log'!H187),"",'1_raw_log'!H187)</f>
        <v/>
      </c>
      <c r="I187" s="7">
        <f>IF(ISBLANK('1_raw_log'!I187),"",'1_raw_log'!I187)</f>
        <v/>
      </c>
      <c r="J187" s="2">
        <f>IF(ISBLANK('1_raw_log'!J187),"",'1_raw_log'!J187)</f>
        <v/>
      </c>
      <c r="K187" s="2">
        <f>IF(ISBLANK('1_raw_log'!K187),"",'1_raw_log'!K187)</f>
        <v/>
      </c>
      <c r="L187" s="30">
        <f>INT(B187)</f>
        <v/>
      </c>
      <c r="M187" s="20">
        <f>ROUND(MOD(B187,1)*1440,0)/1440</f>
        <v/>
      </c>
      <c r="N187" s="4">
        <f>IFERROR(INDEX('3_ref_date'!$B:$B,MATCH(L187,'3_ref_date'!$A:$A,0)),"NOT FOUND")</f>
        <v/>
      </c>
      <c r="O187" s="2">
        <f>IFERROR(INDEX('3_ref_date'!$C:$C,MATCH(L187,'3_ref_date'!$A:$A,0)),"NOT FOUND")</f>
        <v/>
      </c>
      <c r="P187" s="4">
        <f>IFERROR(INDEX('3_ref_date'!$D:$D,MATCH(L187,'3_ref_date'!$A:$A,0)),"NOT FOUND")</f>
        <v/>
      </c>
      <c r="Q187" s="4">
        <f>IFERROR(INDEX('3_ref_date'!$E:$E,MATCH(L187,'3_ref_date'!$A:$A,0)),"NOT FOUND")</f>
        <v/>
      </c>
      <c r="R187" s="2">
        <f>IFERROR(INDEX('3_ref_date'!$F:$F,MATCH(L187,'3_ref_date'!$A:$A,0)),"NOT FOUND")</f>
        <v/>
      </c>
      <c r="S187" s="2">
        <f>IFERROR(INDEX('4_ref_time'!$D:$D,MATCH(ROUND(M187*1440,0),'4_ref_time'!$A:$A,0)),"NOT FOUND")</f>
        <v/>
      </c>
      <c r="T187" s="2">
        <f>UPPER(TRIM(C187))</f>
        <v/>
      </c>
      <c r="U187" s="30">
        <f>IF(_xlfn.MAXIFS('6_3nf_branch_history'!$B$2:$B$50,'6_3nf_branch_history'!$A$2:$A$50,T187,'6_3nf_branch_history'!$B$2:$B$50,"&lt;="&amp;L187)=0,"NOT FOUND",_xlfn.MAXIFS('6_3nf_branch_history'!$B$2:$B$50,'6_3nf_branch_history'!$A$2:$A$50,T187,'6_3nf_branch_history'!$B$2:$B$50,"&lt;="&amp;L187))</f>
        <v/>
      </c>
      <c r="V187" s="2">
        <f>IF(U187="NOT FOUND","NOT FOUND",INDEX('6_3nf_branch_history'!$C:$C,SUMPRODUCT(('6_3nf_branch_history'!$A$2:$A$50=T187)*('6_3nf_branch_history'!$B$2:$B$50=U187)*ROW('6_3nf_branch_history'!$A$2:$A$50))))</f>
        <v/>
      </c>
      <c r="W187" s="2">
        <f>IF(U187="NOT FOUND","NOT FOUND",INDEX('6_3nf_branch_history'!$D:$D,SUMPRODUCT(('6_3nf_branch_history'!$A$2:$A$50=T187)*('6_3nf_branch_history'!$B$2:$B$50=U187)*ROW('6_3nf_branch_history'!$A$2:$A$50))))</f>
        <v/>
      </c>
      <c r="X187" s="2">
        <f>IF(U187="NOT FOUND","NOT FOUND",INDEX('6_3nf_branch_history'!$E:$E,SUMPRODUCT(('6_3nf_branch_history'!$A$2:$A$50=T187)*('6_3nf_branch_history'!$B$2:$B$50=U187)*ROW('6_3nf_branch_history'!$A$2:$A$50))))</f>
        <v/>
      </c>
      <c r="Y187" s="2">
        <f>UPPER(TRIM(D187))</f>
        <v/>
      </c>
      <c r="Z187" s="2">
        <f>IFERROR(INDEX('7_3nf_product'!$B:$B,MATCH(Y187,'7_3nf_product'!$A:$A,0)),"NOT FOUND")</f>
        <v/>
      </c>
      <c r="AA187" s="2">
        <f>IFERROR(INDEX('7_3nf_product'!$C:$C,MATCH(Y187,'7_3nf_product'!$A:$A,0)),"NOT FOUND")</f>
        <v/>
      </c>
      <c r="AB187" s="2">
        <f>IFERROR(INDEX('7_3nf_product'!$D:$D,MATCH(Y187,'7_3nf_product'!$A:$A,0)),"NOT FOUND")</f>
        <v/>
      </c>
      <c r="AC187" s="6">
        <f>IFERROR(INDEX('7_3nf_product'!$E:$E,MATCH(Y187,'7_3nf_product'!$A:$A,0)),"NOT FOUND")</f>
        <v/>
      </c>
      <c r="AD187" s="33">
        <f>IF(LEN(TRIM(E187))=10,TRIM(E187),IF(LEN(TRIM(E187))=8,"00"&amp;TRIM(E187),"CHECK"))</f>
        <v/>
      </c>
      <c r="AE187" s="2">
        <f>IFERROR(INDEX('8_3nf_customer'!$C:$C,MATCH(AD187,'8_3nf_customer'!$B:$B,0)),"NOT FOUND")</f>
        <v/>
      </c>
      <c r="AF187" s="30">
        <f>IFERROR(INDEX('8_3nf_customer'!$D:$D,MATCH(AD187,'8_3nf_customer'!$B:$B,0)),"NOT FOUND")</f>
        <v/>
      </c>
      <c r="AG187" s="4">
        <f>IF(ISNUMBER(AF187),DATEDIF(AF187,L187,"y"),"NOT FOUND")</f>
        <v/>
      </c>
      <c r="AH187" s="2">
        <f>IFERROR(INDEX('8_3nf_customer'!$E:$E,MATCH(AD187,'8_3nf_customer'!$B:$B,0)),"NOT FOUND")</f>
        <v/>
      </c>
      <c r="AI187" s="30">
        <f>IF(_xlfn.MAXIFS('9_3nf_customer_history'!$B$2:$B$500,'9_3nf_customer_history'!$A$2:$A$500,AD187,'9_3nf_customer_history'!$B$2:$B$500,"&lt;="&amp;L187)=0,"NOT FOUND",_xlfn.MAXIFS('9_3nf_customer_history'!$B$2:$B$500,'9_3nf_customer_history'!$A$2:$A$500,AD187,'9_3nf_customer_history'!$B$2:$B$500,"&lt;="&amp;L187))</f>
        <v/>
      </c>
      <c r="AJ187" s="2">
        <f>IF(AI187="NOT FOUND","NOT FOUND",INDEX('9_3nf_customer_history'!$C:$C,SUMPRODUCT(('9_3nf_customer_history'!$A$2:$A$500=AD187)*('9_3nf_customer_history'!$B$2:$B$500=AI187)*ROW('9_3nf_customer_history'!$A$2:$A$500))))</f>
        <v/>
      </c>
      <c r="AK187" s="2">
        <f>IF(AI187="NOT FOUND","NOT FOUND",INDEX('9_3nf_customer_history'!$D:$D,SUMPRODUCT(('9_3nf_customer_history'!$A$2:$A$500=AD187)*('9_3nf_customer_history'!$B$2:$B$500=AI187)*ROW('9_3nf_customer_history'!$A$2:$A$500))))</f>
        <v/>
      </c>
      <c r="AL187" s="2">
        <f>UPPER(TRIM(H187))</f>
        <v/>
      </c>
      <c r="AM187" s="30">
        <f>IF(_xlfn.MAXIFS('10_ref_fx_rate'!$B$2:$B$2000,'10_ref_fx_rate'!$A$2:$A$2000,AL187,'10_ref_fx_rate'!$B$2:$B$2000,"&lt;="&amp;L187)=0,"NOT FOUND",_xlfn.MAXIFS('10_ref_fx_rate'!$B$2:$B$2000,'10_ref_fx_rate'!$A$2:$A$2000,AL187,'10_ref_fx_rate'!$B$2:$B$2000,"&lt;="&amp;L187))</f>
        <v/>
      </c>
      <c r="AN187" s="8">
        <f>IF(AM187="NOT FOUND","NOT FOUND",SUMIFS('10_ref_fx_rate'!$D$2:$D$2000,'10_ref_fx_rate'!$A$2:$A$2000,AL187,'10_ref_fx_rate'!$B$2:$B$2000,AM187))</f>
        <v/>
      </c>
      <c r="AO187" s="37">
        <f>IF(ISNUMBER(AN187),I187*AN187,"NOT FOUND")</f>
        <v/>
      </c>
      <c r="AP187" s="2">
        <f>UPPER(TRIM(J187))</f>
        <v/>
      </c>
      <c r="AQ187" s="2">
        <f>IF(AP187="","SELF-DIRECTED",IF(ISNUMBER(MATCH(AP187,'11_3nf_sales_person'!$A:$A,0)),IF(EXACT(AP187,J187),"OK","OK (auto-fixed)"),IF(ISNA(MATCH($A187,'12_sales_person_confirmation'!$A:$A,0)),"CONFIRM (not logged)",IF(INDEX('12_sales_person_confirmation'!$I:$I,MATCH($A187,'12_sales_person_confirmation'!$A:$A,0))="CONFIRMED","CONFIRMED ("&amp;LOWER(INDEX('12_sales_person_confirmation'!$E:$E,MATCH($A187,'12_sales_person_confirmation'!$A:$A,0)))&amp;")","PENDING CONFIRM"))))</f>
        <v/>
      </c>
      <c r="AR187" s="2">
        <f>IF(OR(AQ187="OK",AQ187="OK (auto-fixed)"),AP187,IF(LEFT(AQ187,9)="CONFIRMED",INDEX('12_sales_person_confirmation'!$F:$F,MATCH($A187,'12_sales_person_confirmation'!$A:$A,0)),""))</f>
        <v/>
      </c>
      <c r="AS187" s="2">
        <f>IF(AR187="","",INDEX('11_3nf_sales_person'!$B:$B,MATCH(AR187,'11_3nf_sales_person'!$A:$A,0)))</f>
        <v/>
      </c>
    </row>
    <row r="188">
      <c r="A188" s="2">
        <f>IF(ISBLANK('1_raw_log'!A188),"",'1_raw_log'!A188)</f>
        <v/>
      </c>
      <c r="B188" s="3">
        <f>IF(ISBLANK('1_raw_log'!B188),"",'1_raw_log'!B188)</f>
        <v/>
      </c>
      <c r="C188" s="2">
        <f>IF(ISBLANK('1_raw_log'!C188),"",'1_raw_log'!C188)</f>
        <v/>
      </c>
      <c r="D188" s="2">
        <f>IF(ISBLANK('1_raw_log'!D188),"",'1_raw_log'!D188)</f>
        <v/>
      </c>
      <c r="E188" s="4">
        <f>IF(ISBLANK('1_raw_log'!E188),"",'1_raw_log'!E188)</f>
        <v/>
      </c>
      <c r="F188" s="2">
        <f>IF(ISBLANK('1_raw_log'!F188),"",'1_raw_log'!F188)</f>
        <v/>
      </c>
      <c r="G188" s="2">
        <f>IF(ISBLANK('1_raw_log'!G188),"",'1_raw_log'!G188)</f>
        <v/>
      </c>
      <c r="H188" s="2">
        <f>IF(ISBLANK('1_raw_log'!H188),"",'1_raw_log'!H188)</f>
        <v/>
      </c>
      <c r="I188" s="7">
        <f>IF(ISBLANK('1_raw_log'!I188),"",'1_raw_log'!I188)</f>
        <v/>
      </c>
      <c r="J188" s="2">
        <f>IF(ISBLANK('1_raw_log'!J188),"",'1_raw_log'!J188)</f>
        <v/>
      </c>
      <c r="K188" s="2">
        <f>IF(ISBLANK('1_raw_log'!K188),"",'1_raw_log'!K188)</f>
        <v/>
      </c>
      <c r="L188" s="30">
        <f>INT(B188)</f>
        <v/>
      </c>
      <c r="M188" s="20">
        <f>ROUND(MOD(B188,1)*1440,0)/1440</f>
        <v/>
      </c>
      <c r="N188" s="4">
        <f>IFERROR(INDEX('3_ref_date'!$B:$B,MATCH(L188,'3_ref_date'!$A:$A,0)),"NOT FOUND")</f>
        <v/>
      </c>
      <c r="O188" s="2">
        <f>IFERROR(INDEX('3_ref_date'!$C:$C,MATCH(L188,'3_ref_date'!$A:$A,0)),"NOT FOUND")</f>
        <v/>
      </c>
      <c r="P188" s="4">
        <f>IFERROR(INDEX('3_ref_date'!$D:$D,MATCH(L188,'3_ref_date'!$A:$A,0)),"NOT FOUND")</f>
        <v/>
      </c>
      <c r="Q188" s="4">
        <f>IFERROR(INDEX('3_ref_date'!$E:$E,MATCH(L188,'3_ref_date'!$A:$A,0)),"NOT FOUND")</f>
        <v/>
      </c>
      <c r="R188" s="2">
        <f>IFERROR(INDEX('3_ref_date'!$F:$F,MATCH(L188,'3_ref_date'!$A:$A,0)),"NOT FOUND")</f>
        <v/>
      </c>
      <c r="S188" s="2">
        <f>IFERROR(INDEX('4_ref_time'!$D:$D,MATCH(ROUND(M188*1440,0),'4_ref_time'!$A:$A,0)),"NOT FOUND")</f>
        <v/>
      </c>
      <c r="T188" s="2">
        <f>UPPER(TRIM(C188))</f>
        <v/>
      </c>
      <c r="U188" s="30">
        <f>IF(_xlfn.MAXIFS('6_3nf_branch_history'!$B$2:$B$50,'6_3nf_branch_history'!$A$2:$A$50,T188,'6_3nf_branch_history'!$B$2:$B$50,"&lt;="&amp;L188)=0,"NOT FOUND",_xlfn.MAXIFS('6_3nf_branch_history'!$B$2:$B$50,'6_3nf_branch_history'!$A$2:$A$50,T188,'6_3nf_branch_history'!$B$2:$B$50,"&lt;="&amp;L188))</f>
        <v/>
      </c>
      <c r="V188" s="2">
        <f>IF(U188="NOT FOUND","NOT FOUND",INDEX('6_3nf_branch_history'!$C:$C,SUMPRODUCT(('6_3nf_branch_history'!$A$2:$A$50=T188)*('6_3nf_branch_history'!$B$2:$B$50=U188)*ROW('6_3nf_branch_history'!$A$2:$A$50))))</f>
        <v/>
      </c>
      <c r="W188" s="2">
        <f>IF(U188="NOT FOUND","NOT FOUND",INDEX('6_3nf_branch_history'!$D:$D,SUMPRODUCT(('6_3nf_branch_history'!$A$2:$A$50=T188)*('6_3nf_branch_history'!$B$2:$B$50=U188)*ROW('6_3nf_branch_history'!$A$2:$A$50))))</f>
        <v/>
      </c>
      <c r="X188" s="2">
        <f>IF(U188="NOT FOUND","NOT FOUND",INDEX('6_3nf_branch_history'!$E:$E,SUMPRODUCT(('6_3nf_branch_history'!$A$2:$A$50=T188)*('6_3nf_branch_history'!$B$2:$B$50=U188)*ROW('6_3nf_branch_history'!$A$2:$A$50))))</f>
        <v/>
      </c>
      <c r="Y188" s="2">
        <f>UPPER(TRIM(D188))</f>
        <v/>
      </c>
      <c r="Z188" s="2">
        <f>IFERROR(INDEX('7_3nf_product'!$B:$B,MATCH(Y188,'7_3nf_product'!$A:$A,0)),"NOT FOUND")</f>
        <v/>
      </c>
      <c r="AA188" s="2">
        <f>IFERROR(INDEX('7_3nf_product'!$C:$C,MATCH(Y188,'7_3nf_product'!$A:$A,0)),"NOT FOUND")</f>
        <v/>
      </c>
      <c r="AB188" s="2">
        <f>IFERROR(INDEX('7_3nf_product'!$D:$D,MATCH(Y188,'7_3nf_product'!$A:$A,0)),"NOT FOUND")</f>
        <v/>
      </c>
      <c r="AC188" s="6">
        <f>IFERROR(INDEX('7_3nf_product'!$E:$E,MATCH(Y188,'7_3nf_product'!$A:$A,0)),"NOT FOUND")</f>
        <v/>
      </c>
      <c r="AD188" s="33">
        <f>IF(LEN(TRIM(E188))=10,TRIM(E188),IF(LEN(TRIM(E188))=8,"00"&amp;TRIM(E188),"CHECK"))</f>
        <v/>
      </c>
      <c r="AE188" s="2">
        <f>IFERROR(INDEX('8_3nf_customer'!$C:$C,MATCH(AD188,'8_3nf_customer'!$B:$B,0)),"NOT FOUND")</f>
        <v/>
      </c>
      <c r="AF188" s="30">
        <f>IFERROR(INDEX('8_3nf_customer'!$D:$D,MATCH(AD188,'8_3nf_customer'!$B:$B,0)),"NOT FOUND")</f>
        <v/>
      </c>
      <c r="AG188" s="4">
        <f>IF(ISNUMBER(AF188),DATEDIF(AF188,L188,"y"),"NOT FOUND")</f>
        <v/>
      </c>
      <c r="AH188" s="2">
        <f>IFERROR(INDEX('8_3nf_customer'!$E:$E,MATCH(AD188,'8_3nf_customer'!$B:$B,0)),"NOT FOUND")</f>
        <v/>
      </c>
      <c r="AI188" s="30">
        <f>IF(_xlfn.MAXIFS('9_3nf_customer_history'!$B$2:$B$500,'9_3nf_customer_history'!$A$2:$A$500,AD188,'9_3nf_customer_history'!$B$2:$B$500,"&lt;="&amp;L188)=0,"NOT FOUND",_xlfn.MAXIFS('9_3nf_customer_history'!$B$2:$B$500,'9_3nf_customer_history'!$A$2:$A$500,AD188,'9_3nf_customer_history'!$B$2:$B$500,"&lt;="&amp;L188))</f>
        <v/>
      </c>
      <c r="AJ188" s="2">
        <f>IF(AI188="NOT FOUND","NOT FOUND",INDEX('9_3nf_customer_history'!$C:$C,SUMPRODUCT(('9_3nf_customer_history'!$A$2:$A$500=AD188)*('9_3nf_customer_history'!$B$2:$B$500=AI188)*ROW('9_3nf_customer_history'!$A$2:$A$500))))</f>
        <v/>
      </c>
      <c r="AK188" s="2">
        <f>IF(AI188="NOT FOUND","NOT FOUND",INDEX('9_3nf_customer_history'!$D:$D,SUMPRODUCT(('9_3nf_customer_history'!$A$2:$A$500=AD188)*('9_3nf_customer_history'!$B$2:$B$500=AI188)*ROW('9_3nf_customer_history'!$A$2:$A$500))))</f>
        <v/>
      </c>
      <c r="AL188" s="2">
        <f>UPPER(TRIM(H188))</f>
        <v/>
      </c>
      <c r="AM188" s="30">
        <f>IF(_xlfn.MAXIFS('10_ref_fx_rate'!$B$2:$B$2000,'10_ref_fx_rate'!$A$2:$A$2000,AL188,'10_ref_fx_rate'!$B$2:$B$2000,"&lt;="&amp;L188)=0,"NOT FOUND",_xlfn.MAXIFS('10_ref_fx_rate'!$B$2:$B$2000,'10_ref_fx_rate'!$A$2:$A$2000,AL188,'10_ref_fx_rate'!$B$2:$B$2000,"&lt;="&amp;L188))</f>
        <v/>
      </c>
      <c r="AN188" s="8">
        <f>IF(AM188="NOT FOUND","NOT FOUND",SUMIFS('10_ref_fx_rate'!$D$2:$D$2000,'10_ref_fx_rate'!$A$2:$A$2000,AL188,'10_ref_fx_rate'!$B$2:$B$2000,AM188))</f>
        <v/>
      </c>
      <c r="AO188" s="37">
        <f>IF(ISNUMBER(AN188),I188*AN188,"NOT FOUND")</f>
        <v/>
      </c>
      <c r="AP188" s="2">
        <f>UPPER(TRIM(J188))</f>
        <v/>
      </c>
      <c r="AQ188" s="2">
        <f>IF(AP188="","SELF-DIRECTED",IF(ISNUMBER(MATCH(AP188,'11_3nf_sales_person'!$A:$A,0)),IF(EXACT(AP188,J188),"OK","OK (auto-fixed)"),IF(ISNA(MATCH($A188,'12_sales_person_confirmation'!$A:$A,0)),"CONFIRM (not logged)",IF(INDEX('12_sales_person_confirmation'!$I:$I,MATCH($A188,'12_sales_person_confirmation'!$A:$A,0))="CONFIRMED","CONFIRMED ("&amp;LOWER(INDEX('12_sales_person_confirmation'!$E:$E,MATCH($A188,'12_sales_person_confirmation'!$A:$A,0)))&amp;")","PENDING CONFIRM"))))</f>
        <v/>
      </c>
      <c r="AR188" s="2">
        <f>IF(OR(AQ188="OK",AQ188="OK (auto-fixed)"),AP188,IF(LEFT(AQ188,9)="CONFIRMED",INDEX('12_sales_person_confirmation'!$F:$F,MATCH($A188,'12_sales_person_confirmation'!$A:$A,0)),""))</f>
        <v/>
      </c>
      <c r="AS188" s="2">
        <f>IF(AR188="","",INDEX('11_3nf_sales_person'!$B:$B,MATCH(AR188,'11_3nf_sales_person'!$A:$A,0)))</f>
        <v/>
      </c>
    </row>
    <row r="189">
      <c r="A189" s="2">
        <f>IF(ISBLANK('1_raw_log'!A189),"",'1_raw_log'!A189)</f>
        <v/>
      </c>
      <c r="B189" s="3">
        <f>IF(ISBLANK('1_raw_log'!B189),"",'1_raw_log'!B189)</f>
        <v/>
      </c>
      <c r="C189" s="2">
        <f>IF(ISBLANK('1_raw_log'!C189),"",'1_raw_log'!C189)</f>
        <v/>
      </c>
      <c r="D189" s="2">
        <f>IF(ISBLANK('1_raw_log'!D189),"",'1_raw_log'!D189)</f>
        <v/>
      </c>
      <c r="E189" s="4">
        <f>IF(ISBLANK('1_raw_log'!E189),"",'1_raw_log'!E189)</f>
        <v/>
      </c>
      <c r="F189" s="2">
        <f>IF(ISBLANK('1_raw_log'!F189),"",'1_raw_log'!F189)</f>
        <v/>
      </c>
      <c r="G189" s="2">
        <f>IF(ISBLANK('1_raw_log'!G189),"",'1_raw_log'!G189)</f>
        <v/>
      </c>
      <c r="H189" s="2">
        <f>IF(ISBLANK('1_raw_log'!H189),"",'1_raw_log'!H189)</f>
        <v/>
      </c>
      <c r="I189" s="7">
        <f>IF(ISBLANK('1_raw_log'!I189),"",'1_raw_log'!I189)</f>
        <v/>
      </c>
      <c r="J189" s="2">
        <f>IF(ISBLANK('1_raw_log'!J189),"",'1_raw_log'!J189)</f>
        <v/>
      </c>
      <c r="K189" s="2">
        <f>IF(ISBLANK('1_raw_log'!K189),"",'1_raw_log'!K189)</f>
        <v/>
      </c>
      <c r="L189" s="30">
        <f>INT(B189)</f>
        <v/>
      </c>
      <c r="M189" s="20">
        <f>ROUND(MOD(B189,1)*1440,0)/1440</f>
        <v/>
      </c>
      <c r="N189" s="4">
        <f>IFERROR(INDEX('3_ref_date'!$B:$B,MATCH(L189,'3_ref_date'!$A:$A,0)),"NOT FOUND")</f>
        <v/>
      </c>
      <c r="O189" s="2">
        <f>IFERROR(INDEX('3_ref_date'!$C:$C,MATCH(L189,'3_ref_date'!$A:$A,0)),"NOT FOUND")</f>
        <v/>
      </c>
      <c r="P189" s="4">
        <f>IFERROR(INDEX('3_ref_date'!$D:$D,MATCH(L189,'3_ref_date'!$A:$A,0)),"NOT FOUND")</f>
        <v/>
      </c>
      <c r="Q189" s="4">
        <f>IFERROR(INDEX('3_ref_date'!$E:$E,MATCH(L189,'3_ref_date'!$A:$A,0)),"NOT FOUND")</f>
        <v/>
      </c>
      <c r="R189" s="2">
        <f>IFERROR(INDEX('3_ref_date'!$F:$F,MATCH(L189,'3_ref_date'!$A:$A,0)),"NOT FOUND")</f>
        <v/>
      </c>
      <c r="S189" s="2">
        <f>IFERROR(INDEX('4_ref_time'!$D:$D,MATCH(ROUND(M189*1440,0),'4_ref_time'!$A:$A,0)),"NOT FOUND")</f>
        <v/>
      </c>
      <c r="T189" s="2">
        <f>UPPER(TRIM(C189))</f>
        <v/>
      </c>
      <c r="U189" s="30">
        <f>IF(_xlfn.MAXIFS('6_3nf_branch_history'!$B$2:$B$50,'6_3nf_branch_history'!$A$2:$A$50,T189,'6_3nf_branch_history'!$B$2:$B$50,"&lt;="&amp;L189)=0,"NOT FOUND",_xlfn.MAXIFS('6_3nf_branch_history'!$B$2:$B$50,'6_3nf_branch_history'!$A$2:$A$50,T189,'6_3nf_branch_history'!$B$2:$B$50,"&lt;="&amp;L189))</f>
        <v/>
      </c>
      <c r="V189" s="2">
        <f>IF(U189="NOT FOUND","NOT FOUND",INDEX('6_3nf_branch_history'!$C:$C,SUMPRODUCT(('6_3nf_branch_history'!$A$2:$A$50=T189)*('6_3nf_branch_history'!$B$2:$B$50=U189)*ROW('6_3nf_branch_history'!$A$2:$A$50))))</f>
        <v/>
      </c>
      <c r="W189" s="2">
        <f>IF(U189="NOT FOUND","NOT FOUND",INDEX('6_3nf_branch_history'!$D:$D,SUMPRODUCT(('6_3nf_branch_history'!$A$2:$A$50=T189)*('6_3nf_branch_history'!$B$2:$B$50=U189)*ROW('6_3nf_branch_history'!$A$2:$A$50))))</f>
        <v/>
      </c>
      <c r="X189" s="2">
        <f>IF(U189="NOT FOUND","NOT FOUND",INDEX('6_3nf_branch_history'!$E:$E,SUMPRODUCT(('6_3nf_branch_history'!$A$2:$A$50=T189)*('6_3nf_branch_history'!$B$2:$B$50=U189)*ROW('6_3nf_branch_history'!$A$2:$A$50))))</f>
        <v/>
      </c>
      <c r="Y189" s="2">
        <f>UPPER(TRIM(D189))</f>
        <v/>
      </c>
      <c r="Z189" s="2">
        <f>IFERROR(INDEX('7_3nf_product'!$B:$B,MATCH(Y189,'7_3nf_product'!$A:$A,0)),"NOT FOUND")</f>
        <v/>
      </c>
      <c r="AA189" s="2">
        <f>IFERROR(INDEX('7_3nf_product'!$C:$C,MATCH(Y189,'7_3nf_product'!$A:$A,0)),"NOT FOUND")</f>
        <v/>
      </c>
      <c r="AB189" s="2">
        <f>IFERROR(INDEX('7_3nf_product'!$D:$D,MATCH(Y189,'7_3nf_product'!$A:$A,0)),"NOT FOUND")</f>
        <v/>
      </c>
      <c r="AC189" s="6">
        <f>IFERROR(INDEX('7_3nf_product'!$E:$E,MATCH(Y189,'7_3nf_product'!$A:$A,0)),"NOT FOUND")</f>
        <v/>
      </c>
      <c r="AD189" s="33">
        <f>IF(LEN(TRIM(E189))=10,TRIM(E189),IF(LEN(TRIM(E189))=8,"00"&amp;TRIM(E189),"CHECK"))</f>
        <v/>
      </c>
      <c r="AE189" s="2">
        <f>IFERROR(INDEX('8_3nf_customer'!$C:$C,MATCH(AD189,'8_3nf_customer'!$B:$B,0)),"NOT FOUND")</f>
        <v/>
      </c>
      <c r="AF189" s="30">
        <f>IFERROR(INDEX('8_3nf_customer'!$D:$D,MATCH(AD189,'8_3nf_customer'!$B:$B,0)),"NOT FOUND")</f>
        <v/>
      </c>
      <c r="AG189" s="4">
        <f>IF(ISNUMBER(AF189),DATEDIF(AF189,L189,"y"),"NOT FOUND")</f>
        <v/>
      </c>
      <c r="AH189" s="2">
        <f>IFERROR(INDEX('8_3nf_customer'!$E:$E,MATCH(AD189,'8_3nf_customer'!$B:$B,0)),"NOT FOUND")</f>
        <v/>
      </c>
      <c r="AI189" s="30">
        <f>IF(_xlfn.MAXIFS('9_3nf_customer_history'!$B$2:$B$500,'9_3nf_customer_history'!$A$2:$A$500,AD189,'9_3nf_customer_history'!$B$2:$B$500,"&lt;="&amp;L189)=0,"NOT FOUND",_xlfn.MAXIFS('9_3nf_customer_history'!$B$2:$B$500,'9_3nf_customer_history'!$A$2:$A$500,AD189,'9_3nf_customer_history'!$B$2:$B$500,"&lt;="&amp;L189))</f>
        <v/>
      </c>
      <c r="AJ189" s="2">
        <f>IF(AI189="NOT FOUND","NOT FOUND",INDEX('9_3nf_customer_history'!$C:$C,SUMPRODUCT(('9_3nf_customer_history'!$A$2:$A$500=AD189)*('9_3nf_customer_history'!$B$2:$B$500=AI189)*ROW('9_3nf_customer_history'!$A$2:$A$500))))</f>
        <v/>
      </c>
      <c r="AK189" s="2">
        <f>IF(AI189="NOT FOUND","NOT FOUND",INDEX('9_3nf_customer_history'!$D:$D,SUMPRODUCT(('9_3nf_customer_history'!$A$2:$A$500=AD189)*('9_3nf_customer_history'!$B$2:$B$500=AI189)*ROW('9_3nf_customer_history'!$A$2:$A$500))))</f>
        <v/>
      </c>
      <c r="AL189" s="2">
        <f>UPPER(TRIM(H189))</f>
        <v/>
      </c>
      <c r="AM189" s="30">
        <f>IF(_xlfn.MAXIFS('10_ref_fx_rate'!$B$2:$B$2000,'10_ref_fx_rate'!$A$2:$A$2000,AL189,'10_ref_fx_rate'!$B$2:$B$2000,"&lt;="&amp;L189)=0,"NOT FOUND",_xlfn.MAXIFS('10_ref_fx_rate'!$B$2:$B$2000,'10_ref_fx_rate'!$A$2:$A$2000,AL189,'10_ref_fx_rate'!$B$2:$B$2000,"&lt;="&amp;L189))</f>
        <v/>
      </c>
      <c r="AN189" s="8">
        <f>IF(AM189="NOT FOUND","NOT FOUND",SUMIFS('10_ref_fx_rate'!$D$2:$D$2000,'10_ref_fx_rate'!$A$2:$A$2000,AL189,'10_ref_fx_rate'!$B$2:$B$2000,AM189))</f>
        <v/>
      </c>
      <c r="AO189" s="37">
        <f>IF(ISNUMBER(AN189),I189*AN189,"NOT FOUND")</f>
        <v/>
      </c>
      <c r="AP189" s="2">
        <f>UPPER(TRIM(J189))</f>
        <v/>
      </c>
      <c r="AQ189" s="2">
        <f>IF(AP189="","SELF-DIRECTED",IF(ISNUMBER(MATCH(AP189,'11_3nf_sales_person'!$A:$A,0)),IF(EXACT(AP189,J189),"OK","OK (auto-fixed)"),IF(ISNA(MATCH($A189,'12_sales_person_confirmation'!$A:$A,0)),"CONFIRM (not logged)",IF(INDEX('12_sales_person_confirmation'!$I:$I,MATCH($A189,'12_sales_person_confirmation'!$A:$A,0))="CONFIRMED","CONFIRMED ("&amp;LOWER(INDEX('12_sales_person_confirmation'!$E:$E,MATCH($A189,'12_sales_person_confirmation'!$A:$A,0)))&amp;")","PENDING CONFIRM"))))</f>
        <v/>
      </c>
      <c r="AR189" s="2">
        <f>IF(OR(AQ189="OK",AQ189="OK (auto-fixed)"),AP189,IF(LEFT(AQ189,9)="CONFIRMED",INDEX('12_sales_person_confirmation'!$F:$F,MATCH($A189,'12_sales_person_confirmation'!$A:$A,0)),""))</f>
        <v/>
      </c>
      <c r="AS189" s="2">
        <f>IF(AR189="","",INDEX('11_3nf_sales_person'!$B:$B,MATCH(AR189,'11_3nf_sales_person'!$A:$A,0)))</f>
        <v/>
      </c>
    </row>
    <row r="190">
      <c r="A190" s="2">
        <f>IF(ISBLANK('1_raw_log'!A190),"",'1_raw_log'!A190)</f>
        <v/>
      </c>
      <c r="B190" s="3">
        <f>IF(ISBLANK('1_raw_log'!B190),"",'1_raw_log'!B190)</f>
        <v/>
      </c>
      <c r="C190" s="2">
        <f>IF(ISBLANK('1_raw_log'!C190),"",'1_raw_log'!C190)</f>
        <v/>
      </c>
      <c r="D190" s="2">
        <f>IF(ISBLANK('1_raw_log'!D190),"",'1_raw_log'!D190)</f>
        <v/>
      </c>
      <c r="E190" s="4">
        <f>IF(ISBLANK('1_raw_log'!E190),"",'1_raw_log'!E190)</f>
        <v/>
      </c>
      <c r="F190" s="2">
        <f>IF(ISBLANK('1_raw_log'!F190),"",'1_raw_log'!F190)</f>
        <v/>
      </c>
      <c r="G190" s="2">
        <f>IF(ISBLANK('1_raw_log'!G190),"",'1_raw_log'!G190)</f>
        <v/>
      </c>
      <c r="H190" s="2">
        <f>IF(ISBLANK('1_raw_log'!H190),"",'1_raw_log'!H190)</f>
        <v/>
      </c>
      <c r="I190" s="7">
        <f>IF(ISBLANK('1_raw_log'!I190),"",'1_raw_log'!I190)</f>
        <v/>
      </c>
      <c r="J190" s="2">
        <f>IF(ISBLANK('1_raw_log'!J190),"",'1_raw_log'!J190)</f>
        <v/>
      </c>
      <c r="K190" s="2">
        <f>IF(ISBLANK('1_raw_log'!K190),"",'1_raw_log'!K190)</f>
        <v/>
      </c>
      <c r="L190" s="30">
        <f>INT(B190)</f>
        <v/>
      </c>
      <c r="M190" s="20">
        <f>ROUND(MOD(B190,1)*1440,0)/1440</f>
        <v/>
      </c>
      <c r="N190" s="4">
        <f>IFERROR(INDEX('3_ref_date'!$B:$B,MATCH(L190,'3_ref_date'!$A:$A,0)),"NOT FOUND")</f>
        <v/>
      </c>
      <c r="O190" s="2">
        <f>IFERROR(INDEX('3_ref_date'!$C:$C,MATCH(L190,'3_ref_date'!$A:$A,0)),"NOT FOUND")</f>
        <v/>
      </c>
      <c r="P190" s="4">
        <f>IFERROR(INDEX('3_ref_date'!$D:$D,MATCH(L190,'3_ref_date'!$A:$A,0)),"NOT FOUND")</f>
        <v/>
      </c>
      <c r="Q190" s="4">
        <f>IFERROR(INDEX('3_ref_date'!$E:$E,MATCH(L190,'3_ref_date'!$A:$A,0)),"NOT FOUND")</f>
        <v/>
      </c>
      <c r="R190" s="2">
        <f>IFERROR(INDEX('3_ref_date'!$F:$F,MATCH(L190,'3_ref_date'!$A:$A,0)),"NOT FOUND")</f>
        <v/>
      </c>
      <c r="S190" s="2">
        <f>IFERROR(INDEX('4_ref_time'!$D:$D,MATCH(ROUND(M190*1440,0),'4_ref_time'!$A:$A,0)),"NOT FOUND")</f>
        <v/>
      </c>
      <c r="T190" s="2">
        <f>UPPER(TRIM(C190))</f>
        <v/>
      </c>
      <c r="U190" s="30">
        <f>IF(_xlfn.MAXIFS('6_3nf_branch_history'!$B$2:$B$50,'6_3nf_branch_history'!$A$2:$A$50,T190,'6_3nf_branch_history'!$B$2:$B$50,"&lt;="&amp;L190)=0,"NOT FOUND",_xlfn.MAXIFS('6_3nf_branch_history'!$B$2:$B$50,'6_3nf_branch_history'!$A$2:$A$50,T190,'6_3nf_branch_history'!$B$2:$B$50,"&lt;="&amp;L190))</f>
        <v/>
      </c>
      <c r="V190" s="2">
        <f>IF(U190="NOT FOUND","NOT FOUND",INDEX('6_3nf_branch_history'!$C:$C,SUMPRODUCT(('6_3nf_branch_history'!$A$2:$A$50=T190)*('6_3nf_branch_history'!$B$2:$B$50=U190)*ROW('6_3nf_branch_history'!$A$2:$A$50))))</f>
        <v/>
      </c>
      <c r="W190" s="2">
        <f>IF(U190="NOT FOUND","NOT FOUND",INDEX('6_3nf_branch_history'!$D:$D,SUMPRODUCT(('6_3nf_branch_history'!$A$2:$A$50=T190)*('6_3nf_branch_history'!$B$2:$B$50=U190)*ROW('6_3nf_branch_history'!$A$2:$A$50))))</f>
        <v/>
      </c>
      <c r="X190" s="2">
        <f>IF(U190="NOT FOUND","NOT FOUND",INDEX('6_3nf_branch_history'!$E:$E,SUMPRODUCT(('6_3nf_branch_history'!$A$2:$A$50=T190)*('6_3nf_branch_history'!$B$2:$B$50=U190)*ROW('6_3nf_branch_history'!$A$2:$A$50))))</f>
        <v/>
      </c>
      <c r="Y190" s="2">
        <f>UPPER(TRIM(D190))</f>
        <v/>
      </c>
      <c r="Z190" s="2">
        <f>IFERROR(INDEX('7_3nf_product'!$B:$B,MATCH(Y190,'7_3nf_product'!$A:$A,0)),"NOT FOUND")</f>
        <v/>
      </c>
      <c r="AA190" s="2">
        <f>IFERROR(INDEX('7_3nf_product'!$C:$C,MATCH(Y190,'7_3nf_product'!$A:$A,0)),"NOT FOUND")</f>
        <v/>
      </c>
      <c r="AB190" s="2">
        <f>IFERROR(INDEX('7_3nf_product'!$D:$D,MATCH(Y190,'7_3nf_product'!$A:$A,0)),"NOT FOUND")</f>
        <v/>
      </c>
      <c r="AC190" s="6">
        <f>IFERROR(INDEX('7_3nf_product'!$E:$E,MATCH(Y190,'7_3nf_product'!$A:$A,0)),"NOT FOUND")</f>
        <v/>
      </c>
      <c r="AD190" s="33">
        <f>IF(LEN(TRIM(E190))=10,TRIM(E190),IF(LEN(TRIM(E190))=8,"00"&amp;TRIM(E190),"CHECK"))</f>
        <v/>
      </c>
      <c r="AE190" s="2">
        <f>IFERROR(INDEX('8_3nf_customer'!$C:$C,MATCH(AD190,'8_3nf_customer'!$B:$B,0)),"NOT FOUND")</f>
        <v/>
      </c>
      <c r="AF190" s="30">
        <f>IFERROR(INDEX('8_3nf_customer'!$D:$D,MATCH(AD190,'8_3nf_customer'!$B:$B,0)),"NOT FOUND")</f>
        <v/>
      </c>
      <c r="AG190" s="4">
        <f>IF(ISNUMBER(AF190),DATEDIF(AF190,L190,"y"),"NOT FOUND")</f>
        <v/>
      </c>
      <c r="AH190" s="2">
        <f>IFERROR(INDEX('8_3nf_customer'!$E:$E,MATCH(AD190,'8_3nf_customer'!$B:$B,0)),"NOT FOUND")</f>
        <v/>
      </c>
      <c r="AI190" s="30">
        <f>IF(_xlfn.MAXIFS('9_3nf_customer_history'!$B$2:$B$500,'9_3nf_customer_history'!$A$2:$A$500,AD190,'9_3nf_customer_history'!$B$2:$B$500,"&lt;="&amp;L190)=0,"NOT FOUND",_xlfn.MAXIFS('9_3nf_customer_history'!$B$2:$B$500,'9_3nf_customer_history'!$A$2:$A$500,AD190,'9_3nf_customer_history'!$B$2:$B$500,"&lt;="&amp;L190))</f>
        <v/>
      </c>
      <c r="AJ190" s="2">
        <f>IF(AI190="NOT FOUND","NOT FOUND",INDEX('9_3nf_customer_history'!$C:$C,SUMPRODUCT(('9_3nf_customer_history'!$A$2:$A$500=AD190)*('9_3nf_customer_history'!$B$2:$B$500=AI190)*ROW('9_3nf_customer_history'!$A$2:$A$500))))</f>
        <v/>
      </c>
      <c r="AK190" s="2">
        <f>IF(AI190="NOT FOUND","NOT FOUND",INDEX('9_3nf_customer_history'!$D:$D,SUMPRODUCT(('9_3nf_customer_history'!$A$2:$A$500=AD190)*('9_3nf_customer_history'!$B$2:$B$500=AI190)*ROW('9_3nf_customer_history'!$A$2:$A$500))))</f>
        <v/>
      </c>
      <c r="AL190" s="2">
        <f>UPPER(TRIM(H190))</f>
        <v/>
      </c>
      <c r="AM190" s="30">
        <f>IF(_xlfn.MAXIFS('10_ref_fx_rate'!$B$2:$B$2000,'10_ref_fx_rate'!$A$2:$A$2000,AL190,'10_ref_fx_rate'!$B$2:$B$2000,"&lt;="&amp;L190)=0,"NOT FOUND",_xlfn.MAXIFS('10_ref_fx_rate'!$B$2:$B$2000,'10_ref_fx_rate'!$A$2:$A$2000,AL190,'10_ref_fx_rate'!$B$2:$B$2000,"&lt;="&amp;L190))</f>
        <v/>
      </c>
      <c r="AN190" s="8">
        <f>IF(AM190="NOT FOUND","NOT FOUND",SUMIFS('10_ref_fx_rate'!$D$2:$D$2000,'10_ref_fx_rate'!$A$2:$A$2000,AL190,'10_ref_fx_rate'!$B$2:$B$2000,AM190))</f>
        <v/>
      </c>
      <c r="AO190" s="37">
        <f>IF(ISNUMBER(AN190),I190*AN190,"NOT FOUND")</f>
        <v/>
      </c>
      <c r="AP190" s="2">
        <f>UPPER(TRIM(J190))</f>
        <v/>
      </c>
      <c r="AQ190" s="2">
        <f>IF(AP190="","SELF-DIRECTED",IF(ISNUMBER(MATCH(AP190,'11_3nf_sales_person'!$A:$A,0)),IF(EXACT(AP190,J190),"OK","OK (auto-fixed)"),IF(ISNA(MATCH($A190,'12_sales_person_confirmation'!$A:$A,0)),"CONFIRM (not logged)",IF(INDEX('12_sales_person_confirmation'!$I:$I,MATCH($A190,'12_sales_person_confirmation'!$A:$A,0))="CONFIRMED","CONFIRMED ("&amp;LOWER(INDEX('12_sales_person_confirmation'!$E:$E,MATCH($A190,'12_sales_person_confirmation'!$A:$A,0)))&amp;")","PENDING CONFIRM"))))</f>
        <v/>
      </c>
      <c r="AR190" s="2">
        <f>IF(OR(AQ190="OK",AQ190="OK (auto-fixed)"),AP190,IF(LEFT(AQ190,9)="CONFIRMED",INDEX('12_sales_person_confirmation'!$F:$F,MATCH($A190,'12_sales_person_confirmation'!$A:$A,0)),""))</f>
        <v/>
      </c>
      <c r="AS190" s="2">
        <f>IF(AR190="","",INDEX('11_3nf_sales_person'!$B:$B,MATCH(AR190,'11_3nf_sales_person'!$A:$A,0)))</f>
        <v/>
      </c>
    </row>
    <row r="191">
      <c r="A191" s="2">
        <f>IF(ISBLANK('1_raw_log'!A191),"",'1_raw_log'!A191)</f>
        <v/>
      </c>
      <c r="B191" s="3">
        <f>IF(ISBLANK('1_raw_log'!B191),"",'1_raw_log'!B191)</f>
        <v/>
      </c>
      <c r="C191" s="2">
        <f>IF(ISBLANK('1_raw_log'!C191),"",'1_raw_log'!C191)</f>
        <v/>
      </c>
      <c r="D191" s="2">
        <f>IF(ISBLANK('1_raw_log'!D191),"",'1_raw_log'!D191)</f>
        <v/>
      </c>
      <c r="E191" s="4">
        <f>IF(ISBLANK('1_raw_log'!E191),"",'1_raw_log'!E191)</f>
        <v/>
      </c>
      <c r="F191" s="2">
        <f>IF(ISBLANK('1_raw_log'!F191),"",'1_raw_log'!F191)</f>
        <v/>
      </c>
      <c r="G191" s="2">
        <f>IF(ISBLANK('1_raw_log'!G191),"",'1_raw_log'!G191)</f>
        <v/>
      </c>
      <c r="H191" s="2">
        <f>IF(ISBLANK('1_raw_log'!H191),"",'1_raw_log'!H191)</f>
        <v/>
      </c>
      <c r="I191" s="7">
        <f>IF(ISBLANK('1_raw_log'!I191),"",'1_raw_log'!I191)</f>
        <v/>
      </c>
      <c r="J191" s="2">
        <f>IF(ISBLANK('1_raw_log'!J191),"",'1_raw_log'!J191)</f>
        <v/>
      </c>
      <c r="K191" s="2">
        <f>IF(ISBLANK('1_raw_log'!K191),"",'1_raw_log'!K191)</f>
        <v/>
      </c>
      <c r="L191" s="30">
        <f>INT(B191)</f>
        <v/>
      </c>
      <c r="M191" s="20">
        <f>ROUND(MOD(B191,1)*1440,0)/1440</f>
        <v/>
      </c>
      <c r="N191" s="4">
        <f>IFERROR(INDEX('3_ref_date'!$B:$B,MATCH(L191,'3_ref_date'!$A:$A,0)),"NOT FOUND")</f>
        <v/>
      </c>
      <c r="O191" s="2">
        <f>IFERROR(INDEX('3_ref_date'!$C:$C,MATCH(L191,'3_ref_date'!$A:$A,0)),"NOT FOUND")</f>
        <v/>
      </c>
      <c r="P191" s="4">
        <f>IFERROR(INDEX('3_ref_date'!$D:$D,MATCH(L191,'3_ref_date'!$A:$A,0)),"NOT FOUND")</f>
        <v/>
      </c>
      <c r="Q191" s="4">
        <f>IFERROR(INDEX('3_ref_date'!$E:$E,MATCH(L191,'3_ref_date'!$A:$A,0)),"NOT FOUND")</f>
        <v/>
      </c>
      <c r="R191" s="2">
        <f>IFERROR(INDEX('3_ref_date'!$F:$F,MATCH(L191,'3_ref_date'!$A:$A,0)),"NOT FOUND")</f>
        <v/>
      </c>
      <c r="S191" s="2">
        <f>IFERROR(INDEX('4_ref_time'!$D:$D,MATCH(ROUND(M191*1440,0),'4_ref_time'!$A:$A,0)),"NOT FOUND")</f>
        <v/>
      </c>
      <c r="T191" s="2">
        <f>UPPER(TRIM(C191))</f>
        <v/>
      </c>
      <c r="U191" s="30">
        <f>IF(_xlfn.MAXIFS('6_3nf_branch_history'!$B$2:$B$50,'6_3nf_branch_history'!$A$2:$A$50,T191,'6_3nf_branch_history'!$B$2:$B$50,"&lt;="&amp;L191)=0,"NOT FOUND",_xlfn.MAXIFS('6_3nf_branch_history'!$B$2:$B$50,'6_3nf_branch_history'!$A$2:$A$50,T191,'6_3nf_branch_history'!$B$2:$B$50,"&lt;="&amp;L191))</f>
        <v/>
      </c>
      <c r="V191" s="2">
        <f>IF(U191="NOT FOUND","NOT FOUND",INDEX('6_3nf_branch_history'!$C:$C,SUMPRODUCT(('6_3nf_branch_history'!$A$2:$A$50=T191)*('6_3nf_branch_history'!$B$2:$B$50=U191)*ROW('6_3nf_branch_history'!$A$2:$A$50))))</f>
        <v/>
      </c>
      <c r="W191" s="2">
        <f>IF(U191="NOT FOUND","NOT FOUND",INDEX('6_3nf_branch_history'!$D:$D,SUMPRODUCT(('6_3nf_branch_history'!$A$2:$A$50=T191)*('6_3nf_branch_history'!$B$2:$B$50=U191)*ROW('6_3nf_branch_history'!$A$2:$A$50))))</f>
        <v/>
      </c>
      <c r="X191" s="2">
        <f>IF(U191="NOT FOUND","NOT FOUND",INDEX('6_3nf_branch_history'!$E:$E,SUMPRODUCT(('6_3nf_branch_history'!$A$2:$A$50=T191)*('6_3nf_branch_history'!$B$2:$B$50=U191)*ROW('6_3nf_branch_history'!$A$2:$A$50))))</f>
        <v/>
      </c>
      <c r="Y191" s="2">
        <f>UPPER(TRIM(D191))</f>
        <v/>
      </c>
      <c r="Z191" s="2">
        <f>IFERROR(INDEX('7_3nf_product'!$B:$B,MATCH(Y191,'7_3nf_product'!$A:$A,0)),"NOT FOUND")</f>
        <v/>
      </c>
      <c r="AA191" s="2">
        <f>IFERROR(INDEX('7_3nf_product'!$C:$C,MATCH(Y191,'7_3nf_product'!$A:$A,0)),"NOT FOUND")</f>
        <v/>
      </c>
      <c r="AB191" s="2">
        <f>IFERROR(INDEX('7_3nf_product'!$D:$D,MATCH(Y191,'7_3nf_product'!$A:$A,0)),"NOT FOUND")</f>
        <v/>
      </c>
      <c r="AC191" s="6">
        <f>IFERROR(INDEX('7_3nf_product'!$E:$E,MATCH(Y191,'7_3nf_product'!$A:$A,0)),"NOT FOUND")</f>
        <v/>
      </c>
      <c r="AD191" s="33">
        <f>IF(LEN(TRIM(E191))=10,TRIM(E191),IF(LEN(TRIM(E191))=8,"00"&amp;TRIM(E191),"CHECK"))</f>
        <v/>
      </c>
      <c r="AE191" s="2">
        <f>IFERROR(INDEX('8_3nf_customer'!$C:$C,MATCH(AD191,'8_3nf_customer'!$B:$B,0)),"NOT FOUND")</f>
        <v/>
      </c>
      <c r="AF191" s="30">
        <f>IFERROR(INDEX('8_3nf_customer'!$D:$D,MATCH(AD191,'8_3nf_customer'!$B:$B,0)),"NOT FOUND")</f>
        <v/>
      </c>
      <c r="AG191" s="4">
        <f>IF(ISNUMBER(AF191),DATEDIF(AF191,L191,"y"),"NOT FOUND")</f>
        <v/>
      </c>
      <c r="AH191" s="2">
        <f>IFERROR(INDEX('8_3nf_customer'!$E:$E,MATCH(AD191,'8_3nf_customer'!$B:$B,0)),"NOT FOUND")</f>
        <v/>
      </c>
      <c r="AI191" s="30">
        <f>IF(_xlfn.MAXIFS('9_3nf_customer_history'!$B$2:$B$500,'9_3nf_customer_history'!$A$2:$A$500,AD191,'9_3nf_customer_history'!$B$2:$B$500,"&lt;="&amp;L191)=0,"NOT FOUND",_xlfn.MAXIFS('9_3nf_customer_history'!$B$2:$B$500,'9_3nf_customer_history'!$A$2:$A$500,AD191,'9_3nf_customer_history'!$B$2:$B$500,"&lt;="&amp;L191))</f>
        <v/>
      </c>
      <c r="AJ191" s="2">
        <f>IF(AI191="NOT FOUND","NOT FOUND",INDEX('9_3nf_customer_history'!$C:$C,SUMPRODUCT(('9_3nf_customer_history'!$A$2:$A$500=AD191)*('9_3nf_customer_history'!$B$2:$B$500=AI191)*ROW('9_3nf_customer_history'!$A$2:$A$500))))</f>
        <v/>
      </c>
      <c r="AK191" s="2">
        <f>IF(AI191="NOT FOUND","NOT FOUND",INDEX('9_3nf_customer_history'!$D:$D,SUMPRODUCT(('9_3nf_customer_history'!$A$2:$A$500=AD191)*('9_3nf_customer_history'!$B$2:$B$500=AI191)*ROW('9_3nf_customer_history'!$A$2:$A$500))))</f>
        <v/>
      </c>
      <c r="AL191" s="2">
        <f>UPPER(TRIM(H191))</f>
        <v/>
      </c>
      <c r="AM191" s="30">
        <f>IF(_xlfn.MAXIFS('10_ref_fx_rate'!$B$2:$B$2000,'10_ref_fx_rate'!$A$2:$A$2000,AL191,'10_ref_fx_rate'!$B$2:$B$2000,"&lt;="&amp;L191)=0,"NOT FOUND",_xlfn.MAXIFS('10_ref_fx_rate'!$B$2:$B$2000,'10_ref_fx_rate'!$A$2:$A$2000,AL191,'10_ref_fx_rate'!$B$2:$B$2000,"&lt;="&amp;L191))</f>
        <v/>
      </c>
      <c r="AN191" s="8">
        <f>IF(AM191="NOT FOUND","NOT FOUND",SUMIFS('10_ref_fx_rate'!$D$2:$D$2000,'10_ref_fx_rate'!$A$2:$A$2000,AL191,'10_ref_fx_rate'!$B$2:$B$2000,AM191))</f>
        <v/>
      </c>
      <c r="AO191" s="37">
        <f>IF(ISNUMBER(AN191),I191*AN191,"NOT FOUND")</f>
        <v/>
      </c>
      <c r="AP191" s="2">
        <f>UPPER(TRIM(J191))</f>
        <v/>
      </c>
      <c r="AQ191" s="2">
        <f>IF(AP191="","SELF-DIRECTED",IF(ISNUMBER(MATCH(AP191,'11_3nf_sales_person'!$A:$A,0)),IF(EXACT(AP191,J191),"OK","OK (auto-fixed)"),IF(ISNA(MATCH($A191,'12_sales_person_confirmation'!$A:$A,0)),"CONFIRM (not logged)",IF(INDEX('12_sales_person_confirmation'!$I:$I,MATCH($A191,'12_sales_person_confirmation'!$A:$A,0))="CONFIRMED","CONFIRMED ("&amp;LOWER(INDEX('12_sales_person_confirmation'!$E:$E,MATCH($A191,'12_sales_person_confirmation'!$A:$A,0)))&amp;")","PENDING CONFIRM"))))</f>
        <v/>
      </c>
      <c r="AR191" s="2">
        <f>IF(OR(AQ191="OK",AQ191="OK (auto-fixed)"),AP191,IF(LEFT(AQ191,9)="CONFIRMED",INDEX('12_sales_person_confirmation'!$F:$F,MATCH($A191,'12_sales_person_confirmation'!$A:$A,0)),""))</f>
        <v/>
      </c>
      <c r="AS191" s="2">
        <f>IF(AR191="","",INDEX('11_3nf_sales_person'!$B:$B,MATCH(AR191,'11_3nf_sales_person'!$A:$A,0)))</f>
        <v/>
      </c>
    </row>
    <row r="192">
      <c r="A192" s="2">
        <f>IF(ISBLANK('1_raw_log'!A192),"",'1_raw_log'!A192)</f>
        <v/>
      </c>
      <c r="B192" s="3">
        <f>IF(ISBLANK('1_raw_log'!B192),"",'1_raw_log'!B192)</f>
        <v/>
      </c>
      <c r="C192" s="2">
        <f>IF(ISBLANK('1_raw_log'!C192),"",'1_raw_log'!C192)</f>
        <v/>
      </c>
      <c r="D192" s="2">
        <f>IF(ISBLANK('1_raw_log'!D192),"",'1_raw_log'!D192)</f>
        <v/>
      </c>
      <c r="E192" s="4">
        <f>IF(ISBLANK('1_raw_log'!E192),"",'1_raw_log'!E192)</f>
        <v/>
      </c>
      <c r="F192" s="2">
        <f>IF(ISBLANK('1_raw_log'!F192),"",'1_raw_log'!F192)</f>
        <v/>
      </c>
      <c r="G192" s="2">
        <f>IF(ISBLANK('1_raw_log'!G192),"",'1_raw_log'!G192)</f>
        <v/>
      </c>
      <c r="H192" s="2">
        <f>IF(ISBLANK('1_raw_log'!H192),"",'1_raw_log'!H192)</f>
        <v/>
      </c>
      <c r="I192" s="7">
        <f>IF(ISBLANK('1_raw_log'!I192),"",'1_raw_log'!I192)</f>
        <v/>
      </c>
      <c r="J192" s="2">
        <f>IF(ISBLANK('1_raw_log'!J192),"",'1_raw_log'!J192)</f>
        <v/>
      </c>
      <c r="K192" s="2">
        <f>IF(ISBLANK('1_raw_log'!K192),"",'1_raw_log'!K192)</f>
        <v/>
      </c>
      <c r="L192" s="30">
        <f>INT(B192)</f>
        <v/>
      </c>
      <c r="M192" s="20">
        <f>ROUND(MOD(B192,1)*1440,0)/1440</f>
        <v/>
      </c>
      <c r="N192" s="4">
        <f>IFERROR(INDEX('3_ref_date'!$B:$B,MATCH(L192,'3_ref_date'!$A:$A,0)),"NOT FOUND")</f>
        <v/>
      </c>
      <c r="O192" s="2">
        <f>IFERROR(INDEX('3_ref_date'!$C:$C,MATCH(L192,'3_ref_date'!$A:$A,0)),"NOT FOUND")</f>
        <v/>
      </c>
      <c r="P192" s="4">
        <f>IFERROR(INDEX('3_ref_date'!$D:$D,MATCH(L192,'3_ref_date'!$A:$A,0)),"NOT FOUND")</f>
        <v/>
      </c>
      <c r="Q192" s="4">
        <f>IFERROR(INDEX('3_ref_date'!$E:$E,MATCH(L192,'3_ref_date'!$A:$A,0)),"NOT FOUND")</f>
        <v/>
      </c>
      <c r="R192" s="2">
        <f>IFERROR(INDEX('3_ref_date'!$F:$F,MATCH(L192,'3_ref_date'!$A:$A,0)),"NOT FOUND")</f>
        <v/>
      </c>
      <c r="S192" s="2">
        <f>IFERROR(INDEX('4_ref_time'!$D:$D,MATCH(ROUND(M192*1440,0),'4_ref_time'!$A:$A,0)),"NOT FOUND")</f>
        <v/>
      </c>
      <c r="T192" s="2">
        <f>UPPER(TRIM(C192))</f>
        <v/>
      </c>
      <c r="U192" s="30">
        <f>IF(_xlfn.MAXIFS('6_3nf_branch_history'!$B$2:$B$50,'6_3nf_branch_history'!$A$2:$A$50,T192,'6_3nf_branch_history'!$B$2:$B$50,"&lt;="&amp;L192)=0,"NOT FOUND",_xlfn.MAXIFS('6_3nf_branch_history'!$B$2:$B$50,'6_3nf_branch_history'!$A$2:$A$50,T192,'6_3nf_branch_history'!$B$2:$B$50,"&lt;="&amp;L192))</f>
        <v/>
      </c>
      <c r="V192" s="2">
        <f>IF(U192="NOT FOUND","NOT FOUND",INDEX('6_3nf_branch_history'!$C:$C,SUMPRODUCT(('6_3nf_branch_history'!$A$2:$A$50=T192)*('6_3nf_branch_history'!$B$2:$B$50=U192)*ROW('6_3nf_branch_history'!$A$2:$A$50))))</f>
        <v/>
      </c>
      <c r="W192" s="2">
        <f>IF(U192="NOT FOUND","NOT FOUND",INDEX('6_3nf_branch_history'!$D:$D,SUMPRODUCT(('6_3nf_branch_history'!$A$2:$A$50=T192)*('6_3nf_branch_history'!$B$2:$B$50=U192)*ROW('6_3nf_branch_history'!$A$2:$A$50))))</f>
        <v/>
      </c>
      <c r="X192" s="2">
        <f>IF(U192="NOT FOUND","NOT FOUND",INDEX('6_3nf_branch_history'!$E:$E,SUMPRODUCT(('6_3nf_branch_history'!$A$2:$A$50=T192)*('6_3nf_branch_history'!$B$2:$B$50=U192)*ROW('6_3nf_branch_history'!$A$2:$A$50))))</f>
        <v/>
      </c>
      <c r="Y192" s="2">
        <f>UPPER(TRIM(D192))</f>
        <v/>
      </c>
      <c r="Z192" s="2">
        <f>IFERROR(INDEX('7_3nf_product'!$B:$B,MATCH(Y192,'7_3nf_product'!$A:$A,0)),"NOT FOUND")</f>
        <v/>
      </c>
      <c r="AA192" s="2">
        <f>IFERROR(INDEX('7_3nf_product'!$C:$C,MATCH(Y192,'7_3nf_product'!$A:$A,0)),"NOT FOUND")</f>
        <v/>
      </c>
      <c r="AB192" s="2">
        <f>IFERROR(INDEX('7_3nf_product'!$D:$D,MATCH(Y192,'7_3nf_product'!$A:$A,0)),"NOT FOUND")</f>
        <v/>
      </c>
      <c r="AC192" s="6">
        <f>IFERROR(INDEX('7_3nf_product'!$E:$E,MATCH(Y192,'7_3nf_product'!$A:$A,0)),"NOT FOUND")</f>
        <v/>
      </c>
      <c r="AD192" s="33">
        <f>IF(LEN(TRIM(E192))=10,TRIM(E192),IF(LEN(TRIM(E192))=8,"00"&amp;TRIM(E192),"CHECK"))</f>
        <v/>
      </c>
      <c r="AE192" s="2">
        <f>IFERROR(INDEX('8_3nf_customer'!$C:$C,MATCH(AD192,'8_3nf_customer'!$B:$B,0)),"NOT FOUND")</f>
        <v/>
      </c>
      <c r="AF192" s="30">
        <f>IFERROR(INDEX('8_3nf_customer'!$D:$D,MATCH(AD192,'8_3nf_customer'!$B:$B,0)),"NOT FOUND")</f>
        <v/>
      </c>
      <c r="AG192" s="4">
        <f>IF(ISNUMBER(AF192),DATEDIF(AF192,L192,"y"),"NOT FOUND")</f>
        <v/>
      </c>
      <c r="AH192" s="2">
        <f>IFERROR(INDEX('8_3nf_customer'!$E:$E,MATCH(AD192,'8_3nf_customer'!$B:$B,0)),"NOT FOUND")</f>
        <v/>
      </c>
      <c r="AI192" s="30">
        <f>IF(_xlfn.MAXIFS('9_3nf_customer_history'!$B$2:$B$500,'9_3nf_customer_history'!$A$2:$A$500,AD192,'9_3nf_customer_history'!$B$2:$B$500,"&lt;="&amp;L192)=0,"NOT FOUND",_xlfn.MAXIFS('9_3nf_customer_history'!$B$2:$B$500,'9_3nf_customer_history'!$A$2:$A$500,AD192,'9_3nf_customer_history'!$B$2:$B$500,"&lt;="&amp;L192))</f>
        <v/>
      </c>
      <c r="AJ192" s="2">
        <f>IF(AI192="NOT FOUND","NOT FOUND",INDEX('9_3nf_customer_history'!$C:$C,SUMPRODUCT(('9_3nf_customer_history'!$A$2:$A$500=AD192)*('9_3nf_customer_history'!$B$2:$B$500=AI192)*ROW('9_3nf_customer_history'!$A$2:$A$500))))</f>
        <v/>
      </c>
      <c r="AK192" s="2">
        <f>IF(AI192="NOT FOUND","NOT FOUND",INDEX('9_3nf_customer_history'!$D:$D,SUMPRODUCT(('9_3nf_customer_history'!$A$2:$A$500=AD192)*('9_3nf_customer_history'!$B$2:$B$500=AI192)*ROW('9_3nf_customer_history'!$A$2:$A$500))))</f>
        <v/>
      </c>
      <c r="AL192" s="2">
        <f>UPPER(TRIM(H192))</f>
        <v/>
      </c>
      <c r="AM192" s="30">
        <f>IF(_xlfn.MAXIFS('10_ref_fx_rate'!$B$2:$B$2000,'10_ref_fx_rate'!$A$2:$A$2000,AL192,'10_ref_fx_rate'!$B$2:$B$2000,"&lt;="&amp;L192)=0,"NOT FOUND",_xlfn.MAXIFS('10_ref_fx_rate'!$B$2:$B$2000,'10_ref_fx_rate'!$A$2:$A$2000,AL192,'10_ref_fx_rate'!$B$2:$B$2000,"&lt;="&amp;L192))</f>
        <v/>
      </c>
      <c r="AN192" s="8">
        <f>IF(AM192="NOT FOUND","NOT FOUND",SUMIFS('10_ref_fx_rate'!$D$2:$D$2000,'10_ref_fx_rate'!$A$2:$A$2000,AL192,'10_ref_fx_rate'!$B$2:$B$2000,AM192))</f>
        <v/>
      </c>
      <c r="AO192" s="37">
        <f>IF(ISNUMBER(AN192),I192*AN192,"NOT FOUND")</f>
        <v/>
      </c>
      <c r="AP192" s="2">
        <f>UPPER(TRIM(J192))</f>
        <v/>
      </c>
      <c r="AQ192" s="2">
        <f>IF(AP192="","SELF-DIRECTED",IF(ISNUMBER(MATCH(AP192,'11_3nf_sales_person'!$A:$A,0)),IF(EXACT(AP192,J192),"OK","OK (auto-fixed)"),IF(ISNA(MATCH($A192,'12_sales_person_confirmation'!$A:$A,0)),"CONFIRM (not logged)",IF(INDEX('12_sales_person_confirmation'!$I:$I,MATCH($A192,'12_sales_person_confirmation'!$A:$A,0))="CONFIRMED","CONFIRMED ("&amp;LOWER(INDEX('12_sales_person_confirmation'!$E:$E,MATCH($A192,'12_sales_person_confirmation'!$A:$A,0)))&amp;")","PENDING CONFIRM"))))</f>
        <v/>
      </c>
      <c r="AR192" s="2">
        <f>IF(OR(AQ192="OK",AQ192="OK (auto-fixed)"),AP192,IF(LEFT(AQ192,9)="CONFIRMED",INDEX('12_sales_person_confirmation'!$F:$F,MATCH($A192,'12_sales_person_confirmation'!$A:$A,0)),""))</f>
        <v/>
      </c>
      <c r="AS192" s="2">
        <f>IF(AR192="","",INDEX('11_3nf_sales_person'!$B:$B,MATCH(AR192,'11_3nf_sales_person'!$A:$A,0)))</f>
        <v/>
      </c>
    </row>
    <row r="193">
      <c r="A193" s="2">
        <f>IF(ISBLANK('1_raw_log'!A193),"",'1_raw_log'!A193)</f>
        <v/>
      </c>
      <c r="B193" s="3">
        <f>IF(ISBLANK('1_raw_log'!B193),"",'1_raw_log'!B193)</f>
        <v/>
      </c>
      <c r="C193" s="2">
        <f>IF(ISBLANK('1_raw_log'!C193),"",'1_raw_log'!C193)</f>
        <v/>
      </c>
      <c r="D193" s="2">
        <f>IF(ISBLANK('1_raw_log'!D193),"",'1_raw_log'!D193)</f>
        <v/>
      </c>
      <c r="E193" s="4">
        <f>IF(ISBLANK('1_raw_log'!E193),"",'1_raw_log'!E193)</f>
        <v/>
      </c>
      <c r="F193" s="2">
        <f>IF(ISBLANK('1_raw_log'!F193),"",'1_raw_log'!F193)</f>
        <v/>
      </c>
      <c r="G193" s="2">
        <f>IF(ISBLANK('1_raw_log'!G193),"",'1_raw_log'!G193)</f>
        <v/>
      </c>
      <c r="H193" s="2">
        <f>IF(ISBLANK('1_raw_log'!H193),"",'1_raw_log'!H193)</f>
        <v/>
      </c>
      <c r="I193" s="7">
        <f>IF(ISBLANK('1_raw_log'!I193),"",'1_raw_log'!I193)</f>
        <v/>
      </c>
      <c r="J193" s="2">
        <f>IF(ISBLANK('1_raw_log'!J193),"",'1_raw_log'!J193)</f>
        <v/>
      </c>
      <c r="K193" s="2">
        <f>IF(ISBLANK('1_raw_log'!K193),"",'1_raw_log'!K193)</f>
        <v/>
      </c>
      <c r="L193" s="30">
        <f>INT(B193)</f>
        <v/>
      </c>
      <c r="M193" s="20">
        <f>ROUND(MOD(B193,1)*1440,0)/1440</f>
        <v/>
      </c>
      <c r="N193" s="4">
        <f>IFERROR(INDEX('3_ref_date'!$B:$B,MATCH(L193,'3_ref_date'!$A:$A,0)),"NOT FOUND")</f>
        <v/>
      </c>
      <c r="O193" s="2">
        <f>IFERROR(INDEX('3_ref_date'!$C:$C,MATCH(L193,'3_ref_date'!$A:$A,0)),"NOT FOUND")</f>
        <v/>
      </c>
      <c r="P193" s="4">
        <f>IFERROR(INDEX('3_ref_date'!$D:$D,MATCH(L193,'3_ref_date'!$A:$A,0)),"NOT FOUND")</f>
        <v/>
      </c>
      <c r="Q193" s="4">
        <f>IFERROR(INDEX('3_ref_date'!$E:$E,MATCH(L193,'3_ref_date'!$A:$A,0)),"NOT FOUND")</f>
        <v/>
      </c>
      <c r="R193" s="2">
        <f>IFERROR(INDEX('3_ref_date'!$F:$F,MATCH(L193,'3_ref_date'!$A:$A,0)),"NOT FOUND")</f>
        <v/>
      </c>
      <c r="S193" s="2">
        <f>IFERROR(INDEX('4_ref_time'!$D:$D,MATCH(ROUND(M193*1440,0),'4_ref_time'!$A:$A,0)),"NOT FOUND")</f>
        <v/>
      </c>
      <c r="T193" s="2">
        <f>UPPER(TRIM(C193))</f>
        <v/>
      </c>
      <c r="U193" s="30">
        <f>IF(_xlfn.MAXIFS('6_3nf_branch_history'!$B$2:$B$50,'6_3nf_branch_history'!$A$2:$A$50,T193,'6_3nf_branch_history'!$B$2:$B$50,"&lt;="&amp;L193)=0,"NOT FOUND",_xlfn.MAXIFS('6_3nf_branch_history'!$B$2:$B$50,'6_3nf_branch_history'!$A$2:$A$50,T193,'6_3nf_branch_history'!$B$2:$B$50,"&lt;="&amp;L193))</f>
        <v/>
      </c>
      <c r="V193" s="2">
        <f>IF(U193="NOT FOUND","NOT FOUND",INDEX('6_3nf_branch_history'!$C:$C,SUMPRODUCT(('6_3nf_branch_history'!$A$2:$A$50=T193)*('6_3nf_branch_history'!$B$2:$B$50=U193)*ROW('6_3nf_branch_history'!$A$2:$A$50))))</f>
        <v/>
      </c>
      <c r="W193" s="2">
        <f>IF(U193="NOT FOUND","NOT FOUND",INDEX('6_3nf_branch_history'!$D:$D,SUMPRODUCT(('6_3nf_branch_history'!$A$2:$A$50=T193)*('6_3nf_branch_history'!$B$2:$B$50=U193)*ROW('6_3nf_branch_history'!$A$2:$A$50))))</f>
        <v/>
      </c>
      <c r="X193" s="2">
        <f>IF(U193="NOT FOUND","NOT FOUND",INDEX('6_3nf_branch_history'!$E:$E,SUMPRODUCT(('6_3nf_branch_history'!$A$2:$A$50=T193)*('6_3nf_branch_history'!$B$2:$B$50=U193)*ROW('6_3nf_branch_history'!$A$2:$A$50))))</f>
        <v/>
      </c>
      <c r="Y193" s="2">
        <f>UPPER(TRIM(D193))</f>
        <v/>
      </c>
      <c r="Z193" s="2">
        <f>IFERROR(INDEX('7_3nf_product'!$B:$B,MATCH(Y193,'7_3nf_product'!$A:$A,0)),"NOT FOUND")</f>
        <v/>
      </c>
      <c r="AA193" s="2">
        <f>IFERROR(INDEX('7_3nf_product'!$C:$C,MATCH(Y193,'7_3nf_product'!$A:$A,0)),"NOT FOUND")</f>
        <v/>
      </c>
      <c r="AB193" s="2">
        <f>IFERROR(INDEX('7_3nf_product'!$D:$D,MATCH(Y193,'7_3nf_product'!$A:$A,0)),"NOT FOUND")</f>
        <v/>
      </c>
      <c r="AC193" s="6">
        <f>IFERROR(INDEX('7_3nf_product'!$E:$E,MATCH(Y193,'7_3nf_product'!$A:$A,0)),"NOT FOUND")</f>
        <v/>
      </c>
      <c r="AD193" s="33">
        <f>IF(LEN(TRIM(E193))=10,TRIM(E193),IF(LEN(TRIM(E193))=8,"00"&amp;TRIM(E193),"CHECK"))</f>
        <v/>
      </c>
      <c r="AE193" s="2">
        <f>IFERROR(INDEX('8_3nf_customer'!$C:$C,MATCH(AD193,'8_3nf_customer'!$B:$B,0)),"NOT FOUND")</f>
        <v/>
      </c>
      <c r="AF193" s="30">
        <f>IFERROR(INDEX('8_3nf_customer'!$D:$D,MATCH(AD193,'8_3nf_customer'!$B:$B,0)),"NOT FOUND")</f>
        <v/>
      </c>
      <c r="AG193" s="4">
        <f>IF(ISNUMBER(AF193),DATEDIF(AF193,L193,"y"),"NOT FOUND")</f>
        <v/>
      </c>
      <c r="AH193" s="2">
        <f>IFERROR(INDEX('8_3nf_customer'!$E:$E,MATCH(AD193,'8_3nf_customer'!$B:$B,0)),"NOT FOUND")</f>
        <v/>
      </c>
      <c r="AI193" s="30">
        <f>IF(_xlfn.MAXIFS('9_3nf_customer_history'!$B$2:$B$500,'9_3nf_customer_history'!$A$2:$A$500,AD193,'9_3nf_customer_history'!$B$2:$B$500,"&lt;="&amp;L193)=0,"NOT FOUND",_xlfn.MAXIFS('9_3nf_customer_history'!$B$2:$B$500,'9_3nf_customer_history'!$A$2:$A$500,AD193,'9_3nf_customer_history'!$B$2:$B$500,"&lt;="&amp;L193))</f>
        <v/>
      </c>
      <c r="AJ193" s="2">
        <f>IF(AI193="NOT FOUND","NOT FOUND",INDEX('9_3nf_customer_history'!$C:$C,SUMPRODUCT(('9_3nf_customer_history'!$A$2:$A$500=AD193)*('9_3nf_customer_history'!$B$2:$B$500=AI193)*ROW('9_3nf_customer_history'!$A$2:$A$500))))</f>
        <v/>
      </c>
      <c r="AK193" s="2">
        <f>IF(AI193="NOT FOUND","NOT FOUND",INDEX('9_3nf_customer_history'!$D:$D,SUMPRODUCT(('9_3nf_customer_history'!$A$2:$A$500=AD193)*('9_3nf_customer_history'!$B$2:$B$500=AI193)*ROW('9_3nf_customer_history'!$A$2:$A$500))))</f>
        <v/>
      </c>
      <c r="AL193" s="2">
        <f>UPPER(TRIM(H193))</f>
        <v/>
      </c>
      <c r="AM193" s="30">
        <f>IF(_xlfn.MAXIFS('10_ref_fx_rate'!$B$2:$B$2000,'10_ref_fx_rate'!$A$2:$A$2000,AL193,'10_ref_fx_rate'!$B$2:$B$2000,"&lt;="&amp;L193)=0,"NOT FOUND",_xlfn.MAXIFS('10_ref_fx_rate'!$B$2:$B$2000,'10_ref_fx_rate'!$A$2:$A$2000,AL193,'10_ref_fx_rate'!$B$2:$B$2000,"&lt;="&amp;L193))</f>
        <v/>
      </c>
      <c r="AN193" s="8">
        <f>IF(AM193="NOT FOUND","NOT FOUND",SUMIFS('10_ref_fx_rate'!$D$2:$D$2000,'10_ref_fx_rate'!$A$2:$A$2000,AL193,'10_ref_fx_rate'!$B$2:$B$2000,AM193))</f>
        <v/>
      </c>
      <c r="AO193" s="37">
        <f>IF(ISNUMBER(AN193),I193*AN193,"NOT FOUND")</f>
        <v/>
      </c>
      <c r="AP193" s="2">
        <f>UPPER(TRIM(J193))</f>
        <v/>
      </c>
      <c r="AQ193" s="2">
        <f>IF(AP193="","SELF-DIRECTED",IF(ISNUMBER(MATCH(AP193,'11_3nf_sales_person'!$A:$A,0)),IF(EXACT(AP193,J193),"OK","OK (auto-fixed)"),IF(ISNA(MATCH($A193,'12_sales_person_confirmation'!$A:$A,0)),"CONFIRM (not logged)",IF(INDEX('12_sales_person_confirmation'!$I:$I,MATCH($A193,'12_sales_person_confirmation'!$A:$A,0))="CONFIRMED","CONFIRMED ("&amp;LOWER(INDEX('12_sales_person_confirmation'!$E:$E,MATCH($A193,'12_sales_person_confirmation'!$A:$A,0)))&amp;")","PENDING CONFIRM"))))</f>
        <v/>
      </c>
      <c r="AR193" s="2">
        <f>IF(OR(AQ193="OK",AQ193="OK (auto-fixed)"),AP193,IF(LEFT(AQ193,9)="CONFIRMED",INDEX('12_sales_person_confirmation'!$F:$F,MATCH($A193,'12_sales_person_confirmation'!$A:$A,0)),""))</f>
        <v/>
      </c>
      <c r="AS193" s="2">
        <f>IF(AR193="","",INDEX('11_3nf_sales_person'!$B:$B,MATCH(AR193,'11_3nf_sales_person'!$A:$A,0)))</f>
        <v/>
      </c>
    </row>
    <row r="194">
      <c r="A194" s="2">
        <f>IF(ISBLANK('1_raw_log'!A194),"",'1_raw_log'!A194)</f>
        <v/>
      </c>
      <c r="B194" s="3">
        <f>IF(ISBLANK('1_raw_log'!B194),"",'1_raw_log'!B194)</f>
        <v/>
      </c>
      <c r="C194" s="2">
        <f>IF(ISBLANK('1_raw_log'!C194),"",'1_raw_log'!C194)</f>
        <v/>
      </c>
      <c r="D194" s="2">
        <f>IF(ISBLANK('1_raw_log'!D194),"",'1_raw_log'!D194)</f>
        <v/>
      </c>
      <c r="E194" s="4">
        <f>IF(ISBLANK('1_raw_log'!E194),"",'1_raw_log'!E194)</f>
        <v/>
      </c>
      <c r="F194" s="2">
        <f>IF(ISBLANK('1_raw_log'!F194),"",'1_raw_log'!F194)</f>
        <v/>
      </c>
      <c r="G194" s="2">
        <f>IF(ISBLANK('1_raw_log'!G194),"",'1_raw_log'!G194)</f>
        <v/>
      </c>
      <c r="H194" s="2">
        <f>IF(ISBLANK('1_raw_log'!H194),"",'1_raw_log'!H194)</f>
        <v/>
      </c>
      <c r="I194" s="7">
        <f>IF(ISBLANK('1_raw_log'!I194),"",'1_raw_log'!I194)</f>
        <v/>
      </c>
      <c r="J194" s="2">
        <f>IF(ISBLANK('1_raw_log'!J194),"",'1_raw_log'!J194)</f>
        <v/>
      </c>
      <c r="K194" s="2">
        <f>IF(ISBLANK('1_raw_log'!K194),"",'1_raw_log'!K194)</f>
        <v/>
      </c>
      <c r="L194" s="30">
        <f>INT(B194)</f>
        <v/>
      </c>
      <c r="M194" s="20">
        <f>ROUND(MOD(B194,1)*1440,0)/1440</f>
        <v/>
      </c>
      <c r="N194" s="4">
        <f>IFERROR(INDEX('3_ref_date'!$B:$B,MATCH(L194,'3_ref_date'!$A:$A,0)),"NOT FOUND")</f>
        <v/>
      </c>
      <c r="O194" s="2">
        <f>IFERROR(INDEX('3_ref_date'!$C:$C,MATCH(L194,'3_ref_date'!$A:$A,0)),"NOT FOUND")</f>
        <v/>
      </c>
      <c r="P194" s="4">
        <f>IFERROR(INDEX('3_ref_date'!$D:$D,MATCH(L194,'3_ref_date'!$A:$A,0)),"NOT FOUND")</f>
        <v/>
      </c>
      <c r="Q194" s="4">
        <f>IFERROR(INDEX('3_ref_date'!$E:$E,MATCH(L194,'3_ref_date'!$A:$A,0)),"NOT FOUND")</f>
        <v/>
      </c>
      <c r="R194" s="2">
        <f>IFERROR(INDEX('3_ref_date'!$F:$F,MATCH(L194,'3_ref_date'!$A:$A,0)),"NOT FOUND")</f>
        <v/>
      </c>
      <c r="S194" s="2">
        <f>IFERROR(INDEX('4_ref_time'!$D:$D,MATCH(ROUND(M194*1440,0),'4_ref_time'!$A:$A,0)),"NOT FOUND")</f>
        <v/>
      </c>
      <c r="T194" s="2">
        <f>UPPER(TRIM(C194))</f>
        <v/>
      </c>
      <c r="U194" s="30">
        <f>IF(_xlfn.MAXIFS('6_3nf_branch_history'!$B$2:$B$50,'6_3nf_branch_history'!$A$2:$A$50,T194,'6_3nf_branch_history'!$B$2:$B$50,"&lt;="&amp;L194)=0,"NOT FOUND",_xlfn.MAXIFS('6_3nf_branch_history'!$B$2:$B$50,'6_3nf_branch_history'!$A$2:$A$50,T194,'6_3nf_branch_history'!$B$2:$B$50,"&lt;="&amp;L194))</f>
        <v/>
      </c>
      <c r="V194" s="2">
        <f>IF(U194="NOT FOUND","NOT FOUND",INDEX('6_3nf_branch_history'!$C:$C,SUMPRODUCT(('6_3nf_branch_history'!$A$2:$A$50=T194)*('6_3nf_branch_history'!$B$2:$B$50=U194)*ROW('6_3nf_branch_history'!$A$2:$A$50))))</f>
        <v/>
      </c>
      <c r="W194" s="2">
        <f>IF(U194="NOT FOUND","NOT FOUND",INDEX('6_3nf_branch_history'!$D:$D,SUMPRODUCT(('6_3nf_branch_history'!$A$2:$A$50=T194)*('6_3nf_branch_history'!$B$2:$B$50=U194)*ROW('6_3nf_branch_history'!$A$2:$A$50))))</f>
        <v/>
      </c>
      <c r="X194" s="2">
        <f>IF(U194="NOT FOUND","NOT FOUND",INDEX('6_3nf_branch_history'!$E:$E,SUMPRODUCT(('6_3nf_branch_history'!$A$2:$A$50=T194)*('6_3nf_branch_history'!$B$2:$B$50=U194)*ROW('6_3nf_branch_history'!$A$2:$A$50))))</f>
        <v/>
      </c>
      <c r="Y194" s="2">
        <f>UPPER(TRIM(D194))</f>
        <v/>
      </c>
      <c r="Z194" s="2">
        <f>IFERROR(INDEX('7_3nf_product'!$B:$B,MATCH(Y194,'7_3nf_product'!$A:$A,0)),"NOT FOUND")</f>
        <v/>
      </c>
      <c r="AA194" s="2">
        <f>IFERROR(INDEX('7_3nf_product'!$C:$C,MATCH(Y194,'7_3nf_product'!$A:$A,0)),"NOT FOUND")</f>
        <v/>
      </c>
      <c r="AB194" s="2">
        <f>IFERROR(INDEX('7_3nf_product'!$D:$D,MATCH(Y194,'7_3nf_product'!$A:$A,0)),"NOT FOUND")</f>
        <v/>
      </c>
      <c r="AC194" s="6">
        <f>IFERROR(INDEX('7_3nf_product'!$E:$E,MATCH(Y194,'7_3nf_product'!$A:$A,0)),"NOT FOUND")</f>
        <v/>
      </c>
      <c r="AD194" s="33">
        <f>IF(LEN(TRIM(E194))=10,TRIM(E194),IF(LEN(TRIM(E194))=8,"00"&amp;TRIM(E194),"CHECK"))</f>
        <v/>
      </c>
      <c r="AE194" s="2">
        <f>IFERROR(INDEX('8_3nf_customer'!$C:$C,MATCH(AD194,'8_3nf_customer'!$B:$B,0)),"NOT FOUND")</f>
        <v/>
      </c>
      <c r="AF194" s="30">
        <f>IFERROR(INDEX('8_3nf_customer'!$D:$D,MATCH(AD194,'8_3nf_customer'!$B:$B,0)),"NOT FOUND")</f>
        <v/>
      </c>
      <c r="AG194" s="4">
        <f>IF(ISNUMBER(AF194),DATEDIF(AF194,L194,"y"),"NOT FOUND")</f>
        <v/>
      </c>
      <c r="AH194" s="2">
        <f>IFERROR(INDEX('8_3nf_customer'!$E:$E,MATCH(AD194,'8_3nf_customer'!$B:$B,0)),"NOT FOUND")</f>
        <v/>
      </c>
      <c r="AI194" s="30">
        <f>IF(_xlfn.MAXIFS('9_3nf_customer_history'!$B$2:$B$500,'9_3nf_customer_history'!$A$2:$A$500,AD194,'9_3nf_customer_history'!$B$2:$B$500,"&lt;="&amp;L194)=0,"NOT FOUND",_xlfn.MAXIFS('9_3nf_customer_history'!$B$2:$B$500,'9_3nf_customer_history'!$A$2:$A$500,AD194,'9_3nf_customer_history'!$B$2:$B$500,"&lt;="&amp;L194))</f>
        <v/>
      </c>
      <c r="AJ194" s="2">
        <f>IF(AI194="NOT FOUND","NOT FOUND",INDEX('9_3nf_customer_history'!$C:$C,SUMPRODUCT(('9_3nf_customer_history'!$A$2:$A$500=AD194)*('9_3nf_customer_history'!$B$2:$B$500=AI194)*ROW('9_3nf_customer_history'!$A$2:$A$500))))</f>
        <v/>
      </c>
      <c r="AK194" s="2">
        <f>IF(AI194="NOT FOUND","NOT FOUND",INDEX('9_3nf_customer_history'!$D:$D,SUMPRODUCT(('9_3nf_customer_history'!$A$2:$A$500=AD194)*('9_3nf_customer_history'!$B$2:$B$500=AI194)*ROW('9_3nf_customer_history'!$A$2:$A$500))))</f>
        <v/>
      </c>
      <c r="AL194" s="2">
        <f>UPPER(TRIM(H194))</f>
        <v/>
      </c>
      <c r="AM194" s="30">
        <f>IF(_xlfn.MAXIFS('10_ref_fx_rate'!$B$2:$B$2000,'10_ref_fx_rate'!$A$2:$A$2000,AL194,'10_ref_fx_rate'!$B$2:$B$2000,"&lt;="&amp;L194)=0,"NOT FOUND",_xlfn.MAXIFS('10_ref_fx_rate'!$B$2:$B$2000,'10_ref_fx_rate'!$A$2:$A$2000,AL194,'10_ref_fx_rate'!$B$2:$B$2000,"&lt;="&amp;L194))</f>
        <v/>
      </c>
      <c r="AN194" s="8">
        <f>IF(AM194="NOT FOUND","NOT FOUND",SUMIFS('10_ref_fx_rate'!$D$2:$D$2000,'10_ref_fx_rate'!$A$2:$A$2000,AL194,'10_ref_fx_rate'!$B$2:$B$2000,AM194))</f>
        <v/>
      </c>
      <c r="AO194" s="37">
        <f>IF(ISNUMBER(AN194),I194*AN194,"NOT FOUND")</f>
        <v/>
      </c>
      <c r="AP194" s="2">
        <f>UPPER(TRIM(J194))</f>
        <v/>
      </c>
      <c r="AQ194" s="2">
        <f>IF(AP194="","SELF-DIRECTED",IF(ISNUMBER(MATCH(AP194,'11_3nf_sales_person'!$A:$A,0)),IF(EXACT(AP194,J194),"OK","OK (auto-fixed)"),IF(ISNA(MATCH($A194,'12_sales_person_confirmation'!$A:$A,0)),"CONFIRM (not logged)",IF(INDEX('12_sales_person_confirmation'!$I:$I,MATCH($A194,'12_sales_person_confirmation'!$A:$A,0))="CONFIRMED","CONFIRMED ("&amp;LOWER(INDEX('12_sales_person_confirmation'!$E:$E,MATCH($A194,'12_sales_person_confirmation'!$A:$A,0)))&amp;")","PENDING CONFIRM"))))</f>
        <v/>
      </c>
      <c r="AR194" s="2">
        <f>IF(OR(AQ194="OK",AQ194="OK (auto-fixed)"),AP194,IF(LEFT(AQ194,9)="CONFIRMED",INDEX('12_sales_person_confirmation'!$F:$F,MATCH($A194,'12_sales_person_confirmation'!$A:$A,0)),""))</f>
        <v/>
      </c>
      <c r="AS194" s="2">
        <f>IF(AR194="","",INDEX('11_3nf_sales_person'!$B:$B,MATCH(AR194,'11_3nf_sales_person'!$A:$A,0)))</f>
        <v/>
      </c>
    </row>
    <row r="195">
      <c r="A195" s="2">
        <f>IF(ISBLANK('1_raw_log'!A195),"",'1_raw_log'!A195)</f>
        <v/>
      </c>
      <c r="B195" s="3">
        <f>IF(ISBLANK('1_raw_log'!B195),"",'1_raw_log'!B195)</f>
        <v/>
      </c>
      <c r="C195" s="2">
        <f>IF(ISBLANK('1_raw_log'!C195),"",'1_raw_log'!C195)</f>
        <v/>
      </c>
      <c r="D195" s="2">
        <f>IF(ISBLANK('1_raw_log'!D195),"",'1_raw_log'!D195)</f>
        <v/>
      </c>
      <c r="E195" s="4">
        <f>IF(ISBLANK('1_raw_log'!E195),"",'1_raw_log'!E195)</f>
        <v/>
      </c>
      <c r="F195" s="2">
        <f>IF(ISBLANK('1_raw_log'!F195),"",'1_raw_log'!F195)</f>
        <v/>
      </c>
      <c r="G195" s="2">
        <f>IF(ISBLANK('1_raw_log'!G195),"",'1_raw_log'!G195)</f>
        <v/>
      </c>
      <c r="H195" s="2">
        <f>IF(ISBLANK('1_raw_log'!H195),"",'1_raw_log'!H195)</f>
        <v/>
      </c>
      <c r="I195" s="7">
        <f>IF(ISBLANK('1_raw_log'!I195),"",'1_raw_log'!I195)</f>
        <v/>
      </c>
      <c r="J195" s="2">
        <f>IF(ISBLANK('1_raw_log'!J195),"",'1_raw_log'!J195)</f>
        <v/>
      </c>
      <c r="K195" s="2">
        <f>IF(ISBLANK('1_raw_log'!K195),"",'1_raw_log'!K195)</f>
        <v/>
      </c>
      <c r="L195" s="30">
        <f>INT(B195)</f>
        <v/>
      </c>
      <c r="M195" s="20">
        <f>ROUND(MOD(B195,1)*1440,0)/1440</f>
        <v/>
      </c>
      <c r="N195" s="4">
        <f>IFERROR(INDEX('3_ref_date'!$B:$B,MATCH(L195,'3_ref_date'!$A:$A,0)),"NOT FOUND")</f>
        <v/>
      </c>
      <c r="O195" s="2">
        <f>IFERROR(INDEX('3_ref_date'!$C:$C,MATCH(L195,'3_ref_date'!$A:$A,0)),"NOT FOUND")</f>
        <v/>
      </c>
      <c r="P195" s="4">
        <f>IFERROR(INDEX('3_ref_date'!$D:$D,MATCH(L195,'3_ref_date'!$A:$A,0)),"NOT FOUND")</f>
        <v/>
      </c>
      <c r="Q195" s="4">
        <f>IFERROR(INDEX('3_ref_date'!$E:$E,MATCH(L195,'3_ref_date'!$A:$A,0)),"NOT FOUND")</f>
        <v/>
      </c>
      <c r="R195" s="2">
        <f>IFERROR(INDEX('3_ref_date'!$F:$F,MATCH(L195,'3_ref_date'!$A:$A,0)),"NOT FOUND")</f>
        <v/>
      </c>
      <c r="S195" s="2">
        <f>IFERROR(INDEX('4_ref_time'!$D:$D,MATCH(ROUND(M195*1440,0),'4_ref_time'!$A:$A,0)),"NOT FOUND")</f>
        <v/>
      </c>
      <c r="T195" s="2">
        <f>UPPER(TRIM(C195))</f>
        <v/>
      </c>
      <c r="U195" s="30">
        <f>IF(_xlfn.MAXIFS('6_3nf_branch_history'!$B$2:$B$50,'6_3nf_branch_history'!$A$2:$A$50,T195,'6_3nf_branch_history'!$B$2:$B$50,"&lt;="&amp;L195)=0,"NOT FOUND",_xlfn.MAXIFS('6_3nf_branch_history'!$B$2:$B$50,'6_3nf_branch_history'!$A$2:$A$50,T195,'6_3nf_branch_history'!$B$2:$B$50,"&lt;="&amp;L195))</f>
        <v/>
      </c>
      <c r="V195" s="2">
        <f>IF(U195="NOT FOUND","NOT FOUND",INDEX('6_3nf_branch_history'!$C:$C,SUMPRODUCT(('6_3nf_branch_history'!$A$2:$A$50=T195)*('6_3nf_branch_history'!$B$2:$B$50=U195)*ROW('6_3nf_branch_history'!$A$2:$A$50))))</f>
        <v/>
      </c>
      <c r="W195" s="2">
        <f>IF(U195="NOT FOUND","NOT FOUND",INDEX('6_3nf_branch_history'!$D:$D,SUMPRODUCT(('6_3nf_branch_history'!$A$2:$A$50=T195)*('6_3nf_branch_history'!$B$2:$B$50=U195)*ROW('6_3nf_branch_history'!$A$2:$A$50))))</f>
        <v/>
      </c>
      <c r="X195" s="2">
        <f>IF(U195="NOT FOUND","NOT FOUND",INDEX('6_3nf_branch_history'!$E:$E,SUMPRODUCT(('6_3nf_branch_history'!$A$2:$A$50=T195)*('6_3nf_branch_history'!$B$2:$B$50=U195)*ROW('6_3nf_branch_history'!$A$2:$A$50))))</f>
        <v/>
      </c>
      <c r="Y195" s="2">
        <f>UPPER(TRIM(D195))</f>
        <v/>
      </c>
      <c r="Z195" s="2">
        <f>IFERROR(INDEX('7_3nf_product'!$B:$B,MATCH(Y195,'7_3nf_product'!$A:$A,0)),"NOT FOUND")</f>
        <v/>
      </c>
      <c r="AA195" s="2">
        <f>IFERROR(INDEX('7_3nf_product'!$C:$C,MATCH(Y195,'7_3nf_product'!$A:$A,0)),"NOT FOUND")</f>
        <v/>
      </c>
      <c r="AB195" s="2">
        <f>IFERROR(INDEX('7_3nf_product'!$D:$D,MATCH(Y195,'7_3nf_product'!$A:$A,0)),"NOT FOUND")</f>
        <v/>
      </c>
      <c r="AC195" s="6">
        <f>IFERROR(INDEX('7_3nf_product'!$E:$E,MATCH(Y195,'7_3nf_product'!$A:$A,0)),"NOT FOUND")</f>
        <v/>
      </c>
      <c r="AD195" s="33">
        <f>IF(LEN(TRIM(E195))=10,TRIM(E195),IF(LEN(TRIM(E195))=8,"00"&amp;TRIM(E195),"CHECK"))</f>
        <v/>
      </c>
      <c r="AE195" s="2">
        <f>IFERROR(INDEX('8_3nf_customer'!$C:$C,MATCH(AD195,'8_3nf_customer'!$B:$B,0)),"NOT FOUND")</f>
        <v/>
      </c>
      <c r="AF195" s="30">
        <f>IFERROR(INDEX('8_3nf_customer'!$D:$D,MATCH(AD195,'8_3nf_customer'!$B:$B,0)),"NOT FOUND")</f>
        <v/>
      </c>
      <c r="AG195" s="4">
        <f>IF(ISNUMBER(AF195),DATEDIF(AF195,L195,"y"),"NOT FOUND")</f>
        <v/>
      </c>
      <c r="AH195" s="2">
        <f>IFERROR(INDEX('8_3nf_customer'!$E:$E,MATCH(AD195,'8_3nf_customer'!$B:$B,0)),"NOT FOUND")</f>
        <v/>
      </c>
      <c r="AI195" s="30">
        <f>IF(_xlfn.MAXIFS('9_3nf_customer_history'!$B$2:$B$500,'9_3nf_customer_history'!$A$2:$A$500,AD195,'9_3nf_customer_history'!$B$2:$B$500,"&lt;="&amp;L195)=0,"NOT FOUND",_xlfn.MAXIFS('9_3nf_customer_history'!$B$2:$B$500,'9_3nf_customer_history'!$A$2:$A$500,AD195,'9_3nf_customer_history'!$B$2:$B$500,"&lt;="&amp;L195))</f>
        <v/>
      </c>
      <c r="AJ195" s="2">
        <f>IF(AI195="NOT FOUND","NOT FOUND",INDEX('9_3nf_customer_history'!$C:$C,SUMPRODUCT(('9_3nf_customer_history'!$A$2:$A$500=AD195)*('9_3nf_customer_history'!$B$2:$B$500=AI195)*ROW('9_3nf_customer_history'!$A$2:$A$500))))</f>
        <v/>
      </c>
      <c r="AK195" s="2">
        <f>IF(AI195="NOT FOUND","NOT FOUND",INDEX('9_3nf_customer_history'!$D:$D,SUMPRODUCT(('9_3nf_customer_history'!$A$2:$A$500=AD195)*('9_3nf_customer_history'!$B$2:$B$500=AI195)*ROW('9_3nf_customer_history'!$A$2:$A$500))))</f>
        <v/>
      </c>
      <c r="AL195" s="2">
        <f>UPPER(TRIM(H195))</f>
        <v/>
      </c>
      <c r="AM195" s="30">
        <f>IF(_xlfn.MAXIFS('10_ref_fx_rate'!$B$2:$B$2000,'10_ref_fx_rate'!$A$2:$A$2000,AL195,'10_ref_fx_rate'!$B$2:$B$2000,"&lt;="&amp;L195)=0,"NOT FOUND",_xlfn.MAXIFS('10_ref_fx_rate'!$B$2:$B$2000,'10_ref_fx_rate'!$A$2:$A$2000,AL195,'10_ref_fx_rate'!$B$2:$B$2000,"&lt;="&amp;L195))</f>
        <v/>
      </c>
      <c r="AN195" s="8">
        <f>IF(AM195="NOT FOUND","NOT FOUND",SUMIFS('10_ref_fx_rate'!$D$2:$D$2000,'10_ref_fx_rate'!$A$2:$A$2000,AL195,'10_ref_fx_rate'!$B$2:$B$2000,AM195))</f>
        <v/>
      </c>
      <c r="AO195" s="37">
        <f>IF(ISNUMBER(AN195),I195*AN195,"NOT FOUND")</f>
        <v/>
      </c>
      <c r="AP195" s="2">
        <f>UPPER(TRIM(J195))</f>
        <v/>
      </c>
      <c r="AQ195" s="2">
        <f>IF(AP195="","SELF-DIRECTED",IF(ISNUMBER(MATCH(AP195,'11_3nf_sales_person'!$A:$A,0)),IF(EXACT(AP195,J195),"OK","OK (auto-fixed)"),IF(ISNA(MATCH($A195,'12_sales_person_confirmation'!$A:$A,0)),"CONFIRM (not logged)",IF(INDEX('12_sales_person_confirmation'!$I:$I,MATCH($A195,'12_sales_person_confirmation'!$A:$A,0))="CONFIRMED","CONFIRMED ("&amp;LOWER(INDEX('12_sales_person_confirmation'!$E:$E,MATCH($A195,'12_sales_person_confirmation'!$A:$A,0)))&amp;")","PENDING CONFIRM"))))</f>
        <v/>
      </c>
      <c r="AR195" s="2">
        <f>IF(OR(AQ195="OK",AQ195="OK (auto-fixed)"),AP195,IF(LEFT(AQ195,9)="CONFIRMED",INDEX('12_sales_person_confirmation'!$F:$F,MATCH($A195,'12_sales_person_confirmation'!$A:$A,0)),""))</f>
        <v/>
      </c>
      <c r="AS195" s="2">
        <f>IF(AR195="","",INDEX('11_3nf_sales_person'!$B:$B,MATCH(AR195,'11_3nf_sales_person'!$A:$A,0)))</f>
        <v/>
      </c>
    </row>
    <row r="196">
      <c r="A196" s="2">
        <f>IF(ISBLANK('1_raw_log'!A196),"",'1_raw_log'!A196)</f>
        <v/>
      </c>
      <c r="B196" s="3">
        <f>IF(ISBLANK('1_raw_log'!B196),"",'1_raw_log'!B196)</f>
        <v/>
      </c>
      <c r="C196" s="2">
        <f>IF(ISBLANK('1_raw_log'!C196),"",'1_raw_log'!C196)</f>
        <v/>
      </c>
      <c r="D196" s="2">
        <f>IF(ISBLANK('1_raw_log'!D196),"",'1_raw_log'!D196)</f>
        <v/>
      </c>
      <c r="E196" s="4">
        <f>IF(ISBLANK('1_raw_log'!E196),"",'1_raw_log'!E196)</f>
        <v/>
      </c>
      <c r="F196" s="2">
        <f>IF(ISBLANK('1_raw_log'!F196),"",'1_raw_log'!F196)</f>
        <v/>
      </c>
      <c r="G196" s="2">
        <f>IF(ISBLANK('1_raw_log'!G196),"",'1_raw_log'!G196)</f>
        <v/>
      </c>
      <c r="H196" s="2">
        <f>IF(ISBLANK('1_raw_log'!H196),"",'1_raw_log'!H196)</f>
        <v/>
      </c>
      <c r="I196" s="7">
        <f>IF(ISBLANK('1_raw_log'!I196),"",'1_raw_log'!I196)</f>
        <v/>
      </c>
      <c r="J196" s="2">
        <f>IF(ISBLANK('1_raw_log'!J196),"",'1_raw_log'!J196)</f>
        <v/>
      </c>
      <c r="K196" s="2">
        <f>IF(ISBLANK('1_raw_log'!K196),"",'1_raw_log'!K196)</f>
        <v/>
      </c>
      <c r="L196" s="30">
        <f>INT(B196)</f>
        <v/>
      </c>
      <c r="M196" s="20">
        <f>ROUND(MOD(B196,1)*1440,0)/1440</f>
        <v/>
      </c>
      <c r="N196" s="4">
        <f>IFERROR(INDEX('3_ref_date'!$B:$B,MATCH(L196,'3_ref_date'!$A:$A,0)),"NOT FOUND")</f>
        <v/>
      </c>
      <c r="O196" s="2">
        <f>IFERROR(INDEX('3_ref_date'!$C:$C,MATCH(L196,'3_ref_date'!$A:$A,0)),"NOT FOUND")</f>
        <v/>
      </c>
      <c r="P196" s="4">
        <f>IFERROR(INDEX('3_ref_date'!$D:$D,MATCH(L196,'3_ref_date'!$A:$A,0)),"NOT FOUND")</f>
        <v/>
      </c>
      <c r="Q196" s="4">
        <f>IFERROR(INDEX('3_ref_date'!$E:$E,MATCH(L196,'3_ref_date'!$A:$A,0)),"NOT FOUND")</f>
        <v/>
      </c>
      <c r="R196" s="2">
        <f>IFERROR(INDEX('3_ref_date'!$F:$F,MATCH(L196,'3_ref_date'!$A:$A,0)),"NOT FOUND")</f>
        <v/>
      </c>
      <c r="S196" s="2">
        <f>IFERROR(INDEX('4_ref_time'!$D:$D,MATCH(ROUND(M196*1440,0),'4_ref_time'!$A:$A,0)),"NOT FOUND")</f>
        <v/>
      </c>
      <c r="T196" s="2">
        <f>UPPER(TRIM(C196))</f>
        <v/>
      </c>
      <c r="U196" s="30">
        <f>IF(_xlfn.MAXIFS('6_3nf_branch_history'!$B$2:$B$50,'6_3nf_branch_history'!$A$2:$A$50,T196,'6_3nf_branch_history'!$B$2:$B$50,"&lt;="&amp;L196)=0,"NOT FOUND",_xlfn.MAXIFS('6_3nf_branch_history'!$B$2:$B$50,'6_3nf_branch_history'!$A$2:$A$50,T196,'6_3nf_branch_history'!$B$2:$B$50,"&lt;="&amp;L196))</f>
        <v/>
      </c>
      <c r="V196" s="2">
        <f>IF(U196="NOT FOUND","NOT FOUND",INDEX('6_3nf_branch_history'!$C:$C,SUMPRODUCT(('6_3nf_branch_history'!$A$2:$A$50=T196)*('6_3nf_branch_history'!$B$2:$B$50=U196)*ROW('6_3nf_branch_history'!$A$2:$A$50))))</f>
        <v/>
      </c>
      <c r="W196" s="2">
        <f>IF(U196="NOT FOUND","NOT FOUND",INDEX('6_3nf_branch_history'!$D:$D,SUMPRODUCT(('6_3nf_branch_history'!$A$2:$A$50=T196)*('6_3nf_branch_history'!$B$2:$B$50=U196)*ROW('6_3nf_branch_history'!$A$2:$A$50))))</f>
        <v/>
      </c>
      <c r="X196" s="2">
        <f>IF(U196="NOT FOUND","NOT FOUND",INDEX('6_3nf_branch_history'!$E:$E,SUMPRODUCT(('6_3nf_branch_history'!$A$2:$A$50=T196)*('6_3nf_branch_history'!$B$2:$B$50=U196)*ROW('6_3nf_branch_history'!$A$2:$A$50))))</f>
        <v/>
      </c>
      <c r="Y196" s="2">
        <f>UPPER(TRIM(D196))</f>
        <v/>
      </c>
      <c r="Z196" s="2">
        <f>IFERROR(INDEX('7_3nf_product'!$B:$B,MATCH(Y196,'7_3nf_product'!$A:$A,0)),"NOT FOUND")</f>
        <v/>
      </c>
      <c r="AA196" s="2">
        <f>IFERROR(INDEX('7_3nf_product'!$C:$C,MATCH(Y196,'7_3nf_product'!$A:$A,0)),"NOT FOUND")</f>
        <v/>
      </c>
      <c r="AB196" s="2">
        <f>IFERROR(INDEX('7_3nf_product'!$D:$D,MATCH(Y196,'7_3nf_product'!$A:$A,0)),"NOT FOUND")</f>
        <v/>
      </c>
      <c r="AC196" s="6">
        <f>IFERROR(INDEX('7_3nf_product'!$E:$E,MATCH(Y196,'7_3nf_product'!$A:$A,0)),"NOT FOUND")</f>
        <v/>
      </c>
      <c r="AD196" s="33">
        <f>IF(LEN(TRIM(E196))=10,TRIM(E196),IF(LEN(TRIM(E196))=8,"00"&amp;TRIM(E196),"CHECK"))</f>
        <v/>
      </c>
      <c r="AE196" s="2">
        <f>IFERROR(INDEX('8_3nf_customer'!$C:$C,MATCH(AD196,'8_3nf_customer'!$B:$B,0)),"NOT FOUND")</f>
        <v/>
      </c>
      <c r="AF196" s="30">
        <f>IFERROR(INDEX('8_3nf_customer'!$D:$D,MATCH(AD196,'8_3nf_customer'!$B:$B,0)),"NOT FOUND")</f>
        <v/>
      </c>
      <c r="AG196" s="4">
        <f>IF(ISNUMBER(AF196),DATEDIF(AF196,L196,"y"),"NOT FOUND")</f>
        <v/>
      </c>
      <c r="AH196" s="2">
        <f>IFERROR(INDEX('8_3nf_customer'!$E:$E,MATCH(AD196,'8_3nf_customer'!$B:$B,0)),"NOT FOUND")</f>
        <v/>
      </c>
      <c r="AI196" s="30">
        <f>IF(_xlfn.MAXIFS('9_3nf_customer_history'!$B$2:$B$500,'9_3nf_customer_history'!$A$2:$A$500,AD196,'9_3nf_customer_history'!$B$2:$B$500,"&lt;="&amp;L196)=0,"NOT FOUND",_xlfn.MAXIFS('9_3nf_customer_history'!$B$2:$B$500,'9_3nf_customer_history'!$A$2:$A$500,AD196,'9_3nf_customer_history'!$B$2:$B$500,"&lt;="&amp;L196))</f>
        <v/>
      </c>
      <c r="AJ196" s="2">
        <f>IF(AI196="NOT FOUND","NOT FOUND",INDEX('9_3nf_customer_history'!$C:$C,SUMPRODUCT(('9_3nf_customer_history'!$A$2:$A$500=AD196)*('9_3nf_customer_history'!$B$2:$B$500=AI196)*ROW('9_3nf_customer_history'!$A$2:$A$500))))</f>
        <v/>
      </c>
      <c r="AK196" s="2">
        <f>IF(AI196="NOT FOUND","NOT FOUND",INDEX('9_3nf_customer_history'!$D:$D,SUMPRODUCT(('9_3nf_customer_history'!$A$2:$A$500=AD196)*('9_3nf_customer_history'!$B$2:$B$500=AI196)*ROW('9_3nf_customer_history'!$A$2:$A$500))))</f>
        <v/>
      </c>
      <c r="AL196" s="2">
        <f>UPPER(TRIM(H196))</f>
        <v/>
      </c>
      <c r="AM196" s="30">
        <f>IF(_xlfn.MAXIFS('10_ref_fx_rate'!$B$2:$B$2000,'10_ref_fx_rate'!$A$2:$A$2000,AL196,'10_ref_fx_rate'!$B$2:$B$2000,"&lt;="&amp;L196)=0,"NOT FOUND",_xlfn.MAXIFS('10_ref_fx_rate'!$B$2:$B$2000,'10_ref_fx_rate'!$A$2:$A$2000,AL196,'10_ref_fx_rate'!$B$2:$B$2000,"&lt;="&amp;L196))</f>
        <v/>
      </c>
      <c r="AN196" s="8">
        <f>IF(AM196="NOT FOUND","NOT FOUND",SUMIFS('10_ref_fx_rate'!$D$2:$D$2000,'10_ref_fx_rate'!$A$2:$A$2000,AL196,'10_ref_fx_rate'!$B$2:$B$2000,AM196))</f>
        <v/>
      </c>
      <c r="AO196" s="37">
        <f>IF(ISNUMBER(AN196),I196*AN196,"NOT FOUND")</f>
        <v/>
      </c>
      <c r="AP196" s="2">
        <f>UPPER(TRIM(J196))</f>
        <v/>
      </c>
      <c r="AQ196" s="2">
        <f>IF(AP196="","SELF-DIRECTED",IF(ISNUMBER(MATCH(AP196,'11_3nf_sales_person'!$A:$A,0)),IF(EXACT(AP196,J196),"OK","OK (auto-fixed)"),IF(ISNA(MATCH($A196,'12_sales_person_confirmation'!$A:$A,0)),"CONFIRM (not logged)",IF(INDEX('12_sales_person_confirmation'!$I:$I,MATCH($A196,'12_sales_person_confirmation'!$A:$A,0))="CONFIRMED","CONFIRMED ("&amp;LOWER(INDEX('12_sales_person_confirmation'!$E:$E,MATCH($A196,'12_sales_person_confirmation'!$A:$A,0)))&amp;")","PENDING CONFIRM"))))</f>
        <v/>
      </c>
      <c r="AR196" s="2">
        <f>IF(OR(AQ196="OK",AQ196="OK (auto-fixed)"),AP196,IF(LEFT(AQ196,9)="CONFIRMED",INDEX('12_sales_person_confirmation'!$F:$F,MATCH($A196,'12_sales_person_confirmation'!$A:$A,0)),""))</f>
        <v/>
      </c>
      <c r="AS196" s="2">
        <f>IF(AR196="","",INDEX('11_3nf_sales_person'!$B:$B,MATCH(AR196,'11_3nf_sales_person'!$A:$A,0)))</f>
        <v/>
      </c>
    </row>
    <row r="197">
      <c r="A197" s="2">
        <f>IF(ISBLANK('1_raw_log'!A197),"",'1_raw_log'!A197)</f>
        <v/>
      </c>
      <c r="B197" s="3">
        <f>IF(ISBLANK('1_raw_log'!B197),"",'1_raw_log'!B197)</f>
        <v/>
      </c>
      <c r="C197" s="2">
        <f>IF(ISBLANK('1_raw_log'!C197),"",'1_raw_log'!C197)</f>
        <v/>
      </c>
      <c r="D197" s="2">
        <f>IF(ISBLANK('1_raw_log'!D197),"",'1_raw_log'!D197)</f>
        <v/>
      </c>
      <c r="E197" s="4">
        <f>IF(ISBLANK('1_raw_log'!E197),"",'1_raw_log'!E197)</f>
        <v/>
      </c>
      <c r="F197" s="2">
        <f>IF(ISBLANK('1_raw_log'!F197),"",'1_raw_log'!F197)</f>
        <v/>
      </c>
      <c r="G197" s="2">
        <f>IF(ISBLANK('1_raw_log'!G197),"",'1_raw_log'!G197)</f>
        <v/>
      </c>
      <c r="H197" s="2">
        <f>IF(ISBLANK('1_raw_log'!H197),"",'1_raw_log'!H197)</f>
        <v/>
      </c>
      <c r="I197" s="7">
        <f>IF(ISBLANK('1_raw_log'!I197),"",'1_raw_log'!I197)</f>
        <v/>
      </c>
      <c r="J197" s="2">
        <f>IF(ISBLANK('1_raw_log'!J197),"",'1_raw_log'!J197)</f>
        <v/>
      </c>
      <c r="K197" s="2">
        <f>IF(ISBLANK('1_raw_log'!K197),"",'1_raw_log'!K197)</f>
        <v/>
      </c>
      <c r="L197" s="30">
        <f>INT(B197)</f>
        <v/>
      </c>
      <c r="M197" s="20">
        <f>ROUND(MOD(B197,1)*1440,0)/1440</f>
        <v/>
      </c>
      <c r="N197" s="4">
        <f>IFERROR(INDEX('3_ref_date'!$B:$B,MATCH(L197,'3_ref_date'!$A:$A,0)),"NOT FOUND")</f>
        <v/>
      </c>
      <c r="O197" s="2">
        <f>IFERROR(INDEX('3_ref_date'!$C:$C,MATCH(L197,'3_ref_date'!$A:$A,0)),"NOT FOUND")</f>
        <v/>
      </c>
      <c r="P197" s="4">
        <f>IFERROR(INDEX('3_ref_date'!$D:$D,MATCH(L197,'3_ref_date'!$A:$A,0)),"NOT FOUND")</f>
        <v/>
      </c>
      <c r="Q197" s="4">
        <f>IFERROR(INDEX('3_ref_date'!$E:$E,MATCH(L197,'3_ref_date'!$A:$A,0)),"NOT FOUND")</f>
        <v/>
      </c>
      <c r="R197" s="2">
        <f>IFERROR(INDEX('3_ref_date'!$F:$F,MATCH(L197,'3_ref_date'!$A:$A,0)),"NOT FOUND")</f>
        <v/>
      </c>
      <c r="S197" s="2">
        <f>IFERROR(INDEX('4_ref_time'!$D:$D,MATCH(ROUND(M197*1440,0),'4_ref_time'!$A:$A,0)),"NOT FOUND")</f>
        <v/>
      </c>
      <c r="T197" s="2">
        <f>UPPER(TRIM(C197))</f>
        <v/>
      </c>
      <c r="U197" s="30">
        <f>IF(_xlfn.MAXIFS('6_3nf_branch_history'!$B$2:$B$50,'6_3nf_branch_history'!$A$2:$A$50,T197,'6_3nf_branch_history'!$B$2:$B$50,"&lt;="&amp;L197)=0,"NOT FOUND",_xlfn.MAXIFS('6_3nf_branch_history'!$B$2:$B$50,'6_3nf_branch_history'!$A$2:$A$50,T197,'6_3nf_branch_history'!$B$2:$B$50,"&lt;="&amp;L197))</f>
        <v/>
      </c>
      <c r="V197" s="2">
        <f>IF(U197="NOT FOUND","NOT FOUND",INDEX('6_3nf_branch_history'!$C:$C,SUMPRODUCT(('6_3nf_branch_history'!$A$2:$A$50=T197)*('6_3nf_branch_history'!$B$2:$B$50=U197)*ROW('6_3nf_branch_history'!$A$2:$A$50))))</f>
        <v/>
      </c>
      <c r="W197" s="2">
        <f>IF(U197="NOT FOUND","NOT FOUND",INDEX('6_3nf_branch_history'!$D:$D,SUMPRODUCT(('6_3nf_branch_history'!$A$2:$A$50=T197)*('6_3nf_branch_history'!$B$2:$B$50=U197)*ROW('6_3nf_branch_history'!$A$2:$A$50))))</f>
        <v/>
      </c>
      <c r="X197" s="2">
        <f>IF(U197="NOT FOUND","NOT FOUND",INDEX('6_3nf_branch_history'!$E:$E,SUMPRODUCT(('6_3nf_branch_history'!$A$2:$A$50=T197)*('6_3nf_branch_history'!$B$2:$B$50=U197)*ROW('6_3nf_branch_history'!$A$2:$A$50))))</f>
        <v/>
      </c>
      <c r="Y197" s="2">
        <f>UPPER(TRIM(D197))</f>
        <v/>
      </c>
      <c r="Z197" s="2">
        <f>IFERROR(INDEX('7_3nf_product'!$B:$B,MATCH(Y197,'7_3nf_product'!$A:$A,0)),"NOT FOUND")</f>
        <v/>
      </c>
      <c r="AA197" s="2">
        <f>IFERROR(INDEX('7_3nf_product'!$C:$C,MATCH(Y197,'7_3nf_product'!$A:$A,0)),"NOT FOUND")</f>
        <v/>
      </c>
      <c r="AB197" s="2">
        <f>IFERROR(INDEX('7_3nf_product'!$D:$D,MATCH(Y197,'7_3nf_product'!$A:$A,0)),"NOT FOUND")</f>
        <v/>
      </c>
      <c r="AC197" s="6">
        <f>IFERROR(INDEX('7_3nf_product'!$E:$E,MATCH(Y197,'7_3nf_product'!$A:$A,0)),"NOT FOUND")</f>
        <v/>
      </c>
      <c r="AD197" s="33">
        <f>IF(LEN(TRIM(E197))=10,TRIM(E197),IF(LEN(TRIM(E197))=8,"00"&amp;TRIM(E197),"CHECK"))</f>
        <v/>
      </c>
      <c r="AE197" s="2">
        <f>IFERROR(INDEX('8_3nf_customer'!$C:$C,MATCH(AD197,'8_3nf_customer'!$B:$B,0)),"NOT FOUND")</f>
        <v/>
      </c>
      <c r="AF197" s="30">
        <f>IFERROR(INDEX('8_3nf_customer'!$D:$D,MATCH(AD197,'8_3nf_customer'!$B:$B,0)),"NOT FOUND")</f>
        <v/>
      </c>
      <c r="AG197" s="4">
        <f>IF(ISNUMBER(AF197),DATEDIF(AF197,L197,"y"),"NOT FOUND")</f>
        <v/>
      </c>
      <c r="AH197" s="2">
        <f>IFERROR(INDEX('8_3nf_customer'!$E:$E,MATCH(AD197,'8_3nf_customer'!$B:$B,0)),"NOT FOUND")</f>
        <v/>
      </c>
      <c r="AI197" s="30">
        <f>IF(_xlfn.MAXIFS('9_3nf_customer_history'!$B$2:$B$500,'9_3nf_customer_history'!$A$2:$A$500,AD197,'9_3nf_customer_history'!$B$2:$B$500,"&lt;="&amp;L197)=0,"NOT FOUND",_xlfn.MAXIFS('9_3nf_customer_history'!$B$2:$B$500,'9_3nf_customer_history'!$A$2:$A$500,AD197,'9_3nf_customer_history'!$B$2:$B$500,"&lt;="&amp;L197))</f>
        <v/>
      </c>
      <c r="AJ197" s="2">
        <f>IF(AI197="NOT FOUND","NOT FOUND",INDEX('9_3nf_customer_history'!$C:$C,SUMPRODUCT(('9_3nf_customer_history'!$A$2:$A$500=AD197)*('9_3nf_customer_history'!$B$2:$B$500=AI197)*ROW('9_3nf_customer_history'!$A$2:$A$500))))</f>
        <v/>
      </c>
      <c r="AK197" s="2">
        <f>IF(AI197="NOT FOUND","NOT FOUND",INDEX('9_3nf_customer_history'!$D:$D,SUMPRODUCT(('9_3nf_customer_history'!$A$2:$A$500=AD197)*('9_3nf_customer_history'!$B$2:$B$500=AI197)*ROW('9_3nf_customer_history'!$A$2:$A$500))))</f>
        <v/>
      </c>
      <c r="AL197" s="2">
        <f>UPPER(TRIM(H197))</f>
        <v/>
      </c>
      <c r="AM197" s="30">
        <f>IF(_xlfn.MAXIFS('10_ref_fx_rate'!$B$2:$B$2000,'10_ref_fx_rate'!$A$2:$A$2000,AL197,'10_ref_fx_rate'!$B$2:$B$2000,"&lt;="&amp;L197)=0,"NOT FOUND",_xlfn.MAXIFS('10_ref_fx_rate'!$B$2:$B$2000,'10_ref_fx_rate'!$A$2:$A$2000,AL197,'10_ref_fx_rate'!$B$2:$B$2000,"&lt;="&amp;L197))</f>
        <v/>
      </c>
      <c r="AN197" s="8">
        <f>IF(AM197="NOT FOUND","NOT FOUND",SUMIFS('10_ref_fx_rate'!$D$2:$D$2000,'10_ref_fx_rate'!$A$2:$A$2000,AL197,'10_ref_fx_rate'!$B$2:$B$2000,AM197))</f>
        <v/>
      </c>
      <c r="AO197" s="37">
        <f>IF(ISNUMBER(AN197),I197*AN197,"NOT FOUND")</f>
        <v/>
      </c>
      <c r="AP197" s="2">
        <f>UPPER(TRIM(J197))</f>
        <v/>
      </c>
      <c r="AQ197" s="2">
        <f>IF(AP197="","SELF-DIRECTED",IF(ISNUMBER(MATCH(AP197,'11_3nf_sales_person'!$A:$A,0)),IF(EXACT(AP197,J197),"OK","OK (auto-fixed)"),IF(ISNA(MATCH($A197,'12_sales_person_confirmation'!$A:$A,0)),"CONFIRM (not logged)",IF(INDEX('12_sales_person_confirmation'!$I:$I,MATCH($A197,'12_sales_person_confirmation'!$A:$A,0))="CONFIRMED","CONFIRMED ("&amp;LOWER(INDEX('12_sales_person_confirmation'!$E:$E,MATCH($A197,'12_sales_person_confirmation'!$A:$A,0)))&amp;")","PENDING CONFIRM"))))</f>
        <v/>
      </c>
      <c r="AR197" s="2">
        <f>IF(OR(AQ197="OK",AQ197="OK (auto-fixed)"),AP197,IF(LEFT(AQ197,9)="CONFIRMED",INDEX('12_sales_person_confirmation'!$F:$F,MATCH($A197,'12_sales_person_confirmation'!$A:$A,0)),""))</f>
        <v/>
      </c>
      <c r="AS197" s="2">
        <f>IF(AR197="","",INDEX('11_3nf_sales_person'!$B:$B,MATCH(AR197,'11_3nf_sales_person'!$A:$A,0)))</f>
        <v/>
      </c>
    </row>
    <row r="198">
      <c r="A198" s="2">
        <f>IF(ISBLANK('1_raw_log'!A198),"",'1_raw_log'!A198)</f>
        <v/>
      </c>
      <c r="B198" s="3">
        <f>IF(ISBLANK('1_raw_log'!B198),"",'1_raw_log'!B198)</f>
        <v/>
      </c>
      <c r="C198" s="2">
        <f>IF(ISBLANK('1_raw_log'!C198),"",'1_raw_log'!C198)</f>
        <v/>
      </c>
      <c r="D198" s="2">
        <f>IF(ISBLANK('1_raw_log'!D198),"",'1_raw_log'!D198)</f>
        <v/>
      </c>
      <c r="E198" s="4">
        <f>IF(ISBLANK('1_raw_log'!E198),"",'1_raw_log'!E198)</f>
        <v/>
      </c>
      <c r="F198" s="2">
        <f>IF(ISBLANK('1_raw_log'!F198),"",'1_raw_log'!F198)</f>
        <v/>
      </c>
      <c r="G198" s="2">
        <f>IF(ISBLANK('1_raw_log'!G198),"",'1_raw_log'!G198)</f>
        <v/>
      </c>
      <c r="H198" s="2">
        <f>IF(ISBLANK('1_raw_log'!H198),"",'1_raw_log'!H198)</f>
        <v/>
      </c>
      <c r="I198" s="7">
        <f>IF(ISBLANK('1_raw_log'!I198),"",'1_raw_log'!I198)</f>
        <v/>
      </c>
      <c r="J198" s="2">
        <f>IF(ISBLANK('1_raw_log'!J198),"",'1_raw_log'!J198)</f>
        <v/>
      </c>
      <c r="K198" s="2">
        <f>IF(ISBLANK('1_raw_log'!K198),"",'1_raw_log'!K198)</f>
        <v/>
      </c>
      <c r="L198" s="30">
        <f>INT(B198)</f>
        <v/>
      </c>
      <c r="M198" s="20">
        <f>ROUND(MOD(B198,1)*1440,0)/1440</f>
        <v/>
      </c>
      <c r="N198" s="4">
        <f>IFERROR(INDEX('3_ref_date'!$B:$B,MATCH(L198,'3_ref_date'!$A:$A,0)),"NOT FOUND")</f>
        <v/>
      </c>
      <c r="O198" s="2">
        <f>IFERROR(INDEX('3_ref_date'!$C:$C,MATCH(L198,'3_ref_date'!$A:$A,0)),"NOT FOUND")</f>
        <v/>
      </c>
      <c r="P198" s="4">
        <f>IFERROR(INDEX('3_ref_date'!$D:$D,MATCH(L198,'3_ref_date'!$A:$A,0)),"NOT FOUND")</f>
        <v/>
      </c>
      <c r="Q198" s="4">
        <f>IFERROR(INDEX('3_ref_date'!$E:$E,MATCH(L198,'3_ref_date'!$A:$A,0)),"NOT FOUND")</f>
        <v/>
      </c>
      <c r="R198" s="2">
        <f>IFERROR(INDEX('3_ref_date'!$F:$F,MATCH(L198,'3_ref_date'!$A:$A,0)),"NOT FOUND")</f>
        <v/>
      </c>
      <c r="S198" s="2">
        <f>IFERROR(INDEX('4_ref_time'!$D:$D,MATCH(ROUND(M198*1440,0),'4_ref_time'!$A:$A,0)),"NOT FOUND")</f>
        <v/>
      </c>
      <c r="T198" s="2">
        <f>UPPER(TRIM(C198))</f>
        <v/>
      </c>
      <c r="U198" s="30">
        <f>IF(_xlfn.MAXIFS('6_3nf_branch_history'!$B$2:$B$50,'6_3nf_branch_history'!$A$2:$A$50,T198,'6_3nf_branch_history'!$B$2:$B$50,"&lt;="&amp;L198)=0,"NOT FOUND",_xlfn.MAXIFS('6_3nf_branch_history'!$B$2:$B$50,'6_3nf_branch_history'!$A$2:$A$50,T198,'6_3nf_branch_history'!$B$2:$B$50,"&lt;="&amp;L198))</f>
        <v/>
      </c>
      <c r="V198" s="2">
        <f>IF(U198="NOT FOUND","NOT FOUND",INDEX('6_3nf_branch_history'!$C:$C,SUMPRODUCT(('6_3nf_branch_history'!$A$2:$A$50=T198)*('6_3nf_branch_history'!$B$2:$B$50=U198)*ROW('6_3nf_branch_history'!$A$2:$A$50))))</f>
        <v/>
      </c>
      <c r="W198" s="2">
        <f>IF(U198="NOT FOUND","NOT FOUND",INDEX('6_3nf_branch_history'!$D:$D,SUMPRODUCT(('6_3nf_branch_history'!$A$2:$A$50=T198)*('6_3nf_branch_history'!$B$2:$B$50=U198)*ROW('6_3nf_branch_history'!$A$2:$A$50))))</f>
        <v/>
      </c>
      <c r="X198" s="2">
        <f>IF(U198="NOT FOUND","NOT FOUND",INDEX('6_3nf_branch_history'!$E:$E,SUMPRODUCT(('6_3nf_branch_history'!$A$2:$A$50=T198)*('6_3nf_branch_history'!$B$2:$B$50=U198)*ROW('6_3nf_branch_history'!$A$2:$A$50))))</f>
        <v/>
      </c>
      <c r="Y198" s="2">
        <f>UPPER(TRIM(D198))</f>
        <v/>
      </c>
      <c r="Z198" s="2">
        <f>IFERROR(INDEX('7_3nf_product'!$B:$B,MATCH(Y198,'7_3nf_product'!$A:$A,0)),"NOT FOUND")</f>
        <v/>
      </c>
      <c r="AA198" s="2">
        <f>IFERROR(INDEX('7_3nf_product'!$C:$C,MATCH(Y198,'7_3nf_product'!$A:$A,0)),"NOT FOUND")</f>
        <v/>
      </c>
      <c r="AB198" s="2">
        <f>IFERROR(INDEX('7_3nf_product'!$D:$D,MATCH(Y198,'7_3nf_product'!$A:$A,0)),"NOT FOUND")</f>
        <v/>
      </c>
      <c r="AC198" s="6">
        <f>IFERROR(INDEX('7_3nf_product'!$E:$E,MATCH(Y198,'7_3nf_product'!$A:$A,0)),"NOT FOUND")</f>
        <v/>
      </c>
      <c r="AD198" s="33">
        <f>IF(LEN(TRIM(E198))=10,TRIM(E198),IF(LEN(TRIM(E198))=8,"00"&amp;TRIM(E198),"CHECK"))</f>
        <v/>
      </c>
      <c r="AE198" s="2">
        <f>IFERROR(INDEX('8_3nf_customer'!$C:$C,MATCH(AD198,'8_3nf_customer'!$B:$B,0)),"NOT FOUND")</f>
        <v/>
      </c>
      <c r="AF198" s="30">
        <f>IFERROR(INDEX('8_3nf_customer'!$D:$D,MATCH(AD198,'8_3nf_customer'!$B:$B,0)),"NOT FOUND")</f>
        <v/>
      </c>
      <c r="AG198" s="4">
        <f>IF(ISNUMBER(AF198),DATEDIF(AF198,L198,"y"),"NOT FOUND")</f>
        <v/>
      </c>
      <c r="AH198" s="2">
        <f>IFERROR(INDEX('8_3nf_customer'!$E:$E,MATCH(AD198,'8_3nf_customer'!$B:$B,0)),"NOT FOUND")</f>
        <v/>
      </c>
      <c r="AI198" s="30">
        <f>IF(_xlfn.MAXIFS('9_3nf_customer_history'!$B$2:$B$500,'9_3nf_customer_history'!$A$2:$A$500,AD198,'9_3nf_customer_history'!$B$2:$B$500,"&lt;="&amp;L198)=0,"NOT FOUND",_xlfn.MAXIFS('9_3nf_customer_history'!$B$2:$B$500,'9_3nf_customer_history'!$A$2:$A$500,AD198,'9_3nf_customer_history'!$B$2:$B$500,"&lt;="&amp;L198))</f>
        <v/>
      </c>
      <c r="AJ198" s="2">
        <f>IF(AI198="NOT FOUND","NOT FOUND",INDEX('9_3nf_customer_history'!$C:$C,SUMPRODUCT(('9_3nf_customer_history'!$A$2:$A$500=AD198)*('9_3nf_customer_history'!$B$2:$B$500=AI198)*ROW('9_3nf_customer_history'!$A$2:$A$500))))</f>
        <v/>
      </c>
      <c r="AK198" s="2">
        <f>IF(AI198="NOT FOUND","NOT FOUND",INDEX('9_3nf_customer_history'!$D:$D,SUMPRODUCT(('9_3nf_customer_history'!$A$2:$A$500=AD198)*('9_3nf_customer_history'!$B$2:$B$500=AI198)*ROW('9_3nf_customer_history'!$A$2:$A$500))))</f>
        <v/>
      </c>
      <c r="AL198" s="2">
        <f>UPPER(TRIM(H198))</f>
        <v/>
      </c>
      <c r="AM198" s="30">
        <f>IF(_xlfn.MAXIFS('10_ref_fx_rate'!$B$2:$B$2000,'10_ref_fx_rate'!$A$2:$A$2000,AL198,'10_ref_fx_rate'!$B$2:$B$2000,"&lt;="&amp;L198)=0,"NOT FOUND",_xlfn.MAXIFS('10_ref_fx_rate'!$B$2:$B$2000,'10_ref_fx_rate'!$A$2:$A$2000,AL198,'10_ref_fx_rate'!$B$2:$B$2000,"&lt;="&amp;L198))</f>
        <v/>
      </c>
      <c r="AN198" s="8">
        <f>IF(AM198="NOT FOUND","NOT FOUND",SUMIFS('10_ref_fx_rate'!$D$2:$D$2000,'10_ref_fx_rate'!$A$2:$A$2000,AL198,'10_ref_fx_rate'!$B$2:$B$2000,AM198))</f>
        <v/>
      </c>
      <c r="AO198" s="37">
        <f>IF(ISNUMBER(AN198),I198*AN198,"NOT FOUND")</f>
        <v/>
      </c>
      <c r="AP198" s="2">
        <f>UPPER(TRIM(J198))</f>
        <v/>
      </c>
      <c r="AQ198" s="2">
        <f>IF(AP198="","SELF-DIRECTED",IF(ISNUMBER(MATCH(AP198,'11_3nf_sales_person'!$A:$A,0)),IF(EXACT(AP198,J198),"OK","OK (auto-fixed)"),IF(ISNA(MATCH($A198,'12_sales_person_confirmation'!$A:$A,0)),"CONFIRM (not logged)",IF(INDEX('12_sales_person_confirmation'!$I:$I,MATCH($A198,'12_sales_person_confirmation'!$A:$A,0))="CONFIRMED","CONFIRMED ("&amp;LOWER(INDEX('12_sales_person_confirmation'!$E:$E,MATCH($A198,'12_sales_person_confirmation'!$A:$A,0)))&amp;")","PENDING CONFIRM"))))</f>
        <v/>
      </c>
      <c r="AR198" s="2">
        <f>IF(OR(AQ198="OK",AQ198="OK (auto-fixed)"),AP198,IF(LEFT(AQ198,9)="CONFIRMED",INDEX('12_sales_person_confirmation'!$F:$F,MATCH($A198,'12_sales_person_confirmation'!$A:$A,0)),""))</f>
        <v/>
      </c>
      <c r="AS198" s="2">
        <f>IF(AR198="","",INDEX('11_3nf_sales_person'!$B:$B,MATCH(AR198,'11_3nf_sales_person'!$A:$A,0)))</f>
        <v/>
      </c>
    </row>
    <row r="199">
      <c r="A199" s="2">
        <f>IF(ISBLANK('1_raw_log'!A199),"",'1_raw_log'!A199)</f>
        <v/>
      </c>
      <c r="B199" s="3">
        <f>IF(ISBLANK('1_raw_log'!B199),"",'1_raw_log'!B199)</f>
        <v/>
      </c>
      <c r="C199" s="2">
        <f>IF(ISBLANK('1_raw_log'!C199),"",'1_raw_log'!C199)</f>
        <v/>
      </c>
      <c r="D199" s="2">
        <f>IF(ISBLANK('1_raw_log'!D199),"",'1_raw_log'!D199)</f>
        <v/>
      </c>
      <c r="E199" s="4">
        <f>IF(ISBLANK('1_raw_log'!E199),"",'1_raw_log'!E199)</f>
        <v/>
      </c>
      <c r="F199" s="2">
        <f>IF(ISBLANK('1_raw_log'!F199),"",'1_raw_log'!F199)</f>
        <v/>
      </c>
      <c r="G199" s="2">
        <f>IF(ISBLANK('1_raw_log'!G199),"",'1_raw_log'!G199)</f>
        <v/>
      </c>
      <c r="H199" s="2">
        <f>IF(ISBLANK('1_raw_log'!H199),"",'1_raw_log'!H199)</f>
        <v/>
      </c>
      <c r="I199" s="7">
        <f>IF(ISBLANK('1_raw_log'!I199),"",'1_raw_log'!I199)</f>
        <v/>
      </c>
      <c r="J199" s="2">
        <f>IF(ISBLANK('1_raw_log'!J199),"",'1_raw_log'!J199)</f>
        <v/>
      </c>
      <c r="K199" s="2">
        <f>IF(ISBLANK('1_raw_log'!K199),"",'1_raw_log'!K199)</f>
        <v/>
      </c>
      <c r="L199" s="30">
        <f>INT(B199)</f>
        <v/>
      </c>
      <c r="M199" s="20">
        <f>ROUND(MOD(B199,1)*1440,0)/1440</f>
        <v/>
      </c>
      <c r="N199" s="4">
        <f>IFERROR(INDEX('3_ref_date'!$B:$B,MATCH(L199,'3_ref_date'!$A:$A,0)),"NOT FOUND")</f>
        <v/>
      </c>
      <c r="O199" s="2">
        <f>IFERROR(INDEX('3_ref_date'!$C:$C,MATCH(L199,'3_ref_date'!$A:$A,0)),"NOT FOUND")</f>
        <v/>
      </c>
      <c r="P199" s="4">
        <f>IFERROR(INDEX('3_ref_date'!$D:$D,MATCH(L199,'3_ref_date'!$A:$A,0)),"NOT FOUND")</f>
        <v/>
      </c>
      <c r="Q199" s="4">
        <f>IFERROR(INDEX('3_ref_date'!$E:$E,MATCH(L199,'3_ref_date'!$A:$A,0)),"NOT FOUND")</f>
        <v/>
      </c>
      <c r="R199" s="2">
        <f>IFERROR(INDEX('3_ref_date'!$F:$F,MATCH(L199,'3_ref_date'!$A:$A,0)),"NOT FOUND")</f>
        <v/>
      </c>
      <c r="S199" s="2">
        <f>IFERROR(INDEX('4_ref_time'!$D:$D,MATCH(ROUND(M199*1440,0),'4_ref_time'!$A:$A,0)),"NOT FOUND")</f>
        <v/>
      </c>
      <c r="T199" s="2">
        <f>UPPER(TRIM(C199))</f>
        <v/>
      </c>
      <c r="U199" s="30">
        <f>IF(_xlfn.MAXIFS('6_3nf_branch_history'!$B$2:$B$50,'6_3nf_branch_history'!$A$2:$A$50,T199,'6_3nf_branch_history'!$B$2:$B$50,"&lt;="&amp;L199)=0,"NOT FOUND",_xlfn.MAXIFS('6_3nf_branch_history'!$B$2:$B$50,'6_3nf_branch_history'!$A$2:$A$50,T199,'6_3nf_branch_history'!$B$2:$B$50,"&lt;="&amp;L199))</f>
        <v/>
      </c>
      <c r="V199" s="2">
        <f>IF(U199="NOT FOUND","NOT FOUND",INDEX('6_3nf_branch_history'!$C:$C,SUMPRODUCT(('6_3nf_branch_history'!$A$2:$A$50=T199)*('6_3nf_branch_history'!$B$2:$B$50=U199)*ROW('6_3nf_branch_history'!$A$2:$A$50))))</f>
        <v/>
      </c>
      <c r="W199" s="2">
        <f>IF(U199="NOT FOUND","NOT FOUND",INDEX('6_3nf_branch_history'!$D:$D,SUMPRODUCT(('6_3nf_branch_history'!$A$2:$A$50=T199)*('6_3nf_branch_history'!$B$2:$B$50=U199)*ROW('6_3nf_branch_history'!$A$2:$A$50))))</f>
        <v/>
      </c>
      <c r="X199" s="2">
        <f>IF(U199="NOT FOUND","NOT FOUND",INDEX('6_3nf_branch_history'!$E:$E,SUMPRODUCT(('6_3nf_branch_history'!$A$2:$A$50=T199)*('6_3nf_branch_history'!$B$2:$B$50=U199)*ROW('6_3nf_branch_history'!$A$2:$A$50))))</f>
        <v/>
      </c>
      <c r="Y199" s="2">
        <f>UPPER(TRIM(D199))</f>
        <v/>
      </c>
      <c r="Z199" s="2">
        <f>IFERROR(INDEX('7_3nf_product'!$B:$B,MATCH(Y199,'7_3nf_product'!$A:$A,0)),"NOT FOUND")</f>
        <v/>
      </c>
      <c r="AA199" s="2">
        <f>IFERROR(INDEX('7_3nf_product'!$C:$C,MATCH(Y199,'7_3nf_product'!$A:$A,0)),"NOT FOUND")</f>
        <v/>
      </c>
      <c r="AB199" s="2">
        <f>IFERROR(INDEX('7_3nf_product'!$D:$D,MATCH(Y199,'7_3nf_product'!$A:$A,0)),"NOT FOUND")</f>
        <v/>
      </c>
      <c r="AC199" s="6">
        <f>IFERROR(INDEX('7_3nf_product'!$E:$E,MATCH(Y199,'7_3nf_product'!$A:$A,0)),"NOT FOUND")</f>
        <v/>
      </c>
      <c r="AD199" s="33">
        <f>IF(LEN(TRIM(E199))=10,TRIM(E199),IF(LEN(TRIM(E199))=8,"00"&amp;TRIM(E199),"CHECK"))</f>
        <v/>
      </c>
      <c r="AE199" s="2">
        <f>IFERROR(INDEX('8_3nf_customer'!$C:$C,MATCH(AD199,'8_3nf_customer'!$B:$B,0)),"NOT FOUND")</f>
        <v/>
      </c>
      <c r="AF199" s="30">
        <f>IFERROR(INDEX('8_3nf_customer'!$D:$D,MATCH(AD199,'8_3nf_customer'!$B:$B,0)),"NOT FOUND")</f>
        <v/>
      </c>
      <c r="AG199" s="4">
        <f>IF(ISNUMBER(AF199),DATEDIF(AF199,L199,"y"),"NOT FOUND")</f>
        <v/>
      </c>
      <c r="AH199" s="2">
        <f>IFERROR(INDEX('8_3nf_customer'!$E:$E,MATCH(AD199,'8_3nf_customer'!$B:$B,0)),"NOT FOUND")</f>
        <v/>
      </c>
      <c r="AI199" s="30">
        <f>IF(_xlfn.MAXIFS('9_3nf_customer_history'!$B$2:$B$500,'9_3nf_customer_history'!$A$2:$A$500,AD199,'9_3nf_customer_history'!$B$2:$B$500,"&lt;="&amp;L199)=0,"NOT FOUND",_xlfn.MAXIFS('9_3nf_customer_history'!$B$2:$B$500,'9_3nf_customer_history'!$A$2:$A$500,AD199,'9_3nf_customer_history'!$B$2:$B$500,"&lt;="&amp;L199))</f>
        <v/>
      </c>
      <c r="AJ199" s="2">
        <f>IF(AI199="NOT FOUND","NOT FOUND",INDEX('9_3nf_customer_history'!$C:$C,SUMPRODUCT(('9_3nf_customer_history'!$A$2:$A$500=AD199)*('9_3nf_customer_history'!$B$2:$B$500=AI199)*ROW('9_3nf_customer_history'!$A$2:$A$500))))</f>
        <v/>
      </c>
      <c r="AK199" s="2">
        <f>IF(AI199="NOT FOUND","NOT FOUND",INDEX('9_3nf_customer_history'!$D:$D,SUMPRODUCT(('9_3nf_customer_history'!$A$2:$A$500=AD199)*('9_3nf_customer_history'!$B$2:$B$500=AI199)*ROW('9_3nf_customer_history'!$A$2:$A$500))))</f>
        <v/>
      </c>
      <c r="AL199" s="2">
        <f>UPPER(TRIM(H199))</f>
        <v/>
      </c>
      <c r="AM199" s="30">
        <f>IF(_xlfn.MAXIFS('10_ref_fx_rate'!$B$2:$B$2000,'10_ref_fx_rate'!$A$2:$A$2000,AL199,'10_ref_fx_rate'!$B$2:$B$2000,"&lt;="&amp;L199)=0,"NOT FOUND",_xlfn.MAXIFS('10_ref_fx_rate'!$B$2:$B$2000,'10_ref_fx_rate'!$A$2:$A$2000,AL199,'10_ref_fx_rate'!$B$2:$B$2000,"&lt;="&amp;L199))</f>
        <v/>
      </c>
      <c r="AN199" s="8">
        <f>IF(AM199="NOT FOUND","NOT FOUND",SUMIFS('10_ref_fx_rate'!$D$2:$D$2000,'10_ref_fx_rate'!$A$2:$A$2000,AL199,'10_ref_fx_rate'!$B$2:$B$2000,AM199))</f>
        <v/>
      </c>
      <c r="AO199" s="37">
        <f>IF(ISNUMBER(AN199),I199*AN199,"NOT FOUND")</f>
        <v/>
      </c>
      <c r="AP199" s="2">
        <f>UPPER(TRIM(J199))</f>
        <v/>
      </c>
      <c r="AQ199" s="2">
        <f>IF(AP199="","SELF-DIRECTED",IF(ISNUMBER(MATCH(AP199,'11_3nf_sales_person'!$A:$A,0)),IF(EXACT(AP199,J199),"OK","OK (auto-fixed)"),IF(ISNA(MATCH($A199,'12_sales_person_confirmation'!$A:$A,0)),"CONFIRM (not logged)",IF(INDEX('12_sales_person_confirmation'!$I:$I,MATCH($A199,'12_sales_person_confirmation'!$A:$A,0))="CONFIRMED","CONFIRMED ("&amp;LOWER(INDEX('12_sales_person_confirmation'!$E:$E,MATCH($A199,'12_sales_person_confirmation'!$A:$A,0)))&amp;")","PENDING CONFIRM"))))</f>
        <v/>
      </c>
      <c r="AR199" s="2">
        <f>IF(OR(AQ199="OK",AQ199="OK (auto-fixed)"),AP199,IF(LEFT(AQ199,9)="CONFIRMED",INDEX('12_sales_person_confirmation'!$F:$F,MATCH($A199,'12_sales_person_confirmation'!$A:$A,0)),""))</f>
        <v/>
      </c>
      <c r="AS199" s="2">
        <f>IF(AR199="","",INDEX('11_3nf_sales_person'!$B:$B,MATCH(AR199,'11_3nf_sales_person'!$A:$A,0)))</f>
        <v/>
      </c>
    </row>
    <row r="200">
      <c r="A200" s="2">
        <f>IF(ISBLANK('1_raw_log'!A200),"",'1_raw_log'!A200)</f>
        <v/>
      </c>
      <c r="B200" s="3">
        <f>IF(ISBLANK('1_raw_log'!B200),"",'1_raw_log'!B200)</f>
        <v/>
      </c>
      <c r="C200" s="2">
        <f>IF(ISBLANK('1_raw_log'!C200),"",'1_raw_log'!C200)</f>
        <v/>
      </c>
      <c r="D200" s="2">
        <f>IF(ISBLANK('1_raw_log'!D200),"",'1_raw_log'!D200)</f>
        <v/>
      </c>
      <c r="E200" s="4">
        <f>IF(ISBLANK('1_raw_log'!E200),"",'1_raw_log'!E200)</f>
        <v/>
      </c>
      <c r="F200" s="2">
        <f>IF(ISBLANK('1_raw_log'!F200),"",'1_raw_log'!F200)</f>
        <v/>
      </c>
      <c r="G200" s="2">
        <f>IF(ISBLANK('1_raw_log'!G200),"",'1_raw_log'!G200)</f>
        <v/>
      </c>
      <c r="H200" s="2">
        <f>IF(ISBLANK('1_raw_log'!H200),"",'1_raw_log'!H200)</f>
        <v/>
      </c>
      <c r="I200" s="7">
        <f>IF(ISBLANK('1_raw_log'!I200),"",'1_raw_log'!I200)</f>
        <v/>
      </c>
      <c r="J200" s="2">
        <f>IF(ISBLANK('1_raw_log'!J200),"",'1_raw_log'!J200)</f>
        <v/>
      </c>
      <c r="K200" s="2">
        <f>IF(ISBLANK('1_raw_log'!K200),"",'1_raw_log'!K200)</f>
        <v/>
      </c>
      <c r="L200" s="30">
        <f>INT(B200)</f>
        <v/>
      </c>
      <c r="M200" s="20">
        <f>ROUND(MOD(B200,1)*1440,0)/1440</f>
        <v/>
      </c>
      <c r="N200" s="4">
        <f>IFERROR(INDEX('3_ref_date'!$B:$B,MATCH(L200,'3_ref_date'!$A:$A,0)),"NOT FOUND")</f>
        <v/>
      </c>
      <c r="O200" s="2">
        <f>IFERROR(INDEX('3_ref_date'!$C:$C,MATCH(L200,'3_ref_date'!$A:$A,0)),"NOT FOUND")</f>
        <v/>
      </c>
      <c r="P200" s="4">
        <f>IFERROR(INDEX('3_ref_date'!$D:$D,MATCH(L200,'3_ref_date'!$A:$A,0)),"NOT FOUND")</f>
        <v/>
      </c>
      <c r="Q200" s="4">
        <f>IFERROR(INDEX('3_ref_date'!$E:$E,MATCH(L200,'3_ref_date'!$A:$A,0)),"NOT FOUND")</f>
        <v/>
      </c>
      <c r="R200" s="2">
        <f>IFERROR(INDEX('3_ref_date'!$F:$F,MATCH(L200,'3_ref_date'!$A:$A,0)),"NOT FOUND")</f>
        <v/>
      </c>
      <c r="S200" s="2">
        <f>IFERROR(INDEX('4_ref_time'!$D:$D,MATCH(ROUND(M200*1440,0),'4_ref_time'!$A:$A,0)),"NOT FOUND")</f>
        <v/>
      </c>
      <c r="T200" s="2">
        <f>UPPER(TRIM(C200))</f>
        <v/>
      </c>
      <c r="U200" s="30">
        <f>IF(_xlfn.MAXIFS('6_3nf_branch_history'!$B$2:$B$50,'6_3nf_branch_history'!$A$2:$A$50,T200,'6_3nf_branch_history'!$B$2:$B$50,"&lt;="&amp;L200)=0,"NOT FOUND",_xlfn.MAXIFS('6_3nf_branch_history'!$B$2:$B$50,'6_3nf_branch_history'!$A$2:$A$50,T200,'6_3nf_branch_history'!$B$2:$B$50,"&lt;="&amp;L200))</f>
        <v/>
      </c>
      <c r="V200" s="2">
        <f>IF(U200="NOT FOUND","NOT FOUND",INDEX('6_3nf_branch_history'!$C:$C,SUMPRODUCT(('6_3nf_branch_history'!$A$2:$A$50=T200)*('6_3nf_branch_history'!$B$2:$B$50=U200)*ROW('6_3nf_branch_history'!$A$2:$A$50))))</f>
        <v/>
      </c>
      <c r="W200" s="2">
        <f>IF(U200="NOT FOUND","NOT FOUND",INDEX('6_3nf_branch_history'!$D:$D,SUMPRODUCT(('6_3nf_branch_history'!$A$2:$A$50=T200)*('6_3nf_branch_history'!$B$2:$B$50=U200)*ROW('6_3nf_branch_history'!$A$2:$A$50))))</f>
        <v/>
      </c>
      <c r="X200" s="2">
        <f>IF(U200="NOT FOUND","NOT FOUND",INDEX('6_3nf_branch_history'!$E:$E,SUMPRODUCT(('6_3nf_branch_history'!$A$2:$A$50=T200)*('6_3nf_branch_history'!$B$2:$B$50=U200)*ROW('6_3nf_branch_history'!$A$2:$A$50))))</f>
        <v/>
      </c>
      <c r="Y200" s="2">
        <f>UPPER(TRIM(D200))</f>
        <v/>
      </c>
      <c r="Z200" s="2">
        <f>IFERROR(INDEX('7_3nf_product'!$B:$B,MATCH(Y200,'7_3nf_product'!$A:$A,0)),"NOT FOUND")</f>
        <v/>
      </c>
      <c r="AA200" s="2">
        <f>IFERROR(INDEX('7_3nf_product'!$C:$C,MATCH(Y200,'7_3nf_product'!$A:$A,0)),"NOT FOUND")</f>
        <v/>
      </c>
      <c r="AB200" s="2">
        <f>IFERROR(INDEX('7_3nf_product'!$D:$D,MATCH(Y200,'7_3nf_product'!$A:$A,0)),"NOT FOUND")</f>
        <v/>
      </c>
      <c r="AC200" s="6">
        <f>IFERROR(INDEX('7_3nf_product'!$E:$E,MATCH(Y200,'7_3nf_product'!$A:$A,0)),"NOT FOUND")</f>
        <v/>
      </c>
      <c r="AD200" s="33">
        <f>IF(LEN(TRIM(E200))=10,TRIM(E200),IF(LEN(TRIM(E200))=8,"00"&amp;TRIM(E200),"CHECK"))</f>
        <v/>
      </c>
      <c r="AE200" s="2">
        <f>IFERROR(INDEX('8_3nf_customer'!$C:$C,MATCH(AD200,'8_3nf_customer'!$B:$B,0)),"NOT FOUND")</f>
        <v/>
      </c>
      <c r="AF200" s="30">
        <f>IFERROR(INDEX('8_3nf_customer'!$D:$D,MATCH(AD200,'8_3nf_customer'!$B:$B,0)),"NOT FOUND")</f>
        <v/>
      </c>
      <c r="AG200" s="4">
        <f>IF(ISNUMBER(AF200),DATEDIF(AF200,L200,"y"),"NOT FOUND")</f>
        <v/>
      </c>
      <c r="AH200" s="2">
        <f>IFERROR(INDEX('8_3nf_customer'!$E:$E,MATCH(AD200,'8_3nf_customer'!$B:$B,0)),"NOT FOUND")</f>
        <v/>
      </c>
      <c r="AI200" s="30">
        <f>IF(_xlfn.MAXIFS('9_3nf_customer_history'!$B$2:$B$500,'9_3nf_customer_history'!$A$2:$A$500,AD200,'9_3nf_customer_history'!$B$2:$B$500,"&lt;="&amp;L200)=0,"NOT FOUND",_xlfn.MAXIFS('9_3nf_customer_history'!$B$2:$B$500,'9_3nf_customer_history'!$A$2:$A$500,AD200,'9_3nf_customer_history'!$B$2:$B$500,"&lt;="&amp;L200))</f>
        <v/>
      </c>
      <c r="AJ200" s="2">
        <f>IF(AI200="NOT FOUND","NOT FOUND",INDEX('9_3nf_customer_history'!$C:$C,SUMPRODUCT(('9_3nf_customer_history'!$A$2:$A$500=AD200)*('9_3nf_customer_history'!$B$2:$B$500=AI200)*ROW('9_3nf_customer_history'!$A$2:$A$500))))</f>
        <v/>
      </c>
      <c r="AK200" s="2">
        <f>IF(AI200="NOT FOUND","NOT FOUND",INDEX('9_3nf_customer_history'!$D:$D,SUMPRODUCT(('9_3nf_customer_history'!$A$2:$A$500=AD200)*('9_3nf_customer_history'!$B$2:$B$500=AI200)*ROW('9_3nf_customer_history'!$A$2:$A$500))))</f>
        <v/>
      </c>
      <c r="AL200" s="2">
        <f>UPPER(TRIM(H200))</f>
        <v/>
      </c>
      <c r="AM200" s="30">
        <f>IF(_xlfn.MAXIFS('10_ref_fx_rate'!$B$2:$B$2000,'10_ref_fx_rate'!$A$2:$A$2000,AL200,'10_ref_fx_rate'!$B$2:$B$2000,"&lt;="&amp;L200)=0,"NOT FOUND",_xlfn.MAXIFS('10_ref_fx_rate'!$B$2:$B$2000,'10_ref_fx_rate'!$A$2:$A$2000,AL200,'10_ref_fx_rate'!$B$2:$B$2000,"&lt;="&amp;L200))</f>
        <v/>
      </c>
      <c r="AN200" s="8">
        <f>IF(AM200="NOT FOUND","NOT FOUND",SUMIFS('10_ref_fx_rate'!$D$2:$D$2000,'10_ref_fx_rate'!$A$2:$A$2000,AL200,'10_ref_fx_rate'!$B$2:$B$2000,AM200))</f>
        <v/>
      </c>
      <c r="AO200" s="37">
        <f>IF(ISNUMBER(AN200),I200*AN200,"NOT FOUND")</f>
        <v/>
      </c>
      <c r="AP200" s="2">
        <f>UPPER(TRIM(J200))</f>
        <v/>
      </c>
      <c r="AQ200" s="2">
        <f>IF(AP200="","SELF-DIRECTED",IF(ISNUMBER(MATCH(AP200,'11_3nf_sales_person'!$A:$A,0)),IF(EXACT(AP200,J200),"OK","OK (auto-fixed)"),IF(ISNA(MATCH($A200,'12_sales_person_confirmation'!$A:$A,0)),"CONFIRM (not logged)",IF(INDEX('12_sales_person_confirmation'!$I:$I,MATCH($A200,'12_sales_person_confirmation'!$A:$A,0))="CONFIRMED","CONFIRMED ("&amp;LOWER(INDEX('12_sales_person_confirmation'!$E:$E,MATCH($A200,'12_sales_person_confirmation'!$A:$A,0)))&amp;")","PENDING CONFIRM"))))</f>
        <v/>
      </c>
      <c r="AR200" s="2">
        <f>IF(OR(AQ200="OK",AQ200="OK (auto-fixed)"),AP200,IF(LEFT(AQ200,9)="CONFIRMED",INDEX('12_sales_person_confirmation'!$F:$F,MATCH($A200,'12_sales_person_confirmation'!$A:$A,0)),""))</f>
        <v/>
      </c>
      <c r="AS200" s="2">
        <f>IF(AR200="","",INDEX('11_3nf_sales_person'!$B:$B,MATCH(AR200,'11_3nf_sales_person'!$A:$A,0)))</f>
        <v/>
      </c>
    </row>
    <row r="201">
      <c r="A201" s="2">
        <f>IF(ISBLANK('1_raw_log'!A201),"",'1_raw_log'!A201)</f>
        <v/>
      </c>
      <c r="B201" s="3">
        <f>IF(ISBLANK('1_raw_log'!B201),"",'1_raw_log'!B201)</f>
        <v/>
      </c>
      <c r="C201" s="2">
        <f>IF(ISBLANK('1_raw_log'!C201),"",'1_raw_log'!C201)</f>
        <v/>
      </c>
      <c r="D201" s="2">
        <f>IF(ISBLANK('1_raw_log'!D201),"",'1_raw_log'!D201)</f>
        <v/>
      </c>
      <c r="E201" s="4">
        <f>IF(ISBLANK('1_raw_log'!E201),"",'1_raw_log'!E201)</f>
        <v/>
      </c>
      <c r="F201" s="2">
        <f>IF(ISBLANK('1_raw_log'!F201),"",'1_raw_log'!F201)</f>
        <v/>
      </c>
      <c r="G201" s="2">
        <f>IF(ISBLANK('1_raw_log'!G201),"",'1_raw_log'!G201)</f>
        <v/>
      </c>
      <c r="H201" s="2">
        <f>IF(ISBLANK('1_raw_log'!H201),"",'1_raw_log'!H201)</f>
        <v/>
      </c>
      <c r="I201" s="7">
        <f>IF(ISBLANK('1_raw_log'!I201),"",'1_raw_log'!I201)</f>
        <v/>
      </c>
      <c r="J201" s="2">
        <f>IF(ISBLANK('1_raw_log'!J201),"",'1_raw_log'!J201)</f>
        <v/>
      </c>
      <c r="K201" s="2">
        <f>IF(ISBLANK('1_raw_log'!K201),"",'1_raw_log'!K201)</f>
        <v/>
      </c>
      <c r="L201" s="30">
        <f>INT(B201)</f>
        <v/>
      </c>
      <c r="M201" s="20">
        <f>ROUND(MOD(B201,1)*1440,0)/1440</f>
        <v/>
      </c>
      <c r="N201" s="4">
        <f>IFERROR(INDEX('3_ref_date'!$B:$B,MATCH(L201,'3_ref_date'!$A:$A,0)),"NOT FOUND")</f>
        <v/>
      </c>
      <c r="O201" s="2">
        <f>IFERROR(INDEX('3_ref_date'!$C:$C,MATCH(L201,'3_ref_date'!$A:$A,0)),"NOT FOUND")</f>
        <v/>
      </c>
      <c r="P201" s="4">
        <f>IFERROR(INDEX('3_ref_date'!$D:$D,MATCH(L201,'3_ref_date'!$A:$A,0)),"NOT FOUND")</f>
        <v/>
      </c>
      <c r="Q201" s="4">
        <f>IFERROR(INDEX('3_ref_date'!$E:$E,MATCH(L201,'3_ref_date'!$A:$A,0)),"NOT FOUND")</f>
        <v/>
      </c>
      <c r="R201" s="2">
        <f>IFERROR(INDEX('3_ref_date'!$F:$F,MATCH(L201,'3_ref_date'!$A:$A,0)),"NOT FOUND")</f>
        <v/>
      </c>
      <c r="S201" s="2">
        <f>IFERROR(INDEX('4_ref_time'!$D:$D,MATCH(ROUND(M201*1440,0),'4_ref_time'!$A:$A,0)),"NOT FOUND")</f>
        <v/>
      </c>
      <c r="T201" s="2">
        <f>UPPER(TRIM(C201))</f>
        <v/>
      </c>
      <c r="U201" s="30">
        <f>IF(_xlfn.MAXIFS('6_3nf_branch_history'!$B$2:$B$50,'6_3nf_branch_history'!$A$2:$A$50,T201,'6_3nf_branch_history'!$B$2:$B$50,"&lt;="&amp;L201)=0,"NOT FOUND",_xlfn.MAXIFS('6_3nf_branch_history'!$B$2:$B$50,'6_3nf_branch_history'!$A$2:$A$50,T201,'6_3nf_branch_history'!$B$2:$B$50,"&lt;="&amp;L201))</f>
        <v/>
      </c>
      <c r="V201" s="2">
        <f>IF(U201="NOT FOUND","NOT FOUND",INDEX('6_3nf_branch_history'!$C:$C,SUMPRODUCT(('6_3nf_branch_history'!$A$2:$A$50=T201)*('6_3nf_branch_history'!$B$2:$B$50=U201)*ROW('6_3nf_branch_history'!$A$2:$A$50))))</f>
        <v/>
      </c>
      <c r="W201" s="2">
        <f>IF(U201="NOT FOUND","NOT FOUND",INDEX('6_3nf_branch_history'!$D:$D,SUMPRODUCT(('6_3nf_branch_history'!$A$2:$A$50=T201)*('6_3nf_branch_history'!$B$2:$B$50=U201)*ROW('6_3nf_branch_history'!$A$2:$A$50))))</f>
        <v/>
      </c>
      <c r="X201" s="2">
        <f>IF(U201="NOT FOUND","NOT FOUND",INDEX('6_3nf_branch_history'!$E:$E,SUMPRODUCT(('6_3nf_branch_history'!$A$2:$A$50=T201)*('6_3nf_branch_history'!$B$2:$B$50=U201)*ROW('6_3nf_branch_history'!$A$2:$A$50))))</f>
        <v/>
      </c>
      <c r="Y201" s="2">
        <f>UPPER(TRIM(D201))</f>
        <v/>
      </c>
      <c r="Z201" s="2">
        <f>IFERROR(INDEX('7_3nf_product'!$B:$B,MATCH(Y201,'7_3nf_product'!$A:$A,0)),"NOT FOUND")</f>
        <v/>
      </c>
      <c r="AA201" s="2">
        <f>IFERROR(INDEX('7_3nf_product'!$C:$C,MATCH(Y201,'7_3nf_product'!$A:$A,0)),"NOT FOUND")</f>
        <v/>
      </c>
      <c r="AB201" s="2">
        <f>IFERROR(INDEX('7_3nf_product'!$D:$D,MATCH(Y201,'7_3nf_product'!$A:$A,0)),"NOT FOUND")</f>
        <v/>
      </c>
      <c r="AC201" s="6">
        <f>IFERROR(INDEX('7_3nf_product'!$E:$E,MATCH(Y201,'7_3nf_product'!$A:$A,0)),"NOT FOUND")</f>
        <v/>
      </c>
      <c r="AD201" s="33">
        <f>IF(LEN(TRIM(E201))=10,TRIM(E201),IF(LEN(TRIM(E201))=8,"00"&amp;TRIM(E201),"CHECK"))</f>
        <v/>
      </c>
      <c r="AE201" s="2">
        <f>IFERROR(INDEX('8_3nf_customer'!$C:$C,MATCH(AD201,'8_3nf_customer'!$B:$B,0)),"NOT FOUND")</f>
        <v/>
      </c>
      <c r="AF201" s="30">
        <f>IFERROR(INDEX('8_3nf_customer'!$D:$D,MATCH(AD201,'8_3nf_customer'!$B:$B,0)),"NOT FOUND")</f>
        <v/>
      </c>
      <c r="AG201" s="4">
        <f>IF(ISNUMBER(AF201),DATEDIF(AF201,L201,"y"),"NOT FOUND")</f>
        <v/>
      </c>
      <c r="AH201" s="2">
        <f>IFERROR(INDEX('8_3nf_customer'!$E:$E,MATCH(AD201,'8_3nf_customer'!$B:$B,0)),"NOT FOUND")</f>
        <v/>
      </c>
      <c r="AI201" s="30">
        <f>IF(_xlfn.MAXIFS('9_3nf_customer_history'!$B$2:$B$500,'9_3nf_customer_history'!$A$2:$A$500,AD201,'9_3nf_customer_history'!$B$2:$B$500,"&lt;="&amp;L201)=0,"NOT FOUND",_xlfn.MAXIFS('9_3nf_customer_history'!$B$2:$B$500,'9_3nf_customer_history'!$A$2:$A$500,AD201,'9_3nf_customer_history'!$B$2:$B$500,"&lt;="&amp;L201))</f>
        <v/>
      </c>
      <c r="AJ201" s="2">
        <f>IF(AI201="NOT FOUND","NOT FOUND",INDEX('9_3nf_customer_history'!$C:$C,SUMPRODUCT(('9_3nf_customer_history'!$A$2:$A$500=AD201)*('9_3nf_customer_history'!$B$2:$B$500=AI201)*ROW('9_3nf_customer_history'!$A$2:$A$500))))</f>
        <v/>
      </c>
      <c r="AK201" s="2">
        <f>IF(AI201="NOT FOUND","NOT FOUND",INDEX('9_3nf_customer_history'!$D:$D,SUMPRODUCT(('9_3nf_customer_history'!$A$2:$A$500=AD201)*('9_3nf_customer_history'!$B$2:$B$500=AI201)*ROW('9_3nf_customer_history'!$A$2:$A$500))))</f>
        <v/>
      </c>
      <c r="AL201" s="2">
        <f>UPPER(TRIM(H201))</f>
        <v/>
      </c>
      <c r="AM201" s="30">
        <f>IF(_xlfn.MAXIFS('10_ref_fx_rate'!$B$2:$B$2000,'10_ref_fx_rate'!$A$2:$A$2000,AL201,'10_ref_fx_rate'!$B$2:$B$2000,"&lt;="&amp;L201)=0,"NOT FOUND",_xlfn.MAXIFS('10_ref_fx_rate'!$B$2:$B$2000,'10_ref_fx_rate'!$A$2:$A$2000,AL201,'10_ref_fx_rate'!$B$2:$B$2000,"&lt;="&amp;L201))</f>
        <v/>
      </c>
      <c r="AN201" s="8">
        <f>IF(AM201="NOT FOUND","NOT FOUND",SUMIFS('10_ref_fx_rate'!$D$2:$D$2000,'10_ref_fx_rate'!$A$2:$A$2000,AL201,'10_ref_fx_rate'!$B$2:$B$2000,AM201))</f>
        <v/>
      </c>
      <c r="AO201" s="37">
        <f>IF(ISNUMBER(AN201),I201*AN201,"NOT FOUND")</f>
        <v/>
      </c>
      <c r="AP201" s="2">
        <f>UPPER(TRIM(J201))</f>
        <v/>
      </c>
      <c r="AQ201" s="2">
        <f>IF(AP201="","SELF-DIRECTED",IF(ISNUMBER(MATCH(AP201,'11_3nf_sales_person'!$A:$A,0)),IF(EXACT(AP201,J201),"OK","OK (auto-fixed)"),IF(ISNA(MATCH($A201,'12_sales_person_confirmation'!$A:$A,0)),"CONFIRM (not logged)",IF(INDEX('12_sales_person_confirmation'!$I:$I,MATCH($A201,'12_sales_person_confirmation'!$A:$A,0))="CONFIRMED","CONFIRMED ("&amp;LOWER(INDEX('12_sales_person_confirmation'!$E:$E,MATCH($A201,'12_sales_person_confirmation'!$A:$A,0)))&amp;")","PENDING CONFIRM"))))</f>
        <v/>
      </c>
      <c r="AR201" s="2">
        <f>IF(OR(AQ201="OK",AQ201="OK (auto-fixed)"),AP201,IF(LEFT(AQ201,9)="CONFIRMED",INDEX('12_sales_person_confirmation'!$F:$F,MATCH($A201,'12_sales_person_confirmation'!$A:$A,0)),""))</f>
        <v/>
      </c>
      <c r="AS201" s="2">
        <f>IF(AR201="","",INDEX('11_3nf_sales_person'!$B:$B,MATCH(AR201,'11_3nf_sales_person'!$A:$A,0)))</f>
        <v/>
      </c>
    </row>
    <row r="202">
      <c r="A202" s="2">
        <f>IF(ISBLANK('1_raw_log'!A202),"",'1_raw_log'!A202)</f>
        <v/>
      </c>
      <c r="B202" s="3">
        <f>IF(ISBLANK('1_raw_log'!B202),"",'1_raw_log'!B202)</f>
        <v/>
      </c>
      <c r="C202" s="2">
        <f>IF(ISBLANK('1_raw_log'!C202),"",'1_raw_log'!C202)</f>
        <v/>
      </c>
      <c r="D202" s="2">
        <f>IF(ISBLANK('1_raw_log'!D202),"",'1_raw_log'!D202)</f>
        <v/>
      </c>
      <c r="E202" s="4">
        <f>IF(ISBLANK('1_raw_log'!E202),"",'1_raw_log'!E202)</f>
        <v/>
      </c>
      <c r="F202" s="2">
        <f>IF(ISBLANK('1_raw_log'!F202),"",'1_raw_log'!F202)</f>
        <v/>
      </c>
      <c r="G202" s="2">
        <f>IF(ISBLANK('1_raw_log'!G202),"",'1_raw_log'!G202)</f>
        <v/>
      </c>
      <c r="H202" s="2">
        <f>IF(ISBLANK('1_raw_log'!H202),"",'1_raw_log'!H202)</f>
        <v/>
      </c>
      <c r="I202" s="7">
        <f>IF(ISBLANK('1_raw_log'!I202),"",'1_raw_log'!I202)</f>
        <v/>
      </c>
      <c r="J202" s="2">
        <f>IF(ISBLANK('1_raw_log'!J202),"",'1_raw_log'!J202)</f>
        <v/>
      </c>
      <c r="K202" s="2">
        <f>IF(ISBLANK('1_raw_log'!K202),"",'1_raw_log'!K202)</f>
        <v/>
      </c>
      <c r="L202" s="30">
        <f>INT(B202)</f>
        <v/>
      </c>
      <c r="M202" s="20">
        <f>ROUND(MOD(B202,1)*1440,0)/1440</f>
        <v/>
      </c>
      <c r="N202" s="4">
        <f>IFERROR(INDEX('3_ref_date'!$B:$B,MATCH(L202,'3_ref_date'!$A:$A,0)),"NOT FOUND")</f>
        <v/>
      </c>
      <c r="O202" s="2">
        <f>IFERROR(INDEX('3_ref_date'!$C:$C,MATCH(L202,'3_ref_date'!$A:$A,0)),"NOT FOUND")</f>
        <v/>
      </c>
      <c r="P202" s="4">
        <f>IFERROR(INDEX('3_ref_date'!$D:$D,MATCH(L202,'3_ref_date'!$A:$A,0)),"NOT FOUND")</f>
        <v/>
      </c>
      <c r="Q202" s="4">
        <f>IFERROR(INDEX('3_ref_date'!$E:$E,MATCH(L202,'3_ref_date'!$A:$A,0)),"NOT FOUND")</f>
        <v/>
      </c>
      <c r="R202" s="2">
        <f>IFERROR(INDEX('3_ref_date'!$F:$F,MATCH(L202,'3_ref_date'!$A:$A,0)),"NOT FOUND")</f>
        <v/>
      </c>
      <c r="S202" s="2">
        <f>IFERROR(INDEX('4_ref_time'!$D:$D,MATCH(ROUND(M202*1440,0),'4_ref_time'!$A:$A,0)),"NOT FOUND")</f>
        <v/>
      </c>
      <c r="T202" s="2">
        <f>UPPER(TRIM(C202))</f>
        <v/>
      </c>
      <c r="U202" s="30">
        <f>IF(_xlfn.MAXIFS('6_3nf_branch_history'!$B$2:$B$50,'6_3nf_branch_history'!$A$2:$A$50,T202,'6_3nf_branch_history'!$B$2:$B$50,"&lt;="&amp;L202)=0,"NOT FOUND",_xlfn.MAXIFS('6_3nf_branch_history'!$B$2:$B$50,'6_3nf_branch_history'!$A$2:$A$50,T202,'6_3nf_branch_history'!$B$2:$B$50,"&lt;="&amp;L202))</f>
        <v/>
      </c>
      <c r="V202" s="2">
        <f>IF(U202="NOT FOUND","NOT FOUND",INDEX('6_3nf_branch_history'!$C:$C,SUMPRODUCT(('6_3nf_branch_history'!$A$2:$A$50=T202)*('6_3nf_branch_history'!$B$2:$B$50=U202)*ROW('6_3nf_branch_history'!$A$2:$A$50))))</f>
        <v/>
      </c>
      <c r="W202" s="2">
        <f>IF(U202="NOT FOUND","NOT FOUND",INDEX('6_3nf_branch_history'!$D:$D,SUMPRODUCT(('6_3nf_branch_history'!$A$2:$A$50=T202)*('6_3nf_branch_history'!$B$2:$B$50=U202)*ROW('6_3nf_branch_history'!$A$2:$A$50))))</f>
        <v/>
      </c>
      <c r="X202" s="2">
        <f>IF(U202="NOT FOUND","NOT FOUND",INDEX('6_3nf_branch_history'!$E:$E,SUMPRODUCT(('6_3nf_branch_history'!$A$2:$A$50=T202)*('6_3nf_branch_history'!$B$2:$B$50=U202)*ROW('6_3nf_branch_history'!$A$2:$A$50))))</f>
        <v/>
      </c>
      <c r="Y202" s="2">
        <f>UPPER(TRIM(D202))</f>
        <v/>
      </c>
      <c r="Z202" s="2">
        <f>IFERROR(INDEX('7_3nf_product'!$B:$B,MATCH(Y202,'7_3nf_product'!$A:$A,0)),"NOT FOUND")</f>
        <v/>
      </c>
      <c r="AA202" s="2">
        <f>IFERROR(INDEX('7_3nf_product'!$C:$C,MATCH(Y202,'7_3nf_product'!$A:$A,0)),"NOT FOUND")</f>
        <v/>
      </c>
      <c r="AB202" s="2">
        <f>IFERROR(INDEX('7_3nf_product'!$D:$D,MATCH(Y202,'7_3nf_product'!$A:$A,0)),"NOT FOUND")</f>
        <v/>
      </c>
      <c r="AC202" s="6">
        <f>IFERROR(INDEX('7_3nf_product'!$E:$E,MATCH(Y202,'7_3nf_product'!$A:$A,0)),"NOT FOUND")</f>
        <v/>
      </c>
      <c r="AD202" s="33">
        <f>IF(LEN(TRIM(E202))=10,TRIM(E202),IF(LEN(TRIM(E202))=8,"00"&amp;TRIM(E202),"CHECK"))</f>
        <v/>
      </c>
      <c r="AE202" s="2">
        <f>IFERROR(INDEX('8_3nf_customer'!$C:$C,MATCH(AD202,'8_3nf_customer'!$B:$B,0)),"NOT FOUND")</f>
        <v/>
      </c>
      <c r="AF202" s="30">
        <f>IFERROR(INDEX('8_3nf_customer'!$D:$D,MATCH(AD202,'8_3nf_customer'!$B:$B,0)),"NOT FOUND")</f>
        <v/>
      </c>
      <c r="AG202" s="4">
        <f>IF(ISNUMBER(AF202),DATEDIF(AF202,L202,"y"),"NOT FOUND")</f>
        <v/>
      </c>
      <c r="AH202" s="2">
        <f>IFERROR(INDEX('8_3nf_customer'!$E:$E,MATCH(AD202,'8_3nf_customer'!$B:$B,0)),"NOT FOUND")</f>
        <v/>
      </c>
      <c r="AI202" s="30">
        <f>IF(_xlfn.MAXIFS('9_3nf_customer_history'!$B$2:$B$500,'9_3nf_customer_history'!$A$2:$A$500,AD202,'9_3nf_customer_history'!$B$2:$B$500,"&lt;="&amp;L202)=0,"NOT FOUND",_xlfn.MAXIFS('9_3nf_customer_history'!$B$2:$B$500,'9_3nf_customer_history'!$A$2:$A$500,AD202,'9_3nf_customer_history'!$B$2:$B$500,"&lt;="&amp;L202))</f>
        <v/>
      </c>
      <c r="AJ202" s="2">
        <f>IF(AI202="NOT FOUND","NOT FOUND",INDEX('9_3nf_customer_history'!$C:$C,SUMPRODUCT(('9_3nf_customer_history'!$A$2:$A$500=AD202)*('9_3nf_customer_history'!$B$2:$B$500=AI202)*ROW('9_3nf_customer_history'!$A$2:$A$500))))</f>
        <v/>
      </c>
      <c r="AK202" s="2">
        <f>IF(AI202="NOT FOUND","NOT FOUND",INDEX('9_3nf_customer_history'!$D:$D,SUMPRODUCT(('9_3nf_customer_history'!$A$2:$A$500=AD202)*('9_3nf_customer_history'!$B$2:$B$500=AI202)*ROW('9_3nf_customer_history'!$A$2:$A$500))))</f>
        <v/>
      </c>
      <c r="AL202" s="2">
        <f>UPPER(TRIM(H202))</f>
        <v/>
      </c>
      <c r="AM202" s="30">
        <f>IF(_xlfn.MAXIFS('10_ref_fx_rate'!$B$2:$B$2000,'10_ref_fx_rate'!$A$2:$A$2000,AL202,'10_ref_fx_rate'!$B$2:$B$2000,"&lt;="&amp;L202)=0,"NOT FOUND",_xlfn.MAXIFS('10_ref_fx_rate'!$B$2:$B$2000,'10_ref_fx_rate'!$A$2:$A$2000,AL202,'10_ref_fx_rate'!$B$2:$B$2000,"&lt;="&amp;L202))</f>
        <v/>
      </c>
      <c r="AN202" s="8">
        <f>IF(AM202="NOT FOUND","NOT FOUND",SUMIFS('10_ref_fx_rate'!$D$2:$D$2000,'10_ref_fx_rate'!$A$2:$A$2000,AL202,'10_ref_fx_rate'!$B$2:$B$2000,AM202))</f>
        <v/>
      </c>
      <c r="AO202" s="37">
        <f>IF(ISNUMBER(AN202),I202*AN202,"NOT FOUND")</f>
        <v/>
      </c>
      <c r="AP202" s="2">
        <f>UPPER(TRIM(J202))</f>
        <v/>
      </c>
      <c r="AQ202" s="2">
        <f>IF(AP202="","SELF-DIRECTED",IF(ISNUMBER(MATCH(AP202,'11_3nf_sales_person'!$A:$A,0)),IF(EXACT(AP202,J202),"OK","OK (auto-fixed)"),IF(ISNA(MATCH($A202,'12_sales_person_confirmation'!$A:$A,0)),"CONFIRM (not logged)",IF(INDEX('12_sales_person_confirmation'!$I:$I,MATCH($A202,'12_sales_person_confirmation'!$A:$A,0))="CONFIRMED","CONFIRMED ("&amp;LOWER(INDEX('12_sales_person_confirmation'!$E:$E,MATCH($A202,'12_sales_person_confirmation'!$A:$A,0)))&amp;")","PENDING CONFIRM"))))</f>
        <v/>
      </c>
      <c r="AR202" s="2">
        <f>IF(OR(AQ202="OK",AQ202="OK (auto-fixed)"),AP202,IF(LEFT(AQ202,9)="CONFIRMED",INDEX('12_sales_person_confirmation'!$F:$F,MATCH($A202,'12_sales_person_confirmation'!$A:$A,0)),""))</f>
        <v/>
      </c>
      <c r="AS202" s="2">
        <f>IF(AR202="","",INDEX('11_3nf_sales_person'!$B:$B,MATCH(AR202,'11_3nf_sales_person'!$A:$A,0)))</f>
        <v/>
      </c>
    </row>
    <row r="203">
      <c r="A203" s="2">
        <f>IF(ISBLANK('1_raw_log'!A203),"",'1_raw_log'!A203)</f>
        <v/>
      </c>
      <c r="B203" s="3">
        <f>IF(ISBLANK('1_raw_log'!B203),"",'1_raw_log'!B203)</f>
        <v/>
      </c>
      <c r="C203" s="2">
        <f>IF(ISBLANK('1_raw_log'!C203),"",'1_raw_log'!C203)</f>
        <v/>
      </c>
      <c r="D203" s="2">
        <f>IF(ISBLANK('1_raw_log'!D203),"",'1_raw_log'!D203)</f>
        <v/>
      </c>
      <c r="E203" s="4">
        <f>IF(ISBLANK('1_raw_log'!E203),"",'1_raw_log'!E203)</f>
        <v/>
      </c>
      <c r="F203" s="2">
        <f>IF(ISBLANK('1_raw_log'!F203),"",'1_raw_log'!F203)</f>
        <v/>
      </c>
      <c r="G203" s="2">
        <f>IF(ISBLANK('1_raw_log'!G203),"",'1_raw_log'!G203)</f>
        <v/>
      </c>
      <c r="H203" s="2">
        <f>IF(ISBLANK('1_raw_log'!H203),"",'1_raw_log'!H203)</f>
        <v/>
      </c>
      <c r="I203" s="7">
        <f>IF(ISBLANK('1_raw_log'!I203),"",'1_raw_log'!I203)</f>
        <v/>
      </c>
      <c r="J203" s="2">
        <f>IF(ISBLANK('1_raw_log'!J203),"",'1_raw_log'!J203)</f>
        <v/>
      </c>
      <c r="K203" s="2">
        <f>IF(ISBLANK('1_raw_log'!K203),"",'1_raw_log'!K203)</f>
        <v/>
      </c>
      <c r="L203" s="30">
        <f>INT(B203)</f>
        <v/>
      </c>
      <c r="M203" s="20">
        <f>ROUND(MOD(B203,1)*1440,0)/1440</f>
        <v/>
      </c>
      <c r="N203" s="4">
        <f>IFERROR(INDEX('3_ref_date'!$B:$B,MATCH(L203,'3_ref_date'!$A:$A,0)),"NOT FOUND")</f>
        <v/>
      </c>
      <c r="O203" s="2">
        <f>IFERROR(INDEX('3_ref_date'!$C:$C,MATCH(L203,'3_ref_date'!$A:$A,0)),"NOT FOUND")</f>
        <v/>
      </c>
      <c r="P203" s="4">
        <f>IFERROR(INDEX('3_ref_date'!$D:$D,MATCH(L203,'3_ref_date'!$A:$A,0)),"NOT FOUND")</f>
        <v/>
      </c>
      <c r="Q203" s="4">
        <f>IFERROR(INDEX('3_ref_date'!$E:$E,MATCH(L203,'3_ref_date'!$A:$A,0)),"NOT FOUND")</f>
        <v/>
      </c>
      <c r="R203" s="2">
        <f>IFERROR(INDEX('3_ref_date'!$F:$F,MATCH(L203,'3_ref_date'!$A:$A,0)),"NOT FOUND")</f>
        <v/>
      </c>
      <c r="S203" s="2">
        <f>IFERROR(INDEX('4_ref_time'!$D:$D,MATCH(ROUND(M203*1440,0),'4_ref_time'!$A:$A,0)),"NOT FOUND")</f>
        <v/>
      </c>
      <c r="T203" s="2">
        <f>UPPER(TRIM(C203))</f>
        <v/>
      </c>
      <c r="U203" s="30">
        <f>IF(_xlfn.MAXIFS('6_3nf_branch_history'!$B$2:$B$50,'6_3nf_branch_history'!$A$2:$A$50,T203,'6_3nf_branch_history'!$B$2:$B$50,"&lt;="&amp;L203)=0,"NOT FOUND",_xlfn.MAXIFS('6_3nf_branch_history'!$B$2:$B$50,'6_3nf_branch_history'!$A$2:$A$50,T203,'6_3nf_branch_history'!$B$2:$B$50,"&lt;="&amp;L203))</f>
        <v/>
      </c>
      <c r="V203" s="2">
        <f>IF(U203="NOT FOUND","NOT FOUND",INDEX('6_3nf_branch_history'!$C:$C,SUMPRODUCT(('6_3nf_branch_history'!$A$2:$A$50=T203)*('6_3nf_branch_history'!$B$2:$B$50=U203)*ROW('6_3nf_branch_history'!$A$2:$A$50))))</f>
        <v/>
      </c>
      <c r="W203" s="2">
        <f>IF(U203="NOT FOUND","NOT FOUND",INDEX('6_3nf_branch_history'!$D:$D,SUMPRODUCT(('6_3nf_branch_history'!$A$2:$A$50=T203)*('6_3nf_branch_history'!$B$2:$B$50=U203)*ROW('6_3nf_branch_history'!$A$2:$A$50))))</f>
        <v/>
      </c>
      <c r="X203" s="2">
        <f>IF(U203="NOT FOUND","NOT FOUND",INDEX('6_3nf_branch_history'!$E:$E,SUMPRODUCT(('6_3nf_branch_history'!$A$2:$A$50=T203)*('6_3nf_branch_history'!$B$2:$B$50=U203)*ROW('6_3nf_branch_history'!$A$2:$A$50))))</f>
        <v/>
      </c>
      <c r="Y203" s="2">
        <f>UPPER(TRIM(D203))</f>
        <v/>
      </c>
      <c r="Z203" s="2">
        <f>IFERROR(INDEX('7_3nf_product'!$B:$B,MATCH(Y203,'7_3nf_product'!$A:$A,0)),"NOT FOUND")</f>
        <v/>
      </c>
      <c r="AA203" s="2">
        <f>IFERROR(INDEX('7_3nf_product'!$C:$C,MATCH(Y203,'7_3nf_product'!$A:$A,0)),"NOT FOUND")</f>
        <v/>
      </c>
      <c r="AB203" s="2">
        <f>IFERROR(INDEX('7_3nf_product'!$D:$D,MATCH(Y203,'7_3nf_product'!$A:$A,0)),"NOT FOUND")</f>
        <v/>
      </c>
      <c r="AC203" s="6">
        <f>IFERROR(INDEX('7_3nf_product'!$E:$E,MATCH(Y203,'7_3nf_product'!$A:$A,0)),"NOT FOUND")</f>
        <v/>
      </c>
      <c r="AD203" s="33">
        <f>IF(LEN(TRIM(E203))=10,TRIM(E203),IF(LEN(TRIM(E203))=8,"00"&amp;TRIM(E203),"CHECK"))</f>
        <v/>
      </c>
      <c r="AE203" s="2">
        <f>IFERROR(INDEX('8_3nf_customer'!$C:$C,MATCH(AD203,'8_3nf_customer'!$B:$B,0)),"NOT FOUND")</f>
        <v/>
      </c>
      <c r="AF203" s="30">
        <f>IFERROR(INDEX('8_3nf_customer'!$D:$D,MATCH(AD203,'8_3nf_customer'!$B:$B,0)),"NOT FOUND")</f>
        <v/>
      </c>
      <c r="AG203" s="4">
        <f>IF(ISNUMBER(AF203),DATEDIF(AF203,L203,"y"),"NOT FOUND")</f>
        <v/>
      </c>
      <c r="AH203" s="2">
        <f>IFERROR(INDEX('8_3nf_customer'!$E:$E,MATCH(AD203,'8_3nf_customer'!$B:$B,0)),"NOT FOUND")</f>
        <v/>
      </c>
      <c r="AI203" s="30">
        <f>IF(_xlfn.MAXIFS('9_3nf_customer_history'!$B$2:$B$500,'9_3nf_customer_history'!$A$2:$A$500,AD203,'9_3nf_customer_history'!$B$2:$B$500,"&lt;="&amp;L203)=0,"NOT FOUND",_xlfn.MAXIFS('9_3nf_customer_history'!$B$2:$B$500,'9_3nf_customer_history'!$A$2:$A$500,AD203,'9_3nf_customer_history'!$B$2:$B$500,"&lt;="&amp;L203))</f>
        <v/>
      </c>
      <c r="AJ203" s="2">
        <f>IF(AI203="NOT FOUND","NOT FOUND",INDEX('9_3nf_customer_history'!$C:$C,SUMPRODUCT(('9_3nf_customer_history'!$A$2:$A$500=AD203)*('9_3nf_customer_history'!$B$2:$B$500=AI203)*ROW('9_3nf_customer_history'!$A$2:$A$500))))</f>
        <v/>
      </c>
      <c r="AK203" s="2">
        <f>IF(AI203="NOT FOUND","NOT FOUND",INDEX('9_3nf_customer_history'!$D:$D,SUMPRODUCT(('9_3nf_customer_history'!$A$2:$A$500=AD203)*('9_3nf_customer_history'!$B$2:$B$500=AI203)*ROW('9_3nf_customer_history'!$A$2:$A$500))))</f>
        <v/>
      </c>
      <c r="AL203" s="2">
        <f>UPPER(TRIM(H203))</f>
        <v/>
      </c>
      <c r="AM203" s="30">
        <f>IF(_xlfn.MAXIFS('10_ref_fx_rate'!$B$2:$B$2000,'10_ref_fx_rate'!$A$2:$A$2000,AL203,'10_ref_fx_rate'!$B$2:$B$2000,"&lt;="&amp;L203)=0,"NOT FOUND",_xlfn.MAXIFS('10_ref_fx_rate'!$B$2:$B$2000,'10_ref_fx_rate'!$A$2:$A$2000,AL203,'10_ref_fx_rate'!$B$2:$B$2000,"&lt;="&amp;L203))</f>
        <v/>
      </c>
      <c r="AN203" s="8">
        <f>IF(AM203="NOT FOUND","NOT FOUND",SUMIFS('10_ref_fx_rate'!$D$2:$D$2000,'10_ref_fx_rate'!$A$2:$A$2000,AL203,'10_ref_fx_rate'!$B$2:$B$2000,AM203))</f>
        <v/>
      </c>
      <c r="AO203" s="37">
        <f>IF(ISNUMBER(AN203),I203*AN203,"NOT FOUND")</f>
        <v/>
      </c>
      <c r="AP203" s="2">
        <f>UPPER(TRIM(J203))</f>
        <v/>
      </c>
      <c r="AQ203" s="2">
        <f>IF(AP203="","SELF-DIRECTED",IF(ISNUMBER(MATCH(AP203,'11_3nf_sales_person'!$A:$A,0)),IF(EXACT(AP203,J203),"OK","OK (auto-fixed)"),IF(ISNA(MATCH($A203,'12_sales_person_confirmation'!$A:$A,0)),"CONFIRM (not logged)",IF(INDEX('12_sales_person_confirmation'!$I:$I,MATCH($A203,'12_sales_person_confirmation'!$A:$A,0))="CONFIRMED","CONFIRMED ("&amp;LOWER(INDEX('12_sales_person_confirmation'!$E:$E,MATCH($A203,'12_sales_person_confirmation'!$A:$A,0)))&amp;")","PENDING CONFIRM"))))</f>
        <v/>
      </c>
      <c r="AR203" s="2">
        <f>IF(OR(AQ203="OK",AQ203="OK (auto-fixed)"),AP203,IF(LEFT(AQ203,9)="CONFIRMED",INDEX('12_sales_person_confirmation'!$F:$F,MATCH($A203,'12_sales_person_confirmation'!$A:$A,0)),""))</f>
        <v/>
      </c>
      <c r="AS203" s="2">
        <f>IF(AR203="","",INDEX('11_3nf_sales_person'!$B:$B,MATCH(AR203,'11_3nf_sales_person'!$A:$A,0)))</f>
        <v/>
      </c>
    </row>
    <row r="204">
      <c r="A204" s="2">
        <f>IF(ISBLANK('1_raw_log'!A204),"",'1_raw_log'!A204)</f>
        <v/>
      </c>
      <c r="B204" s="3">
        <f>IF(ISBLANK('1_raw_log'!B204),"",'1_raw_log'!B204)</f>
        <v/>
      </c>
      <c r="C204" s="2">
        <f>IF(ISBLANK('1_raw_log'!C204),"",'1_raw_log'!C204)</f>
        <v/>
      </c>
      <c r="D204" s="2">
        <f>IF(ISBLANK('1_raw_log'!D204),"",'1_raw_log'!D204)</f>
        <v/>
      </c>
      <c r="E204" s="4">
        <f>IF(ISBLANK('1_raw_log'!E204),"",'1_raw_log'!E204)</f>
        <v/>
      </c>
      <c r="F204" s="2">
        <f>IF(ISBLANK('1_raw_log'!F204),"",'1_raw_log'!F204)</f>
        <v/>
      </c>
      <c r="G204" s="2">
        <f>IF(ISBLANK('1_raw_log'!G204),"",'1_raw_log'!G204)</f>
        <v/>
      </c>
      <c r="H204" s="2">
        <f>IF(ISBLANK('1_raw_log'!H204),"",'1_raw_log'!H204)</f>
        <v/>
      </c>
      <c r="I204" s="7">
        <f>IF(ISBLANK('1_raw_log'!I204),"",'1_raw_log'!I204)</f>
        <v/>
      </c>
      <c r="J204" s="2">
        <f>IF(ISBLANK('1_raw_log'!J204),"",'1_raw_log'!J204)</f>
        <v/>
      </c>
      <c r="K204" s="2">
        <f>IF(ISBLANK('1_raw_log'!K204),"",'1_raw_log'!K204)</f>
        <v/>
      </c>
      <c r="L204" s="30">
        <f>INT(B204)</f>
        <v/>
      </c>
      <c r="M204" s="20">
        <f>ROUND(MOD(B204,1)*1440,0)/1440</f>
        <v/>
      </c>
      <c r="N204" s="4">
        <f>IFERROR(INDEX('3_ref_date'!$B:$B,MATCH(L204,'3_ref_date'!$A:$A,0)),"NOT FOUND")</f>
        <v/>
      </c>
      <c r="O204" s="2">
        <f>IFERROR(INDEX('3_ref_date'!$C:$C,MATCH(L204,'3_ref_date'!$A:$A,0)),"NOT FOUND")</f>
        <v/>
      </c>
      <c r="P204" s="4">
        <f>IFERROR(INDEX('3_ref_date'!$D:$D,MATCH(L204,'3_ref_date'!$A:$A,0)),"NOT FOUND")</f>
        <v/>
      </c>
      <c r="Q204" s="4">
        <f>IFERROR(INDEX('3_ref_date'!$E:$E,MATCH(L204,'3_ref_date'!$A:$A,0)),"NOT FOUND")</f>
        <v/>
      </c>
      <c r="R204" s="2">
        <f>IFERROR(INDEX('3_ref_date'!$F:$F,MATCH(L204,'3_ref_date'!$A:$A,0)),"NOT FOUND")</f>
        <v/>
      </c>
      <c r="S204" s="2">
        <f>IFERROR(INDEX('4_ref_time'!$D:$D,MATCH(ROUND(M204*1440,0),'4_ref_time'!$A:$A,0)),"NOT FOUND")</f>
        <v/>
      </c>
      <c r="T204" s="2">
        <f>UPPER(TRIM(C204))</f>
        <v/>
      </c>
      <c r="U204" s="30">
        <f>IF(_xlfn.MAXIFS('6_3nf_branch_history'!$B$2:$B$50,'6_3nf_branch_history'!$A$2:$A$50,T204,'6_3nf_branch_history'!$B$2:$B$50,"&lt;="&amp;L204)=0,"NOT FOUND",_xlfn.MAXIFS('6_3nf_branch_history'!$B$2:$B$50,'6_3nf_branch_history'!$A$2:$A$50,T204,'6_3nf_branch_history'!$B$2:$B$50,"&lt;="&amp;L204))</f>
        <v/>
      </c>
      <c r="V204" s="2">
        <f>IF(U204="NOT FOUND","NOT FOUND",INDEX('6_3nf_branch_history'!$C:$C,SUMPRODUCT(('6_3nf_branch_history'!$A$2:$A$50=T204)*('6_3nf_branch_history'!$B$2:$B$50=U204)*ROW('6_3nf_branch_history'!$A$2:$A$50))))</f>
        <v/>
      </c>
      <c r="W204" s="2">
        <f>IF(U204="NOT FOUND","NOT FOUND",INDEX('6_3nf_branch_history'!$D:$D,SUMPRODUCT(('6_3nf_branch_history'!$A$2:$A$50=T204)*('6_3nf_branch_history'!$B$2:$B$50=U204)*ROW('6_3nf_branch_history'!$A$2:$A$50))))</f>
        <v/>
      </c>
      <c r="X204" s="2">
        <f>IF(U204="NOT FOUND","NOT FOUND",INDEX('6_3nf_branch_history'!$E:$E,SUMPRODUCT(('6_3nf_branch_history'!$A$2:$A$50=T204)*('6_3nf_branch_history'!$B$2:$B$50=U204)*ROW('6_3nf_branch_history'!$A$2:$A$50))))</f>
        <v/>
      </c>
      <c r="Y204" s="2">
        <f>UPPER(TRIM(D204))</f>
        <v/>
      </c>
      <c r="Z204" s="2">
        <f>IFERROR(INDEX('7_3nf_product'!$B:$B,MATCH(Y204,'7_3nf_product'!$A:$A,0)),"NOT FOUND")</f>
        <v/>
      </c>
      <c r="AA204" s="2">
        <f>IFERROR(INDEX('7_3nf_product'!$C:$C,MATCH(Y204,'7_3nf_product'!$A:$A,0)),"NOT FOUND")</f>
        <v/>
      </c>
      <c r="AB204" s="2">
        <f>IFERROR(INDEX('7_3nf_product'!$D:$D,MATCH(Y204,'7_3nf_product'!$A:$A,0)),"NOT FOUND")</f>
        <v/>
      </c>
      <c r="AC204" s="6">
        <f>IFERROR(INDEX('7_3nf_product'!$E:$E,MATCH(Y204,'7_3nf_product'!$A:$A,0)),"NOT FOUND")</f>
        <v/>
      </c>
      <c r="AD204" s="33">
        <f>IF(LEN(TRIM(E204))=10,TRIM(E204),IF(LEN(TRIM(E204))=8,"00"&amp;TRIM(E204),"CHECK"))</f>
        <v/>
      </c>
      <c r="AE204" s="2">
        <f>IFERROR(INDEX('8_3nf_customer'!$C:$C,MATCH(AD204,'8_3nf_customer'!$B:$B,0)),"NOT FOUND")</f>
        <v/>
      </c>
      <c r="AF204" s="30">
        <f>IFERROR(INDEX('8_3nf_customer'!$D:$D,MATCH(AD204,'8_3nf_customer'!$B:$B,0)),"NOT FOUND")</f>
        <v/>
      </c>
      <c r="AG204" s="4">
        <f>IF(ISNUMBER(AF204),DATEDIF(AF204,L204,"y"),"NOT FOUND")</f>
        <v/>
      </c>
      <c r="AH204" s="2">
        <f>IFERROR(INDEX('8_3nf_customer'!$E:$E,MATCH(AD204,'8_3nf_customer'!$B:$B,0)),"NOT FOUND")</f>
        <v/>
      </c>
      <c r="AI204" s="30">
        <f>IF(_xlfn.MAXIFS('9_3nf_customer_history'!$B$2:$B$500,'9_3nf_customer_history'!$A$2:$A$500,AD204,'9_3nf_customer_history'!$B$2:$B$500,"&lt;="&amp;L204)=0,"NOT FOUND",_xlfn.MAXIFS('9_3nf_customer_history'!$B$2:$B$500,'9_3nf_customer_history'!$A$2:$A$500,AD204,'9_3nf_customer_history'!$B$2:$B$500,"&lt;="&amp;L204))</f>
        <v/>
      </c>
      <c r="AJ204" s="2">
        <f>IF(AI204="NOT FOUND","NOT FOUND",INDEX('9_3nf_customer_history'!$C:$C,SUMPRODUCT(('9_3nf_customer_history'!$A$2:$A$500=AD204)*('9_3nf_customer_history'!$B$2:$B$500=AI204)*ROW('9_3nf_customer_history'!$A$2:$A$500))))</f>
        <v/>
      </c>
      <c r="AK204" s="2">
        <f>IF(AI204="NOT FOUND","NOT FOUND",INDEX('9_3nf_customer_history'!$D:$D,SUMPRODUCT(('9_3nf_customer_history'!$A$2:$A$500=AD204)*('9_3nf_customer_history'!$B$2:$B$500=AI204)*ROW('9_3nf_customer_history'!$A$2:$A$500))))</f>
        <v/>
      </c>
      <c r="AL204" s="2">
        <f>UPPER(TRIM(H204))</f>
        <v/>
      </c>
      <c r="AM204" s="30">
        <f>IF(_xlfn.MAXIFS('10_ref_fx_rate'!$B$2:$B$2000,'10_ref_fx_rate'!$A$2:$A$2000,AL204,'10_ref_fx_rate'!$B$2:$B$2000,"&lt;="&amp;L204)=0,"NOT FOUND",_xlfn.MAXIFS('10_ref_fx_rate'!$B$2:$B$2000,'10_ref_fx_rate'!$A$2:$A$2000,AL204,'10_ref_fx_rate'!$B$2:$B$2000,"&lt;="&amp;L204))</f>
        <v/>
      </c>
      <c r="AN204" s="8">
        <f>IF(AM204="NOT FOUND","NOT FOUND",SUMIFS('10_ref_fx_rate'!$D$2:$D$2000,'10_ref_fx_rate'!$A$2:$A$2000,AL204,'10_ref_fx_rate'!$B$2:$B$2000,AM204))</f>
        <v/>
      </c>
      <c r="AO204" s="37">
        <f>IF(ISNUMBER(AN204),I204*AN204,"NOT FOUND")</f>
        <v/>
      </c>
      <c r="AP204" s="2">
        <f>UPPER(TRIM(J204))</f>
        <v/>
      </c>
      <c r="AQ204" s="2">
        <f>IF(AP204="","SELF-DIRECTED",IF(ISNUMBER(MATCH(AP204,'11_3nf_sales_person'!$A:$A,0)),IF(EXACT(AP204,J204),"OK","OK (auto-fixed)"),IF(ISNA(MATCH($A204,'12_sales_person_confirmation'!$A:$A,0)),"CONFIRM (not logged)",IF(INDEX('12_sales_person_confirmation'!$I:$I,MATCH($A204,'12_sales_person_confirmation'!$A:$A,0))="CONFIRMED","CONFIRMED ("&amp;LOWER(INDEX('12_sales_person_confirmation'!$E:$E,MATCH($A204,'12_sales_person_confirmation'!$A:$A,0)))&amp;")","PENDING CONFIRM"))))</f>
        <v/>
      </c>
      <c r="AR204" s="2">
        <f>IF(OR(AQ204="OK",AQ204="OK (auto-fixed)"),AP204,IF(LEFT(AQ204,9)="CONFIRMED",INDEX('12_sales_person_confirmation'!$F:$F,MATCH($A204,'12_sales_person_confirmation'!$A:$A,0)),""))</f>
        <v/>
      </c>
      <c r="AS204" s="2">
        <f>IF(AR204="","",INDEX('11_3nf_sales_person'!$B:$B,MATCH(AR204,'11_3nf_sales_person'!$A:$A,0)))</f>
        <v/>
      </c>
    </row>
    <row r="205">
      <c r="A205" s="2">
        <f>IF(ISBLANK('1_raw_log'!A205),"",'1_raw_log'!A205)</f>
        <v/>
      </c>
      <c r="B205" s="3">
        <f>IF(ISBLANK('1_raw_log'!B205),"",'1_raw_log'!B205)</f>
        <v/>
      </c>
      <c r="C205" s="2">
        <f>IF(ISBLANK('1_raw_log'!C205),"",'1_raw_log'!C205)</f>
        <v/>
      </c>
      <c r="D205" s="2">
        <f>IF(ISBLANK('1_raw_log'!D205),"",'1_raw_log'!D205)</f>
        <v/>
      </c>
      <c r="E205" s="4">
        <f>IF(ISBLANK('1_raw_log'!E205),"",'1_raw_log'!E205)</f>
        <v/>
      </c>
      <c r="F205" s="2">
        <f>IF(ISBLANK('1_raw_log'!F205),"",'1_raw_log'!F205)</f>
        <v/>
      </c>
      <c r="G205" s="2">
        <f>IF(ISBLANK('1_raw_log'!G205),"",'1_raw_log'!G205)</f>
        <v/>
      </c>
      <c r="H205" s="2">
        <f>IF(ISBLANK('1_raw_log'!H205),"",'1_raw_log'!H205)</f>
        <v/>
      </c>
      <c r="I205" s="7">
        <f>IF(ISBLANK('1_raw_log'!I205),"",'1_raw_log'!I205)</f>
        <v/>
      </c>
      <c r="J205" s="2">
        <f>IF(ISBLANK('1_raw_log'!J205),"",'1_raw_log'!J205)</f>
        <v/>
      </c>
      <c r="K205" s="2">
        <f>IF(ISBLANK('1_raw_log'!K205),"",'1_raw_log'!K205)</f>
        <v/>
      </c>
      <c r="L205" s="30">
        <f>INT(B205)</f>
        <v/>
      </c>
      <c r="M205" s="20">
        <f>ROUND(MOD(B205,1)*1440,0)/1440</f>
        <v/>
      </c>
      <c r="N205" s="4">
        <f>IFERROR(INDEX('3_ref_date'!$B:$B,MATCH(L205,'3_ref_date'!$A:$A,0)),"NOT FOUND")</f>
        <v/>
      </c>
      <c r="O205" s="2">
        <f>IFERROR(INDEX('3_ref_date'!$C:$C,MATCH(L205,'3_ref_date'!$A:$A,0)),"NOT FOUND")</f>
        <v/>
      </c>
      <c r="P205" s="4">
        <f>IFERROR(INDEX('3_ref_date'!$D:$D,MATCH(L205,'3_ref_date'!$A:$A,0)),"NOT FOUND")</f>
        <v/>
      </c>
      <c r="Q205" s="4">
        <f>IFERROR(INDEX('3_ref_date'!$E:$E,MATCH(L205,'3_ref_date'!$A:$A,0)),"NOT FOUND")</f>
        <v/>
      </c>
      <c r="R205" s="2">
        <f>IFERROR(INDEX('3_ref_date'!$F:$F,MATCH(L205,'3_ref_date'!$A:$A,0)),"NOT FOUND")</f>
        <v/>
      </c>
      <c r="S205" s="2">
        <f>IFERROR(INDEX('4_ref_time'!$D:$D,MATCH(ROUND(M205*1440,0),'4_ref_time'!$A:$A,0)),"NOT FOUND")</f>
        <v/>
      </c>
      <c r="T205" s="2">
        <f>UPPER(TRIM(C205))</f>
        <v/>
      </c>
      <c r="U205" s="30">
        <f>IF(_xlfn.MAXIFS('6_3nf_branch_history'!$B$2:$B$50,'6_3nf_branch_history'!$A$2:$A$50,T205,'6_3nf_branch_history'!$B$2:$B$50,"&lt;="&amp;L205)=0,"NOT FOUND",_xlfn.MAXIFS('6_3nf_branch_history'!$B$2:$B$50,'6_3nf_branch_history'!$A$2:$A$50,T205,'6_3nf_branch_history'!$B$2:$B$50,"&lt;="&amp;L205))</f>
        <v/>
      </c>
      <c r="V205" s="2">
        <f>IF(U205="NOT FOUND","NOT FOUND",INDEX('6_3nf_branch_history'!$C:$C,SUMPRODUCT(('6_3nf_branch_history'!$A$2:$A$50=T205)*('6_3nf_branch_history'!$B$2:$B$50=U205)*ROW('6_3nf_branch_history'!$A$2:$A$50))))</f>
        <v/>
      </c>
      <c r="W205" s="2">
        <f>IF(U205="NOT FOUND","NOT FOUND",INDEX('6_3nf_branch_history'!$D:$D,SUMPRODUCT(('6_3nf_branch_history'!$A$2:$A$50=T205)*('6_3nf_branch_history'!$B$2:$B$50=U205)*ROW('6_3nf_branch_history'!$A$2:$A$50))))</f>
        <v/>
      </c>
      <c r="X205" s="2">
        <f>IF(U205="NOT FOUND","NOT FOUND",INDEX('6_3nf_branch_history'!$E:$E,SUMPRODUCT(('6_3nf_branch_history'!$A$2:$A$50=T205)*('6_3nf_branch_history'!$B$2:$B$50=U205)*ROW('6_3nf_branch_history'!$A$2:$A$50))))</f>
        <v/>
      </c>
      <c r="Y205" s="2">
        <f>UPPER(TRIM(D205))</f>
        <v/>
      </c>
      <c r="Z205" s="2">
        <f>IFERROR(INDEX('7_3nf_product'!$B:$B,MATCH(Y205,'7_3nf_product'!$A:$A,0)),"NOT FOUND")</f>
        <v/>
      </c>
      <c r="AA205" s="2">
        <f>IFERROR(INDEX('7_3nf_product'!$C:$C,MATCH(Y205,'7_3nf_product'!$A:$A,0)),"NOT FOUND")</f>
        <v/>
      </c>
      <c r="AB205" s="2">
        <f>IFERROR(INDEX('7_3nf_product'!$D:$D,MATCH(Y205,'7_3nf_product'!$A:$A,0)),"NOT FOUND")</f>
        <v/>
      </c>
      <c r="AC205" s="6">
        <f>IFERROR(INDEX('7_3nf_product'!$E:$E,MATCH(Y205,'7_3nf_product'!$A:$A,0)),"NOT FOUND")</f>
        <v/>
      </c>
      <c r="AD205" s="33">
        <f>IF(LEN(TRIM(E205))=10,TRIM(E205),IF(LEN(TRIM(E205))=8,"00"&amp;TRIM(E205),"CHECK"))</f>
        <v/>
      </c>
      <c r="AE205" s="2">
        <f>IFERROR(INDEX('8_3nf_customer'!$C:$C,MATCH(AD205,'8_3nf_customer'!$B:$B,0)),"NOT FOUND")</f>
        <v/>
      </c>
      <c r="AF205" s="30">
        <f>IFERROR(INDEX('8_3nf_customer'!$D:$D,MATCH(AD205,'8_3nf_customer'!$B:$B,0)),"NOT FOUND")</f>
        <v/>
      </c>
      <c r="AG205" s="4">
        <f>IF(ISNUMBER(AF205),DATEDIF(AF205,L205,"y"),"NOT FOUND")</f>
        <v/>
      </c>
      <c r="AH205" s="2">
        <f>IFERROR(INDEX('8_3nf_customer'!$E:$E,MATCH(AD205,'8_3nf_customer'!$B:$B,0)),"NOT FOUND")</f>
        <v/>
      </c>
      <c r="AI205" s="30">
        <f>IF(_xlfn.MAXIFS('9_3nf_customer_history'!$B$2:$B$500,'9_3nf_customer_history'!$A$2:$A$500,AD205,'9_3nf_customer_history'!$B$2:$B$500,"&lt;="&amp;L205)=0,"NOT FOUND",_xlfn.MAXIFS('9_3nf_customer_history'!$B$2:$B$500,'9_3nf_customer_history'!$A$2:$A$500,AD205,'9_3nf_customer_history'!$B$2:$B$500,"&lt;="&amp;L205))</f>
        <v/>
      </c>
      <c r="AJ205" s="2">
        <f>IF(AI205="NOT FOUND","NOT FOUND",INDEX('9_3nf_customer_history'!$C:$C,SUMPRODUCT(('9_3nf_customer_history'!$A$2:$A$500=AD205)*('9_3nf_customer_history'!$B$2:$B$500=AI205)*ROW('9_3nf_customer_history'!$A$2:$A$500))))</f>
        <v/>
      </c>
      <c r="AK205" s="2">
        <f>IF(AI205="NOT FOUND","NOT FOUND",INDEX('9_3nf_customer_history'!$D:$D,SUMPRODUCT(('9_3nf_customer_history'!$A$2:$A$500=AD205)*('9_3nf_customer_history'!$B$2:$B$500=AI205)*ROW('9_3nf_customer_history'!$A$2:$A$500))))</f>
        <v/>
      </c>
      <c r="AL205" s="2">
        <f>UPPER(TRIM(H205))</f>
        <v/>
      </c>
      <c r="AM205" s="30">
        <f>IF(_xlfn.MAXIFS('10_ref_fx_rate'!$B$2:$B$2000,'10_ref_fx_rate'!$A$2:$A$2000,AL205,'10_ref_fx_rate'!$B$2:$B$2000,"&lt;="&amp;L205)=0,"NOT FOUND",_xlfn.MAXIFS('10_ref_fx_rate'!$B$2:$B$2000,'10_ref_fx_rate'!$A$2:$A$2000,AL205,'10_ref_fx_rate'!$B$2:$B$2000,"&lt;="&amp;L205))</f>
        <v/>
      </c>
      <c r="AN205" s="8">
        <f>IF(AM205="NOT FOUND","NOT FOUND",SUMIFS('10_ref_fx_rate'!$D$2:$D$2000,'10_ref_fx_rate'!$A$2:$A$2000,AL205,'10_ref_fx_rate'!$B$2:$B$2000,AM205))</f>
        <v/>
      </c>
      <c r="AO205" s="37">
        <f>IF(ISNUMBER(AN205),I205*AN205,"NOT FOUND")</f>
        <v/>
      </c>
      <c r="AP205" s="2">
        <f>UPPER(TRIM(J205))</f>
        <v/>
      </c>
      <c r="AQ205" s="2">
        <f>IF(AP205="","SELF-DIRECTED",IF(ISNUMBER(MATCH(AP205,'11_3nf_sales_person'!$A:$A,0)),IF(EXACT(AP205,J205),"OK","OK (auto-fixed)"),IF(ISNA(MATCH($A205,'12_sales_person_confirmation'!$A:$A,0)),"CONFIRM (not logged)",IF(INDEX('12_sales_person_confirmation'!$I:$I,MATCH($A205,'12_sales_person_confirmation'!$A:$A,0))="CONFIRMED","CONFIRMED ("&amp;LOWER(INDEX('12_sales_person_confirmation'!$E:$E,MATCH($A205,'12_sales_person_confirmation'!$A:$A,0)))&amp;")","PENDING CONFIRM"))))</f>
        <v/>
      </c>
      <c r="AR205" s="2">
        <f>IF(OR(AQ205="OK",AQ205="OK (auto-fixed)"),AP205,IF(LEFT(AQ205,9)="CONFIRMED",INDEX('12_sales_person_confirmation'!$F:$F,MATCH($A205,'12_sales_person_confirmation'!$A:$A,0)),""))</f>
        <v/>
      </c>
      <c r="AS205" s="2">
        <f>IF(AR205="","",INDEX('11_3nf_sales_person'!$B:$B,MATCH(AR205,'11_3nf_sales_person'!$A:$A,0)))</f>
        <v/>
      </c>
    </row>
    <row r="206">
      <c r="A206" s="2">
        <f>IF(ISBLANK('1_raw_log'!A206),"",'1_raw_log'!A206)</f>
        <v/>
      </c>
      <c r="B206" s="3">
        <f>IF(ISBLANK('1_raw_log'!B206),"",'1_raw_log'!B206)</f>
        <v/>
      </c>
      <c r="C206" s="2">
        <f>IF(ISBLANK('1_raw_log'!C206),"",'1_raw_log'!C206)</f>
        <v/>
      </c>
      <c r="D206" s="2">
        <f>IF(ISBLANK('1_raw_log'!D206),"",'1_raw_log'!D206)</f>
        <v/>
      </c>
      <c r="E206" s="4">
        <f>IF(ISBLANK('1_raw_log'!E206),"",'1_raw_log'!E206)</f>
        <v/>
      </c>
      <c r="F206" s="2">
        <f>IF(ISBLANK('1_raw_log'!F206),"",'1_raw_log'!F206)</f>
        <v/>
      </c>
      <c r="G206" s="2">
        <f>IF(ISBLANK('1_raw_log'!G206),"",'1_raw_log'!G206)</f>
        <v/>
      </c>
      <c r="H206" s="2">
        <f>IF(ISBLANK('1_raw_log'!H206),"",'1_raw_log'!H206)</f>
        <v/>
      </c>
      <c r="I206" s="7">
        <f>IF(ISBLANK('1_raw_log'!I206),"",'1_raw_log'!I206)</f>
        <v/>
      </c>
      <c r="J206" s="2">
        <f>IF(ISBLANK('1_raw_log'!J206),"",'1_raw_log'!J206)</f>
        <v/>
      </c>
      <c r="K206" s="2">
        <f>IF(ISBLANK('1_raw_log'!K206),"",'1_raw_log'!K206)</f>
        <v/>
      </c>
      <c r="L206" s="30">
        <f>INT(B206)</f>
        <v/>
      </c>
      <c r="M206" s="20">
        <f>ROUND(MOD(B206,1)*1440,0)/1440</f>
        <v/>
      </c>
      <c r="N206" s="4">
        <f>IFERROR(INDEX('3_ref_date'!$B:$B,MATCH(L206,'3_ref_date'!$A:$A,0)),"NOT FOUND")</f>
        <v/>
      </c>
      <c r="O206" s="2">
        <f>IFERROR(INDEX('3_ref_date'!$C:$C,MATCH(L206,'3_ref_date'!$A:$A,0)),"NOT FOUND")</f>
        <v/>
      </c>
      <c r="P206" s="4">
        <f>IFERROR(INDEX('3_ref_date'!$D:$D,MATCH(L206,'3_ref_date'!$A:$A,0)),"NOT FOUND")</f>
        <v/>
      </c>
      <c r="Q206" s="4">
        <f>IFERROR(INDEX('3_ref_date'!$E:$E,MATCH(L206,'3_ref_date'!$A:$A,0)),"NOT FOUND")</f>
        <v/>
      </c>
      <c r="R206" s="2">
        <f>IFERROR(INDEX('3_ref_date'!$F:$F,MATCH(L206,'3_ref_date'!$A:$A,0)),"NOT FOUND")</f>
        <v/>
      </c>
      <c r="S206" s="2">
        <f>IFERROR(INDEX('4_ref_time'!$D:$D,MATCH(ROUND(M206*1440,0),'4_ref_time'!$A:$A,0)),"NOT FOUND")</f>
        <v/>
      </c>
      <c r="T206" s="2">
        <f>UPPER(TRIM(C206))</f>
        <v/>
      </c>
      <c r="U206" s="30">
        <f>IF(_xlfn.MAXIFS('6_3nf_branch_history'!$B$2:$B$50,'6_3nf_branch_history'!$A$2:$A$50,T206,'6_3nf_branch_history'!$B$2:$B$50,"&lt;="&amp;L206)=0,"NOT FOUND",_xlfn.MAXIFS('6_3nf_branch_history'!$B$2:$B$50,'6_3nf_branch_history'!$A$2:$A$50,T206,'6_3nf_branch_history'!$B$2:$B$50,"&lt;="&amp;L206))</f>
        <v/>
      </c>
      <c r="V206" s="2">
        <f>IF(U206="NOT FOUND","NOT FOUND",INDEX('6_3nf_branch_history'!$C:$C,SUMPRODUCT(('6_3nf_branch_history'!$A$2:$A$50=T206)*('6_3nf_branch_history'!$B$2:$B$50=U206)*ROW('6_3nf_branch_history'!$A$2:$A$50))))</f>
        <v/>
      </c>
      <c r="W206" s="2">
        <f>IF(U206="NOT FOUND","NOT FOUND",INDEX('6_3nf_branch_history'!$D:$D,SUMPRODUCT(('6_3nf_branch_history'!$A$2:$A$50=T206)*('6_3nf_branch_history'!$B$2:$B$50=U206)*ROW('6_3nf_branch_history'!$A$2:$A$50))))</f>
        <v/>
      </c>
      <c r="X206" s="2">
        <f>IF(U206="NOT FOUND","NOT FOUND",INDEX('6_3nf_branch_history'!$E:$E,SUMPRODUCT(('6_3nf_branch_history'!$A$2:$A$50=T206)*('6_3nf_branch_history'!$B$2:$B$50=U206)*ROW('6_3nf_branch_history'!$A$2:$A$50))))</f>
        <v/>
      </c>
      <c r="Y206" s="2">
        <f>UPPER(TRIM(D206))</f>
        <v/>
      </c>
      <c r="Z206" s="2">
        <f>IFERROR(INDEX('7_3nf_product'!$B:$B,MATCH(Y206,'7_3nf_product'!$A:$A,0)),"NOT FOUND")</f>
        <v/>
      </c>
      <c r="AA206" s="2">
        <f>IFERROR(INDEX('7_3nf_product'!$C:$C,MATCH(Y206,'7_3nf_product'!$A:$A,0)),"NOT FOUND")</f>
        <v/>
      </c>
      <c r="AB206" s="2">
        <f>IFERROR(INDEX('7_3nf_product'!$D:$D,MATCH(Y206,'7_3nf_product'!$A:$A,0)),"NOT FOUND")</f>
        <v/>
      </c>
      <c r="AC206" s="6">
        <f>IFERROR(INDEX('7_3nf_product'!$E:$E,MATCH(Y206,'7_3nf_product'!$A:$A,0)),"NOT FOUND")</f>
        <v/>
      </c>
      <c r="AD206" s="33">
        <f>IF(LEN(TRIM(E206))=10,TRIM(E206),IF(LEN(TRIM(E206))=8,"00"&amp;TRIM(E206),"CHECK"))</f>
        <v/>
      </c>
      <c r="AE206" s="2">
        <f>IFERROR(INDEX('8_3nf_customer'!$C:$C,MATCH(AD206,'8_3nf_customer'!$B:$B,0)),"NOT FOUND")</f>
        <v/>
      </c>
      <c r="AF206" s="30">
        <f>IFERROR(INDEX('8_3nf_customer'!$D:$D,MATCH(AD206,'8_3nf_customer'!$B:$B,0)),"NOT FOUND")</f>
        <v/>
      </c>
      <c r="AG206" s="4">
        <f>IF(ISNUMBER(AF206),DATEDIF(AF206,L206,"y"),"NOT FOUND")</f>
        <v/>
      </c>
      <c r="AH206" s="2">
        <f>IFERROR(INDEX('8_3nf_customer'!$E:$E,MATCH(AD206,'8_3nf_customer'!$B:$B,0)),"NOT FOUND")</f>
        <v/>
      </c>
      <c r="AI206" s="30">
        <f>IF(_xlfn.MAXIFS('9_3nf_customer_history'!$B$2:$B$500,'9_3nf_customer_history'!$A$2:$A$500,AD206,'9_3nf_customer_history'!$B$2:$B$500,"&lt;="&amp;L206)=0,"NOT FOUND",_xlfn.MAXIFS('9_3nf_customer_history'!$B$2:$B$500,'9_3nf_customer_history'!$A$2:$A$500,AD206,'9_3nf_customer_history'!$B$2:$B$500,"&lt;="&amp;L206))</f>
        <v/>
      </c>
      <c r="AJ206" s="2">
        <f>IF(AI206="NOT FOUND","NOT FOUND",INDEX('9_3nf_customer_history'!$C:$C,SUMPRODUCT(('9_3nf_customer_history'!$A$2:$A$500=AD206)*('9_3nf_customer_history'!$B$2:$B$500=AI206)*ROW('9_3nf_customer_history'!$A$2:$A$500))))</f>
        <v/>
      </c>
      <c r="AK206" s="2">
        <f>IF(AI206="NOT FOUND","NOT FOUND",INDEX('9_3nf_customer_history'!$D:$D,SUMPRODUCT(('9_3nf_customer_history'!$A$2:$A$500=AD206)*('9_3nf_customer_history'!$B$2:$B$500=AI206)*ROW('9_3nf_customer_history'!$A$2:$A$500))))</f>
        <v/>
      </c>
      <c r="AL206" s="2">
        <f>UPPER(TRIM(H206))</f>
        <v/>
      </c>
      <c r="AM206" s="30">
        <f>IF(_xlfn.MAXIFS('10_ref_fx_rate'!$B$2:$B$2000,'10_ref_fx_rate'!$A$2:$A$2000,AL206,'10_ref_fx_rate'!$B$2:$B$2000,"&lt;="&amp;L206)=0,"NOT FOUND",_xlfn.MAXIFS('10_ref_fx_rate'!$B$2:$B$2000,'10_ref_fx_rate'!$A$2:$A$2000,AL206,'10_ref_fx_rate'!$B$2:$B$2000,"&lt;="&amp;L206))</f>
        <v/>
      </c>
      <c r="AN206" s="8">
        <f>IF(AM206="NOT FOUND","NOT FOUND",SUMIFS('10_ref_fx_rate'!$D$2:$D$2000,'10_ref_fx_rate'!$A$2:$A$2000,AL206,'10_ref_fx_rate'!$B$2:$B$2000,AM206))</f>
        <v/>
      </c>
      <c r="AO206" s="37">
        <f>IF(ISNUMBER(AN206),I206*AN206,"NOT FOUND")</f>
        <v/>
      </c>
      <c r="AP206" s="2">
        <f>UPPER(TRIM(J206))</f>
        <v/>
      </c>
      <c r="AQ206" s="2">
        <f>IF(AP206="","SELF-DIRECTED",IF(ISNUMBER(MATCH(AP206,'11_3nf_sales_person'!$A:$A,0)),IF(EXACT(AP206,J206),"OK","OK (auto-fixed)"),IF(ISNA(MATCH($A206,'12_sales_person_confirmation'!$A:$A,0)),"CONFIRM (not logged)",IF(INDEX('12_sales_person_confirmation'!$I:$I,MATCH($A206,'12_sales_person_confirmation'!$A:$A,0))="CONFIRMED","CONFIRMED ("&amp;LOWER(INDEX('12_sales_person_confirmation'!$E:$E,MATCH($A206,'12_sales_person_confirmation'!$A:$A,0)))&amp;")","PENDING CONFIRM"))))</f>
        <v/>
      </c>
      <c r="AR206" s="2">
        <f>IF(OR(AQ206="OK",AQ206="OK (auto-fixed)"),AP206,IF(LEFT(AQ206,9)="CONFIRMED",INDEX('12_sales_person_confirmation'!$F:$F,MATCH($A206,'12_sales_person_confirmation'!$A:$A,0)),""))</f>
        <v/>
      </c>
      <c r="AS206" s="2">
        <f>IF(AR206="","",INDEX('11_3nf_sales_person'!$B:$B,MATCH(AR206,'11_3nf_sales_person'!$A:$A,0)))</f>
        <v/>
      </c>
    </row>
    <row r="207">
      <c r="A207" s="2">
        <f>IF(ISBLANK('1_raw_log'!A207),"",'1_raw_log'!A207)</f>
        <v/>
      </c>
      <c r="B207" s="3">
        <f>IF(ISBLANK('1_raw_log'!B207),"",'1_raw_log'!B207)</f>
        <v/>
      </c>
      <c r="C207" s="2">
        <f>IF(ISBLANK('1_raw_log'!C207),"",'1_raw_log'!C207)</f>
        <v/>
      </c>
      <c r="D207" s="2">
        <f>IF(ISBLANK('1_raw_log'!D207),"",'1_raw_log'!D207)</f>
        <v/>
      </c>
      <c r="E207" s="4">
        <f>IF(ISBLANK('1_raw_log'!E207),"",'1_raw_log'!E207)</f>
        <v/>
      </c>
      <c r="F207" s="2">
        <f>IF(ISBLANK('1_raw_log'!F207),"",'1_raw_log'!F207)</f>
        <v/>
      </c>
      <c r="G207" s="2">
        <f>IF(ISBLANK('1_raw_log'!G207),"",'1_raw_log'!G207)</f>
        <v/>
      </c>
      <c r="H207" s="2">
        <f>IF(ISBLANK('1_raw_log'!H207),"",'1_raw_log'!H207)</f>
        <v/>
      </c>
      <c r="I207" s="7">
        <f>IF(ISBLANK('1_raw_log'!I207),"",'1_raw_log'!I207)</f>
        <v/>
      </c>
      <c r="J207" s="2">
        <f>IF(ISBLANK('1_raw_log'!J207),"",'1_raw_log'!J207)</f>
        <v/>
      </c>
      <c r="K207" s="2">
        <f>IF(ISBLANK('1_raw_log'!K207),"",'1_raw_log'!K207)</f>
        <v/>
      </c>
      <c r="L207" s="30">
        <f>INT(B207)</f>
        <v/>
      </c>
      <c r="M207" s="20">
        <f>ROUND(MOD(B207,1)*1440,0)/1440</f>
        <v/>
      </c>
      <c r="N207" s="4">
        <f>IFERROR(INDEX('3_ref_date'!$B:$B,MATCH(L207,'3_ref_date'!$A:$A,0)),"NOT FOUND")</f>
        <v/>
      </c>
      <c r="O207" s="2">
        <f>IFERROR(INDEX('3_ref_date'!$C:$C,MATCH(L207,'3_ref_date'!$A:$A,0)),"NOT FOUND")</f>
        <v/>
      </c>
      <c r="P207" s="4">
        <f>IFERROR(INDEX('3_ref_date'!$D:$D,MATCH(L207,'3_ref_date'!$A:$A,0)),"NOT FOUND")</f>
        <v/>
      </c>
      <c r="Q207" s="4">
        <f>IFERROR(INDEX('3_ref_date'!$E:$E,MATCH(L207,'3_ref_date'!$A:$A,0)),"NOT FOUND")</f>
        <v/>
      </c>
      <c r="R207" s="2">
        <f>IFERROR(INDEX('3_ref_date'!$F:$F,MATCH(L207,'3_ref_date'!$A:$A,0)),"NOT FOUND")</f>
        <v/>
      </c>
      <c r="S207" s="2">
        <f>IFERROR(INDEX('4_ref_time'!$D:$D,MATCH(ROUND(M207*1440,0),'4_ref_time'!$A:$A,0)),"NOT FOUND")</f>
        <v/>
      </c>
      <c r="T207" s="2">
        <f>UPPER(TRIM(C207))</f>
        <v/>
      </c>
      <c r="U207" s="30">
        <f>IF(_xlfn.MAXIFS('6_3nf_branch_history'!$B$2:$B$50,'6_3nf_branch_history'!$A$2:$A$50,T207,'6_3nf_branch_history'!$B$2:$B$50,"&lt;="&amp;L207)=0,"NOT FOUND",_xlfn.MAXIFS('6_3nf_branch_history'!$B$2:$B$50,'6_3nf_branch_history'!$A$2:$A$50,T207,'6_3nf_branch_history'!$B$2:$B$50,"&lt;="&amp;L207))</f>
        <v/>
      </c>
      <c r="V207" s="2">
        <f>IF(U207="NOT FOUND","NOT FOUND",INDEX('6_3nf_branch_history'!$C:$C,SUMPRODUCT(('6_3nf_branch_history'!$A$2:$A$50=T207)*('6_3nf_branch_history'!$B$2:$B$50=U207)*ROW('6_3nf_branch_history'!$A$2:$A$50))))</f>
        <v/>
      </c>
      <c r="W207" s="2">
        <f>IF(U207="NOT FOUND","NOT FOUND",INDEX('6_3nf_branch_history'!$D:$D,SUMPRODUCT(('6_3nf_branch_history'!$A$2:$A$50=T207)*('6_3nf_branch_history'!$B$2:$B$50=U207)*ROW('6_3nf_branch_history'!$A$2:$A$50))))</f>
        <v/>
      </c>
      <c r="X207" s="2">
        <f>IF(U207="NOT FOUND","NOT FOUND",INDEX('6_3nf_branch_history'!$E:$E,SUMPRODUCT(('6_3nf_branch_history'!$A$2:$A$50=T207)*('6_3nf_branch_history'!$B$2:$B$50=U207)*ROW('6_3nf_branch_history'!$A$2:$A$50))))</f>
        <v/>
      </c>
      <c r="Y207" s="2">
        <f>UPPER(TRIM(D207))</f>
        <v/>
      </c>
      <c r="Z207" s="2">
        <f>IFERROR(INDEX('7_3nf_product'!$B:$B,MATCH(Y207,'7_3nf_product'!$A:$A,0)),"NOT FOUND")</f>
        <v/>
      </c>
      <c r="AA207" s="2">
        <f>IFERROR(INDEX('7_3nf_product'!$C:$C,MATCH(Y207,'7_3nf_product'!$A:$A,0)),"NOT FOUND")</f>
        <v/>
      </c>
      <c r="AB207" s="2">
        <f>IFERROR(INDEX('7_3nf_product'!$D:$D,MATCH(Y207,'7_3nf_product'!$A:$A,0)),"NOT FOUND")</f>
        <v/>
      </c>
      <c r="AC207" s="6">
        <f>IFERROR(INDEX('7_3nf_product'!$E:$E,MATCH(Y207,'7_3nf_product'!$A:$A,0)),"NOT FOUND")</f>
        <v/>
      </c>
      <c r="AD207" s="33">
        <f>IF(LEN(TRIM(E207))=10,TRIM(E207),IF(LEN(TRIM(E207))=8,"00"&amp;TRIM(E207),"CHECK"))</f>
        <v/>
      </c>
      <c r="AE207" s="2">
        <f>IFERROR(INDEX('8_3nf_customer'!$C:$C,MATCH(AD207,'8_3nf_customer'!$B:$B,0)),"NOT FOUND")</f>
        <v/>
      </c>
      <c r="AF207" s="30">
        <f>IFERROR(INDEX('8_3nf_customer'!$D:$D,MATCH(AD207,'8_3nf_customer'!$B:$B,0)),"NOT FOUND")</f>
        <v/>
      </c>
      <c r="AG207" s="4">
        <f>IF(ISNUMBER(AF207),DATEDIF(AF207,L207,"y"),"NOT FOUND")</f>
        <v/>
      </c>
      <c r="AH207" s="2">
        <f>IFERROR(INDEX('8_3nf_customer'!$E:$E,MATCH(AD207,'8_3nf_customer'!$B:$B,0)),"NOT FOUND")</f>
        <v/>
      </c>
      <c r="AI207" s="30">
        <f>IF(_xlfn.MAXIFS('9_3nf_customer_history'!$B$2:$B$500,'9_3nf_customer_history'!$A$2:$A$500,AD207,'9_3nf_customer_history'!$B$2:$B$500,"&lt;="&amp;L207)=0,"NOT FOUND",_xlfn.MAXIFS('9_3nf_customer_history'!$B$2:$B$500,'9_3nf_customer_history'!$A$2:$A$500,AD207,'9_3nf_customer_history'!$B$2:$B$500,"&lt;="&amp;L207))</f>
        <v/>
      </c>
      <c r="AJ207" s="2">
        <f>IF(AI207="NOT FOUND","NOT FOUND",INDEX('9_3nf_customer_history'!$C:$C,SUMPRODUCT(('9_3nf_customer_history'!$A$2:$A$500=AD207)*('9_3nf_customer_history'!$B$2:$B$500=AI207)*ROW('9_3nf_customer_history'!$A$2:$A$500))))</f>
        <v/>
      </c>
      <c r="AK207" s="2">
        <f>IF(AI207="NOT FOUND","NOT FOUND",INDEX('9_3nf_customer_history'!$D:$D,SUMPRODUCT(('9_3nf_customer_history'!$A$2:$A$500=AD207)*('9_3nf_customer_history'!$B$2:$B$500=AI207)*ROW('9_3nf_customer_history'!$A$2:$A$500))))</f>
        <v/>
      </c>
      <c r="AL207" s="2">
        <f>UPPER(TRIM(H207))</f>
        <v/>
      </c>
      <c r="AM207" s="30">
        <f>IF(_xlfn.MAXIFS('10_ref_fx_rate'!$B$2:$B$2000,'10_ref_fx_rate'!$A$2:$A$2000,AL207,'10_ref_fx_rate'!$B$2:$B$2000,"&lt;="&amp;L207)=0,"NOT FOUND",_xlfn.MAXIFS('10_ref_fx_rate'!$B$2:$B$2000,'10_ref_fx_rate'!$A$2:$A$2000,AL207,'10_ref_fx_rate'!$B$2:$B$2000,"&lt;="&amp;L207))</f>
        <v/>
      </c>
      <c r="AN207" s="8">
        <f>IF(AM207="NOT FOUND","NOT FOUND",SUMIFS('10_ref_fx_rate'!$D$2:$D$2000,'10_ref_fx_rate'!$A$2:$A$2000,AL207,'10_ref_fx_rate'!$B$2:$B$2000,AM207))</f>
        <v/>
      </c>
      <c r="AO207" s="37">
        <f>IF(ISNUMBER(AN207),I207*AN207,"NOT FOUND")</f>
        <v/>
      </c>
      <c r="AP207" s="2">
        <f>UPPER(TRIM(J207))</f>
        <v/>
      </c>
      <c r="AQ207" s="2">
        <f>IF(AP207="","SELF-DIRECTED",IF(ISNUMBER(MATCH(AP207,'11_3nf_sales_person'!$A:$A,0)),IF(EXACT(AP207,J207),"OK","OK (auto-fixed)"),IF(ISNA(MATCH($A207,'12_sales_person_confirmation'!$A:$A,0)),"CONFIRM (not logged)",IF(INDEX('12_sales_person_confirmation'!$I:$I,MATCH($A207,'12_sales_person_confirmation'!$A:$A,0))="CONFIRMED","CONFIRMED ("&amp;LOWER(INDEX('12_sales_person_confirmation'!$E:$E,MATCH($A207,'12_sales_person_confirmation'!$A:$A,0)))&amp;")","PENDING CONFIRM"))))</f>
        <v/>
      </c>
      <c r="AR207" s="2">
        <f>IF(OR(AQ207="OK",AQ207="OK (auto-fixed)"),AP207,IF(LEFT(AQ207,9)="CONFIRMED",INDEX('12_sales_person_confirmation'!$F:$F,MATCH($A207,'12_sales_person_confirmation'!$A:$A,0)),""))</f>
        <v/>
      </c>
      <c r="AS207" s="2">
        <f>IF(AR207="","",INDEX('11_3nf_sales_person'!$B:$B,MATCH(AR207,'11_3nf_sales_person'!$A:$A,0)))</f>
        <v/>
      </c>
    </row>
    <row r="208">
      <c r="A208" s="2">
        <f>IF(ISBLANK('1_raw_log'!A208),"",'1_raw_log'!A208)</f>
        <v/>
      </c>
      <c r="B208" s="3">
        <f>IF(ISBLANK('1_raw_log'!B208),"",'1_raw_log'!B208)</f>
        <v/>
      </c>
      <c r="C208" s="2">
        <f>IF(ISBLANK('1_raw_log'!C208),"",'1_raw_log'!C208)</f>
        <v/>
      </c>
      <c r="D208" s="2">
        <f>IF(ISBLANK('1_raw_log'!D208),"",'1_raw_log'!D208)</f>
        <v/>
      </c>
      <c r="E208" s="4">
        <f>IF(ISBLANK('1_raw_log'!E208),"",'1_raw_log'!E208)</f>
        <v/>
      </c>
      <c r="F208" s="2">
        <f>IF(ISBLANK('1_raw_log'!F208),"",'1_raw_log'!F208)</f>
        <v/>
      </c>
      <c r="G208" s="2">
        <f>IF(ISBLANK('1_raw_log'!G208),"",'1_raw_log'!G208)</f>
        <v/>
      </c>
      <c r="H208" s="2">
        <f>IF(ISBLANK('1_raw_log'!H208),"",'1_raw_log'!H208)</f>
        <v/>
      </c>
      <c r="I208" s="7">
        <f>IF(ISBLANK('1_raw_log'!I208),"",'1_raw_log'!I208)</f>
        <v/>
      </c>
      <c r="J208" s="2">
        <f>IF(ISBLANK('1_raw_log'!J208),"",'1_raw_log'!J208)</f>
        <v/>
      </c>
      <c r="K208" s="2">
        <f>IF(ISBLANK('1_raw_log'!K208),"",'1_raw_log'!K208)</f>
        <v/>
      </c>
      <c r="L208" s="30">
        <f>INT(B208)</f>
        <v/>
      </c>
      <c r="M208" s="20">
        <f>ROUND(MOD(B208,1)*1440,0)/1440</f>
        <v/>
      </c>
      <c r="N208" s="4">
        <f>IFERROR(INDEX('3_ref_date'!$B:$B,MATCH(L208,'3_ref_date'!$A:$A,0)),"NOT FOUND")</f>
        <v/>
      </c>
      <c r="O208" s="2">
        <f>IFERROR(INDEX('3_ref_date'!$C:$C,MATCH(L208,'3_ref_date'!$A:$A,0)),"NOT FOUND")</f>
        <v/>
      </c>
      <c r="P208" s="4">
        <f>IFERROR(INDEX('3_ref_date'!$D:$D,MATCH(L208,'3_ref_date'!$A:$A,0)),"NOT FOUND")</f>
        <v/>
      </c>
      <c r="Q208" s="4">
        <f>IFERROR(INDEX('3_ref_date'!$E:$E,MATCH(L208,'3_ref_date'!$A:$A,0)),"NOT FOUND")</f>
        <v/>
      </c>
      <c r="R208" s="2">
        <f>IFERROR(INDEX('3_ref_date'!$F:$F,MATCH(L208,'3_ref_date'!$A:$A,0)),"NOT FOUND")</f>
        <v/>
      </c>
      <c r="S208" s="2">
        <f>IFERROR(INDEX('4_ref_time'!$D:$D,MATCH(ROUND(M208*1440,0),'4_ref_time'!$A:$A,0)),"NOT FOUND")</f>
        <v/>
      </c>
      <c r="T208" s="2">
        <f>UPPER(TRIM(C208))</f>
        <v/>
      </c>
      <c r="U208" s="30">
        <f>IF(_xlfn.MAXIFS('6_3nf_branch_history'!$B$2:$B$50,'6_3nf_branch_history'!$A$2:$A$50,T208,'6_3nf_branch_history'!$B$2:$B$50,"&lt;="&amp;L208)=0,"NOT FOUND",_xlfn.MAXIFS('6_3nf_branch_history'!$B$2:$B$50,'6_3nf_branch_history'!$A$2:$A$50,T208,'6_3nf_branch_history'!$B$2:$B$50,"&lt;="&amp;L208))</f>
        <v/>
      </c>
      <c r="V208" s="2">
        <f>IF(U208="NOT FOUND","NOT FOUND",INDEX('6_3nf_branch_history'!$C:$C,SUMPRODUCT(('6_3nf_branch_history'!$A$2:$A$50=T208)*('6_3nf_branch_history'!$B$2:$B$50=U208)*ROW('6_3nf_branch_history'!$A$2:$A$50))))</f>
        <v/>
      </c>
      <c r="W208" s="2">
        <f>IF(U208="NOT FOUND","NOT FOUND",INDEX('6_3nf_branch_history'!$D:$D,SUMPRODUCT(('6_3nf_branch_history'!$A$2:$A$50=T208)*('6_3nf_branch_history'!$B$2:$B$50=U208)*ROW('6_3nf_branch_history'!$A$2:$A$50))))</f>
        <v/>
      </c>
      <c r="X208" s="2">
        <f>IF(U208="NOT FOUND","NOT FOUND",INDEX('6_3nf_branch_history'!$E:$E,SUMPRODUCT(('6_3nf_branch_history'!$A$2:$A$50=T208)*('6_3nf_branch_history'!$B$2:$B$50=U208)*ROW('6_3nf_branch_history'!$A$2:$A$50))))</f>
        <v/>
      </c>
      <c r="Y208" s="2">
        <f>UPPER(TRIM(D208))</f>
        <v/>
      </c>
      <c r="Z208" s="2">
        <f>IFERROR(INDEX('7_3nf_product'!$B:$B,MATCH(Y208,'7_3nf_product'!$A:$A,0)),"NOT FOUND")</f>
        <v/>
      </c>
      <c r="AA208" s="2">
        <f>IFERROR(INDEX('7_3nf_product'!$C:$C,MATCH(Y208,'7_3nf_product'!$A:$A,0)),"NOT FOUND")</f>
        <v/>
      </c>
      <c r="AB208" s="2">
        <f>IFERROR(INDEX('7_3nf_product'!$D:$D,MATCH(Y208,'7_3nf_product'!$A:$A,0)),"NOT FOUND")</f>
        <v/>
      </c>
      <c r="AC208" s="6">
        <f>IFERROR(INDEX('7_3nf_product'!$E:$E,MATCH(Y208,'7_3nf_product'!$A:$A,0)),"NOT FOUND")</f>
        <v/>
      </c>
      <c r="AD208" s="33">
        <f>IF(LEN(TRIM(E208))=10,TRIM(E208),IF(LEN(TRIM(E208))=8,"00"&amp;TRIM(E208),"CHECK"))</f>
        <v/>
      </c>
      <c r="AE208" s="2">
        <f>IFERROR(INDEX('8_3nf_customer'!$C:$C,MATCH(AD208,'8_3nf_customer'!$B:$B,0)),"NOT FOUND")</f>
        <v/>
      </c>
      <c r="AF208" s="30">
        <f>IFERROR(INDEX('8_3nf_customer'!$D:$D,MATCH(AD208,'8_3nf_customer'!$B:$B,0)),"NOT FOUND")</f>
        <v/>
      </c>
      <c r="AG208" s="4">
        <f>IF(ISNUMBER(AF208),DATEDIF(AF208,L208,"y"),"NOT FOUND")</f>
        <v/>
      </c>
      <c r="AH208" s="2">
        <f>IFERROR(INDEX('8_3nf_customer'!$E:$E,MATCH(AD208,'8_3nf_customer'!$B:$B,0)),"NOT FOUND")</f>
        <v/>
      </c>
      <c r="AI208" s="30">
        <f>IF(_xlfn.MAXIFS('9_3nf_customer_history'!$B$2:$B$500,'9_3nf_customer_history'!$A$2:$A$500,AD208,'9_3nf_customer_history'!$B$2:$B$500,"&lt;="&amp;L208)=0,"NOT FOUND",_xlfn.MAXIFS('9_3nf_customer_history'!$B$2:$B$500,'9_3nf_customer_history'!$A$2:$A$500,AD208,'9_3nf_customer_history'!$B$2:$B$500,"&lt;="&amp;L208))</f>
        <v/>
      </c>
      <c r="AJ208" s="2">
        <f>IF(AI208="NOT FOUND","NOT FOUND",INDEX('9_3nf_customer_history'!$C:$C,SUMPRODUCT(('9_3nf_customer_history'!$A$2:$A$500=AD208)*('9_3nf_customer_history'!$B$2:$B$500=AI208)*ROW('9_3nf_customer_history'!$A$2:$A$500))))</f>
        <v/>
      </c>
      <c r="AK208" s="2">
        <f>IF(AI208="NOT FOUND","NOT FOUND",INDEX('9_3nf_customer_history'!$D:$D,SUMPRODUCT(('9_3nf_customer_history'!$A$2:$A$500=AD208)*('9_3nf_customer_history'!$B$2:$B$500=AI208)*ROW('9_3nf_customer_history'!$A$2:$A$500))))</f>
        <v/>
      </c>
      <c r="AL208" s="2">
        <f>UPPER(TRIM(H208))</f>
        <v/>
      </c>
      <c r="AM208" s="30">
        <f>IF(_xlfn.MAXIFS('10_ref_fx_rate'!$B$2:$B$2000,'10_ref_fx_rate'!$A$2:$A$2000,AL208,'10_ref_fx_rate'!$B$2:$B$2000,"&lt;="&amp;L208)=0,"NOT FOUND",_xlfn.MAXIFS('10_ref_fx_rate'!$B$2:$B$2000,'10_ref_fx_rate'!$A$2:$A$2000,AL208,'10_ref_fx_rate'!$B$2:$B$2000,"&lt;="&amp;L208))</f>
        <v/>
      </c>
      <c r="AN208" s="8">
        <f>IF(AM208="NOT FOUND","NOT FOUND",SUMIFS('10_ref_fx_rate'!$D$2:$D$2000,'10_ref_fx_rate'!$A$2:$A$2000,AL208,'10_ref_fx_rate'!$B$2:$B$2000,AM208))</f>
        <v/>
      </c>
      <c r="AO208" s="37">
        <f>IF(ISNUMBER(AN208),I208*AN208,"NOT FOUND")</f>
        <v/>
      </c>
      <c r="AP208" s="2">
        <f>UPPER(TRIM(J208))</f>
        <v/>
      </c>
      <c r="AQ208" s="2">
        <f>IF(AP208="","SELF-DIRECTED",IF(ISNUMBER(MATCH(AP208,'11_3nf_sales_person'!$A:$A,0)),IF(EXACT(AP208,J208),"OK","OK (auto-fixed)"),IF(ISNA(MATCH($A208,'12_sales_person_confirmation'!$A:$A,0)),"CONFIRM (not logged)",IF(INDEX('12_sales_person_confirmation'!$I:$I,MATCH($A208,'12_sales_person_confirmation'!$A:$A,0))="CONFIRMED","CONFIRMED ("&amp;LOWER(INDEX('12_sales_person_confirmation'!$E:$E,MATCH($A208,'12_sales_person_confirmation'!$A:$A,0)))&amp;")","PENDING CONFIRM"))))</f>
        <v/>
      </c>
      <c r="AR208" s="2">
        <f>IF(OR(AQ208="OK",AQ208="OK (auto-fixed)"),AP208,IF(LEFT(AQ208,9)="CONFIRMED",INDEX('12_sales_person_confirmation'!$F:$F,MATCH($A208,'12_sales_person_confirmation'!$A:$A,0)),""))</f>
        <v/>
      </c>
      <c r="AS208" s="2">
        <f>IF(AR208="","",INDEX('11_3nf_sales_person'!$B:$B,MATCH(AR208,'11_3nf_sales_person'!$A:$A,0)))</f>
        <v/>
      </c>
    </row>
    <row r="209">
      <c r="A209" s="2">
        <f>IF(ISBLANK('1_raw_log'!A209),"",'1_raw_log'!A209)</f>
        <v/>
      </c>
      <c r="B209" s="3">
        <f>IF(ISBLANK('1_raw_log'!B209),"",'1_raw_log'!B209)</f>
        <v/>
      </c>
      <c r="C209" s="2">
        <f>IF(ISBLANK('1_raw_log'!C209),"",'1_raw_log'!C209)</f>
        <v/>
      </c>
      <c r="D209" s="2">
        <f>IF(ISBLANK('1_raw_log'!D209),"",'1_raw_log'!D209)</f>
        <v/>
      </c>
      <c r="E209" s="4">
        <f>IF(ISBLANK('1_raw_log'!E209),"",'1_raw_log'!E209)</f>
        <v/>
      </c>
      <c r="F209" s="2">
        <f>IF(ISBLANK('1_raw_log'!F209),"",'1_raw_log'!F209)</f>
        <v/>
      </c>
      <c r="G209" s="2">
        <f>IF(ISBLANK('1_raw_log'!G209),"",'1_raw_log'!G209)</f>
        <v/>
      </c>
      <c r="H209" s="2">
        <f>IF(ISBLANK('1_raw_log'!H209),"",'1_raw_log'!H209)</f>
        <v/>
      </c>
      <c r="I209" s="7">
        <f>IF(ISBLANK('1_raw_log'!I209),"",'1_raw_log'!I209)</f>
        <v/>
      </c>
      <c r="J209" s="2">
        <f>IF(ISBLANK('1_raw_log'!J209),"",'1_raw_log'!J209)</f>
        <v/>
      </c>
      <c r="K209" s="2">
        <f>IF(ISBLANK('1_raw_log'!K209),"",'1_raw_log'!K209)</f>
        <v/>
      </c>
      <c r="L209" s="30">
        <f>INT(B209)</f>
        <v/>
      </c>
      <c r="M209" s="20">
        <f>ROUND(MOD(B209,1)*1440,0)/1440</f>
        <v/>
      </c>
      <c r="N209" s="4">
        <f>IFERROR(INDEX('3_ref_date'!$B:$B,MATCH(L209,'3_ref_date'!$A:$A,0)),"NOT FOUND")</f>
        <v/>
      </c>
      <c r="O209" s="2">
        <f>IFERROR(INDEX('3_ref_date'!$C:$C,MATCH(L209,'3_ref_date'!$A:$A,0)),"NOT FOUND")</f>
        <v/>
      </c>
      <c r="P209" s="4">
        <f>IFERROR(INDEX('3_ref_date'!$D:$D,MATCH(L209,'3_ref_date'!$A:$A,0)),"NOT FOUND")</f>
        <v/>
      </c>
      <c r="Q209" s="4">
        <f>IFERROR(INDEX('3_ref_date'!$E:$E,MATCH(L209,'3_ref_date'!$A:$A,0)),"NOT FOUND")</f>
        <v/>
      </c>
      <c r="R209" s="2">
        <f>IFERROR(INDEX('3_ref_date'!$F:$F,MATCH(L209,'3_ref_date'!$A:$A,0)),"NOT FOUND")</f>
        <v/>
      </c>
      <c r="S209" s="2">
        <f>IFERROR(INDEX('4_ref_time'!$D:$D,MATCH(ROUND(M209*1440,0),'4_ref_time'!$A:$A,0)),"NOT FOUND")</f>
        <v/>
      </c>
      <c r="T209" s="2">
        <f>UPPER(TRIM(C209))</f>
        <v/>
      </c>
      <c r="U209" s="30">
        <f>IF(_xlfn.MAXIFS('6_3nf_branch_history'!$B$2:$B$50,'6_3nf_branch_history'!$A$2:$A$50,T209,'6_3nf_branch_history'!$B$2:$B$50,"&lt;="&amp;L209)=0,"NOT FOUND",_xlfn.MAXIFS('6_3nf_branch_history'!$B$2:$B$50,'6_3nf_branch_history'!$A$2:$A$50,T209,'6_3nf_branch_history'!$B$2:$B$50,"&lt;="&amp;L209))</f>
        <v/>
      </c>
      <c r="V209" s="2">
        <f>IF(U209="NOT FOUND","NOT FOUND",INDEX('6_3nf_branch_history'!$C:$C,SUMPRODUCT(('6_3nf_branch_history'!$A$2:$A$50=T209)*('6_3nf_branch_history'!$B$2:$B$50=U209)*ROW('6_3nf_branch_history'!$A$2:$A$50))))</f>
        <v/>
      </c>
      <c r="W209" s="2">
        <f>IF(U209="NOT FOUND","NOT FOUND",INDEX('6_3nf_branch_history'!$D:$D,SUMPRODUCT(('6_3nf_branch_history'!$A$2:$A$50=T209)*('6_3nf_branch_history'!$B$2:$B$50=U209)*ROW('6_3nf_branch_history'!$A$2:$A$50))))</f>
        <v/>
      </c>
      <c r="X209" s="2">
        <f>IF(U209="NOT FOUND","NOT FOUND",INDEX('6_3nf_branch_history'!$E:$E,SUMPRODUCT(('6_3nf_branch_history'!$A$2:$A$50=T209)*('6_3nf_branch_history'!$B$2:$B$50=U209)*ROW('6_3nf_branch_history'!$A$2:$A$50))))</f>
        <v/>
      </c>
      <c r="Y209" s="2">
        <f>UPPER(TRIM(D209))</f>
        <v/>
      </c>
      <c r="Z209" s="2">
        <f>IFERROR(INDEX('7_3nf_product'!$B:$B,MATCH(Y209,'7_3nf_product'!$A:$A,0)),"NOT FOUND")</f>
        <v/>
      </c>
      <c r="AA209" s="2">
        <f>IFERROR(INDEX('7_3nf_product'!$C:$C,MATCH(Y209,'7_3nf_product'!$A:$A,0)),"NOT FOUND")</f>
        <v/>
      </c>
      <c r="AB209" s="2">
        <f>IFERROR(INDEX('7_3nf_product'!$D:$D,MATCH(Y209,'7_3nf_product'!$A:$A,0)),"NOT FOUND")</f>
        <v/>
      </c>
      <c r="AC209" s="6">
        <f>IFERROR(INDEX('7_3nf_product'!$E:$E,MATCH(Y209,'7_3nf_product'!$A:$A,0)),"NOT FOUND")</f>
        <v/>
      </c>
      <c r="AD209" s="33">
        <f>IF(LEN(TRIM(E209))=10,TRIM(E209),IF(LEN(TRIM(E209))=8,"00"&amp;TRIM(E209),"CHECK"))</f>
        <v/>
      </c>
      <c r="AE209" s="2">
        <f>IFERROR(INDEX('8_3nf_customer'!$C:$C,MATCH(AD209,'8_3nf_customer'!$B:$B,0)),"NOT FOUND")</f>
        <v/>
      </c>
      <c r="AF209" s="30">
        <f>IFERROR(INDEX('8_3nf_customer'!$D:$D,MATCH(AD209,'8_3nf_customer'!$B:$B,0)),"NOT FOUND")</f>
        <v/>
      </c>
      <c r="AG209" s="4">
        <f>IF(ISNUMBER(AF209),DATEDIF(AF209,L209,"y"),"NOT FOUND")</f>
        <v/>
      </c>
      <c r="AH209" s="2">
        <f>IFERROR(INDEX('8_3nf_customer'!$E:$E,MATCH(AD209,'8_3nf_customer'!$B:$B,0)),"NOT FOUND")</f>
        <v/>
      </c>
      <c r="AI209" s="30">
        <f>IF(_xlfn.MAXIFS('9_3nf_customer_history'!$B$2:$B$500,'9_3nf_customer_history'!$A$2:$A$500,AD209,'9_3nf_customer_history'!$B$2:$B$500,"&lt;="&amp;L209)=0,"NOT FOUND",_xlfn.MAXIFS('9_3nf_customer_history'!$B$2:$B$500,'9_3nf_customer_history'!$A$2:$A$500,AD209,'9_3nf_customer_history'!$B$2:$B$500,"&lt;="&amp;L209))</f>
        <v/>
      </c>
      <c r="AJ209" s="2">
        <f>IF(AI209="NOT FOUND","NOT FOUND",INDEX('9_3nf_customer_history'!$C:$C,SUMPRODUCT(('9_3nf_customer_history'!$A$2:$A$500=AD209)*('9_3nf_customer_history'!$B$2:$B$500=AI209)*ROW('9_3nf_customer_history'!$A$2:$A$500))))</f>
        <v/>
      </c>
      <c r="AK209" s="2">
        <f>IF(AI209="NOT FOUND","NOT FOUND",INDEX('9_3nf_customer_history'!$D:$D,SUMPRODUCT(('9_3nf_customer_history'!$A$2:$A$500=AD209)*('9_3nf_customer_history'!$B$2:$B$500=AI209)*ROW('9_3nf_customer_history'!$A$2:$A$500))))</f>
        <v/>
      </c>
      <c r="AL209" s="2">
        <f>UPPER(TRIM(H209))</f>
        <v/>
      </c>
      <c r="AM209" s="30">
        <f>IF(_xlfn.MAXIFS('10_ref_fx_rate'!$B$2:$B$2000,'10_ref_fx_rate'!$A$2:$A$2000,AL209,'10_ref_fx_rate'!$B$2:$B$2000,"&lt;="&amp;L209)=0,"NOT FOUND",_xlfn.MAXIFS('10_ref_fx_rate'!$B$2:$B$2000,'10_ref_fx_rate'!$A$2:$A$2000,AL209,'10_ref_fx_rate'!$B$2:$B$2000,"&lt;="&amp;L209))</f>
        <v/>
      </c>
      <c r="AN209" s="8">
        <f>IF(AM209="NOT FOUND","NOT FOUND",SUMIFS('10_ref_fx_rate'!$D$2:$D$2000,'10_ref_fx_rate'!$A$2:$A$2000,AL209,'10_ref_fx_rate'!$B$2:$B$2000,AM209))</f>
        <v/>
      </c>
      <c r="AO209" s="37">
        <f>IF(ISNUMBER(AN209),I209*AN209,"NOT FOUND")</f>
        <v/>
      </c>
      <c r="AP209" s="2">
        <f>UPPER(TRIM(J209))</f>
        <v/>
      </c>
      <c r="AQ209" s="2">
        <f>IF(AP209="","SELF-DIRECTED",IF(ISNUMBER(MATCH(AP209,'11_3nf_sales_person'!$A:$A,0)),IF(EXACT(AP209,J209),"OK","OK (auto-fixed)"),IF(ISNA(MATCH($A209,'12_sales_person_confirmation'!$A:$A,0)),"CONFIRM (not logged)",IF(INDEX('12_sales_person_confirmation'!$I:$I,MATCH($A209,'12_sales_person_confirmation'!$A:$A,0))="CONFIRMED","CONFIRMED ("&amp;LOWER(INDEX('12_sales_person_confirmation'!$E:$E,MATCH($A209,'12_sales_person_confirmation'!$A:$A,0)))&amp;")","PENDING CONFIRM"))))</f>
        <v/>
      </c>
      <c r="AR209" s="2">
        <f>IF(OR(AQ209="OK",AQ209="OK (auto-fixed)"),AP209,IF(LEFT(AQ209,9)="CONFIRMED",INDEX('12_sales_person_confirmation'!$F:$F,MATCH($A209,'12_sales_person_confirmation'!$A:$A,0)),""))</f>
        <v/>
      </c>
      <c r="AS209" s="2">
        <f>IF(AR209="","",INDEX('11_3nf_sales_person'!$B:$B,MATCH(AR209,'11_3nf_sales_person'!$A:$A,0)))</f>
        <v/>
      </c>
    </row>
    <row r="210">
      <c r="A210" s="2">
        <f>IF(ISBLANK('1_raw_log'!A210),"",'1_raw_log'!A210)</f>
        <v/>
      </c>
      <c r="B210" s="3">
        <f>IF(ISBLANK('1_raw_log'!B210),"",'1_raw_log'!B210)</f>
        <v/>
      </c>
      <c r="C210" s="2">
        <f>IF(ISBLANK('1_raw_log'!C210),"",'1_raw_log'!C210)</f>
        <v/>
      </c>
      <c r="D210" s="2">
        <f>IF(ISBLANK('1_raw_log'!D210),"",'1_raw_log'!D210)</f>
        <v/>
      </c>
      <c r="E210" s="4">
        <f>IF(ISBLANK('1_raw_log'!E210),"",'1_raw_log'!E210)</f>
        <v/>
      </c>
      <c r="F210" s="2">
        <f>IF(ISBLANK('1_raw_log'!F210),"",'1_raw_log'!F210)</f>
        <v/>
      </c>
      <c r="G210" s="2">
        <f>IF(ISBLANK('1_raw_log'!G210),"",'1_raw_log'!G210)</f>
        <v/>
      </c>
      <c r="H210" s="2">
        <f>IF(ISBLANK('1_raw_log'!H210),"",'1_raw_log'!H210)</f>
        <v/>
      </c>
      <c r="I210" s="7">
        <f>IF(ISBLANK('1_raw_log'!I210),"",'1_raw_log'!I210)</f>
        <v/>
      </c>
      <c r="J210" s="2">
        <f>IF(ISBLANK('1_raw_log'!J210),"",'1_raw_log'!J210)</f>
        <v/>
      </c>
      <c r="K210" s="2">
        <f>IF(ISBLANK('1_raw_log'!K210),"",'1_raw_log'!K210)</f>
        <v/>
      </c>
      <c r="L210" s="30">
        <f>INT(B210)</f>
        <v/>
      </c>
      <c r="M210" s="20">
        <f>ROUND(MOD(B210,1)*1440,0)/1440</f>
        <v/>
      </c>
      <c r="N210" s="4">
        <f>IFERROR(INDEX('3_ref_date'!$B:$B,MATCH(L210,'3_ref_date'!$A:$A,0)),"NOT FOUND")</f>
        <v/>
      </c>
      <c r="O210" s="2">
        <f>IFERROR(INDEX('3_ref_date'!$C:$C,MATCH(L210,'3_ref_date'!$A:$A,0)),"NOT FOUND")</f>
        <v/>
      </c>
      <c r="P210" s="4">
        <f>IFERROR(INDEX('3_ref_date'!$D:$D,MATCH(L210,'3_ref_date'!$A:$A,0)),"NOT FOUND")</f>
        <v/>
      </c>
      <c r="Q210" s="4">
        <f>IFERROR(INDEX('3_ref_date'!$E:$E,MATCH(L210,'3_ref_date'!$A:$A,0)),"NOT FOUND")</f>
        <v/>
      </c>
      <c r="R210" s="2">
        <f>IFERROR(INDEX('3_ref_date'!$F:$F,MATCH(L210,'3_ref_date'!$A:$A,0)),"NOT FOUND")</f>
        <v/>
      </c>
      <c r="S210" s="2">
        <f>IFERROR(INDEX('4_ref_time'!$D:$D,MATCH(ROUND(M210*1440,0),'4_ref_time'!$A:$A,0)),"NOT FOUND")</f>
        <v/>
      </c>
      <c r="T210" s="2">
        <f>UPPER(TRIM(C210))</f>
        <v/>
      </c>
      <c r="U210" s="30">
        <f>IF(_xlfn.MAXIFS('6_3nf_branch_history'!$B$2:$B$50,'6_3nf_branch_history'!$A$2:$A$50,T210,'6_3nf_branch_history'!$B$2:$B$50,"&lt;="&amp;L210)=0,"NOT FOUND",_xlfn.MAXIFS('6_3nf_branch_history'!$B$2:$B$50,'6_3nf_branch_history'!$A$2:$A$50,T210,'6_3nf_branch_history'!$B$2:$B$50,"&lt;="&amp;L210))</f>
        <v/>
      </c>
      <c r="V210" s="2">
        <f>IF(U210="NOT FOUND","NOT FOUND",INDEX('6_3nf_branch_history'!$C:$C,SUMPRODUCT(('6_3nf_branch_history'!$A$2:$A$50=T210)*('6_3nf_branch_history'!$B$2:$B$50=U210)*ROW('6_3nf_branch_history'!$A$2:$A$50))))</f>
        <v/>
      </c>
      <c r="W210" s="2">
        <f>IF(U210="NOT FOUND","NOT FOUND",INDEX('6_3nf_branch_history'!$D:$D,SUMPRODUCT(('6_3nf_branch_history'!$A$2:$A$50=T210)*('6_3nf_branch_history'!$B$2:$B$50=U210)*ROW('6_3nf_branch_history'!$A$2:$A$50))))</f>
        <v/>
      </c>
      <c r="X210" s="2">
        <f>IF(U210="NOT FOUND","NOT FOUND",INDEX('6_3nf_branch_history'!$E:$E,SUMPRODUCT(('6_3nf_branch_history'!$A$2:$A$50=T210)*('6_3nf_branch_history'!$B$2:$B$50=U210)*ROW('6_3nf_branch_history'!$A$2:$A$50))))</f>
        <v/>
      </c>
      <c r="Y210" s="2">
        <f>UPPER(TRIM(D210))</f>
        <v/>
      </c>
      <c r="Z210" s="2">
        <f>IFERROR(INDEX('7_3nf_product'!$B:$B,MATCH(Y210,'7_3nf_product'!$A:$A,0)),"NOT FOUND")</f>
        <v/>
      </c>
      <c r="AA210" s="2">
        <f>IFERROR(INDEX('7_3nf_product'!$C:$C,MATCH(Y210,'7_3nf_product'!$A:$A,0)),"NOT FOUND")</f>
        <v/>
      </c>
      <c r="AB210" s="2">
        <f>IFERROR(INDEX('7_3nf_product'!$D:$D,MATCH(Y210,'7_3nf_product'!$A:$A,0)),"NOT FOUND")</f>
        <v/>
      </c>
      <c r="AC210" s="6">
        <f>IFERROR(INDEX('7_3nf_product'!$E:$E,MATCH(Y210,'7_3nf_product'!$A:$A,0)),"NOT FOUND")</f>
        <v/>
      </c>
      <c r="AD210" s="33">
        <f>IF(LEN(TRIM(E210))=10,TRIM(E210),IF(LEN(TRIM(E210))=8,"00"&amp;TRIM(E210),"CHECK"))</f>
        <v/>
      </c>
      <c r="AE210" s="2">
        <f>IFERROR(INDEX('8_3nf_customer'!$C:$C,MATCH(AD210,'8_3nf_customer'!$B:$B,0)),"NOT FOUND")</f>
        <v/>
      </c>
      <c r="AF210" s="30">
        <f>IFERROR(INDEX('8_3nf_customer'!$D:$D,MATCH(AD210,'8_3nf_customer'!$B:$B,0)),"NOT FOUND")</f>
        <v/>
      </c>
      <c r="AG210" s="4">
        <f>IF(ISNUMBER(AF210),DATEDIF(AF210,L210,"y"),"NOT FOUND")</f>
        <v/>
      </c>
      <c r="AH210" s="2">
        <f>IFERROR(INDEX('8_3nf_customer'!$E:$E,MATCH(AD210,'8_3nf_customer'!$B:$B,0)),"NOT FOUND")</f>
        <v/>
      </c>
      <c r="AI210" s="30">
        <f>IF(_xlfn.MAXIFS('9_3nf_customer_history'!$B$2:$B$500,'9_3nf_customer_history'!$A$2:$A$500,AD210,'9_3nf_customer_history'!$B$2:$B$500,"&lt;="&amp;L210)=0,"NOT FOUND",_xlfn.MAXIFS('9_3nf_customer_history'!$B$2:$B$500,'9_3nf_customer_history'!$A$2:$A$500,AD210,'9_3nf_customer_history'!$B$2:$B$500,"&lt;="&amp;L210))</f>
        <v/>
      </c>
      <c r="AJ210" s="2">
        <f>IF(AI210="NOT FOUND","NOT FOUND",INDEX('9_3nf_customer_history'!$C:$C,SUMPRODUCT(('9_3nf_customer_history'!$A$2:$A$500=AD210)*('9_3nf_customer_history'!$B$2:$B$500=AI210)*ROW('9_3nf_customer_history'!$A$2:$A$500))))</f>
        <v/>
      </c>
      <c r="AK210" s="2">
        <f>IF(AI210="NOT FOUND","NOT FOUND",INDEX('9_3nf_customer_history'!$D:$D,SUMPRODUCT(('9_3nf_customer_history'!$A$2:$A$500=AD210)*('9_3nf_customer_history'!$B$2:$B$500=AI210)*ROW('9_3nf_customer_history'!$A$2:$A$500))))</f>
        <v/>
      </c>
      <c r="AL210" s="2">
        <f>UPPER(TRIM(H210))</f>
        <v/>
      </c>
      <c r="AM210" s="30">
        <f>IF(_xlfn.MAXIFS('10_ref_fx_rate'!$B$2:$B$2000,'10_ref_fx_rate'!$A$2:$A$2000,AL210,'10_ref_fx_rate'!$B$2:$B$2000,"&lt;="&amp;L210)=0,"NOT FOUND",_xlfn.MAXIFS('10_ref_fx_rate'!$B$2:$B$2000,'10_ref_fx_rate'!$A$2:$A$2000,AL210,'10_ref_fx_rate'!$B$2:$B$2000,"&lt;="&amp;L210))</f>
        <v/>
      </c>
      <c r="AN210" s="8">
        <f>IF(AM210="NOT FOUND","NOT FOUND",SUMIFS('10_ref_fx_rate'!$D$2:$D$2000,'10_ref_fx_rate'!$A$2:$A$2000,AL210,'10_ref_fx_rate'!$B$2:$B$2000,AM210))</f>
        <v/>
      </c>
      <c r="AO210" s="37">
        <f>IF(ISNUMBER(AN210),I210*AN210,"NOT FOUND")</f>
        <v/>
      </c>
      <c r="AP210" s="2">
        <f>UPPER(TRIM(J210))</f>
        <v/>
      </c>
      <c r="AQ210" s="2">
        <f>IF(AP210="","SELF-DIRECTED",IF(ISNUMBER(MATCH(AP210,'11_3nf_sales_person'!$A:$A,0)),IF(EXACT(AP210,J210),"OK","OK (auto-fixed)"),IF(ISNA(MATCH($A210,'12_sales_person_confirmation'!$A:$A,0)),"CONFIRM (not logged)",IF(INDEX('12_sales_person_confirmation'!$I:$I,MATCH($A210,'12_sales_person_confirmation'!$A:$A,0))="CONFIRMED","CONFIRMED ("&amp;LOWER(INDEX('12_sales_person_confirmation'!$E:$E,MATCH($A210,'12_sales_person_confirmation'!$A:$A,0)))&amp;")","PENDING CONFIRM"))))</f>
        <v/>
      </c>
      <c r="AR210" s="2">
        <f>IF(OR(AQ210="OK",AQ210="OK (auto-fixed)"),AP210,IF(LEFT(AQ210,9)="CONFIRMED",INDEX('12_sales_person_confirmation'!$F:$F,MATCH($A210,'12_sales_person_confirmation'!$A:$A,0)),""))</f>
        <v/>
      </c>
      <c r="AS210" s="2">
        <f>IF(AR210="","",INDEX('11_3nf_sales_person'!$B:$B,MATCH(AR210,'11_3nf_sales_person'!$A:$A,0)))</f>
        <v/>
      </c>
    </row>
    <row r="211">
      <c r="A211" s="2">
        <f>IF(ISBLANK('1_raw_log'!A211),"",'1_raw_log'!A211)</f>
        <v/>
      </c>
      <c r="B211" s="3">
        <f>IF(ISBLANK('1_raw_log'!B211),"",'1_raw_log'!B211)</f>
        <v/>
      </c>
      <c r="C211" s="2">
        <f>IF(ISBLANK('1_raw_log'!C211),"",'1_raw_log'!C211)</f>
        <v/>
      </c>
      <c r="D211" s="2">
        <f>IF(ISBLANK('1_raw_log'!D211),"",'1_raw_log'!D211)</f>
        <v/>
      </c>
      <c r="E211" s="4">
        <f>IF(ISBLANK('1_raw_log'!E211),"",'1_raw_log'!E211)</f>
        <v/>
      </c>
      <c r="F211" s="2">
        <f>IF(ISBLANK('1_raw_log'!F211),"",'1_raw_log'!F211)</f>
        <v/>
      </c>
      <c r="G211" s="2">
        <f>IF(ISBLANK('1_raw_log'!G211),"",'1_raw_log'!G211)</f>
        <v/>
      </c>
      <c r="H211" s="2">
        <f>IF(ISBLANK('1_raw_log'!H211),"",'1_raw_log'!H211)</f>
        <v/>
      </c>
      <c r="I211" s="7">
        <f>IF(ISBLANK('1_raw_log'!I211),"",'1_raw_log'!I211)</f>
        <v/>
      </c>
      <c r="J211" s="2">
        <f>IF(ISBLANK('1_raw_log'!J211),"",'1_raw_log'!J211)</f>
        <v/>
      </c>
      <c r="K211" s="2">
        <f>IF(ISBLANK('1_raw_log'!K211),"",'1_raw_log'!K211)</f>
        <v/>
      </c>
      <c r="L211" s="30">
        <f>INT(B211)</f>
        <v/>
      </c>
      <c r="M211" s="20">
        <f>ROUND(MOD(B211,1)*1440,0)/1440</f>
        <v/>
      </c>
      <c r="N211" s="4">
        <f>IFERROR(INDEX('3_ref_date'!$B:$B,MATCH(L211,'3_ref_date'!$A:$A,0)),"NOT FOUND")</f>
        <v/>
      </c>
      <c r="O211" s="2">
        <f>IFERROR(INDEX('3_ref_date'!$C:$C,MATCH(L211,'3_ref_date'!$A:$A,0)),"NOT FOUND")</f>
        <v/>
      </c>
      <c r="P211" s="4">
        <f>IFERROR(INDEX('3_ref_date'!$D:$D,MATCH(L211,'3_ref_date'!$A:$A,0)),"NOT FOUND")</f>
        <v/>
      </c>
      <c r="Q211" s="4">
        <f>IFERROR(INDEX('3_ref_date'!$E:$E,MATCH(L211,'3_ref_date'!$A:$A,0)),"NOT FOUND")</f>
        <v/>
      </c>
      <c r="R211" s="2">
        <f>IFERROR(INDEX('3_ref_date'!$F:$F,MATCH(L211,'3_ref_date'!$A:$A,0)),"NOT FOUND")</f>
        <v/>
      </c>
      <c r="S211" s="2">
        <f>IFERROR(INDEX('4_ref_time'!$D:$D,MATCH(ROUND(M211*1440,0),'4_ref_time'!$A:$A,0)),"NOT FOUND")</f>
        <v/>
      </c>
      <c r="T211" s="2">
        <f>UPPER(TRIM(C211))</f>
        <v/>
      </c>
      <c r="U211" s="30">
        <f>IF(_xlfn.MAXIFS('6_3nf_branch_history'!$B$2:$B$50,'6_3nf_branch_history'!$A$2:$A$50,T211,'6_3nf_branch_history'!$B$2:$B$50,"&lt;="&amp;L211)=0,"NOT FOUND",_xlfn.MAXIFS('6_3nf_branch_history'!$B$2:$B$50,'6_3nf_branch_history'!$A$2:$A$50,T211,'6_3nf_branch_history'!$B$2:$B$50,"&lt;="&amp;L211))</f>
        <v/>
      </c>
      <c r="V211" s="2">
        <f>IF(U211="NOT FOUND","NOT FOUND",INDEX('6_3nf_branch_history'!$C:$C,SUMPRODUCT(('6_3nf_branch_history'!$A$2:$A$50=T211)*('6_3nf_branch_history'!$B$2:$B$50=U211)*ROW('6_3nf_branch_history'!$A$2:$A$50))))</f>
        <v/>
      </c>
      <c r="W211" s="2">
        <f>IF(U211="NOT FOUND","NOT FOUND",INDEX('6_3nf_branch_history'!$D:$D,SUMPRODUCT(('6_3nf_branch_history'!$A$2:$A$50=T211)*('6_3nf_branch_history'!$B$2:$B$50=U211)*ROW('6_3nf_branch_history'!$A$2:$A$50))))</f>
        <v/>
      </c>
      <c r="X211" s="2">
        <f>IF(U211="NOT FOUND","NOT FOUND",INDEX('6_3nf_branch_history'!$E:$E,SUMPRODUCT(('6_3nf_branch_history'!$A$2:$A$50=T211)*('6_3nf_branch_history'!$B$2:$B$50=U211)*ROW('6_3nf_branch_history'!$A$2:$A$50))))</f>
        <v/>
      </c>
      <c r="Y211" s="2">
        <f>UPPER(TRIM(D211))</f>
        <v/>
      </c>
      <c r="Z211" s="2">
        <f>IFERROR(INDEX('7_3nf_product'!$B:$B,MATCH(Y211,'7_3nf_product'!$A:$A,0)),"NOT FOUND")</f>
        <v/>
      </c>
      <c r="AA211" s="2">
        <f>IFERROR(INDEX('7_3nf_product'!$C:$C,MATCH(Y211,'7_3nf_product'!$A:$A,0)),"NOT FOUND")</f>
        <v/>
      </c>
      <c r="AB211" s="2">
        <f>IFERROR(INDEX('7_3nf_product'!$D:$D,MATCH(Y211,'7_3nf_product'!$A:$A,0)),"NOT FOUND")</f>
        <v/>
      </c>
      <c r="AC211" s="6">
        <f>IFERROR(INDEX('7_3nf_product'!$E:$E,MATCH(Y211,'7_3nf_product'!$A:$A,0)),"NOT FOUND")</f>
        <v/>
      </c>
      <c r="AD211" s="33">
        <f>IF(LEN(TRIM(E211))=10,TRIM(E211),IF(LEN(TRIM(E211))=8,"00"&amp;TRIM(E211),"CHECK"))</f>
        <v/>
      </c>
      <c r="AE211" s="2">
        <f>IFERROR(INDEX('8_3nf_customer'!$C:$C,MATCH(AD211,'8_3nf_customer'!$B:$B,0)),"NOT FOUND")</f>
        <v/>
      </c>
      <c r="AF211" s="30">
        <f>IFERROR(INDEX('8_3nf_customer'!$D:$D,MATCH(AD211,'8_3nf_customer'!$B:$B,0)),"NOT FOUND")</f>
        <v/>
      </c>
      <c r="AG211" s="4">
        <f>IF(ISNUMBER(AF211),DATEDIF(AF211,L211,"y"),"NOT FOUND")</f>
        <v/>
      </c>
      <c r="AH211" s="2">
        <f>IFERROR(INDEX('8_3nf_customer'!$E:$E,MATCH(AD211,'8_3nf_customer'!$B:$B,0)),"NOT FOUND")</f>
        <v/>
      </c>
      <c r="AI211" s="30">
        <f>IF(_xlfn.MAXIFS('9_3nf_customer_history'!$B$2:$B$500,'9_3nf_customer_history'!$A$2:$A$500,AD211,'9_3nf_customer_history'!$B$2:$B$500,"&lt;="&amp;L211)=0,"NOT FOUND",_xlfn.MAXIFS('9_3nf_customer_history'!$B$2:$B$500,'9_3nf_customer_history'!$A$2:$A$500,AD211,'9_3nf_customer_history'!$B$2:$B$500,"&lt;="&amp;L211))</f>
        <v/>
      </c>
      <c r="AJ211" s="2">
        <f>IF(AI211="NOT FOUND","NOT FOUND",INDEX('9_3nf_customer_history'!$C:$C,SUMPRODUCT(('9_3nf_customer_history'!$A$2:$A$500=AD211)*('9_3nf_customer_history'!$B$2:$B$500=AI211)*ROW('9_3nf_customer_history'!$A$2:$A$500))))</f>
        <v/>
      </c>
      <c r="AK211" s="2">
        <f>IF(AI211="NOT FOUND","NOT FOUND",INDEX('9_3nf_customer_history'!$D:$D,SUMPRODUCT(('9_3nf_customer_history'!$A$2:$A$500=AD211)*('9_3nf_customer_history'!$B$2:$B$500=AI211)*ROW('9_3nf_customer_history'!$A$2:$A$500))))</f>
        <v/>
      </c>
      <c r="AL211" s="2">
        <f>UPPER(TRIM(H211))</f>
        <v/>
      </c>
      <c r="AM211" s="30">
        <f>IF(_xlfn.MAXIFS('10_ref_fx_rate'!$B$2:$B$2000,'10_ref_fx_rate'!$A$2:$A$2000,AL211,'10_ref_fx_rate'!$B$2:$B$2000,"&lt;="&amp;L211)=0,"NOT FOUND",_xlfn.MAXIFS('10_ref_fx_rate'!$B$2:$B$2000,'10_ref_fx_rate'!$A$2:$A$2000,AL211,'10_ref_fx_rate'!$B$2:$B$2000,"&lt;="&amp;L211))</f>
        <v/>
      </c>
      <c r="AN211" s="8">
        <f>IF(AM211="NOT FOUND","NOT FOUND",SUMIFS('10_ref_fx_rate'!$D$2:$D$2000,'10_ref_fx_rate'!$A$2:$A$2000,AL211,'10_ref_fx_rate'!$B$2:$B$2000,AM211))</f>
        <v/>
      </c>
      <c r="AO211" s="37">
        <f>IF(ISNUMBER(AN211),I211*AN211,"NOT FOUND")</f>
        <v/>
      </c>
      <c r="AP211" s="2">
        <f>UPPER(TRIM(J211))</f>
        <v/>
      </c>
      <c r="AQ211" s="2">
        <f>IF(AP211="","SELF-DIRECTED",IF(ISNUMBER(MATCH(AP211,'11_3nf_sales_person'!$A:$A,0)),IF(EXACT(AP211,J211),"OK","OK (auto-fixed)"),IF(ISNA(MATCH($A211,'12_sales_person_confirmation'!$A:$A,0)),"CONFIRM (not logged)",IF(INDEX('12_sales_person_confirmation'!$I:$I,MATCH($A211,'12_sales_person_confirmation'!$A:$A,0))="CONFIRMED","CONFIRMED ("&amp;LOWER(INDEX('12_sales_person_confirmation'!$E:$E,MATCH($A211,'12_sales_person_confirmation'!$A:$A,0)))&amp;")","PENDING CONFIRM"))))</f>
        <v/>
      </c>
      <c r="AR211" s="2">
        <f>IF(OR(AQ211="OK",AQ211="OK (auto-fixed)"),AP211,IF(LEFT(AQ211,9)="CONFIRMED",INDEX('12_sales_person_confirmation'!$F:$F,MATCH($A211,'12_sales_person_confirmation'!$A:$A,0)),""))</f>
        <v/>
      </c>
      <c r="AS211" s="2">
        <f>IF(AR211="","",INDEX('11_3nf_sales_person'!$B:$B,MATCH(AR211,'11_3nf_sales_person'!$A:$A,0)))</f>
        <v/>
      </c>
    </row>
    <row r="212">
      <c r="A212" s="2">
        <f>IF(ISBLANK('1_raw_log'!A212),"",'1_raw_log'!A212)</f>
        <v/>
      </c>
      <c r="B212" s="3">
        <f>IF(ISBLANK('1_raw_log'!B212),"",'1_raw_log'!B212)</f>
        <v/>
      </c>
      <c r="C212" s="2">
        <f>IF(ISBLANK('1_raw_log'!C212),"",'1_raw_log'!C212)</f>
        <v/>
      </c>
      <c r="D212" s="2">
        <f>IF(ISBLANK('1_raw_log'!D212),"",'1_raw_log'!D212)</f>
        <v/>
      </c>
      <c r="E212" s="4">
        <f>IF(ISBLANK('1_raw_log'!E212),"",'1_raw_log'!E212)</f>
        <v/>
      </c>
      <c r="F212" s="2">
        <f>IF(ISBLANK('1_raw_log'!F212),"",'1_raw_log'!F212)</f>
        <v/>
      </c>
      <c r="G212" s="2">
        <f>IF(ISBLANK('1_raw_log'!G212),"",'1_raw_log'!G212)</f>
        <v/>
      </c>
      <c r="H212" s="2">
        <f>IF(ISBLANK('1_raw_log'!H212),"",'1_raw_log'!H212)</f>
        <v/>
      </c>
      <c r="I212" s="7">
        <f>IF(ISBLANK('1_raw_log'!I212),"",'1_raw_log'!I212)</f>
        <v/>
      </c>
      <c r="J212" s="2">
        <f>IF(ISBLANK('1_raw_log'!J212),"",'1_raw_log'!J212)</f>
        <v/>
      </c>
      <c r="K212" s="2">
        <f>IF(ISBLANK('1_raw_log'!K212),"",'1_raw_log'!K212)</f>
        <v/>
      </c>
      <c r="L212" s="30">
        <f>INT(B212)</f>
        <v/>
      </c>
      <c r="M212" s="20">
        <f>ROUND(MOD(B212,1)*1440,0)/1440</f>
        <v/>
      </c>
      <c r="N212" s="4">
        <f>IFERROR(INDEX('3_ref_date'!$B:$B,MATCH(L212,'3_ref_date'!$A:$A,0)),"NOT FOUND")</f>
        <v/>
      </c>
      <c r="O212" s="2">
        <f>IFERROR(INDEX('3_ref_date'!$C:$C,MATCH(L212,'3_ref_date'!$A:$A,0)),"NOT FOUND")</f>
        <v/>
      </c>
      <c r="P212" s="4">
        <f>IFERROR(INDEX('3_ref_date'!$D:$D,MATCH(L212,'3_ref_date'!$A:$A,0)),"NOT FOUND")</f>
        <v/>
      </c>
      <c r="Q212" s="4">
        <f>IFERROR(INDEX('3_ref_date'!$E:$E,MATCH(L212,'3_ref_date'!$A:$A,0)),"NOT FOUND")</f>
        <v/>
      </c>
      <c r="R212" s="2">
        <f>IFERROR(INDEX('3_ref_date'!$F:$F,MATCH(L212,'3_ref_date'!$A:$A,0)),"NOT FOUND")</f>
        <v/>
      </c>
      <c r="S212" s="2">
        <f>IFERROR(INDEX('4_ref_time'!$D:$D,MATCH(ROUND(M212*1440,0),'4_ref_time'!$A:$A,0)),"NOT FOUND")</f>
        <v/>
      </c>
      <c r="T212" s="2">
        <f>UPPER(TRIM(C212))</f>
        <v/>
      </c>
      <c r="U212" s="30">
        <f>IF(_xlfn.MAXIFS('6_3nf_branch_history'!$B$2:$B$50,'6_3nf_branch_history'!$A$2:$A$50,T212,'6_3nf_branch_history'!$B$2:$B$50,"&lt;="&amp;L212)=0,"NOT FOUND",_xlfn.MAXIFS('6_3nf_branch_history'!$B$2:$B$50,'6_3nf_branch_history'!$A$2:$A$50,T212,'6_3nf_branch_history'!$B$2:$B$50,"&lt;="&amp;L212))</f>
        <v/>
      </c>
      <c r="V212" s="2">
        <f>IF(U212="NOT FOUND","NOT FOUND",INDEX('6_3nf_branch_history'!$C:$C,SUMPRODUCT(('6_3nf_branch_history'!$A$2:$A$50=T212)*('6_3nf_branch_history'!$B$2:$B$50=U212)*ROW('6_3nf_branch_history'!$A$2:$A$50))))</f>
        <v/>
      </c>
      <c r="W212" s="2">
        <f>IF(U212="NOT FOUND","NOT FOUND",INDEX('6_3nf_branch_history'!$D:$D,SUMPRODUCT(('6_3nf_branch_history'!$A$2:$A$50=T212)*('6_3nf_branch_history'!$B$2:$B$50=U212)*ROW('6_3nf_branch_history'!$A$2:$A$50))))</f>
        <v/>
      </c>
      <c r="X212" s="2">
        <f>IF(U212="NOT FOUND","NOT FOUND",INDEX('6_3nf_branch_history'!$E:$E,SUMPRODUCT(('6_3nf_branch_history'!$A$2:$A$50=T212)*('6_3nf_branch_history'!$B$2:$B$50=U212)*ROW('6_3nf_branch_history'!$A$2:$A$50))))</f>
        <v/>
      </c>
      <c r="Y212" s="2">
        <f>UPPER(TRIM(D212))</f>
        <v/>
      </c>
      <c r="Z212" s="2">
        <f>IFERROR(INDEX('7_3nf_product'!$B:$B,MATCH(Y212,'7_3nf_product'!$A:$A,0)),"NOT FOUND")</f>
        <v/>
      </c>
      <c r="AA212" s="2">
        <f>IFERROR(INDEX('7_3nf_product'!$C:$C,MATCH(Y212,'7_3nf_product'!$A:$A,0)),"NOT FOUND")</f>
        <v/>
      </c>
      <c r="AB212" s="2">
        <f>IFERROR(INDEX('7_3nf_product'!$D:$D,MATCH(Y212,'7_3nf_product'!$A:$A,0)),"NOT FOUND")</f>
        <v/>
      </c>
      <c r="AC212" s="6">
        <f>IFERROR(INDEX('7_3nf_product'!$E:$E,MATCH(Y212,'7_3nf_product'!$A:$A,0)),"NOT FOUND")</f>
        <v/>
      </c>
      <c r="AD212" s="33">
        <f>IF(LEN(TRIM(E212))=10,TRIM(E212),IF(LEN(TRIM(E212))=8,"00"&amp;TRIM(E212),"CHECK"))</f>
        <v/>
      </c>
      <c r="AE212" s="2">
        <f>IFERROR(INDEX('8_3nf_customer'!$C:$C,MATCH(AD212,'8_3nf_customer'!$B:$B,0)),"NOT FOUND")</f>
        <v/>
      </c>
      <c r="AF212" s="30">
        <f>IFERROR(INDEX('8_3nf_customer'!$D:$D,MATCH(AD212,'8_3nf_customer'!$B:$B,0)),"NOT FOUND")</f>
        <v/>
      </c>
      <c r="AG212" s="4">
        <f>IF(ISNUMBER(AF212),DATEDIF(AF212,L212,"y"),"NOT FOUND")</f>
        <v/>
      </c>
      <c r="AH212" s="2">
        <f>IFERROR(INDEX('8_3nf_customer'!$E:$E,MATCH(AD212,'8_3nf_customer'!$B:$B,0)),"NOT FOUND")</f>
        <v/>
      </c>
      <c r="AI212" s="30">
        <f>IF(_xlfn.MAXIFS('9_3nf_customer_history'!$B$2:$B$500,'9_3nf_customer_history'!$A$2:$A$500,AD212,'9_3nf_customer_history'!$B$2:$B$500,"&lt;="&amp;L212)=0,"NOT FOUND",_xlfn.MAXIFS('9_3nf_customer_history'!$B$2:$B$500,'9_3nf_customer_history'!$A$2:$A$500,AD212,'9_3nf_customer_history'!$B$2:$B$500,"&lt;="&amp;L212))</f>
        <v/>
      </c>
      <c r="AJ212" s="2">
        <f>IF(AI212="NOT FOUND","NOT FOUND",INDEX('9_3nf_customer_history'!$C:$C,SUMPRODUCT(('9_3nf_customer_history'!$A$2:$A$500=AD212)*('9_3nf_customer_history'!$B$2:$B$500=AI212)*ROW('9_3nf_customer_history'!$A$2:$A$500))))</f>
        <v/>
      </c>
      <c r="AK212" s="2">
        <f>IF(AI212="NOT FOUND","NOT FOUND",INDEX('9_3nf_customer_history'!$D:$D,SUMPRODUCT(('9_3nf_customer_history'!$A$2:$A$500=AD212)*('9_3nf_customer_history'!$B$2:$B$500=AI212)*ROW('9_3nf_customer_history'!$A$2:$A$500))))</f>
        <v/>
      </c>
      <c r="AL212" s="2">
        <f>UPPER(TRIM(H212))</f>
        <v/>
      </c>
      <c r="AM212" s="30">
        <f>IF(_xlfn.MAXIFS('10_ref_fx_rate'!$B$2:$B$2000,'10_ref_fx_rate'!$A$2:$A$2000,AL212,'10_ref_fx_rate'!$B$2:$B$2000,"&lt;="&amp;L212)=0,"NOT FOUND",_xlfn.MAXIFS('10_ref_fx_rate'!$B$2:$B$2000,'10_ref_fx_rate'!$A$2:$A$2000,AL212,'10_ref_fx_rate'!$B$2:$B$2000,"&lt;="&amp;L212))</f>
        <v/>
      </c>
      <c r="AN212" s="8">
        <f>IF(AM212="NOT FOUND","NOT FOUND",SUMIFS('10_ref_fx_rate'!$D$2:$D$2000,'10_ref_fx_rate'!$A$2:$A$2000,AL212,'10_ref_fx_rate'!$B$2:$B$2000,AM212))</f>
        <v/>
      </c>
      <c r="AO212" s="37">
        <f>IF(ISNUMBER(AN212),I212*AN212,"NOT FOUND")</f>
        <v/>
      </c>
      <c r="AP212" s="2">
        <f>UPPER(TRIM(J212))</f>
        <v/>
      </c>
      <c r="AQ212" s="2">
        <f>IF(AP212="","SELF-DIRECTED",IF(ISNUMBER(MATCH(AP212,'11_3nf_sales_person'!$A:$A,0)),IF(EXACT(AP212,J212),"OK","OK (auto-fixed)"),IF(ISNA(MATCH($A212,'12_sales_person_confirmation'!$A:$A,0)),"CONFIRM (not logged)",IF(INDEX('12_sales_person_confirmation'!$I:$I,MATCH($A212,'12_sales_person_confirmation'!$A:$A,0))="CONFIRMED","CONFIRMED ("&amp;LOWER(INDEX('12_sales_person_confirmation'!$E:$E,MATCH($A212,'12_sales_person_confirmation'!$A:$A,0)))&amp;")","PENDING CONFIRM"))))</f>
        <v/>
      </c>
      <c r="AR212" s="2">
        <f>IF(OR(AQ212="OK",AQ212="OK (auto-fixed)"),AP212,IF(LEFT(AQ212,9)="CONFIRMED",INDEX('12_sales_person_confirmation'!$F:$F,MATCH($A212,'12_sales_person_confirmation'!$A:$A,0)),""))</f>
        <v/>
      </c>
      <c r="AS212" s="2">
        <f>IF(AR212="","",INDEX('11_3nf_sales_person'!$B:$B,MATCH(AR212,'11_3nf_sales_person'!$A:$A,0)))</f>
        <v/>
      </c>
    </row>
    <row r="213">
      <c r="A213" s="2">
        <f>IF(ISBLANK('1_raw_log'!A213),"",'1_raw_log'!A213)</f>
        <v/>
      </c>
      <c r="B213" s="3">
        <f>IF(ISBLANK('1_raw_log'!B213),"",'1_raw_log'!B213)</f>
        <v/>
      </c>
      <c r="C213" s="2">
        <f>IF(ISBLANK('1_raw_log'!C213),"",'1_raw_log'!C213)</f>
        <v/>
      </c>
      <c r="D213" s="2">
        <f>IF(ISBLANK('1_raw_log'!D213),"",'1_raw_log'!D213)</f>
        <v/>
      </c>
      <c r="E213" s="4">
        <f>IF(ISBLANK('1_raw_log'!E213),"",'1_raw_log'!E213)</f>
        <v/>
      </c>
      <c r="F213" s="2">
        <f>IF(ISBLANK('1_raw_log'!F213),"",'1_raw_log'!F213)</f>
        <v/>
      </c>
      <c r="G213" s="2">
        <f>IF(ISBLANK('1_raw_log'!G213),"",'1_raw_log'!G213)</f>
        <v/>
      </c>
      <c r="H213" s="2">
        <f>IF(ISBLANK('1_raw_log'!H213),"",'1_raw_log'!H213)</f>
        <v/>
      </c>
      <c r="I213" s="7">
        <f>IF(ISBLANK('1_raw_log'!I213),"",'1_raw_log'!I213)</f>
        <v/>
      </c>
      <c r="J213" s="2">
        <f>IF(ISBLANK('1_raw_log'!J213),"",'1_raw_log'!J213)</f>
        <v/>
      </c>
      <c r="K213" s="2">
        <f>IF(ISBLANK('1_raw_log'!K213),"",'1_raw_log'!K213)</f>
        <v/>
      </c>
      <c r="L213" s="30">
        <f>INT(B213)</f>
        <v/>
      </c>
      <c r="M213" s="20">
        <f>ROUND(MOD(B213,1)*1440,0)/1440</f>
        <v/>
      </c>
      <c r="N213" s="4">
        <f>IFERROR(INDEX('3_ref_date'!$B:$B,MATCH(L213,'3_ref_date'!$A:$A,0)),"NOT FOUND")</f>
        <v/>
      </c>
      <c r="O213" s="2">
        <f>IFERROR(INDEX('3_ref_date'!$C:$C,MATCH(L213,'3_ref_date'!$A:$A,0)),"NOT FOUND")</f>
        <v/>
      </c>
      <c r="P213" s="4">
        <f>IFERROR(INDEX('3_ref_date'!$D:$D,MATCH(L213,'3_ref_date'!$A:$A,0)),"NOT FOUND")</f>
        <v/>
      </c>
      <c r="Q213" s="4">
        <f>IFERROR(INDEX('3_ref_date'!$E:$E,MATCH(L213,'3_ref_date'!$A:$A,0)),"NOT FOUND")</f>
        <v/>
      </c>
      <c r="R213" s="2">
        <f>IFERROR(INDEX('3_ref_date'!$F:$F,MATCH(L213,'3_ref_date'!$A:$A,0)),"NOT FOUND")</f>
        <v/>
      </c>
      <c r="S213" s="2">
        <f>IFERROR(INDEX('4_ref_time'!$D:$D,MATCH(ROUND(M213*1440,0),'4_ref_time'!$A:$A,0)),"NOT FOUND")</f>
        <v/>
      </c>
      <c r="T213" s="2">
        <f>UPPER(TRIM(C213))</f>
        <v/>
      </c>
      <c r="U213" s="30">
        <f>IF(_xlfn.MAXIFS('6_3nf_branch_history'!$B$2:$B$50,'6_3nf_branch_history'!$A$2:$A$50,T213,'6_3nf_branch_history'!$B$2:$B$50,"&lt;="&amp;L213)=0,"NOT FOUND",_xlfn.MAXIFS('6_3nf_branch_history'!$B$2:$B$50,'6_3nf_branch_history'!$A$2:$A$50,T213,'6_3nf_branch_history'!$B$2:$B$50,"&lt;="&amp;L213))</f>
        <v/>
      </c>
      <c r="V213" s="2">
        <f>IF(U213="NOT FOUND","NOT FOUND",INDEX('6_3nf_branch_history'!$C:$C,SUMPRODUCT(('6_3nf_branch_history'!$A$2:$A$50=T213)*('6_3nf_branch_history'!$B$2:$B$50=U213)*ROW('6_3nf_branch_history'!$A$2:$A$50))))</f>
        <v/>
      </c>
      <c r="W213" s="2">
        <f>IF(U213="NOT FOUND","NOT FOUND",INDEX('6_3nf_branch_history'!$D:$D,SUMPRODUCT(('6_3nf_branch_history'!$A$2:$A$50=T213)*('6_3nf_branch_history'!$B$2:$B$50=U213)*ROW('6_3nf_branch_history'!$A$2:$A$50))))</f>
        <v/>
      </c>
      <c r="X213" s="2">
        <f>IF(U213="NOT FOUND","NOT FOUND",INDEX('6_3nf_branch_history'!$E:$E,SUMPRODUCT(('6_3nf_branch_history'!$A$2:$A$50=T213)*('6_3nf_branch_history'!$B$2:$B$50=U213)*ROW('6_3nf_branch_history'!$A$2:$A$50))))</f>
        <v/>
      </c>
      <c r="Y213" s="2">
        <f>UPPER(TRIM(D213))</f>
        <v/>
      </c>
      <c r="Z213" s="2">
        <f>IFERROR(INDEX('7_3nf_product'!$B:$B,MATCH(Y213,'7_3nf_product'!$A:$A,0)),"NOT FOUND")</f>
        <v/>
      </c>
      <c r="AA213" s="2">
        <f>IFERROR(INDEX('7_3nf_product'!$C:$C,MATCH(Y213,'7_3nf_product'!$A:$A,0)),"NOT FOUND")</f>
        <v/>
      </c>
      <c r="AB213" s="2">
        <f>IFERROR(INDEX('7_3nf_product'!$D:$D,MATCH(Y213,'7_3nf_product'!$A:$A,0)),"NOT FOUND")</f>
        <v/>
      </c>
      <c r="AC213" s="6">
        <f>IFERROR(INDEX('7_3nf_product'!$E:$E,MATCH(Y213,'7_3nf_product'!$A:$A,0)),"NOT FOUND")</f>
        <v/>
      </c>
      <c r="AD213" s="33">
        <f>IF(LEN(TRIM(E213))=10,TRIM(E213),IF(LEN(TRIM(E213))=8,"00"&amp;TRIM(E213),"CHECK"))</f>
        <v/>
      </c>
      <c r="AE213" s="2">
        <f>IFERROR(INDEX('8_3nf_customer'!$C:$C,MATCH(AD213,'8_3nf_customer'!$B:$B,0)),"NOT FOUND")</f>
        <v/>
      </c>
      <c r="AF213" s="30">
        <f>IFERROR(INDEX('8_3nf_customer'!$D:$D,MATCH(AD213,'8_3nf_customer'!$B:$B,0)),"NOT FOUND")</f>
        <v/>
      </c>
      <c r="AG213" s="4">
        <f>IF(ISNUMBER(AF213),DATEDIF(AF213,L213,"y"),"NOT FOUND")</f>
        <v/>
      </c>
      <c r="AH213" s="2">
        <f>IFERROR(INDEX('8_3nf_customer'!$E:$E,MATCH(AD213,'8_3nf_customer'!$B:$B,0)),"NOT FOUND")</f>
        <v/>
      </c>
      <c r="AI213" s="30">
        <f>IF(_xlfn.MAXIFS('9_3nf_customer_history'!$B$2:$B$500,'9_3nf_customer_history'!$A$2:$A$500,AD213,'9_3nf_customer_history'!$B$2:$B$500,"&lt;="&amp;L213)=0,"NOT FOUND",_xlfn.MAXIFS('9_3nf_customer_history'!$B$2:$B$500,'9_3nf_customer_history'!$A$2:$A$500,AD213,'9_3nf_customer_history'!$B$2:$B$500,"&lt;="&amp;L213))</f>
        <v/>
      </c>
      <c r="AJ213" s="2">
        <f>IF(AI213="NOT FOUND","NOT FOUND",INDEX('9_3nf_customer_history'!$C:$C,SUMPRODUCT(('9_3nf_customer_history'!$A$2:$A$500=AD213)*('9_3nf_customer_history'!$B$2:$B$500=AI213)*ROW('9_3nf_customer_history'!$A$2:$A$500))))</f>
        <v/>
      </c>
      <c r="AK213" s="2">
        <f>IF(AI213="NOT FOUND","NOT FOUND",INDEX('9_3nf_customer_history'!$D:$D,SUMPRODUCT(('9_3nf_customer_history'!$A$2:$A$500=AD213)*('9_3nf_customer_history'!$B$2:$B$500=AI213)*ROW('9_3nf_customer_history'!$A$2:$A$500))))</f>
        <v/>
      </c>
      <c r="AL213" s="2">
        <f>UPPER(TRIM(H213))</f>
        <v/>
      </c>
      <c r="AM213" s="30">
        <f>IF(_xlfn.MAXIFS('10_ref_fx_rate'!$B$2:$B$2000,'10_ref_fx_rate'!$A$2:$A$2000,AL213,'10_ref_fx_rate'!$B$2:$B$2000,"&lt;="&amp;L213)=0,"NOT FOUND",_xlfn.MAXIFS('10_ref_fx_rate'!$B$2:$B$2000,'10_ref_fx_rate'!$A$2:$A$2000,AL213,'10_ref_fx_rate'!$B$2:$B$2000,"&lt;="&amp;L213))</f>
        <v/>
      </c>
      <c r="AN213" s="8">
        <f>IF(AM213="NOT FOUND","NOT FOUND",SUMIFS('10_ref_fx_rate'!$D$2:$D$2000,'10_ref_fx_rate'!$A$2:$A$2000,AL213,'10_ref_fx_rate'!$B$2:$B$2000,AM213))</f>
        <v/>
      </c>
      <c r="AO213" s="37">
        <f>IF(ISNUMBER(AN213),I213*AN213,"NOT FOUND")</f>
        <v/>
      </c>
      <c r="AP213" s="2">
        <f>UPPER(TRIM(J213))</f>
        <v/>
      </c>
      <c r="AQ213" s="2">
        <f>IF(AP213="","SELF-DIRECTED",IF(ISNUMBER(MATCH(AP213,'11_3nf_sales_person'!$A:$A,0)),IF(EXACT(AP213,J213),"OK","OK (auto-fixed)"),IF(ISNA(MATCH($A213,'12_sales_person_confirmation'!$A:$A,0)),"CONFIRM (not logged)",IF(INDEX('12_sales_person_confirmation'!$I:$I,MATCH($A213,'12_sales_person_confirmation'!$A:$A,0))="CONFIRMED","CONFIRMED ("&amp;LOWER(INDEX('12_sales_person_confirmation'!$E:$E,MATCH($A213,'12_sales_person_confirmation'!$A:$A,0)))&amp;")","PENDING CONFIRM"))))</f>
        <v/>
      </c>
      <c r="AR213" s="2">
        <f>IF(OR(AQ213="OK",AQ213="OK (auto-fixed)"),AP213,IF(LEFT(AQ213,9)="CONFIRMED",INDEX('12_sales_person_confirmation'!$F:$F,MATCH($A213,'12_sales_person_confirmation'!$A:$A,0)),""))</f>
        <v/>
      </c>
      <c r="AS213" s="2">
        <f>IF(AR213="","",INDEX('11_3nf_sales_person'!$B:$B,MATCH(AR213,'11_3nf_sales_person'!$A:$A,0)))</f>
        <v/>
      </c>
    </row>
    <row r="214">
      <c r="A214" s="2">
        <f>IF(ISBLANK('1_raw_log'!A214),"",'1_raw_log'!A214)</f>
        <v/>
      </c>
      <c r="B214" s="3">
        <f>IF(ISBLANK('1_raw_log'!B214),"",'1_raw_log'!B214)</f>
        <v/>
      </c>
      <c r="C214" s="2">
        <f>IF(ISBLANK('1_raw_log'!C214),"",'1_raw_log'!C214)</f>
        <v/>
      </c>
      <c r="D214" s="2">
        <f>IF(ISBLANK('1_raw_log'!D214),"",'1_raw_log'!D214)</f>
        <v/>
      </c>
      <c r="E214" s="4">
        <f>IF(ISBLANK('1_raw_log'!E214),"",'1_raw_log'!E214)</f>
        <v/>
      </c>
      <c r="F214" s="2">
        <f>IF(ISBLANK('1_raw_log'!F214),"",'1_raw_log'!F214)</f>
        <v/>
      </c>
      <c r="G214" s="2">
        <f>IF(ISBLANK('1_raw_log'!G214),"",'1_raw_log'!G214)</f>
        <v/>
      </c>
      <c r="H214" s="2">
        <f>IF(ISBLANK('1_raw_log'!H214),"",'1_raw_log'!H214)</f>
        <v/>
      </c>
      <c r="I214" s="7">
        <f>IF(ISBLANK('1_raw_log'!I214),"",'1_raw_log'!I214)</f>
        <v/>
      </c>
      <c r="J214" s="2">
        <f>IF(ISBLANK('1_raw_log'!J214),"",'1_raw_log'!J214)</f>
        <v/>
      </c>
      <c r="K214" s="2">
        <f>IF(ISBLANK('1_raw_log'!K214),"",'1_raw_log'!K214)</f>
        <v/>
      </c>
      <c r="L214" s="30">
        <f>INT(B214)</f>
        <v/>
      </c>
      <c r="M214" s="20">
        <f>ROUND(MOD(B214,1)*1440,0)/1440</f>
        <v/>
      </c>
      <c r="N214" s="4">
        <f>IFERROR(INDEX('3_ref_date'!$B:$B,MATCH(L214,'3_ref_date'!$A:$A,0)),"NOT FOUND")</f>
        <v/>
      </c>
      <c r="O214" s="2">
        <f>IFERROR(INDEX('3_ref_date'!$C:$C,MATCH(L214,'3_ref_date'!$A:$A,0)),"NOT FOUND")</f>
        <v/>
      </c>
      <c r="P214" s="4">
        <f>IFERROR(INDEX('3_ref_date'!$D:$D,MATCH(L214,'3_ref_date'!$A:$A,0)),"NOT FOUND")</f>
        <v/>
      </c>
      <c r="Q214" s="4">
        <f>IFERROR(INDEX('3_ref_date'!$E:$E,MATCH(L214,'3_ref_date'!$A:$A,0)),"NOT FOUND")</f>
        <v/>
      </c>
      <c r="R214" s="2">
        <f>IFERROR(INDEX('3_ref_date'!$F:$F,MATCH(L214,'3_ref_date'!$A:$A,0)),"NOT FOUND")</f>
        <v/>
      </c>
      <c r="S214" s="2">
        <f>IFERROR(INDEX('4_ref_time'!$D:$D,MATCH(ROUND(M214*1440,0),'4_ref_time'!$A:$A,0)),"NOT FOUND")</f>
        <v/>
      </c>
      <c r="T214" s="2">
        <f>UPPER(TRIM(C214))</f>
        <v/>
      </c>
      <c r="U214" s="30">
        <f>IF(_xlfn.MAXIFS('6_3nf_branch_history'!$B$2:$B$50,'6_3nf_branch_history'!$A$2:$A$50,T214,'6_3nf_branch_history'!$B$2:$B$50,"&lt;="&amp;L214)=0,"NOT FOUND",_xlfn.MAXIFS('6_3nf_branch_history'!$B$2:$B$50,'6_3nf_branch_history'!$A$2:$A$50,T214,'6_3nf_branch_history'!$B$2:$B$50,"&lt;="&amp;L214))</f>
        <v/>
      </c>
      <c r="V214" s="2">
        <f>IF(U214="NOT FOUND","NOT FOUND",INDEX('6_3nf_branch_history'!$C:$C,SUMPRODUCT(('6_3nf_branch_history'!$A$2:$A$50=T214)*('6_3nf_branch_history'!$B$2:$B$50=U214)*ROW('6_3nf_branch_history'!$A$2:$A$50))))</f>
        <v/>
      </c>
      <c r="W214" s="2">
        <f>IF(U214="NOT FOUND","NOT FOUND",INDEX('6_3nf_branch_history'!$D:$D,SUMPRODUCT(('6_3nf_branch_history'!$A$2:$A$50=T214)*('6_3nf_branch_history'!$B$2:$B$50=U214)*ROW('6_3nf_branch_history'!$A$2:$A$50))))</f>
        <v/>
      </c>
      <c r="X214" s="2">
        <f>IF(U214="NOT FOUND","NOT FOUND",INDEX('6_3nf_branch_history'!$E:$E,SUMPRODUCT(('6_3nf_branch_history'!$A$2:$A$50=T214)*('6_3nf_branch_history'!$B$2:$B$50=U214)*ROW('6_3nf_branch_history'!$A$2:$A$50))))</f>
        <v/>
      </c>
      <c r="Y214" s="2">
        <f>UPPER(TRIM(D214))</f>
        <v/>
      </c>
      <c r="Z214" s="2">
        <f>IFERROR(INDEX('7_3nf_product'!$B:$B,MATCH(Y214,'7_3nf_product'!$A:$A,0)),"NOT FOUND")</f>
        <v/>
      </c>
      <c r="AA214" s="2">
        <f>IFERROR(INDEX('7_3nf_product'!$C:$C,MATCH(Y214,'7_3nf_product'!$A:$A,0)),"NOT FOUND")</f>
        <v/>
      </c>
      <c r="AB214" s="2">
        <f>IFERROR(INDEX('7_3nf_product'!$D:$D,MATCH(Y214,'7_3nf_product'!$A:$A,0)),"NOT FOUND")</f>
        <v/>
      </c>
      <c r="AC214" s="6">
        <f>IFERROR(INDEX('7_3nf_product'!$E:$E,MATCH(Y214,'7_3nf_product'!$A:$A,0)),"NOT FOUND")</f>
        <v/>
      </c>
      <c r="AD214" s="33">
        <f>IF(LEN(TRIM(E214))=10,TRIM(E214),IF(LEN(TRIM(E214))=8,"00"&amp;TRIM(E214),"CHECK"))</f>
        <v/>
      </c>
      <c r="AE214" s="2">
        <f>IFERROR(INDEX('8_3nf_customer'!$C:$C,MATCH(AD214,'8_3nf_customer'!$B:$B,0)),"NOT FOUND")</f>
        <v/>
      </c>
      <c r="AF214" s="30">
        <f>IFERROR(INDEX('8_3nf_customer'!$D:$D,MATCH(AD214,'8_3nf_customer'!$B:$B,0)),"NOT FOUND")</f>
        <v/>
      </c>
      <c r="AG214" s="4">
        <f>IF(ISNUMBER(AF214),DATEDIF(AF214,L214,"y"),"NOT FOUND")</f>
        <v/>
      </c>
      <c r="AH214" s="2">
        <f>IFERROR(INDEX('8_3nf_customer'!$E:$E,MATCH(AD214,'8_3nf_customer'!$B:$B,0)),"NOT FOUND")</f>
        <v/>
      </c>
      <c r="AI214" s="30">
        <f>IF(_xlfn.MAXIFS('9_3nf_customer_history'!$B$2:$B$500,'9_3nf_customer_history'!$A$2:$A$500,AD214,'9_3nf_customer_history'!$B$2:$B$500,"&lt;="&amp;L214)=0,"NOT FOUND",_xlfn.MAXIFS('9_3nf_customer_history'!$B$2:$B$500,'9_3nf_customer_history'!$A$2:$A$500,AD214,'9_3nf_customer_history'!$B$2:$B$500,"&lt;="&amp;L214))</f>
        <v/>
      </c>
      <c r="AJ214" s="2">
        <f>IF(AI214="NOT FOUND","NOT FOUND",INDEX('9_3nf_customer_history'!$C:$C,SUMPRODUCT(('9_3nf_customer_history'!$A$2:$A$500=AD214)*('9_3nf_customer_history'!$B$2:$B$500=AI214)*ROW('9_3nf_customer_history'!$A$2:$A$500))))</f>
        <v/>
      </c>
      <c r="AK214" s="2">
        <f>IF(AI214="NOT FOUND","NOT FOUND",INDEX('9_3nf_customer_history'!$D:$D,SUMPRODUCT(('9_3nf_customer_history'!$A$2:$A$500=AD214)*('9_3nf_customer_history'!$B$2:$B$500=AI214)*ROW('9_3nf_customer_history'!$A$2:$A$500))))</f>
        <v/>
      </c>
      <c r="AL214" s="2">
        <f>UPPER(TRIM(H214))</f>
        <v/>
      </c>
      <c r="AM214" s="30">
        <f>IF(_xlfn.MAXIFS('10_ref_fx_rate'!$B$2:$B$2000,'10_ref_fx_rate'!$A$2:$A$2000,AL214,'10_ref_fx_rate'!$B$2:$B$2000,"&lt;="&amp;L214)=0,"NOT FOUND",_xlfn.MAXIFS('10_ref_fx_rate'!$B$2:$B$2000,'10_ref_fx_rate'!$A$2:$A$2000,AL214,'10_ref_fx_rate'!$B$2:$B$2000,"&lt;="&amp;L214))</f>
        <v/>
      </c>
      <c r="AN214" s="8">
        <f>IF(AM214="NOT FOUND","NOT FOUND",SUMIFS('10_ref_fx_rate'!$D$2:$D$2000,'10_ref_fx_rate'!$A$2:$A$2000,AL214,'10_ref_fx_rate'!$B$2:$B$2000,AM214))</f>
        <v/>
      </c>
      <c r="AO214" s="37">
        <f>IF(ISNUMBER(AN214),I214*AN214,"NOT FOUND")</f>
        <v/>
      </c>
      <c r="AP214" s="2">
        <f>UPPER(TRIM(J214))</f>
        <v/>
      </c>
      <c r="AQ214" s="2">
        <f>IF(AP214="","SELF-DIRECTED",IF(ISNUMBER(MATCH(AP214,'11_3nf_sales_person'!$A:$A,0)),IF(EXACT(AP214,J214),"OK","OK (auto-fixed)"),IF(ISNA(MATCH($A214,'12_sales_person_confirmation'!$A:$A,0)),"CONFIRM (not logged)",IF(INDEX('12_sales_person_confirmation'!$I:$I,MATCH($A214,'12_sales_person_confirmation'!$A:$A,0))="CONFIRMED","CONFIRMED ("&amp;LOWER(INDEX('12_sales_person_confirmation'!$E:$E,MATCH($A214,'12_sales_person_confirmation'!$A:$A,0)))&amp;")","PENDING CONFIRM"))))</f>
        <v/>
      </c>
      <c r="AR214" s="2">
        <f>IF(OR(AQ214="OK",AQ214="OK (auto-fixed)"),AP214,IF(LEFT(AQ214,9)="CONFIRMED",INDEX('12_sales_person_confirmation'!$F:$F,MATCH($A214,'12_sales_person_confirmation'!$A:$A,0)),""))</f>
        <v/>
      </c>
      <c r="AS214" s="2">
        <f>IF(AR214="","",INDEX('11_3nf_sales_person'!$B:$B,MATCH(AR214,'11_3nf_sales_person'!$A:$A,0)))</f>
        <v/>
      </c>
    </row>
    <row r="215">
      <c r="A215" s="2">
        <f>IF(ISBLANK('1_raw_log'!A215),"",'1_raw_log'!A215)</f>
        <v/>
      </c>
      <c r="B215" s="3">
        <f>IF(ISBLANK('1_raw_log'!B215),"",'1_raw_log'!B215)</f>
        <v/>
      </c>
      <c r="C215" s="2">
        <f>IF(ISBLANK('1_raw_log'!C215),"",'1_raw_log'!C215)</f>
        <v/>
      </c>
      <c r="D215" s="2">
        <f>IF(ISBLANK('1_raw_log'!D215),"",'1_raw_log'!D215)</f>
        <v/>
      </c>
      <c r="E215" s="4">
        <f>IF(ISBLANK('1_raw_log'!E215),"",'1_raw_log'!E215)</f>
        <v/>
      </c>
      <c r="F215" s="2">
        <f>IF(ISBLANK('1_raw_log'!F215),"",'1_raw_log'!F215)</f>
        <v/>
      </c>
      <c r="G215" s="2">
        <f>IF(ISBLANK('1_raw_log'!G215),"",'1_raw_log'!G215)</f>
        <v/>
      </c>
      <c r="H215" s="2">
        <f>IF(ISBLANK('1_raw_log'!H215),"",'1_raw_log'!H215)</f>
        <v/>
      </c>
      <c r="I215" s="7">
        <f>IF(ISBLANK('1_raw_log'!I215),"",'1_raw_log'!I215)</f>
        <v/>
      </c>
      <c r="J215" s="2">
        <f>IF(ISBLANK('1_raw_log'!J215),"",'1_raw_log'!J215)</f>
        <v/>
      </c>
      <c r="K215" s="2">
        <f>IF(ISBLANK('1_raw_log'!K215),"",'1_raw_log'!K215)</f>
        <v/>
      </c>
      <c r="L215" s="30">
        <f>INT(B215)</f>
        <v/>
      </c>
      <c r="M215" s="20">
        <f>ROUND(MOD(B215,1)*1440,0)/1440</f>
        <v/>
      </c>
      <c r="N215" s="4">
        <f>IFERROR(INDEX('3_ref_date'!$B:$B,MATCH(L215,'3_ref_date'!$A:$A,0)),"NOT FOUND")</f>
        <v/>
      </c>
      <c r="O215" s="2">
        <f>IFERROR(INDEX('3_ref_date'!$C:$C,MATCH(L215,'3_ref_date'!$A:$A,0)),"NOT FOUND")</f>
        <v/>
      </c>
      <c r="P215" s="4">
        <f>IFERROR(INDEX('3_ref_date'!$D:$D,MATCH(L215,'3_ref_date'!$A:$A,0)),"NOT FOUND")</f>
        <v/>
      </c>
      <c r="Q215" s="4">
        <f>IFERROR(INDEX('3_ref_date'!$E:$E,MATCH(L215,'3_ref_date'!$A:$A,0)),"NOT FOUND")</f>
        <v/>
      </c>
      <c r="R215" s="2">
        <f>IFERROR(INDEX('3_ref_date'!$F:$F,MATCH(L215,'3_ref_date'!$A:$A,0)),"NOT FOUND")</f>
        <v/>
      </c>
      <c r="S215" s="2">
        <f>IFERROR(INDEX('4_ref_time'!$D:$D,MATCH(ROUND(M215*1440,0),'4_ref_time'!$A:$A,0)),"NOT FOUND")</f>
        <v/>
      </c>
      <c r="T215" s="2">
        <f>UPPER(TRIM(C215))</f>
        <v/>
      </c>
      <c r="U215" s="30">
        <f>IF(_xlfn.MAXIFS('6_3nf_branch_history'!$B$2:$B$50,'6_3nf_branch_history'!$A$2:$A$50,T215,'6_3nf_branch_history'!$B$2:$B$50,"&lt;="&amp;L215)=0,"NOT FOUND",_xlfn.MAXIFS('6_3nf_branch_history'!$B$2:$B$50,'6_3nf_branch_history'!$A$2:$A$50,T215,'6_3nf_branch_history'!$B$2:$B$50,"&lt;="&amp;L215))</f>
        <v/>
      </c>
      <c r="V215" s="2">
        <f>IF(U215="NOT FOUND","NOT FOUND",INDEX('6_3nf_branch_history'!$C:$C,SUMPRODUCT(('6_3nf_branch_history'!$A$2:$A$50=T215)*('6_3nf_branch_history'!$B$2:$B$50=U215)*ROW('6_3nf_branch_history'!$A$2:$A$50))))</f>
        <v/>
      </c>
      <c r="W215" s="2">
        <f>IF(U215="NOT FOUND","NOT FOUND",INDEX('6_3nf_branch_history'!$D:$D,SUMPRODUCT(('6_3nf_branch_history'!$A$2:$A$50=T215)*('6_3nf_branch_history'!$B$2:$B$50=U215)*ROW('6_3nf_branch_history'!$A$2:$A$50))))</f>
        <v/>
      </c>
      <c r="X215" s="2">
        <f>IF(U215="NOT FOUND","NOT FOUND",INDEX('6_3nf_branch_history'!$E:$E,SUMPRODUCT(('6_3nf_branch_history'!$A$2:$A$50=T215)*('6_3nf_branch_history'!$B$2:$B$50=U215)*ROW('6_3nf_branch_history'!$A$2:$A$50))))</f>
        <v/>
      </c>
      <c r="Y215" s="2">
        <f>UPPER(TRIM(D215))</f>
        <v/>
      </c>
      <c r="Z215" s="2">
        <f>IFERROR(INDEX('7_3nf_product'!$B:$B,MATCH(Y215,'7_3nf_product'!$A:$A,0)),"NOT FOUND")</f>
        <v/>
      </c>
      <c r="AA215" s="2">
        <f>IFERROR(INDEX('7_3nf_product'!$C:$C,MATCH(Y215,'7_3nf_product'!$A:$A,0)),"NOT FOUND")</f>
        <v/>
      </c>
      <c r="AB215" s="2">
        <f>IFERROR(INDEX('7_3nf_product'!$D:$D,MATCH(Y215,'7_3nf_product'!$A:$A,0)),"NOT FOUND")</f>
        <v/>
      </c>
      <c r="AC215" s="6">
        <f>IFERROR(INDEX('7_3nf_product'!$E:$E,MATCH(Y215,'7_3nf_product'!$A:$A,0)),"NOT FOUND")</f>
        <v/>
      </c>
      <c r="AD215" s="33">
        <f>IF(LEN(TRIM(E215))=10,TRIM(E215),IF(LEN(TRIM(E215))=8,"00"&amp;TRIM(E215),"CHECK"))</f>
        <v/>
      </c>
      <c r="AE215" s="2">
        <f>IFERROR(INDEX('8_3nf_customer'!$C:$C,MATCH(AD215,'8_3nf_customer'!$B:$B,0)),"NOT FOUND")</f>
        <v/>
      </c>
      <c r="AF215" s="30">
        <f>IFERROR(INDEX('8_3nf_customer'!$D:$D,MATCH(AD215,'8_3nf_customer'!$B:$B,0)),"NOT FOUND")</f>
        <v/>
      </c>
      <c r="AG215" s="4">
        <f>IF(ISNUMBER(AF215),DATEDIF(AF215,L215,"y"),"NOT FOUND")</f>
        <v/>
      </c>
      <c r="AH215" s="2">
        <f>IFERROR(INDEX('8_3nf_customer'!$E:$E,MATCH(AD215,'8_3nf_customer'!$B:$B,0)),"NOT FOUND")</f>
        <v/>
      </c>
      <c r="AI215" s="30">
        <f>IF(_xlfn.MAXIFS('9_3nf_customer_history'!$B$2:$B$500,'9_3nf_customer_history'!$A$2:$A$500,AD215,'9_3nf_customer_history'!$B$2:$B$500,"&lt;="&amp;L215)=0,"NOT FOUND",_xlfn.MAXIFS('9_3nf_customer_history'!$B$2:$B$500,'9_3nf_customer_history'!$A$2:$A$500,AD215,'9_3nf_customer_history'!$B$2:$B$500,"&lt;="&amp;L215))</f>
        <v/>
      </c>
      <c r="AJ215" s="2">
        <f>IF(AI215="NOT FOUND","NOT FOUND",INDEX('9_3nf_customer_history'!$C:$C,SUMPRODUCT(('9_3nf_customer_history'!$A$2:$A$500=AD215)*('9_3nf_customer_history'!$B$2:$B$500=AI215)*ROW('9_3nf_customer_history'!$A$2:$A$500))))</f>
        <v/>
      </c>
      <c r="AK215" s="2">
        <f>IF(AI215="NOT FOUND","NOT FOUND",INDEX('9_3nf_customer_history'!$D:$D,SUMPRODUCT(('9_3nf_customer_history'!$A$2:$A$500=AD215)*('9_3nf_customer_history'!$B$2:$B$500=AI215)*ROW('9_3nf_customer_history'!$A$2:$A$500))))</f>
        <v/>
      </c>
      <c r="AL215" s="2">
        <f>UPPER(TRIM(H215))</f>
        <v/>
      </c>
      <c r="AM215" s="30">
        <f>IF(_xlfn.MAXIFS('10_ref_fx_rate'!$B$2:$B$2000,'10_ref_fx_rate'!$A$2:$A$2000,AL215,'10_ref_fx_rate'!$B$2:$B$2000,"&lt;="&amp;L215)=0,"NOT FOUND",_xlfn.MAXIFS('10_ref_fx_rate'!$B$2:$B$2000,'10_ref_fx_rate'!$A$2:$A$2000,AL215,'10_ref_fx_rate'!$B$2:$B$2000,"&lt;="&amp;L215))</f>
        <v/>
      </c>
      <c r="AN215" s="8">
        <f>IF(AM215="NOT FOUND","NOT FOUND",SUMIFS('10_ref_fx_rate'!$D$2:$D$2000,'10_ref_fx_rate'!$A$2:$A$2000,AL215,'10_ref_fx_rate'!$B$2:$B$2000,AM215))</f>
        <v/>
      </c>
      <c r="AO215" s="37">
        <f>IF(ISNUMBER(AN215),I215*AN215,"NOT FOUND")</f>
        <v/>
      </c>
      <c r="AP215" s="2">
        <f>UPPER(TRIM(J215))</f>
        <v/>
      </c>
      <c r="AQ215" s="2">
        <f>IF(AP215="","SELF-DIRECTED",IF(ISNUMBER(MATCH(AP215,'11_3nf_sales_person'!$A:$A,0)),IF(EXACT(AP215,J215),"OK","OK (auto-fixed)"),IF(ISNA(MATCH($A215,'12_sales_person_confirmation'!$A:$A,0)),"CONFIRM (not logged)",IF(INDEX('12_sales_person_confirmation'!$I:$I,MATCH($A215,'12_sales_person_confirmation'!$A:$A,0))="CONFIRMED","CONFIRMED ("&amp;LOWER(INDEX('12_sales_person_confirmation'!$E:$E,MATCH($A215,'12_sales_person_confirmation'!$A:$A,0)))&amp;")","PENDING CONFIRM"))))</f>
        <v/>
      </c>
      <c r="AR215" s="2">
        <f>IF(OR(AQ215="OK",AQ215="OK (auto-fixed)"),AP215,IF(LEFT(AQ215,9)="CONFIRMED",INDEX('12_sales_person_confirmation'!$F:$F,MATCH($A215,'12_sales_person_confirmation'!$A:$A,0)),""))</f>
        <v/>
      </c>
      <c r="AS215" s="2">
        <f>IF(AR215="","",INDEX('11_3nf_sales_person'!$B:$B,MATCH(AR215,'11_3nf_sales_person'!$A:$A,0)))</f>
        <v/>
      </c>
    </row>
    <row r="216">
      <c r="A216" s="2">
        <f>IF(ISBLANK('1_raw_log'!A216),"",'1_raw_log'!A216)</f>
        <v/>
      </c>
      <c r="B216" s="3">
        <f>IF(ISBLANK('1_raw_log'!B216),"",'1_raw_log'!B216)</f>
        <v/>
      </c>
      <c r="C216" s="2">
        <f>IF(ISBLANK('1_raw_log'!C216),"",'1_raw_log'!C216)</f>
        <v/>
      </c>
      <c r="D216" s="2">
        <f>IF(ISBLANK('1_raw_log'!D216),"",'1_raw_log'!D216)</f>
        <v/>
      </c>
      <c r="E216" s="4">
        <f>IF(ISBLANK('1_raw_log'!E216),"",'1_raw_log'!E216)</f>
        <v/>
      </c>
      <c r="F216" s="2">
        <f>IF(ISBLANK('1_raw_log'!F216),"",'1_raw_log'!F216)</f>
        <v/>
      </c>
      <c r="G216" s="2">
        <f>IF(ISBLANK('1_raw_log'!G216),"",'1_raw_log'!G216)</f>
        <v/>
      </c>
      <c r="H216" s="2">
        <f>IF(ISBLANK('1_raw_log'!H216),"",'1_raw_log'!H216)</f>
        <v/>
      </c>
      <c r="I216" s="7">
        <f>IF(ISBLANK('1_raw_log'!I216),"",'1_raw_log'!I216)</f>
        <v/>
      </c>
      <c r="J216" s="2">
        <f>IF(ISBLANK('1_raw_log'!J216),"",'1_raw_log'!J216)</f>
        <v/>
      </c>
      <c r="K216" s="2">
        <f>IF(ISBLANK('1_raw_log'!K216),"",'1_raw_log'!K216)</f>
        <v/>
      </c>
      <c r="L216" s="30">
        <f>INT(B216)</f>
        <v/>
      </c>
      <c r="M216" s="20">
        <f>ROUND(MOD(B216,1)*1440,0)/1440</f>
        <v/>
      </c>
      <c r="N216" s="4">
        <f>IFERROR(INDEX('3_ref_date'!$B:$B,MATCH(L216,'3_ref_date'!$A:$A,0)),"NOT FOUND")</f>
        <v/>
      </c>
      <c r="O216" s="2">
        <f>IFERROR(INDEX('3_ref_date'!$C:$C,MATCH(L216,'3_ref_date'!$A:$A,0)),"NOT FOUND")</f>
        <v/>
      </c>
      <c r="P216" s="4">
        <f>IFERROR(INDEX('3_ref_date'!$D:$D,MATCH(L216,'3_ref_date'!$A:$A,0)),"NOT FOUND")</f>
        <v/>
      </c>
      <c r="Q216" s="4">
        <f>IFERROR(INDEX('3_ref_date'!$E:$E,MATCH(L216,'3_ref_date'!$A:$A,0)),"NOT FOUND")</f>
        <v/>
      </c>
      <c r="R216" s="2">
        <f>IFERROR(INDEX('3_ref_date'!$F:$F,MATCH(L216,'3_ref_date'!$A:$A,0)),"NOT FOUND")</f>
        <v/>
      </c>
      <c r="S216" s="2">
        <f>IFERROR(INDEX('4_ref_time'!$D:$D,MATCH(ROUND(M216*1440,0),'4_ref_time'!$A:$A,0)),"NOT FOUND")</f>
        <v/>
      </c>
      <c r="T216" s="2">
        <f>UPPER(TRIM(C216))</f>
        <v/>
      </c>
      <c r="U216" s="30">
        <f>IF(_xlfn.MAXIFS('6_3nf_branch_history'!$B$2:$B$50,'6_3nf_branch_history'!$A$2:$A$50,T216,'6_3nf_branch_history'!$B$2:$B$50,"&lt;="&amp;L216)=0,"NOT FOUND",_xlfn.MAXIFS('6_3nf_branch_history'!$B$2:$B$50,'6_3nf_branch_history'!$A$2:$A$50,T216,'6_3nf_branch_history'!$B$2:$B$50,"&lt;="&amp;L216))</f>
        <v/>
      </c>
      <c r="V216" s="2">
        <f>IF(U216="NOT FOUND","NOT FOUND",INDEX('6_3nf_branch_history'!$C:$C,SUMPRODUCT(('6_3nf_branch_history'!$A$2:$A$50=T216)*('6_3nf_branch_history'!$B$2:$B$50=U216)*ROW('6_3nf_branch_history'!$A$2:$A$50))))</f>
        <v/>
      </c>
      <c r="W216" s="2">
        <f>IF(U216="NOT FOUND","NOT FOUND",INDEX('6_3nf_branch_history'!$D:$D,SUMPRODUCT(('6_3nf_branch_history'!$A$2:$A$50=T216)*('6_3nf_branch_history'!$B$2:$B$50=U216)*ROW('6_3nf_branch_history'!$A$2:$A$50))))</f>
        <v/>
      </c>
      <c r="X216" s="2">
        <f>IF(U216="NOT FOUND","NOT FOUND",INDEX('6_3nf_branch_history'!$E:$E,SUMPRODUCT(('6_3nf_branch_history'!$A$2:$A$50=T216)*('6_3nf_branch_history'!$B$2:$B$50=U216)*ROW('6_3nf_branch_history'!$A$2:$A$50))))</f>
        <v/>
      </c>
      <c r="Y216" s="2">
        <f>UPPER(TRIM(D216))</f>
        <v/>
      </c>
      <c r="Z216" s="2">
        <f>IFERROR(INDEX('7_3nf_product'!$B:$B,MATCH(Y216,'7_3nf_product'!$A:$A,0)),"NOT FOUND")</f>
        <v/>
      </c>
      <c r="AA216" s="2">
        <f>IFERROR(INDEX('7_3nf_product'!$C:$C,MATCH(Y216,'7_3nf_product'!$A:$A,0)),"NOT FOUND")</f>
        <v/>
      </c>
      <c r="AB216" s="2">
        <f>IFERROR(INDEX('7_3nf_product'!$D:$D,MATCH(Y216,'7_3nf_product'!$A:$A,0)),"NOT FOUND")</f>
        <v/>
      </c>
      <c r="AC216" s="6">
        <f>IFERROR(INDEX('7_3nf_product'!$E:$E,MATCH(Y216,'7_3nf_product'!$A:$A,0)),"NOT FOUND")</f>
        <v/>
      </c>
      <c r="AD216" s="33">
        <f>IF(LEN(TRIM(E216))=10,TRIM(E216),IF(LEN(TRIM(E216))=8,"00"&amp;TRIM(E216),"CHECK"))</f>
        <v/>
      </c>
      <c r="AE216" s="2">
        <f>IFERROR(INDEX('8_3nf_customer'!$C:$C,MATCH(AD216,'8_3nf_customer'!$B:$B,0)),"NOT FOUND")</f>
        <v/>
      </c>
      <c r="AF216" s="30">
        <f>IFERROR(INDEX('8_3nf_customer'!$D:$D,MATCH(AD216,'8_3nf_customer'!$B:$B,0)),"NOT FOUND")</f>
        <v/>
      </c>
      <c r="AG216" s="4">
        <f>IF(ISNUMBER(AF216),DATEDIF(AF216,L216,"y"),"NOT FOUND")</f>
        <v/>
      </c>
      <c r="AH216" s="2">
        <f>IFERROR(INDEX('8_3nf_customer'!$E:$E,MATCH(AD216,'8_3nf_customer'!$B:$B,0)),"NOT FOUND")</f>
        <v/>
      </c>
      <c r="AI216" s="30">
        <f>IF(_xlfn.MAXIFS('9_3nf_customer_history'!$B$2:$B$500,'9_3nf_customer_history'!$A$2:$A$500,AD216,'9_3nf_customer_history'!$B$2:$B$500,"&lt;="&amp;L216)=0,"NOT FOUND",_xlfn.MAXIFS('9_3nf_customer_history'!$B$2:$B$500,'9_3nf_customer_history'!$A$2:$A$500,AD216,'9_3nf_customer_history'!$B$2:$B$500,"&lt;="&amp;L216))</f>
        <v/>
      </c>
      <c r="AJ216" s="2">
        <f>IF(AI216="NOT FOUND","NOT FOUND",INDEX('9_3nf_customer_history'!$C:$C,SUMPRODUCT(('9_3nf_customer_history'!$A$2:$A$500=AD216)*('9_3nf_customer_history'!$B$2:$B$500=AI216)*ROW('9_3nf_customer_history'!$A$2:$A$500))))</f>
        <v/>
      </c>
      <c r="AK216" s="2">
        <f>IF(AI216="NOT FOUND","NOT FOUND",INDEX('9_3nf_customer_history'!$D:$D,SUMPRODUCT(('9_3nf_customer_history'!$A$2:$A$500=AD216)*('9_3nf_customer_history'!$B$2:$B$500=AI216)*ROW('9_3nf_customer_history'!$A$2:$A$500))))</f>
        <v/>
      </c>
      <c r="AL216" s="2">
        <f>UPPER(TRIM(H216))</f>
        <v/>
      </c>
      <c r="AM216" s="30">
        <f>IF(_xlfn.MAXIFS('10_ref_fx_rate'!$B$2:$B$2000,'10_ref_fx_rate'!$A$2:$A$2000,AL216,'10_ref_fx_rate'!$B$2:$B$2000,"&lt;="&amp;L216)=0,"NOT FOUND",_xlfn.MAXIFS('10_ref_fx_rate'!$B$2:$B$2000,'10_ref_fx_rate'!$A$2:$A$2000,AL216,'10_ref_fx_rate'!$B$2:$B$2000,"&lt;="&amp;L216))</f>
        <v/>
      </c>
      <c r="AN216" s="8">
        <f>IF(AM216="NOT FOUND","NOT FOUND",SUMIFS('10_ref_fx_rate'!$D$2:$D$2000,'10_ref_fx_rate'!$A$2:$A$2000,AL216,'10_ref_fx_rate'!$B$2:$B$2000,AM216))</f>
        <v/>
      </c>
      <c r="AO216" s="37">
        <f>IF(ISNUMBER(AN216),I216*AN216,"NOT FOUND")</f>
        <v/>
      </c>
      <c r="AP216" s="2">
        <f>UPPER(TRIM(J216))</f>
        <v/>
      </c>
      <c r="AQ216" s="2">
        <f>IF(AP216="","SELF-DIRECTED",IF(ISNUMBER(MATCH(AP216,'11_3nf_sales_person'!$A:$A,0)),IF(EXACT(AP216,J216),"OK","OK (auto-fixed)"),IF(ISNA(MATCH($A216,'12_sales_person_confirmation'!$A:$A,0)),"CONFIRM (not logged)",IF(INDEX('12_sales_person_confirmation'!$I:$I,MATCH($A216,'12_sales_person_confirmation'!$A:$A,0))="CONFIRMED","CONFIRMED ("&amp;LOWER(INDEX('12_sales_person_confirmation'!$E:$E,MATCH($A216,'12_sales_person_confirmation'!$A:$A,0)))&amp;")","PENDING CONFIRM"))))</f>
        <v/>
      </c>
      <c r="AR216" s="2">
        <f>IF(OR(AQ216="OK",AQ216="OK (auto-fixed)"),AP216,IF(LEFT(AQ216,9)="CONFIRMED",INDEX('12_sales_person_confirmation'!$F:$F,MATCH($A216,'12_sales_person_confirmation'!$A:$A,0)),""))</f>
        <v/>
      </c>
      <c r="AS216" s="2">
        <f>IF(AR216="","",INDEX('11_3nf_sales_person'!$B:$B,MATCH(AR216,'11_3nf_sales_person'!$A:$A,0)))</f>
        <v/>
      </c>
    </row>
    <row r="217">
      <c r="A217" s="2">
        <f>IF(ISBLANK('1_raw_log'!A217),"",'1_raw_log'!A217)</f>
        <v/>
      </c>
      <c r="B217" s="3">
        <f>IF(ISBLANK('1_raw_log'!B217),"",'1_raw_log'!B217)</f>
        <v/>
      </c>
      <c r="C217" s="2">
        <f>IF(ISBLANK('1_raw_log'!C217),"",'1_raw_log'!C217)</f>
        <v/>
      </c>
      <c r="D217" s="2">
        <f>IF(ISBLANK('1_raw_log'!D217),"",'1_raw_log'!D217)</f>
        <v/>
      </c>
      <c r="E217" s="4">
        <f>IF(ISBLANK('1_raw_log'!E217),"",'1_raw_log'!E217)</f>
        <v/>
      </c>
      <c r="F217" s="2">
        <f>IF(ISBLANK('1_raw_log'!F217),"",'1_raw_log'!F217)</f>
        <v/>
      </c>
      <c r="G217" s="2">
        <f>IF(ISBLANK('1_raw_log'!G217),"",'1_raw_log'!G217)</f>
        <v/>
      </c>
      <c r="H217" s="2">
        <f>IF(ISBLANK('1_raw_log'!H217),"",'1_raw_log'!H217)</f>
        <v/>
      </c>
      <c r="I217" s="7">
        <f>IF(ISBLANK('1_raw_log'!I217),"",'1_raw_log'!I217)</f>
        <v/>
      </c>
      <c r="J217" s="2">
        <f>IF(ISBLANK('1_raw_log'!J217),"",'1_raw_log'!J217)</f>
        <v/>
      </c>
      <c r="K217" s="2">
        <f>IF(ISBLANK('1_raw_log'!K217),"",'1_raw_log'!K217)</f>
        <v/>
      </c>
      <c r="L217" s="30">
        <f>INT(B217)</f>
        <v/>
      </c>
      <c r="M217" s="20">
        <f>ROUND(MOD(B217,1)*1440,0)/1440</f>
        <v/>
      </c>
      <c r="N217" s="4">
        <f>IFERROR(INDEX('3_ref_date'!$B:$B,MATCH(L217,'3_ref_date'!$A:$A,0)),"NOT FOUND")</f>
        <v/>
      </c>
      <c r="O217" s="2">
        <f>IFERROR(INDEX('3_ref_date'!$C:$C,MATCH(L217,'3_ref_date'!$A:$A,0)),"NOT FOUND")</f>
        <v/>
      </c>
      <c r="P217" s="4">
        <f>IFERROR(INDEX('3_ref_date'!$D:$D,MATCH(L217,'3_ref_date'!$A:$A,0)),"NOT FOUND")</f>
        <v/>
      </c>
      <c r="Q217" s="4">
        <f>IFERROR(INDEX('3_ref_date'!$E:$E,MATCH(L217,'3_ref_date'!$A:$A,0)),"NOT FOUND")</f>
        <v/>
      </c>
      <c r="R217" s="2">
        <f>IFERROR(INDEX('3_ref_date'!$F:$F,MATCH(L217,'3_ref_date'!$A:$A,0)),"NOT FOUND")</f>
        <v/>
      </c>
      <c r="S217" s="2">
        <f>IFERROR(INDEX('4_ref_time'!$D:$D,MATCH(ROUND(M217*1440,0),'4_ref_time'!$A:$A,0)),"NOT FOUND")</f>
        <v/>
      </c>
      <c r="T217" s="2">
        <f>UPPER(TRIM(C217))</f>
        <v/>
      </c>
      <c r="U217" s="30">
        <f>IF(_xlfn.MAXIFS('6_3nf_branch_history'!$B$2:$B$50,'6_3nf_branch_history'!$A$2:$A$50,T217,'6_3nf_branch_history'!$B$2:$B$50,"&lt;="&amp;L217)=0,"NOT FOUND",_xlfn.MAXIFS('6_3nf_branch_history'!$B$2:$B$50,'6_3nf_branch_history'!$A$2:$A$50,T217,'6_3nf_branch_history'!$B$2:$B$50,"&lt;="&amp;L217))</f>
        <v/>
      </c>
      <c r="V217" s="2">
        <f>IF(U217="NOT FOUND","NOT FOUND",INDEX('6_3nf_branch_history'!$C:$C,SUMPRODUCT(('6_3nf_branch_history'!$A$2:$A$50=T217)*('6_3nf_branch_history'!$B$2:$B$50=U217)*ROW('6_3nf_branch_history'!$A$2:$A$50))))</f>
        <v/>
      </c>
      <c r="W217" s="2">
        <f>IF(U217="NOT FOUND","NOT FOUND",INDEX('6_3nf_branch_history'!$D:$D,SUMPRODUCT(('6_3nf_branch_history'!$A$2:$A$50=T217)*('6_3nf_branch_history'!$B$2:$B$50=U217)*ROW('6_3nf_branch_history'!$A$2:$A$50))))</f>
        <v/>
      </c>
      <c r="X217" s="2">
        <f>IF(U217="NOT FOUND","NOT FOUND",INDEX('6_3nf_branch_history'!$E:$E,SUMPRODUCT(('6_3nf_branch_history'!$A$2:$A$50=T217)*('6_3nf_branch_history'!$B$2:$B$50=U217)*ROW('6_3nf_branch_history'!$A$2:$A$50))))</f>
        <v/>
      </c>
      <c r="Y217" s="2">
        <f>UPPER(TRIM(D217))</f>
        <v/>
      </c>
      <c r="Z217" s="2">
        <f>IFERROR(INDEX('7_3nf_product'!$B:$B,MATCH(Y217,'7_3nf_product'!$A:$A,0)),"NOT FOUND")</f>
        <v/>
      </c>
      <c r="AA217" s="2">
        <f>IFERROR(INDEX('7_3nf_product'!$C:$C,MATCH(Y217,'7_3nf_product'!$A:$A,0)),"NOT FOUND")</f>
        <v/>
      </c>
      <c r="AB217" s="2">
        <f>IFERROR(INDEX('7_3nf_product'!$D:$D,MATCH(Y217,'7_3nf_product'!$A:$A,0)),"NOT FOUND")</f>
        <v/>
      </c>
      <c r="AC217" s="6">
        <f>IFERROR(INDEX('7_3nf_product'!$E:$E,MATCH(Y217,'7_3nf_product'!$A:$A,0)),"NOT FOUND")</f>
        <v/>
      </c>
      <c r="AD217" s="33">
        <f>IF(LEN(TRIM(E217))=10,TRIM(E217),IF(LEN(TRIM(E217))=8,"00"&amp;TRIM(E217),"CHECK"))</f>
        <v/>
      </c>
      <c r="AE217" s="2">
        <f>IFERROR(INDEX('8_3nf_customer'!$C:$C,MATCH(AD217,'8_3nf_customer'!$B:$B,0)),"NOT FOUND")</f>
        <v/>
      </c>
      <c r="AF217" s="30">
        <f>IFERROR(INDEX('8_3nf_customer'!$D:$D,MATCH(AD217,'8_3nf_customer'!$B:$B,0)),"NOT FOUND")</f>
        <v/>
      </c>
      <c r="AG217" s="4">
        <f>IF(ISNUMBER(AF217),DATEDIF(AF217,L217,"y"),"NOT FOUND")</f>
        <v/>
      </c>
      <c r="AH217" s="2">
        <f>IFERROR(INDEX('8_3nf_customer'!$E:$E,MATCH(AD217,'8_3nf_customer'!$B:$B,0)),"NOT FOUND")</f>
        <v/>
      </c>
      <c r="AI217" s="30">
        <f>IF(_xlfn.MAXIFS('9_3nf_customer_history'!$B$2:$B$500,'9_3nf_customer_history'!$A$2:$A$500,AD217,'9_3nf_customer_history'!$B$2:$B$500,"&lt;="&amp;L217)=0,"NOT FOUND",_xlfn.MAXIFS('9_3nf_customer_history'!$B$2:$B$500,'9_3nf_customer_history'!$A$2:$A$500,AD217,'9_3nf_customer_history'!$B$2:$B$500,"&lt;="&amp;L217))</f>
        <v/>
      </c>
      <c r="AJ217" s="2">
        <f>IF(AI217="NOT FOUND","NOT FOUND",INDEX('9_3nf_customer_history'!$C:$C,SUMPRODUCT(('9_3nf_customer_history'!$A$2:$A$500=AD217)*('9_3nf_customer_history'!$B$2:$B$500=AI217)*ROW('9_3nf_customer_history'!$A$2:$A$500))))</f>
        <v/>
      </c>
      <c r="AK217" s="2">
        <f>IF(AI217="NOT FOUND","NOT FOUND",INDEX('9_3nf_customer_history'!$D:$D,SUMPRODUCT(('9_3nf_customer_history'!$A$2:$A$500=AD217)*('9_3nf_customer_history'!$B$2:$B$500=AI217)*ROW('9_3nf_customer_history'!$A$2:$A$500))))</f>
        <v/>
      </c>
      <c r="AL217" s="2">
        <f>UPPER(TRIM(H217))</f>
        <v/>
      </c>
      <c r="AM217" s="30">
        <f>IF(_xlfn.MAXIFS('10_ref_fx_rate'!$B$2:$B$2000,'10_ref_fx_rate'!$A$2:$A$2000,AL217,'10_ref_fx_rate'!$B$2:$B$2000,"&lt;="&amp;L217)=0,"NOT FOUND",_xlfn.MAXIFS('10_ref_fx_rate'!$B$2:$B$2000,'10_ref_fx_rate'!$A$2:$A$2000,AL217,'10_ref_fx_rate'!$B$2:$B$2000,"&lt;="&amp;L217))</f>
        <v/>
      </c>
      <c r="AN217" s="8">
        <f>IF(AM217="NOT FOUND","NOT FOUND",SUMIFS('10_ref_fx_rate'!$D$2:$D$2000,'10_ref_fx_rate'!$A$2:$A$2000,AL217,'10_ref_fx_rate'!$B$2:$B$2000,AM217))</f>
        <v/>
      </c>
      <c r="AO217" s="37">
        <f>IF(ISNUMBER(AN217),I217*AN217,"NOT FOUND")</f>
        <v/>
      </c>
      <c r="AP217" s="2">
        <f>UPPER(TRIM(J217))</f>
        <v/>
      </c>
      <c r="AQ217" s="2">
        <f>IF(AP217="","SELF-DIRECTED",IF(ISNUMBER(MATCH(AP217,'11_3nf_sales_person'!$A:$A,0)),IF(EXACT(AP217,J217),"OK","OK (auto-fixed)"),IF(ISNA(MATCH($A217,'12_sales_person_confirmation'!$A:$A,0)),"CONFIRM (not logged)",IF(INDEX('12_sales_person_confirmation'!$I:$I,MATCH($A217,'12_sales_person_confirmation'!$A:$A,0))="CONFIRMED","CONFIRMED ("&amp;LOWER(INDEX('12_sales_person_confirmation'!$E:$E,MATCH($A217,'12_sales_person_confirmation'!$A:$A,0)))&amp;")","PENDING CONFIRM"))))</f>
        <v/>
      </c>
      <c r="AR217" s="2">
        <f>IF(OR(AQ217="OK",AQ217="OK (auto-fixed)"),AP217,IF(LEFT(AQ217,9)="CONFIRMED",INDEX('12_sales_person_confirmation'!$F:$F,MATCH($A217,'12_sales_person_confirmation'!$A:$A,0)),""))</f>
        <v/>
      </c>
      <c r="AS217" s="2">
        <f>IF(AR217="","",INDEX('11_3nf_sales_person'!$B:$B,MATCH(AR217,'11_3nf_sales_person'!$A:$A,0)))</f>
        <v/>
      </c>
    </row>
    <row r="218">
      <c r="A218" s="2">
        <f>IF(ISBLANK('1_raw_log'!A218),"",'1_raw_log'!A218)</f>
        <v/>
      </c>
      <c r="B218" s="3">
        <f>IF(ISBLANK('1_raw_log'!B218),"",'1_raw_log'!B218)</f>
        <v/>
      </c>
      <c r="C218" s="2">
        <f>IF(ISBLANK('1_raw_log'!C218),"",'1_raw_log'!C218)</f>
        <v/>
      </c>
      <c r="D218" s="2">
        <f>IF(ISBLANK('1_raw_log'!D218),"",'1_raw_log'!D218)</f>
        <v/>
      </c>
      <c r="E218" s="4">
        <f>IF(ISBLANK('1_raw_log'!E218),"",'1_raw_log'!E218)</f>
        <v/>
      </c>
      <c r="F218" s="2">
        <f>IF(ISBLANK('1_raw_log'!F218),"",'1_raw_log'!F218)</f>
        <v/>
      </c>
      <c r="G218" s="2">
        <f>IF(ISBLANK('1_raw_log'!G218),"",'1_raw_log'!G218)</f>
        <v/>
      </c>
      <c r="H218" s="2">
        <f>IF(ISBLANK('1_raw_log'!H218),"",'1_raw_log'!H218)</f>
        <v/>
      </c>
      <c r="I218" s="7">
        <f>IF(ISBLANK('1_raw_log'!I218),"",'1_raw_log'!I218)</f>
        <v/>
      </c>
      <c r="J218" s="2">
        <f>IF(ISBLANK('1_raw_log'!J218),"",'1_raw_log'!J218)</f>
        <v/>
      </c>
      <c r="K218" s="2">
        <f>IF(ISBLANK('1_raw_log'!K218),"",'1_raw_log'!K218)</f>
        <v/>
      </c>
      <c r="L218" s="30">
        <f>INT(B218)</f>
        <v/>
      </c>
      <c r="M218" s="20">
        <f>ROUND(MOD(B218,1)*1440,0)/1440</f>
        <v/>
      </c>
      <c r="N218" s="4">
        <f>IFERROR(INDEX('3_ref_date'!$B:$B,MATCH(L218,'3_ref_date'!$A:$A,0)),"NOT FOUND")</f>
        <v/>
      </c>
      <c r="O218" s="2">
        <f>IFERROR(INDEX('3_ref_date'!$C:$C,MATCH(L218,'3_ref_date'!$A:$A,0)),"NOT FOUND")</f>
        <v/>
      </c>
      <c r="P218" s="4">
        <f>IFERROR(INDEX('3_ref_date'!$D:$D,MATCH(L218,'3_ref_date'!$A:$A,0)),"NOT FOUND")</f>
        <v/>
      </c>
      <c r="Q218" s="4">
        <f>IFERROR(INDEX('3_ref_date'!$E:$E,MATCH(L218,'3_ref_date'!$A:$A,0)),"NOT FOUND")</f>
        <v/>
      </c>
      <c r="R218" s="2">
        <f>IFERROR(INDEX('3_ref_date'!$F:$F,MATCH(L218,'3_ref_date'!$A:$A,0)),"NOT FOUND")</f>
        <v/>
      </c>
      <c r="S218" s="2">
        <f>IFERROR(INDEX('4_ref_time'!$D:$D,MATCH(ROUND(M218*1440,0),'4_ref_time'!$A:$A,0)),"NOT FOUND")</f>
        <v/>
      </c>
      <c r="T218" s="2">
        <f>UPPER(TRIM(C218))</f>
        <v/>
      </c>
      <c r="U218" s="30">
        <f>IF(_xlfn.MAXIFS('6_3nf_branch_history'!$B$2:$B$50,'6_3nf_branch_history'!$A$2:$A$50,T218,'6_3nf_branch_history'!$B$2:$B$50,"&lt;="&amp;L218)=0,"NOT FOUND",_xlfn.MAXIFS('6_3nf_branch_history'!$B$2:$B$50,'6_3nf_branch_history'!$A$2:$A$50,T218,'6_3nf_branch_history'!$B$2:$B$50,"&lt;="&amp;L218))</f>
        <v/>
      </c>
      <c r="V218" s="2">
        <f>IF(U218="NOT FOUND","NOT FOUND",INDEX('6_3nf_branch_history'!$C:$C,SUMPRODUCT(('6_3nf_branch_history'!$A$2:$A$50=T218)*('6_3nf_branch_history'!$B$2:$B$50=U218)*ROW('6_3nf_branch_history'!$A$2:$A$50))))</f>
        <v/>
      </c>
      <c r="W218" s="2">
        <f>IF(U218="NOT FOUND","NOT FOUND",INDEX('6_3nf_branch_history'!$D:$D,SUMPRODUCT(('6_3nf_branch_history'!$A$2:$A$50=T218)*('6_3nf_branch_history'!$B$2:$B$50=U218)*ROW('6_3nf_branch_history'!$A$2:$A$50))))</f>
        <v/>
      </c>
      <c r="X218" s="2">
        <f>IF(U218="NOT FOUND","NOT FOUND",INDEX('6_3nf_branch_history'!$E:$E,SUMPRODUCT(('6_3nf_branch_history'!$A$2:$A$50=T218)*('6_3nf_branch_history'!$B$2:$B$50=U218)*ROW('6_3nf_branch_history'!$A$2:$A$50))))</f>
        <v/>
      </c>
      <c r="Y218" s="2">
        <f>UPPER(TRIM(D218))</f>
        <v/>
      </c>
      <c r="Z218" s="2">
        <f>IFERROR(INDEX('7_3nf_product'!$B:$B,MATCH(Y218,'7_3nf_product'!$A:$A,0)),"NOT FOUND")</f>
        <v/>
      </c>
      <c r="AA218" s="2">
        <f>IFERROR(INDEX('7_3nf_product'!$C:$C,MATCH(Y218,'7_3nf_product'!$A:$A,0)),"NOT FOUND")</f>
        <v/>
      </c>
      <c r="AB218" s="2">
        <f>IFERROR(INDEX('7_3nf_product'!$D:$D,MATCH(Y218,'7_3nf_product'!$A:$A,0)),"NOT FOUND")</f>
        <v/>
      </c>
      <c r="AC218" s="6">
        <f>IFERROR(INDEX('7_3nf_product'!$E:$E,MATCH(Y218,'7_3nf_product'!$A:$A,0)),"NOT FOUND")</f>
        <v/>
      </c>
      <c r="AD218" s="33">
        <f>IF(LEN(TRIM(E218))=10,TRIM(E218),IF(LEN(TRIM(E218))=8,"00"&amp;TRIM(E218),"CHECK"))</f>
        <v/>
      </c>
      <c r="AE218" s="2">
        <f>IFERROR(INDEX('8_3nf_customer'!$C:$C,MATCH(AD218,'8_3nf_customer'!$B:$B,0)),"NOT FOUND")</f>
        <v/>
      </c>
      <c r="AF218" s="30">
        <f>IFERROR(INDEX('8_3nf_customer'!$D:$D,MATCH(AD218,'8_3nf_customer'!$B:$B,0)),"NOT FOUND")</f>
        <v/>
      </c>
      <c r="AG218" s="4">
        <f>IF(ISNUMBER(AF218),DATEDIF(AF218,L218,"y"),"NOT FOUND")</f>
        <v/>
      </c>
      <c r="AH218" s="2">
        <f>IFERROR(INDEX('8_3nf_customer'!$E:$E,MATCH(AD218,'8_3nf_customer'!$B:$B,0)),"NOT FOUND")</f>
        <v/>
      </c>
      <c r="AI218" s="30">
        <f>IF(_xlfn.MAXIFS('9_3nf_customer_history'!$B$2:$B$500,'9_3nf_customer_history'!$A$2:$A$500,AD218,'9_3nf_customer_history'!$B$2:$B$500,"&lt;="&amp;L218)=0,"NOT FOUND",_xlfn.MAXIFS('9_3nf_customer_history'!$B$2:$B$500,'9_3nf_customer_history'!$A$2:$A$500,AD218,'9_3nf_customer_history'!$B$2:$B$500,"&lt;="&amp;L218))</f>
        <v/>
      </c>
      <c r="AJ218" s="2">
        <f>IF(AI218="NOT FOUND","NOT FOUND",INDEX('9_3nf_customer_history'!$C:$C,SUMPRODUCT(('9_3nf_customer_history'!$A$2:$A$500=AD218)*('9_3nf_customer_history'!$B$2:$B$500=AI218)*ROW('9_3nf_customer_history'!$A$2:$A$500))))</f>
        <v/>
      </c>
      <c r="AK218" s="2">
        <f>IF(AI218="NOT FOUND","NOT FOUND",INDEX('9_3nf_customer_history'!$D:$D,SUMPRODUCT(('9_3nf_customer_history'!$A$2:$A$500=AD218)*('9_3nf_customer_history'!$B$2:$B$500=AI218)*ROW('9_3nf_customer_history'!$A$2:$A$500))))</f>
        <v/>
      </c>
      <c r="AL218" s="2">
        <f>UPPER(TRIM(H218))</f>
        <v/>
      </c>
      <c r="AM218" s="30">
        <f>IF(_xlfn.MAXIFS('10_ref_fx_rate'!$B$2:$B$2000,'10_ref_fx_rate'!$A$2:$A$2000,AL218,'10_ref_fx_rate'!$B$2:$B$2000,"&lt;="&amp;L218)=0,"NOT FOUND",_xlfn.MAXIFS('10_ref_fx_rate'!$B$2:$B$2000,'10_ref_fx_rate'!$A$2:$A$2000,AL218,'10_ref_fx_rate'!$B$2:$B$2000,"&lt;="&amp;L218))</f>
        <v/>
      </c>
      <c r="AN218" s="8">
        <f>IF(AM218="NOT FOUND","NOT FOUND",SUMIFS('10_ref_fx_rate'!$D$2:$D$2000,'10_ref_fx_rate'!$A$2:$A$2000,AL218,'10_ref_fx_rate'!$B$2:$B$2000,AM218))</f>
        <v/>
      </c>
      <c r="AO218" s="37">
        <f>IF(ISNUMBER(AN218),I218*AN218,"NOT FOUND")</f>
        <v/>
      </c>
      <c r="AP218" s="2">
        <f>UPPER(TRIM(J218))</f>
        <v/>
      </c>
      <c r="AQ218" s="2">
        <f>IF(AP218="","SELF-DIRECTED",IF(ISNUMBER(MATCH(AP218,'11_3nf_sales_person'!$A:$A,0)),IF(EXACT(AP218,J218),"OK","OK (auto-fixed)"),IF(ISNA(MATCH($A218,'12_sales_person_confirmation'!$A:$A,0)),"CONFIRM (not logged)",IF(INDEX('12_sales_person_confirmation'!$I:$I,MATCH($A218,'12_sales_person_confirmation'!$A:$A,0))="CONFIRMED","CONFIRMED ("&amp;LOWER(INDEX('12_sales_person_confirmation'!$E:$E,MATCH($A218,'12_sales_person_confirmation'!$A:$A,0)))&amp;")","PENDING CONFIRM"))))</f>
        <v/>
      </c>
      <c r="AR218" s="2">
        <f>IF(OR(AQ218="OK",AQ218="OK (auto-fixed)"),AP218,IF(LEFT(AQ218,9)="CONFIRMED",INDEX('12_sales_person_confirmation'!$F:$F,MATCH($A218,'12_sales_person_confirmation'!$A:$A,0)),""))</f>
        <v/>
      </c>
      <c r="AS218" s="2">
        <f>IF(AR218="","",INDEX('11_3nf_sales_person'!$B:$B,MATCH(AR218,'11_3nf_sales_person'!$A:$A,0)))</f>
        <v/>
      </c>
    </row>
    <row r="219">
      <c r="A219" s="2">
        <f>IF(ISBLANK('1_raw_log'!A219),"",'1_raw_log'!A219)</f>
        <v/>
      </c>
      <c r="B219" s="3">
        <f>IF(ISBLANK('1_raw_log'!B219),"",'1_raw_log'!B219)</f>
        <v/>
      </c>
      <c r="C219" s="2">
        <f>IF(ISBLANK('1_raw_log'!C219),"",'1_raw_log'!C219)</f>
        <v/>
      </c>
      <c r="D219" s="2">
        <f>IF(ISBLANK('1_raw_log'!D219),"",'1_raw_log'!D219)</f>
        <v/>
      </c>
      <c r="E219" s="4">
        <f>IF(ISBLANK('1_raw_log'!E219),"",'1_raw_log'!E219)</f>
        <v/>
      </c>
      <c r="F219" s="2">
        <f>IF(ISBLANK('1_raw_log'!F219),"",'1_raw_log'!F219)</f>
        <v/>
      </c>
      <c r="G219" s="2">
        <f>IF(ISBLANK('1_raw_log'!G219),"",'1_raw_log'!G219)</f>
        <v/>
      </c>
      <c r="H219" s="2">
        <f>IF(ISBLANK('1_raw_log'!H219),"",'1_raw_log'!H219)</f>
        <v/>
      </c>
      <c r="I219" s="7">
        <f>IF(ISBLANK('1_raw_log'!I219),"",'1_raw_log'!I219)</f>
        <v/>
      </c>
      <c r="J219" s="2">
        <f>IF(ISBLANK('1_raw_log'!J219),"",'1_raw_log'!J219)</f>
        <v/>
      </c>
      <c r="K219" s="2">
        <f>IF(ISBLANK('1_raw_log'!K219),"",'1_raw_log'!K219)</f>
        <v/>
      </c>
      <c r="L219" s="30">
        <f>INT(B219)</f>
        <v/>
      </c>
      <c r="M219" s="20">
        <f>ROUND(MOD(B219,1)*1440,0)/1440</f>
        <v/>
      </c>
      <c r="N219" s="4">
        <f>IFERROR(INDEX('3_ref_date'!$B:$B,MATCH(L219,'3_ref_date'!$A:$A,0)),"NOT FOUND")</f>
        <v/>
      </c>
      <c r="O219" s="2">
        <f>IFERROR(INDEX('3_ref_date'!$C:$C,MATCH(L219,'3_ref_date'!$A:$A,0)),"NOT FOUND")</f>
        <v/>
      </c>
      <c r="P219" s="4">
        <f>IFERROR(INDEX('3_ref_date'!$D:$D,MATCH(L219,'3_ref_date'!$A:$A,0)),"NOT FOUND")</f>
        <v/>
      </c>
      <c r="Q219" s="4">
        <f>IFERROR(INDEX('3_ref_date'!$E:$E,MATCH(L219,'3_ref_date'!$A:$A,0)),"NOT FOUND")</f>
        <v/>
      </c>
      <c r="R219" s="2">
        <f>IFERROR(INDEX('3_ref_date'!$F:$F,MATCH(L219,'3_ref_date'!$A:$A,0)),"NOT FOUND")</f>
        <v/>
      </c>
      <c r="S219" s="2">
        <f>IFERROR(INDEX('4_ref_time'!$D:$D,MATCH(ROUND(M219*1440,0),'4_ref_time'!$A:$A,0)),"NOT FOUND")</f>
        <v/>
      </c>
      <c r="T219" s="2">
        <f>UPPER(TRIM(C219))</f>
        <v/>
      </c>
      <c r="U219" s="30">
        <f>IF(_xlfn.MAXIFS('6_3nf_branch_history'!$B$2:$B$50,'6_3nf_branch_history'!$A$2:$A$50,T219,'6_3nf_branch_history'!$B$2:$B$50,"&lt;="&amp;L219)=0,"NOT FOUND",_xlfn.MAXIFS('6_3nf_branch_history'!$B$2:$B$50,'6_3nf_branch_history'!$A$2:$A$50,T219,'6_3nf_branch_history'!$B$2:$B$50,"&lt;="&amp;L219))</f>
        <v/>
      </c>
      <c r="V219" s="2">
        <f>IF(U219="NOT FOUND","NOT FOUND",INDEX('6_3nf_branch_history'!$C:$C,SUMPRODUCT(('6_3nf_branch_history'!$A$2:$A$50=T219)*('6_3nf_branch_history'!$B$2:$B$50=U219)*ROW('6_3nf_branch_history'!$A$2:$A$50))))</f>
        <v/>
      </c>
      <c r="W219" s="2">
        <f>IF(U219="NOT FOUND","NOT FOUND",INDEX('6_3nf_branch_history'!$D:$D,SUMPRODUCT(('6_3nf_branch_history'!$A$2:$A$50=T219)*('6_3nf_branch_history'!$B$2:$B$50=U219)*ROW('6_3nf_branch_history'!$A$2:$A$50))))</f>
        <v/>
      </c>
      <c r="X219" s="2">
        <f>IF(U219="NOT FOUND","NOT FOUND",INDEX('6_3nf_branch_history'!$E:$E,SUMPRODUCT(('6_3nf_branch_history'!$A$2:$A$50=T219)*('6_3nf_branch_history'!$B$2:$B$50=U219)*ROW('6_3nf_branch_history'!$A$2:$A$50))))</f>
        <v/>
      </c>
      <c r="Y219" s="2">
        <f>UPPER(TRIM(D219))</f>
        <v/>
      </c>
      <c r="Z219" s="2">
        <f>IFERROR(INDEX('7_3nf_product'!$B:$B,MATCH(Y219,'7_3nf_product'!$A:$A,0)),"NOT FOUND")</f>
        <v/>
      </c>
      <c r="AA219" s="2">
        <f>IFERROR(INDEX('7_3nf_product'!$C:$C,MATCH(Y219,'7_3nf_product'!$A:$A,0)),"NOT FOUND")</f>
        <v/>
      </c>
      <c r="AB219" s="2">
        <f>IFERROR(INDEX('7_3nf_product'!$D:$D,MATCH(Y219,'7_3nf_product'!$A:$A,0)),"NOT FOUND")</f>
        <v/>
      </c>
      <c r="AC219" s="6">
        <f>IFERROR(INDEX('7_3nf_product'!$E:$E,MATCH(Y219,'7_3nf_product'!$A:$A,0)),"NOT FOUND")</f>
        <v/>
      </c>
      <c r="AD219" s="33">
        <f>IF(LEN(TRIM(E219))=10,TRIM(E219),IF(LEN(TRIM(E219))=8,"00"&amp;TRIM(E219),"CHECK"))</f>
        <v/>
      </c>
      <c r="AE219" s="2">
        <f>IFERROR(INDEX('8_3nf_customer'!$C:$C,MATCH(AD219,'8_3nf_customer'!$B:$B,0)),"NOT FOUND")</f>
        <v/>
      </c>
      <c r="AF219" s="30">
        <f>IFERROR(INDEX('8_3nf_customer'!$D:$D,MATCH(AD219,'8_3nf_customer'!$B:$B,0)),"NOT FOUND")</f>
        <v/>
      </c>
      <c r="AG219" s="4">
        <f>IF(ISNUMBER(AF219),DATEDIF(AF219,L219,"y"),"NOT FOUND")</f>
        <v/>
      </c>
      <c r="AH219" s="2">
        <f>IFERROR(INDEX('8_3nf_customer'!$E:$E,MATCH(AD219,'8_3nf_customer'!$B:$B,0)),"NOT FOUND")</f>
        <v/>
      </c>
      <c r="AI219" s="30">
        <f>IF(_xlfn.MAXIFS('9_3nf_customer_history'!$B$2:$B$500,'9_3nf_customer_history'!$A$2:$A$500,AD219,'9_3nf_customer_history'!$B$2:$B$500,"&lt;="&amp;L219)=0,"NOT FOUND",_xlfn.MAXIFS('9_3nf_customer_history'!$B$2:$B$500,'9_3nf_customer_history'!$A$2:$A$500,AD219,'9_3nf_customer_history'!$B$2:$B$500,"&lt;="&amp;L219))</f>
        <v/>
      </c>
      <c r="AJ219" s="2">
        <f>IF(AI219="NOT FOUND","NOT FOUND",INDEX('9_3nf_customer_history'!$C:$C,SUMPRODUCT(('9_3nf_customer_history'!$A$2:$A$500=AD219)*('9_3nf_customer_history'!$B$2:$B$500=AI219)*ROW('9_3nf_customer_history'!$A$2:$A$500))))</f>
        <v/>
      </c>
      <c r="AK219" s="2">
        <f>IF(AI219="NOT FOUND","NOT FOUND",INDEX('9_3nf_customer_history'!$D:$D,SUMPRODUCT(('9_3nf_customer_history'!$A$2:$A$500=AD219)*('9_3nf_customer_history'!$B$2:$B$500=AI219)*ROW('9_3nf_customer_history'!$A$2:$A$500))))</f>
        <v/>
      </c>
      <c r="AL219" s="2">
        <f>UPPER(TRIM(H219))</f>
        <v/>
      </c>
      <c r="AM219" s="30">
        <f>IF(_xlfn.MAXIFS('10_ref_fx_rate'!$B$2:$B$2000,'10_ref_fx_rate'!$A$2:$A$2000,AL219,'10_ref_fx_rate'!$B$2:$B$2000,"&lt;="&amp;L219)=0,"NOT FOUND",_xlfn.MAXIFS('10_ref_fx_rate'!$B$2:$B$2000,'10_ref_fx_rate'!$A$2:$A$2000,AL219,'10_ref_fx_rate'!$B$2:$B$2000,"&lt;="&amp;L219))</f>
        <v/>
      </c>
      <c r="AN219" s="8">
        <f>IF(AM219="NOT FOUND","NOT FOUND",SUMIFS('10_ref_fx_rate'!$D$2:$D$2000,'10_ref_fx_rate'!$A$2:$A$2000,AL219,'10_ref_fx_rate'!$B$2:$B$2000,AM219))</f>
        <v/>
      </c>
      <c r="AO219" s="37">
        <f>IF(ISNUMBER(AN219),I219*AN219,"NOT FOUND")</f>
        <v/>
      </c>
      <c r="AP219" s="2">
        <f>UPPER(TRIM(J219))</f>
        <v/>
      </c>
      <c r="AQ219" s="2">
        <f>IF(AP219="","SELF-DIRECTED",IF(ISNUMBER(MATCH(AP219,'11_3nf_sales_person'!$A:$A,0)),IF(EXACT(AP219,J219),"OK","OK (auto-fixed)"),IF(ISNA(MATCH($A219,'12_sales_person_confirmation'!$A:$A,0)),"CONFIRM (not logged)",IF(INDEX('12_sales_person_confirmation'!$I:$I,MATCH($A219,'12_sales_person_confirmation'!$A:$A,0))="CONFIRMED","CONFIRMED ("&amp;LOWER(INDEX('12_sales_person_confirmation'!$E:$E,MATCH($A219,'12_sales_person_confirmation'!$A:$A,0)))&amp;")","PENDING CONFIRM"))))</f>
        <v/>
      </c>
      <c r="AR219" s="2">
        <f>IF(OR(AQ219="OK",AQ219="OK (auto-fixed)"),AP219,IF(LEFT(AQ219,9)="CONFIRMED",INDEX('12_sales_person_confirmation'!$F:$F,MATCH($A219,'12_sales_person_confirmation'!$A:$A,0)),""))</f>
        <v/>
      </c>
      <c r="AS219" s="2">
        <f>IF(AR219="","",INDEX('11_3nf_sales_person'!$B:$B,MATCH(AR219,'11_3nf_sales_person'!$A:$A,0)))</f>
        <v/>
      </c>
    </row>
    <row r="220">
      <c r="A220" s="2">
        <f>IF(ISBLANK('1_raw_log'!A220),"",'1_raw_log'!A220)</f>
        <v/>
      </c>
      <c r="B220" s="3">
        <f>IF(ISBLANK('1_raw_log'!B220),"",'1_raw_log'!B220)</f>
        <v/>
      </c>
      <c r="C220" s="2">
        <f>IF(ISBLANK('1_raw_log'!C220),"",'1_raw_log'!C220)</f>
        <v/>
      </c>
      <c r="D220" s="2">
        <f>IF(ISBLANK('1_raw_log'!D220),"",'1_raw_log'!D220)</f>
        <v/>
      </c>
      <c r="E220" s="4">
        <f>IF(ISBLANK('1_raw_log'!E220),"",'1_raw_log'!E220)</f>
        <v/>
      </c>
      <c r="F220" s="2">
        <f>IF(ISBLANK('1_raw_log'!F220),"",'1_raw_log'!F220)</f>
        <v/>
      </c>
      <c r="G220" s="2">
        <f>IF(ISBLANK('1_raw_log'!G220),"",'1_raw_log'!G220)</f>
        <v/>
      </c>
      <c r="H220" s="2">
        <f>IF(ISBLANK('1_raw_log'!H220),"",'1_raw_log'!H220)</f>
        <v/>
      </c>
      <c r="I220" s="7">
        <f>IF(ISBLANK('1_raw_log'!I220),"",'1_raw_log'!I220)</f>
        <v/>
      </c>
      <c r="J220" s="2">
        <f>IF(ISBLANK('1_raw_log'!J220),"",'1_raw_log'!J220)</f>
        <v/>
      </c>
      <c r="K220" s="2">
        <f>IF(ISBLANK('1_raw_log'!K220),"",'1_raw_log'!K220)</f>
        <v/>
      </c>
      <c r="L220" s="30">
        <f>INT(B220)</f>
        <v/>
      </c>
      <c r="M220" s="20">
        <f>ROUND(MOD(B220,1)*1440,0)/1440</f>
        <v/>
      </c>
      <c r="N220" s="4">
        <f>IFERROR(INDEX('3_ref_date'!$B:$B,MATCH(L220,'3_ref_date'!$A:$A,0)),"NOT FOUND")</f>
        <v/>
      </c>
      <c r="O220" s="2">
        <f>IFERROR(INDEX('3_ref_date'!$C:$C,MATCH(L220,'3_ref_date'!$A:$A,0)),"NOT FOUND")</f>
        <v/>
      </c>
      <c r="P220" s="4">
        <f>IFERROR(INDEX('3_ref_date'!$D:$D,MATCH(L220,'3_ref_date'!$A:$A,0)),"NOT FOUND")</f>
        <v/>
      </c>
      <c r="Q220" s="4">
        <f>IFERROR(INDEX('3_ref_date'!$E:$E,MATCH(L220,'3_ref_date'!$A:$A,0)),"NOT FOUND")</f>
        <v/>
      </c>
      <c r="R220" s="2">
        <f>IFERROR(INDEX('3_ref_date'!$F:$F,MATCH(L220,'3_ref_date'!$A:$A,0)),"NOT FOUND")</f>
        <v/>
      </c>
      <c r="S220" s="2">
        <f>IFERROR(INDEX('4_ref_time'!$D:$D,MATCH(ROUND(M220*1440,0),'4_ref_time'!$A:$A,0)),"NOT FOUND")</f>
        <v/>
      </c>
      <c r="T220" s="2">
        <f>UPPER(TRIM(C220))</f>
        <v/>
      </c>
      <c r="U220" s="30">
        <f>IF(_xlfn.MAXIFS('6_3nf_branch_history'!$B$2:$B$50,'6_3nf_branch_history'!$A$2:$A$50,T220,'6_3nf_branch_history'!$B$2:$B$50,"&lt;="&amp;L220)=0,"NOT FOUND",_xlfn.MAXIFS('6_3nf_branch_history'!$B$2:$B$50,'6_3nf_branch_history'!$A$2:$A$50,T220,'6_3nf_branch_history'!$B$2:$B$50,"&lt;="&amp;L220))</f>
        <v/>
      </c>
      <c r="V220" s="2">
        <f>IF(U220="NOT FOUND","NOT FOUND",INDEX('6_3nf_branch_history'!$C:$C,SUMPRODUCT(('6_3nf_branch_history'!$A$2:$A$50=T220)*('6_3nf_branch_history'!$B$2:$B$50=U220)*ROW('6_3nf_branch_history'!$A$2:$A$50))))</f>
        <v/>
      </c>
      <c r="W220" s="2">
        <f>IF(U220="NOT FOUND","NOT FOUND",INDEX('6_3nf_branch_history'!$D:$D,SUMPRODUCT(('6_3nf_branch_history'!$A$2:$A$50=T220)*('6_3nf_branch_history'!$B$2:$B$50=U220)*ROW('6_3nf_branch_history'!$A$2:$A$50))))</f>
        <v/>
      </c>
      <c r="X220" s="2">
        <f>IF(U220="NOT FOUND","NOT FOUND",INDEX('6_3nf_branch_history'!$E:$E,SUMPRODUCT(('6_3nf_branch_history'!$A$2:$A$50=T220)*('6_3nf_branch_history'!$B$2:$B$50=U220)*ROW('6_3nf_branch_history'!$A$2:$A$50))))</f>
        <v/>
      </c>
      <c r="Y220" s="2">
        <f>UPPER(TRIM(D220))</f>
        <v/>
      </c>
      <c r="Z220" s="2">
        <f>IFERROR(INDEX('7_3nf_product'!$B:$B,MATCH(Y220,'7_3nf_product'!$A:$A,0)),"NOT FOUND")</f>
        <v/>
      </c>
      <c r="AA220" s="2">
        <f>IFERROR(INDEX('7_3nf_product'!$C:$C,MATCH(Y220,'7_3nf_product'!$A:$A,0)),"NOT FOUND")</f>
        <v/>
      </c>
      <c r="AB220" s="2">
        <f>IFERROR(INDEX('7_3nf_product'!$D:$D,MATCH(Y220,'7_3nf_product'!$A:$A,0)),"NOT FOUND")</f>
        <v/>
      </c>
      <c r="AC220" s="6">
        <f>IFERROR(INDEX('7_3nf_product'!$E:$E,MATCH(Y220,'7_3nf_product'!$A:$A,0)),"NOT FOUND")</f>
        <v/>
      </c>
      <c r="AD220" s="33">
        <f>IF(LEN(TRIM(E220))=10,TRIM(E220),IF(LEN(TRIM(E220))=8,"00"&amp;TRIM(E220),"CHECK"))</f>
        <v/>
      </c>
      <c r="AE220" s="2">
        <f>IFERROR(INDEX('8_3nf_customer'!$C:$C,MATCH(AD220,'8_3nf_customer'!$B:$B,0)),"NOT FOUND")</f>
        <v/>
      </c>
      <c r="AF220" s="30">
        <f>IFERROR(INDEX('8_3nf_customer'!$D:$D,MATCH(AD220,'8_3nf_customer'!$B:$B,0)),"NOT FOUND")</f>
        <v/>
      </c>
      <c r="AG220" s="4">
        <f>IF(ISNUMBER(AF220),DATEDIF(AF220,L220,"y"),"NOT FOUND")</f>
        <v/>
      </c>
      <c r="AH220" s="2">
        <f>IFERROR(INDEX('8_3nf_customer'!$E:$E,MATCH(AD220,'8_3nf_customer'!$B:$B,0)),"NOT FOUND")</f>
        <v/>
      </c>
      <c r="AI220" s="30">
        <f>IF(_xlfn.MAXIFS('9_3nf_customer_history'!$B$2:$B$500,'9_3nf_customer_history'!$A$2:$A$500,AD220,'9_3nf_customer_history'!$B$2:$B$500,"&lt;="&amp;L220)=0,"NOT FOUND",_xlfn.MAXIFS('9_3nf_customer_history'!$B$2:$B$500,'9_3nf_customer_history'!$A$2:$A$500,AD220,'9_3nf_customer_history'!$B$2:$B$500,"&lt;="&amp;L220))</f>
        <v/>
      </c>
      <c r="AJ220" s="2">
        <f>IF(AI220="NOT FOUND","NOT FOUND",INDEX('9_3nf_customer_history'!$C:$C,SUMPRODUCT(('9_3nf_customer_history'!$A$2:$A$500=AD220)*('9_3nf_customer_history'!$B$2:$B$500=AI220)*ROW('9_3nf_customer_history'!$A$2:$A$500))))</f>
        <v/>
      </c>
      <c r="AK220" s="2">
        <f>IF(AI220="NOT FOUND","NOT FOUND",INDEX('9_3nf_customer_history'!$D:$D,SUMPRODUCT(('9_3nf_customer_history'!$A$2:$A$500=AD220)*('9_3nf_customer_history'!$B$2:$B$500=AI220)*ROW('9_3nf_customer_history'!$A$2:$A$500))))</f>
        <v/>
      </c>
      <c r="AL220" s="2">
        <f>UPPER(TRIM(H220))</f>
        <v/>
      </c>
      <c r="AM220" s="30">
        <f>IF(_xlfn.MAXIFS('10_ref_fx_rate'!$B$2:$B$2000,'10_ref_fx_rate'!$A$2:$A$2000,AL220,'10_ref_fx_rate'!$B$2:$B$2000,"&lt;="&amp;L220)=0,"NOT FOUND",_xlfn.MAXIFS('10_ref_fx_rate'!$B$2:$B$2000,'10_ref_fx_rate'!$A$2:$A$2000,AL220,'10_ref_fx_rate'!$B$2:$B$2000,"&lt;="&amp;L220))</f>
        <v/>
      </c>
      <c r="AN220" s="8">
        <f>IF(AM220="NOT FOUND","NOT FOUND",SUMIFS('10_ref_fx_rate'!$D$2:$D$2000,'10_ref_fx_rate'!$A$2:$A$2000,AL220,'10_ref_fx_rate'!$B$2:$B$2000,AM220))</f>
        <v/>
      </c>
      <c r="AO220" s="37">
        <f>IF(ISNUMBER(AN220),I220*AN220,"NOT FOUND")</f>
        <v/>
      </c>
      <c r="AP220" s="2">
        <f>UPPER(TRIM(J220))</f>
        <v/>
      </c>
      <c r="AQ220" s="2">
        <f>IF(AP220="","SELF-DIRECTED",IF(ISNUMBER(MATCH(AP220,'11_3nf_sales_person'!$A:$A,0)),IF(EXACT(AP220,J220),"OK","OK (auto-fixed)"),IF(ISNA(MATCH($A220,'12_sales_person_confirmation'!$A:$A,0)),"CONFIRM (not logged)",IF(INDEX('12_sales_person_confirmation'!$I:$I,MATCH($A220,'12_sales_person_confirmation'!$A:$A,0))="CONFIRMED","CONFIRMED ("&amp;LOWER(INDEX('12_sales_person_confirmation'!$E:$E,MATCH($A220,'12_sales_person_confirmation'!$A:$A,0)))&amp;")","PENDING CONFIRM"))))</f>
        <v/>
      </c>
      <c r="AR220" s="2">
        <f>IF(OR(AQ220="OK",AQ220="OK (auto-fixed)"),AP220,IF(LEFT(AQ220,9)="CONFIRMED",INDEX('12_sales_person_confirmation'!$F:$F,MATCH($A220,'12_sales_person_confirmation'!$A:$A,0)),""))</f>
        <v/>
      </c>
      <c r="AS220" s="2">
        <f>IF(AR220="","",INDEX('11_3nf_sales_person'!$B:$B,MATCH(AR220,'11_3nf_sales_person'!$A:$A,0)))</f>
        <v/>
      </c>
    </row>
    <row r="221">
      <c r="A221" s="2">
        <f>IF(ISBLANK('1_raw_log'!A221),"",'1_raw_log'!A221)</f>
        <v/>
      </c>
      <c r="B221" s="3">
        <f>IF(ISBLANK('1_raw_log'!B221),"",'1_raw_log'!B221)</f>
        <v/>
      </c>
      <c r="C221" s="2">
        <f>IF(ISBLANK('1_raw_log'!C221),"",'1_raw_log'!C221)</f>
        <v/>
      </c>
      <c r="D221" s="2">
        <f>IF(ISBLANK('1_raw_log'!D221),"",'1_raw_log'!D221)</f>
        <v/>
      </c>
      <c r="E221" s="4">
        <f>IF(ISBLANK('1_raw_log'!E221),"",'1_raw_log'!E221)</f>
        <v/>
      </c>
      <c r="F221" s="2">
        <f>IF(ISBLANK('1_raw_log'!F221),"",'1_raw_log'!F221)</f>
        <v/>
      </c>
      <c r="G221" s="2">
        <f>IF(ISBLANK('1_raw_log'!G221),"",'1_raw_log'!G221)</f>
        <v/>
      </c>
      <c r="H221" s="2">
        <f>IF(ISBLANK('1_raw_log'!H221),"",'1_raw_log'!H221)</f>
        <v/>
      </c>
      <c r="I221" s="7">
        <f>IF(ISBLANK('1_raw_log'!I221),"",'1_raw_log'!I221)</f>
        <v/>
      </c>
      <c r="J221" s="2">
        <f>IF(ISBLANK('1_raw_log'!J221),"",'1_raw_log'!J221)</f>
        <v/>
      </c>
      <c r="K221" s="2">
        <f>IF(ISBLANK('1_raw_log'!K221),"",'1_raw_log'!K221)</f>
        <v/>
      </c>
      <c r="L221" s="30">
        <f>INT(B221)</f>
        <v/>
      </c>
      <c r="M221" s="20">
        <f>ROUND(MOD(B221,1)*1440,0)/1440</f>
        <v/>
      </c>
      <c r="N221" s="4">
        <f>IFERROR(INDEX('3_ref_date'!$B:$B,MATCH(L221,'3_ref_date'!$A:$A,0)),"NOT FOUND")</f>
        <v/>
      </c>
      <c r="O221" s="2">
        <f>IFERROR(INDEX('3_ref_date'!$C:$C,MATCH(L221,'3_ref_date'!$A:$A,0)),"NOT FOUND")</f>
        <v/>
      </c>
      <c r="P221" s="4">
        <f>IFERROR(INDEX('3_ref_date'!$D:$D,MATCH(L221,'3_ref_date'!$A:$A,0)),"NOT FOUND")</f>
        <v/>
      </c>
      <c r="Q221" s="4">
        <f>IFERROR(INDEX('3_ref_date'!$E:$E,MATCH(L221,'3_ref_date'!$A:$A,0)),"NOT FOUND")</f>
        <v/>
      </c>
      <c r="R221" s="2">
        <f>IFERROR(INDEX('3_ref_date'!$F:$F,MATCH(L221,'3_ref_date'!$A:$A,0)),"NOT FOUND")</f>
        <v/>
      </c>
      <c r="S221" s="2">
        <f>IFERROR(INDEX('4_ref_time'!$D:$D,MATCH(ROUND(M221*1440,0),'4_ref_time'!$A:$A,0)),"NOT FOUND")</f>
        <v/>
      </c>
      <c r="T221" s="2">
        <f>UPPER(TRIM(C221))</f>
        <v/>
      </c>
      <c r="U221" s="30">
        <f>IF(_xlfn.MAXIFS('6_3nf_branch_history'!$B$2:$B$50,'6_3nf_branch_history'!$A$2:$A$50,T221,'6_3nf_branch_history'!$B$2:$B$50,"&lt;="&amp;L221)=0,"NOT FOUND",_xlfn.MAXIFS('6_3nf_branch_history'!$B$2:$B$50,'6_3nf_branch_history'!$A$2:$A$50,T221,'6_3nf_branch_history'!$B$2:$B$50,"&lt;="&amp;L221))</f>
        <v/>
      </c>
      <c r="V221" s="2">
        <f>IF(U221="NOT FOUND","NOT FOUND",INDEX('6_3nf_branch_history'!$C:$C,SUMPRODUCT(('6_3nf_branch_history'!$A$2:$A$50=T221)*('6_3nf_branch_history'!$B$2:$B$50=U221)*ROW('6_3nf_branch_history'!$A$2:$A$50))))</f>
        <v/>
      </c>
      <c r="W221" s="2">
        <f>IF(U221="NOT FOUND","NOT FOUND",INDEX('6_3nf_branch_history'!$D:$D,SUMPRODUCT(('6_3nf_branch_history'!$A$2:$A$50=T221)*('6_3nf_branch_history'!$B$2:$B$50=U221)*ROW('6_3nf_branch_history'!$A$2:$A$50))))</f>
        <v/>
      </c>
      <c r="X221" s="2">
        <f>IF(U221="NOT FOUND","NOT FOUND",INDEX('6_3nf_branch_history'!$E:$E,SUMPRODUCT(('6_3nf_branch_history'!$A$2:$A$50=T221)*('6_3nf_branch_history'!$B$2:$B$50=U221)*ROW('6_3nf_branch_history'!$A$2:$A$50))))</f>
        <v/>
      </c>
      <c r="Y221" s="2">
        <f>UPPER(TRIM(D221))</f>
        <v/>
      </c>
      <c r="Z221" s="2">
        <f>IFERROR(INDEX('7_3nf_product'!$B:$B,MATCH(Y221,'7_3nf_product'!$A:$A,0)),"NOT FOUND")</f>
        <v/>
      </c>
      <c r="AA221" s="2">
        <f>IFERROR(INDEX('7_3nf_product'!$C:$C,MATCH(Y221,'7_3nf_product'!$A:$A,0)),"NOT FOUND")</f>
        <v/>
      </c>
      <c r="AB221" s="2">
        <f>IFERROR(INDEX('7_3nf_product'!$D:$D,MATCH(Y221,'7_3nf_product'!$A:$A,0)),"NOT FOUND")</f>
        <v/>
      </c>
      <c r="AC221" s="6">
        <f>IFERROR(INDEX('7_3nf_product'!$E:$E,MATCH(Y221,'7_3nf_product'!$A:$A,0)),"NOT FOUND")</f>
        <v/>
      </c>
      <c r="AD221" s="33">
        <f>IF(LEN(TRIM(E221))=10,TRIM(E221),IF(LEN(TRIM(E221))=8,"00"&amp;TRIM(E221),"CHECK"))</f>
        <v/>
      </c>
      <c r="AE221" s="2">
        <f>IFERROR(INDEX('8_3nf_customer'!$C:$C,MATCH(AD221,'8_3nf_customer'!$B:$B,0)),"NOT FOUND")</f>
        <v/>
      </c>
      <c r="AF221" s="30">
        <f>IFERROR(INDEX('8_3nf_customer'!$D:$D,MATCH(AD221,'8_3nf_customer'!$B:$B,0)),"NOT FOUND")</f>
        <v/>
      </c>
      <c r="AG221" s="4">
        <f>IF(ISNUMBER(AF221),DATEDIF(AF221,L221,"y"),"NOT FOUND")</f>
        <v/>
      </c>
      <c r="AH221" s="2">
        <f>IFERROR(INDEX('8_3nf_customer'!$E:$E,MATCH(AD221,'8_3nf_customer'!$B:$B,0)),"NOT FOUND")</f>
        <v/>
      </c>
      <c r="AI221" s="30">
        <f>IF(_xlfn.MAXIFS('9_3nf_customer_history'!$B$2:$B$500,'9_3nf_customer_history'!$A$2:$A$500,AD221,'9_3nf_customer_history'!$B$2:$B$500,"&lt;="&amp;L221)=0,"NOT FOUND",_xlfn.MAXIFS('9_3nf_customer_history'!$B$2:$B$500,'9_3nf_customer_history'!$A$2:$A$500,AD221,'9_3nf_customer_history'!$B$2:$B$500,"&lt;="&amp;L221))</f>
        <v/>
      </c>
      <c r="AJ221" s="2">
        <f>IF(AI221="NOT FOUND","NOT FOUND",INDEX('9_3nf_customer_history'!$C:$C,SUMPRODUCT(('9_3nf_customer_history'!$A$2:$A$500=AD221)*('9_3nf_customer_history'!$B$2:$B$500=AI221)*ROW('9_3nf_customer_history'!$A$2:$A$500))))</f>
        <v/>
      </c>
      <c r="AK221" s="2">
        <f>IF(AI221="NOT FOUND","NOT FOUND",INDEX('9_3nf_customer_history'!$D:$D,SUMPRODUCT(('9_3nf_customer_history'!$A$2:$A$500=AD221)*('9_3nf_customer_history'!$B$2:$B$500=AI221)*ROW('9_3nf_customer_history'!$A$2:$A$500))))</f>
        <v/>
      </c>
      <c r="AL221" s="2">
        <f>UPPER(TRIM(H221))</f>
        <v/>
      </c>
      <c r="AM221" s="30">
        <f>IF(_xlfn.MAXIFS('10_ref_fx_rate'!$B$2:$B$2000,'10_ref_fx_rate'!$A$2:$A$2000,AL221,'10_ref_fx_rate'!$B$2:$B$2000,"&lt;="&amp;L221)=0,"NOT FOUND",_xlfn.MAXIFS('10_ref_fx_rate'!$B$2:$B$2000,'10_ref_fx_rate'!$A$2:$A$2000,AL221,'10_ref_fx_rate'!$B$2:$B$2000,"&lt;="&amp;L221))</f>
        <v/>
      </c>
      <c r="AN221" s="8">
        <f>IF(AM221="NOT FOUND","NOT FOUND",SUMIFS('10_ref_fx_rate'!$D$2:$D$2000,'10_ref_fx_rate'!$A$2:$A$2000,AL221,'10_ref_fx_rate'!$B$2:$B$2000,AM221))</f>
        <v/>
      </c>
      <c r="AO221" s="37">
        <f>IF(ISNUMBER(AN221),I221*AN221,"NOT FOUND")</f>
        <v/>
      </c>
      <c r="AP221" s="2">
        <f>UPPER(TRIM(J221))</f>
        <v/>
      </c>
      <c r="AQ221" s="2">
        <f>IF(AP221="","SELF-DIRECTED",IF(ISNUMBER(MATCH(AP221,'11_3nf_sales_person'!$A:$A,0)),IF(EXACT(AP221,J221),"OK","OK (auto-fixed)"),IF(ISNA(MATCH($A221,'12_sales_person_confirmation'!$A:$A,0)),"CONFIRM (not logged)",IF(INDEX('12_sales_person_confirmation'!$I:$I,MATCH($A221,'12_sales_person_confirmation'!$A:$A,0))="CONFIRMED","CONFIRMED ("&amp;LOWER(INDEX('12_sales_person_confirmation'!$E:$E,MATCH($A221,'12_sales_person_confirmation'!$A:$A,0)))&amp;")","PENDING CONFIRM"))))</f>
        <v/>
      </c>
      <c r="AR221" s="2">
        <f>IF(OR(AQ221="OK",AQ221="OK (auto-fixed)"),AP221,IF(LEFT(AQ221,9)="CONFIRMED",INDEX('12_sales_person_confirmation'!$F:$F,MATCH($A221,'12_sales_person_confirmation'!$A:$A,0)),""))</f>
        <v/>
      </c>
      <c r="AS221" s="2">
        <f>IF(AR221="","",INDEX('11_3nf_sales_person'!$B:$B,MATCH(AR221,'11_3nf_sales_person'!$A:$A,0)))</f>
        <v/>
      </c>
    </row>
    <row r="222">
      <c r="A222" s="2">
        <f>IF(ISBLANK('1_raw_log'!A222),"",'1_raw_log'!A222)</f>
        <v/>
      </c>
      <c r="B222" s="3">
        <f>IF(ISBLANK('1_raw_log'!B222),"",'1_raw_log'!B222)</f>
        <v/>
      </c>
      <c r="C222" s="2">
        <f>IF(ISBLANK('1_raw_log'!C222),"",'1_raw_log'!C222)</f>
        <v/>
      </c>
      <c r="D222" s="2">
        <f>IF(ISBLANK('1_raw_log'!D222),"",'1_raw_log'!D222)</f>
        <v/>
      </c>
      <c r="E222" s="4">
        <f>IF(ISBLANK('1_raw_log'!E222),"",'1_raw_log'!E222)</f>
        <v/>
      </c>
      <c r="F222" s="2">
        <f>IF(ISBLANK('1_raw_log'!F222),"",'1_raw_log'!F222)</f>
        <v/>
      </c>
      <c r="G222" s="2">
        <f>IF(ISBLANK('1_raw_log'!G222),"",'1_raw_log'!G222)</f>
        <v/>
      </c>
      <c r="H222" s="2">
        <f>IF(ISBLANK('1_raw_log'!H222),"",'1_raw_log'!H222)</f>
        <v/>
      </c>
      <c r="I222" s="7">
        <f>IF(ISBLANK('1_raw_log'!I222),"",'1_raw_log'!I222)</f>
        <v/>
      </c>
      <c r="J222" s="2">
        <f>IF(ISBLANK('1_raw_log'!J222),"",'1_raw_log'!J222)</f>
        <v/>
      </c>
      <c r="K222" s="2">
        <f>IF(ISBLANK('1_raw_log'!K222),"",'1_raw_log'!K222)</f>
        <v/>
      </c>
      <c r="L222" s="30">
        <f>INT(B222)</f>
        <v/>
      </c>
      <c r="M222" s="20">
        <f>ROUND(MOD(B222,1)*1440,0)/1440</f>
        <v/>
      </c>
      <c r="N222" s="4">
        <f>IFERROR(INDEX('3_ref_date'!$B:$B,MATCH(L222,'3_ref_date'!$A:$A,0)),"NOT FOUND")</f>
        <v/>
      </c>
      <c r="O222" s="2">
        <f>IFERROR(INDEX('3_ref_date'!$C:$C,MATCH(L222,'3_ref_date'!$A:$A,0)),"NOT FOUND")</f>
        <v/>
      </c>
      <c r="P222" s="4">
        <f>IFERROR(INDEX('3_ref_date'!$D:$D,MATCH(L222,'3_ref_date'!$A:$A,0)),"NOT FOUND")</f>
        <v/>
      </c>
      <c r="Q222" s="4">
        <f>IFERROR(INDEX('3_ref_date'!$E:$E,MATCH(L222,'3_ref_date'!$A:$A,0)),"NOT FOUND")</f>
        <v/>
      </c>
      <c r="R222" s="2">
        <f>IFERROR(INDEX('3_ref_date'!$F:$F,MATCH(L222,'3_ref_date'!$A:$A,0)),"NOT FOUND")</f>
        <v/>
      </c>
      <c r="S222" s="2">
        <f>IFERROR(INDEX('4_ref_time'!$D:$D,MATCH(ROUND(M222*1440,0),'4_ref_time'!$A:$A,0)),"NOT FOUND")</f>
        <v/>
      </c>
      <c r="T222" s="2">
        <f>UPPER(TRIM(C222))</f>
        <v/>
      </c>
      <c r="U222" s="30">
        <f>IF(_xlfn.MAXIFS('6_3nf_branch_history'!$B$2:$B$50,'6_3nf_branch_history'!$A$2:$A$50,T222,'6_3nf_branch_history'!$B$2:$B$50,"&lt;="&amp;L222)=0,"NOT FOUND",_xlfn.MAXIFS('6_3nf_branch_history'!$B$2:$B$50,'6_3nf_branch_history'!$A$2:$A$50,T222,'6_3nf_branch_history'!$B$2:$B$50,"&lt;="&amp;L222))</f>
        <v/>
      </c>
      <c r="V222" s="2">
        <f>IF(U222="NOT FOUND","NOT FOUND",INDEX('6_3nf_branch_history'!$C:$C,SUMPRODUCT(('6_3nf_branch_history'!$A$2:$A$50=T222)*('6_3nf_branch_history'!$B$2:$B$50=U222)*ROW('6_3nf_branch_history'!$A$2:$A$50))))</f>
        <v/>
      </c>
      <c r="W222" s="2">
        <f>IF(U222="NOT FOUND","NOT FOUND",INDEX('6_3nf_branch_history'!$D:$D,SUMPRODUCT(('6_3nf_branch_history'!$A$2:$A$50=T222)*('6_3nf_branch_history'!$B$2:$B$50=U222)*ROW('6_3nf_branch_history'!$A$2:$A$50))))</f>
        <v/>
      </c>
      <c r="X222" s="2">
        <f>IF(U222="NOT FOUND","NOT FOUND",INDEX('6_3nf_branch_history'!$E:$E,SUMPRODUCT(('6_3nf_branch_history'!$A$2:$A$50=T222)*('6_3nf_branch_history'!$B$2:$B$50=U222)*ROW('6_3nf_branch_history'!$A$2:$A$50))))</f>
        <v/>
      </c>
      <c r="Y222" s="2">
        <f>UPPER(TRIM(D222))</f>
        <v/>
      </c>
      <c r="Z222" s="2">
        <f>IFERROR(INDEX('7_3nf_product'!$B:$B,MATCH(Y222,'7_3nf_product'!$A:$A,0)),"NOT FOUND")</f>
        <v/>
      </c>
      <c r="AA222" s="2">
        <f>IFERROR(INDEX('7_3nf_product'!$C:$C,MATCH(Y222,'7_3nf_product'!$A:$A,0)),"NOT FOUND")</f>
        <v/>
      </c>
      <c r="AB222" s="2">
        <f>IFERROR(INDEX('7_3nf_product'!$D:$D,MATCH(Y222,'7_3nf_product'!$A:$A,0)),"NOT FOUND")</f>
        <v/>
      </c>
      <c r="AC222" s="6">
        <f>IFERROR(INDEX('7_3nf_product'!$E:$E,MATCH(Y222,'7_3nf_product'!$A:$A,0)),"NOT FOUND")</f>
        <v/>
      </c>
      <c r="AD222" s="33">
        <f>IF(LEN(TRIM(E222))=10,TRIM(E222),IF(LEN(TRIM(E222))=8,"00"&amp;TRIM(E222),"CHECK"))</f>
        <v/>
      </c>
      <c r="AE222" s="2">
        <f>IFERROR(INDEX('8_3nf_customer'!$C:$C,MATCH(AD222,'8_3nf_customer'!$B:$B,0)),"NOT FOUND")</f>
        <v/>
      </c>
      <c r="AF222" s="30">
        <f>IFERROR(INDEX('8_3nf_customer'!$D:$D,MATCH(AD222,'8_3nf_customer'!$B:$B,0)),"NOT FOUND")</f>
        <v/>
      </c>
      <c r="AG222" s="4">
        <f>IF(ISNUMBER(AF222),DATEDIF(AF222,L222,"y"),"NOT FOUND")</f>
        <v/>
      </c>
      <c r="AH222" s="2">
        <f>IFERROR(INDEX('8_3nf_customer'!$E:$E,MATCH(AD222,'8_3nf_customer'!$B:$B,0)),"NOT FOUND")</f>
        <v/>
      </c>
      <c r="AI222" s="30">
        <f>IF(_xlfn.MAXIFS('9_3nf_customer_history'!$B$2:$B$500,'9_3nf_customer_history'!$A$2:$A$500,AD222,'9_3nf_customer_history'!$B$2:$B$500,"&lt;="&amp;L222)=0,"NOT FOUND",_xlfn.MAXIFS('9_3nf_customer_history'!$B$2:$B$500,'9_3nf_customer_history'!$A$2:$A$500,AD222,'9_3nf_customer_history'!$B$2:$B$500,"&lt;="&amp;L222))</f>
        <v/>
      </c>
      <c r="AJ222" s="2">
        <f>IF(AI222="NOT FOUND","NOT FOUND",INDEX('9_3nf_customer_history'!$C:$C,SUMPRODUCT(('9_3nf_customer_history'!$A$2:$A$500=AD222)*('9_3nf_customer_history'!$B$2:$B$500=AI222)*ROW('9_3nf_customer_history'!$A$2:$A$500))))</f>
        <v/>
      </c>
      <c r="AK222" s="2">
        <f>IF(AI222="NOT FOUND","NOT FOUND",INDEX('9_3nf_customer_history'!$D:$D,SUMPRODUCT(('9_3nf_customer_history'!$A$2:$A$500=AD222)*('9_3nf_customer_history'!$B$2:$B$500=AI222)*ROW('9_3nf_customer_history'!$A$2:$A$500))))</f>
        <v/>
      </c>
      <c r="AL222" s="2">
        <f>UPPER(TRIM(H222))</f>
        <v/>
      </c>
      <c r="AM222" s="30">
        <f>IF(_xlfn.MAXIFS('10_ref_fx_rate'!$B$2:$B$2000,'10_ref_fx_rate'!$A$2:$A$2000,AL222,'10_ref_fx_rate'!$B$2:$B$2000,"&lt;="&amp;L222)=0,"NOT FOUND",_xlfn.MAXIFS('10_ref_fx_rate'!$B$2:$B$2000,'10_ref_fx_rate'!$A$2:$A$2000,AL222,'10_ref_fx_rate'!$B$2:$B$2000,"&lt;="&amp;L222))</f>
        <v/>
      </c>
      <c r="AN222" s="8">
        <f>IF(AM222="NOT FOUND","NOT FOUND",SUMIFS('10_ref_fx_rate'!$D$2:$D$2000,'10_ref_fx_rate'!$A$2:$A$2000,AL222,'10_ref_fx_rate'!$B$2:$B$2000,AM222))</f>
        <v/>
      </c>
      <c r="AO222" s="37">
        <f>IF(ISNUMBER(AN222),I222*AN222,"NOT FOUND")</f>
        <v/>
      </c>
      <c r="AP222" s="2">
        <f>UPPER(TRIM(J222))</f>
        <v/>
      </c>
      <c r="AQ222" s="2">
        <f>IF(AP222="","SELF-DIRECTED",IF(ISNUMBER(MATCH(AP222,'11_3nf_sales_person'!$A:$A,0)),IF(EXACT(AP222,J222),"OK","OK (auto-fixed)"),IF(ISNA(MATCH($A222,'12_sales_person_confirmation'!$A:$A,0)),"CONFIRM (not logged)",IF(INDEX('12_sales_person_confirmation'!$I:$I,MATCH($A222,'12_sales_person_confirmation'!$A:$A,0))="CONFIRMED","CONFIRMED ("&amp;LOWER(INDEX('12_sales_person_confirmation'!$E:$E,MATCH($A222,'12_sales_person_confirmation'!$A:$A,0)))&amp;")","PENDING CONFIRM"))))</f>
        <v/>
      </c>
      <c r="AR222" s="2">
        <f>IF(OR(AQ222="OK",AQ222="OK (auto-fixed)"),AP222,IF(LEFT(AQ222,9)="CONFIRMED",INDEX('12_sales_person_confirmation'!$F:$F,MATCH($A222,'12_sales_person_confirmation'!$A:$A,0)),""))</f>
        <v/>
      </c>
      <c r="AS222" s="2">
        <f>IF(AR222="","",INDEX('11_3nf_sales_person'!$B:$B,MATCH(AR222,'11_3nf_sales_person'!$A:$A,0)))</f>
        <v/>
      </c>
    </row>
    <row r="223">
      <c r="A223" s="2">
        <f>IF(ISBLANK('1_raw_log'!A223),"",'1_raw_log'!A223)</f>
        <v/>
      </c>
      <c r="B223" s="3">
        <f>IF(ISBLANK('1_raw_log'!B223),"",'1_raw_log'!B223)</f>
        <v/>
      </c>
      <c r="C223" s="2">
        <f>IF(ISBLANK('1_raw_log'!C223),"",'1_raw_log'!C223)</f>
        <v/>
      </c>
      <c r="D223" s="2">
        <f>IF(ISBLANK('1_raw_log'!D223),"",'1_raw_log'!D223)</f>
        <v/>
      </c>
      <c r="E223" s="4">
        <f>IF(ISBLANK('1_raw_log'!E223),"",'1_raw_log'!E223)</f>
        <v/>
      </c>
      <c r="F223" s="2">
        <f>IF(ISBLANK('1_raw_log'!F223),"",'1_raw_log'!F223)</f>
        <v/>
      </c>
      <c r="G223" s="2">
        <f>IF(ISBLANK('1_raw_log'!G223),"",'1_raw_log'!G223)</f>
        <v/>
      </c>
      <c r="H223" s="2">
        <f>IF(ISBLANK('1_raw_log'!H223),"",'1_raw_log'!H223)</f>
        <v/>
      </c>
      <c r="I223" s="7">
        <f>IF(ISBLANK('1_raw_log'!I223),"",'1_raw_log'!I223)</f>
        <v/>
      </c>
      <c r="J223" s="2">
        <f>IF(ISBLANK('1_raw_log'!J223),"",'1_raw_log'!J223)</f>
        <v/>
      </c>
      <c r="K223" s="2">
        <f>IF(ISBLANK('1_raw_log'!K223),"",'1_raw_log'!K223)</f>
        <v/>
      </c>
      <c r="L223" s="30">
        <f>INT(B223)</f>
        <v/>
      </c>
      <c r="M223" s="20">
        <f>ROUND(MOD(B223,1)*1440,0)/1440</f>
        <v/>
      </c>
      <c r="N223" s="4">
        <f>IFERROR(INDEX('3_ref_date'!$B:$B,MATCH(L223,'3_ref_date'!$A:$A,0)),"NOT FOUND")</f>
        <v/>
      </c>
      <c r="O223" s="2">
        <f>IFERROR(INDEX('3_ref_date'!$C:$C,MATCH(L223,'3_ref_date'!$A:$A,0)),"NOT FOUND")</f>
        <v/>
      </c>
      <c r="P223" s="4">
        <f>IFERROR(INDEX('3_ref_date'!$D:$D,MATCH(L223,'3_ref_date'!$A:$A,0)),"NOT FOUND")</f>
        <v/>
      </c>
      <c r="Q223" s="4">
        <f>IFERROR(INDEX('3_ref_date'!$E:$E,MATCH(L223,'3_ref_date'!$A:$A,0)),"NOT FOUND")</f>
        <v/>
      </c>
      <c r="R223" s="2">
        <f>IFERROR(INDEX('3_ref_date'!$F:$F,MATCH(L223,'3_ref_date'!$A:$A,0)),"NOT FOUND")</f>
        <v/>
      </c>
      <c r="S223" s="2">
        <f>IFERROR(INDEX('4_ref_time'!$D:$D,MATCH(ROUND(M223*1440,0),'4_ref_time'!$A:$A,0)),"NOT FOUND")</f>
        <v/>
      </c>
      <c r="T223" s="2">
        <f>UPPER(TRIM(C223))</f>
        <v/>
      </c>
      <c r="U223" s="30">
        <f>IF(_xlfn.MAXIFS('6_3nf_branch_history'!$B$2:$B$50,'6_3nf_branch_history'!$A$2:$A$50,T223,'6_3nf_branch_history'!$B$2:$B$50,"&lt;="&amp;L223)=0,"NOT FOUND",_xlfn.MAXIFS('6_3nf_branch_history'!$B$2:$B$50,'6_3nf_branch_history'!$A$2:$A$50,T223,'6_3nf_branch_history'!$B$2:$B$50,"&lt;="&amp;L223))</f>
        <v/>
      </c>
      <c r="V223" s="2">
        <f>IF(U223="NOT FOUND","NOT FOUND",INDEX('6_3nf_branch_history'!$C:$C,SUMPRODUCT(('6_3nf_branch_history'!$A$2:$A$50=T223)*('6_3nf_branch_history'!$B$2:$B$50=U223)*ROW('6_3nf_branch_history'!$A$2:$A$50))))</f>
        <v/>
      </c>
      <c r="W223" s="2">
        <f>IF(U223="NOT FOUND","NOT FOUND",INDEX('6_3nf_branch_history'!$D:$D,SUMPRODUCT(('6_3nf_branch_history'!$A$2:$A$50=T223)*('6_3nf_branch_history'!$B$2:$B$50=U223)*ROW('6_3nf_branch_history'!$A$2:$A$50))))</f>
        <v/>
      </c>
      <c r="X223" s="2">
        <f>IF(U223="NOT FOUND","NOT FOUND",INDEX('6_3nf_branch_history'!$E:$E,SUMPRODUCT(('6_3nf_branch_history'!$A$2:$A$50=T223)*('6_3nf_branch_history'!$B$2:$B$50=U223)*ROW('6_3nf_branch_history'!$A$2:$A$50))))</f>
        <v/>
      </c>
      <c r="Y223" s="2">
        <f>UPPER(TRIM(D223))</f>
        <v/>
      </c>
      <c r="Z223" s="2">
        <f>IFERROR(INDEX('7_3nf_product'!$B:$B,MATCH(Y223,'7_3nf_product'!$A:$A,0)),"NOT FOUND")</f>
        <v/>
      </c>
      <c r="AA223" s="2">
        <f>IFERROR(INDEX('7_3nf_product'!$C:$C,MATCH(Y223,'7_3nf_product'!$A:$A,0)),"NOT FOUND")</f>
        <v/>
      </c>
      <c r="AB223" s="2">
        <f>IFERROR(INDEX('7_3nf_product'!$D:$D,MATCH(Y223,'7_3nf_product'!$A:$A,0)),"NOT FOUND")</f>
        <v/>
      </c>
      <c r="AC223" s="6">
        <f>IFERROR(INDEX('7_3nf_product'!$E:$E,MATCH(Y223,'7_3nf_product'!$A:$A,0)),"NOT FOUND")</f>
        <v/>
      </c>
      <c r="AD223" s="33">
        <f>IF(LEN(TRIM(E223))=10,TRIM(E223),IF(LEN(TRIM(E223))=8,"00"&amp;TRIM(E223),"CHECK"))</f>
        <v/>
      </c>
      <c r="AE223" s="2">
        <f>IFERROR(INDEX('8_3nf_customer'!$C:$C,MATCH(AD223,'8_3nf_customer'!$B:$B,0)),"NOT FOUND")</f>
        <v/>
      </c>
      <c r="AF223" s="30">
        <f>IFERROR(INDEX('8_3nf_customer'!$D:$D,MATCH(AD223,'8_3nf_customer'!$B:$B,0)),"NOT FOUND")</f>
        <v/>
      </c>
      <c r="AG223" s="4">
        <f>IF(ISNUMBER(AF223),DATEDIF(AF223,L223,"y"),"NOT FOUND")</f>
        <v/>
      </c>
      <c r="AH223" s="2">
        <f>IFERROR(INDEX('8_3nf_customer'!$E:$E,MATCH(AD223,'8_3nf_customer'!$B:$B,0)),"NOT FOUND")</f>
        <v/>
      </c>
      <c r="AI223" s="30">
        <f>IF(_xlfn.MAXIFS('9_3nf_customer_history'!$B$2:$B$500,'9_3nf_customer_history'!$A$2:$A$500,AD223,'9_3nf_customer_history'!$B$2:$B$500,"&lt;="&amp;L223)=0,"NOT FOUND",_xlfn.MAXIFS('9_3nf_customer_history'!$B$2:$B$500,'9_3nf_customer_history'!$A$2:$A$500,AD223,'9_3nf_customer_history'!$B$2:$B$500,"&lt;="&amp;L223))</f>
        <v/>
      </c>
      <c r="AJ223" s="2">
        <f>IF(AI223="NOT FOUND","NOT FOUND",INDEX('9_3nf_customer_history'!$C:$C,SUMPRODUCT(('9_3nf_customer_history'!$A$2:$A$500=AD223)*('9_3nf_customer_history'!$B$2:$B$500=AI223)*ROW('9_3nf_customer_history'!$A$2:$A$500))))</f>
        <v/>
      </c>
      <c r="AK223" s="2">
        <f>IF(AI223="NOT FOUND","NOT FOUND",INDEX('9_3nf_customer_history'!$D:$D,SUMPRODUCT(('9_3nf_customer_history'!$A$2:$A$500=AD223)*('9_3nf_customer_history'!$B$2:$B$500=AI223)*ROW('9_3nf_customer_history'!$A$2:$A$500))))</f>
        <v/>
      </c>
      <c r="AL223" s="2">
        <f>UPPER(TRIM(H223))</f>
        <v/>
      </c>
      <c r="AM223" s="30">
        <f>IF(_xlfn.MAXIFS('10_ref_fx_rate'!$B$2:$B$2000,'10_ref_fx_rate'!$A$2:$A$2000,AL223,'10_ref_fx_rate'!$B$2:$B$2000,"&lt;="&amp;L223)=0,"NOT FOUND",_xlfn.MAXIFS('10_ref_fx_rate'!$B$2:$B$2000,'10_ref_fx_rate'!$A$2:$A$2000,AL223,'10_ref_fx_rate'!$B$2:$B$2000,"&lt;="&amp;L223))</f>
        <v/>
      </c>
      <c r="AN223" s="8">
        <f>IF(AM223="NOT FOUND","NOT FOUND",SUMIFS('10_ref_fx_rate'!$D$2:$D$2000,'10_ref_fx_rate'!$A$2:$A$2000,AL223,'10_ref_fx_rate'!$B$2:$B$2000,AM223))</f>
        <v/>
      </c>
      <c r="AO223" s="37">
        <f>IF(ISNUMBER(AN223),I223*AN223,"NOT FOUND")</f>
        <v/>
      </c>
      <c r="AP223" s="2">
        <f>UPPER(TRIM(J223))</f>
        <v/>
      </c>
      <c r="AQ223" s="2">
        <f>IF(AP223="","SELF-DIRECTED",IF(ISNUMBER(MATCH(AP223,'11_3nf_sales_person'!$A:$A,0)),IF(EXACT(AP223,J223),"OK","OK (auto-fixed)"),IF(ISNA(MATCH($A223,'12_sales_person_confirmation'!$A:$A,0)),"CONFIRM (not logged)",IF(INDEX('12_sales_person_confirmation'!$I:$I,MATCH($A223,'12_sales_person_confirmation'!$A:$A,0))="CONFIRMED","CONFIRMED ("&amp;LOWER(INDEX('12_sales_person_confirmation'!$E:$E,MATCH($A223,'12_sales_person_confirmation'!$A:$A,0)))&amp;")","PENDING CONFIRM"))))</f>
        <v/>
      </c>
      <c r="AR223" s="2">
        <f>IF(OR(AQ223="OK",AQ223="OK (auto-fixed)"),AP223,IF(LEFT(AQ223,9)="CONFIRMED",INDEX('12_sales_person_confirmation'!$F:$F,MATCH($A223,'12_sales_person_confirmation'!$A:$A,0)),""))</f>
        <v/>
      </c>
      <c r="AS223" s="2">
        <f>IF(AR223="","",INDEX('11_3nf_sales_person'!$B:$B,MATCH(AR223,'11_3nf_sales_person'!$A:$A,0)))</f>
        <v/>
      </c>
    </row>
    <row r="224">
      <c r="A224" s="2">
        <f>IF(ISBLANK('1_raw_log'!A224),"",'1_raw_log'!A224)</f>
        <v/>
      </c>
      <c r="B224" s="3">
        <f>IF(ISBLANK('1_raw_log'!B224),"",'1_raw_log'!B224)</f>
        <v/>
      </c>
      <c r="C224" s="2">
        <f>IF(ISBLANK('1_raw_log'!C224),"",'1_raw_log'!C224)</f>
        <v/>
      </c>
      <c r="D224" s="2">
        <f>IF(ISBLANK('1_raw_log'!D224),"",'1_raw_log'!D224)</f>
        <v/>
      </c>
      <c r="E224" s="4">
        <f>IF(ISBLANK('1_raw_log'!E224),"",'1_raw_log'!E224)</f>
        <v/>
      </c>
      <c r="F224" s="2">
        <f>IF(ISBLANK('1_raw_log'!F224),"",'1_raw_log'!F224)</f>
        <v/>
      </c>
      <c r="G224" s="2">
        <f>IF(ISBLANK('1_raw_log'!G224),"",'1_raw_log'!G224)</f>
        <v/>
      </c>
      <c r="H224" s="2">
        <f>IF(ISBLANK('1_raw_log'!H224),"",'1_raw_log'!H224)</f>
        <v/>
      </c>
      <c r="I224" s="7">
        <f>IF(ISBLANK('1_raw_log'!I224),"",'1_raw_log'!I224)</f>
        <v/>
      </c>
      <c r="J224" s="2">
        <f>IF(ISBLANK('1_raw_log'!J224),"",'1_raw_log'!J224)</f>
        <v/>
      </c>
      <c r="K224" s="2">
        <f>IF(ISBLANK('1_raw_log'!K224),"",'1_raw_log'!K224)</f>
        <v/>
      </c>
      <c r="L224" s="30">
        <f>INT(B224)</f>
        <v/>
      </c>
      <c r="M224" s="20">
        <f>ROUND(MOD(B224,1)*1440,0)/1440</f>
        <v/>
      </c>
      <c r="N224" s="4">
        <f>IFERROR(INDEX('3_ref_date'!$B:$B,MATCH(L224,'3_ref_date'!$A:$A,0)),"NOT FOUND")</f>
        <v/>
      </c>
      <c r="O224" s="2">
        <f>IFERROR(INDEX('3_ref_date'!$C:$C,MATCH(L224,'3_ref_date'!$A:$A,0)),"NOT FOUND")</f>
        <v/>
      </c>
      <c r="P224" s="4">
        <f>IFERROR(INDEX('3_ref_date'!$D:$D,MATCH(L224,'3_ref_date'!$A:$A,0)),"NOT FOUND")</f>
        <v/>
      </c>
      <c r="Q224" s="4">
        <f>IFERROR(INDEX('3_ref_date'!$E:$E,MATCH(L224,'3_ref_date'!$A:$A,0)),"NOT FOUND")</f>
        <v/>
      </c>
      <c r="R224" s="2">
        <f>IFERROR(INDEX('3_ref_date'!$F:$F,MATCH(L224,'3_ref_date'!$A:$A,0)),"NOT FOUND")</f>
        <v/>
      </c>
      <c r="S224" s="2">
        <f>IFERROR(INDEX('4_ref_time'!$D:$D,MATCH(ROUND(M224*1440,0),'4_ref_time'!$A:$A,0)),"NOT FOUND")</f>
        <v/>
      </c>
      <c r="T224" s="2">
        <f>UPPER(TRIM(C224))</f>
        <v/>
      </c>
      <c r="U224" s="30">
        <f>IF(_xlfn.MAXIFS('6_3nf_branch_history'!$B$2:$B$50,'6_3nf_branch_history'!$A$2:$A$50,T224,'6_3nf_branch_history'!$B$2:$B$50,"&lt;="&amp;L224)=0,"NOT FOUND",_xlfn.MAXIFS('6_3nf_branch_history'!$B$2:$B$50,'6_3nf_branch_history'!$A$2:$A$50,T224,'6_3nf_branch_history'!$B$2:$B$50,"&lt;="&amp;L224))</f>
        <v/>
      </c>
      <c r="V224" s="2">
        <f>IF(U224="NOT FOUND","NOT FOUND",INDEX('6_3nf_branch_history'!$C:$C,SUMPRODUCT(('6_3nf_branch_history'!$A$2:$A$50=T224)*('6_3nf_branch_history'!$B$2:$B$50=U224)*ROW('6_3nf_branch_history'!$A$2:$A$50))))</f>
        <v/>
      </c>
      <c r="W224" s="2">
        <f>IF(U224="NOT FOUND","NOT FOUND",INDEX('6_3nf_branch_history'!$D:$D,SUMPRODUCT(('6_3nf_branch_history'!$A$2:$A$50=T224)*('6_3nf_branch_history'!$B$2:$B$50=U224)*ROW('6_3nf_branch_history'!$A$2:$A$50))))</f>
        <v/>
      </c>
      <c r="X224" s="2">
        <f>IF(U224="NOT FOUND","NOT FOUND",INDEX('6_3nf_branch_history'!$E:$E,SUMPRODUCT(('6_3nf_branch_history'!$A$2:$A$50=T224)*('6_3nf_branch_history'!$B$2:$B$50=U224)*ROW('6_3nf_branch_history'!$A$2:$A$50))))</f>
        <v/>
      </c>
      <c r="Y224" s="2">
        <f>UPPER(TRIM(D224))</f>
        <v/>
      </c>
      <c r="Z224" s="2">
        <f>IFERROR(INDEX('7_3nf_product'!$B:$B,MATCH(Y224,'7_3nf_product'!$A:$A,0)),"NOT FOUND")</f>
        <v/>
      </c>
      <c r="AA224" s="2">
        <f>IFERROR(INDEX('7_3nf_product'!$C:$C,MATCH(Y224,'7_3nf_product'!$A:$A,0)),"NOT FOUND")</f>
        <v/>
      </c>
      <c r="AB224" s="2">
        <f>IFERROR(INDEX('7_3nf_product'!$D:$D,MATCH(Y224,'7_3nf_product'!$A:$A,0)),"NOT FOUND")</f>
        <v/>
      </c>
      <c r="AC224" s="6">
        <f>IFERROR(INDEX('7_3nf_product'!$E:$E,MATCH(Y224,'7_3nf_product'!$A:$A,0)),"NOT FOUND")</f>
        <v/>
      </c>
      <c r="AD224" s="33">
        <f>IF(LEN(TRIM(E224))=10,TRIM(E224),IF(LEN(TRIM(E224))=8,"00"&amp;TRIM(E224),"CHECK"))</f>
        <v/>
      </c>
      <c r="AE224" s="2">
        <f>IFERROR(INDEX('8_3nf_customer'!$C:$C,MATCH(AD224,'8_3nf_customer'!$B:$B,0)),"NOT FOUND")</f>
        <v/>
      </c>
      <c r="AF224" s="30">
        <f>IFERROR(INDEX('8_3nf_customer'!$D:$D,MATCH(AD224,'8_3nf_customer'!$B:$B,0)),"NOT FOUND")</f>
        <v/>
      </c>
      <c r="AG224" s="4">
        <f>IF(ISNUMBER(AF224),DATEDIF(AF224,L224,"y"),"NOT FOUND")</f>
        <v/>
      </c>
      <c r="AH224" s="2">
        <f>IFERROR(INDEX('8_3nf_customer'!$E:$E,MATCH(AD224,'8_3nf_customer'!$B:$B,0)),"NOT FOUND")</f>
        <v/>
      </c>
      <c r="AI224" s="30">
        <f>IF(_xlfn.MAXIFS('9_3nf_customer_history'!$B$2:$B$500,'9_3nf_customer_history'!$A$2:$A$500,AD224,'9_3nf_customer_history'!$B$2:$B$500,"&lt;="&amp;L224)=0,"NOT FOUND",_xlfn.MAXIFS('9_3nf_customer_history'!$B$2:$B$500,'9_3nf_customer_history'!$A$2:$A$500,AD224,'9_3nf_customer_history'!$B$2:$B$500,"&lt;="&amp;L224))</f>
        <v/>
      </c>
      <c r="AJ224" s="2">
        <f>IF(AI224="NOT FOUND","NOT FOUND",INDEX('9_3nf_customer_history'!$C:$C,SUMPRODUCT(('9_3nf_customer_history'!$A$2:$A$500=AD224)*('9_3nf_customer_history'!$B$2:$B$500=AI224)*ROW('9_3nf_customer_history'!$A$2:$A$500))))</f>
        <v/>
      </c>
      <c r="AK224" s="2">
        <f>IF(AI224="NOT FOUND","NOT FOUND",INDEX('9_3nf_customer_history'!$D:$D,SUMPRODUCT(('9_3nf_customer_history'!$A$2:$A$500=AD224)*('9_3nf_customer_history'!$B$2:$B$500=AI224)*ROW('9_3nf_customer_history'!$A$2:$A$500))))</f>
        <v/>
      </c>
      <c r="AL224" s="2">
        <f>UPPER(TRIM(H224))</f>
        <v/>
      </c>
      <c r="AM224" s="30">
        <f>IF(_xlfn.MAXIFS('10_ref_fx_rate'!$B$2:$B$2000,'10_ref_fx_rate'!$A$2:$A$2000,AL224,'10_ref_fx_rate'!$B$2:$B$2000,"&lt;="&amp;L224)=0,"NOT FOUND",_xlfn.MAXIFS('10_ref_fx_rate'!$B$2:$B$2000,'10_ref_fx_rate'!$A$2:$A$2000,AL224,'10_ref_fx_rate'!$B$2:$B$2000,"&lt;="&amp;L224))</f>
        <v/>
      </c>
      <c r="AN224" s="8">
        <f>IF(AM224="NOT FOUND","NOT FOUND",SUMIFS('10_ref_fx_rate'!$D$2:$D$2000,'10_ref_fx_rate'!$A$2:$A$2000,AL224,'10_ref_fx_rate'!$B$2:$B$2000,AM224))</f>
        <v/>
      </c>
      <c r="AO224" s="37">
        <f>IF(ISNUMBER(AN224),I224*AN224,"NOT FOUND")</f>
        <v/>
      </c>
      <c r="AP224" s="2">
        <f>UPPER(TRIM(J224))</f>
        <v/>
      </c>
      <c r="AQ224" s="2">
        <f>IF(AP224="","SELF-DIRECTED",IF(ISNUMBER(MATCH(AP224,'11_3nf_sales_person'!$A:$A,0)),IF(EXACT(AP224,J224),"OK","OK (auto-fixed)"),IF(ISNA(MATCH($A224,'12_sales_person_confirmation'!$A:$A,0)),"CONFIRM (not logged)",IF(INDEX('12_sales_person_confirmation'!$I:$I,MATCH($A224,'12_sales_person_confirmation'!$A:$A,0))="CONFIRMED","CONFIRMED ("&amp;LOWER(INDEX('12_sales_person_confirmation'!$E:$E,MATCH($A224,'12_sales_person_confirmation'!$A:$A,0)))&amp;")","PENDING CONFIRM"))))</f>
        <v/>
      </c>
      <c r="AR224" s="2">
        <f>IF(OR(AQ224="OK",AQ224="OK (auto-fixed)"),AP224,IF(LEFT(AQ224,9)="CONFIRMED",INDEX('12_sales_person_confirmation'!$F:$F,MATCH($A224,'12_sales_person_confirmation'!$A:$A,0)),""))</f>
        <v/>
      </c>
      <c r="AS224" s="2">
        <f>IF(AR224="","",INDEX('11_3nf_sales_person'!$B:$B,MATCH(AR224,'11_3nf_sales_person'!$A:$A,0)))</f>
        <v/>
      </c>
    </row>
    <row r="225">
      <c r="A225" s="2">
        <f>IF(ISBLANK('1_raw_log'!A225),"",'1_raw_log'!A225)</f>
        <v/>
      </c>
      <c r="B225" s="3">
        <f>IF(ISBLANK('1_raw_log'!B225),"",'1_raw_log'!B225)</f>
        <v/>
      </c>
      <c r="C225" s="2">
        <f>IF(ISBLANK('1_raw_log'!C225),"",'1_raw_log'!C225)</f>
        <v/>
      </c>
      <c r="D225" s="2">
        <f>IF(ISBLANK('1_raw_log'!D225),"",'1_raw_log'!D225)</f>
        <v/>
      </c>
      <c r="E225" s="4">
        <f>IF(ISBLANK('1_raw_log'!E225),"",'1_raw_log'!E225)</f>
        <v/>
      </c>
      <c r="F225" s="2">
        <f>IF(ISBLANK('1_raw_log'!F225),"",'1_raw_log'!F225)</f>
        <v/>
      </c>
      <c r="G225" s="2">
        <f>IF(ISBLANK('1_raw_log'!G225),"",'1_raw_log'!G225)</f>
        <v/>
      </c>
      <c r="H225" s="2">
        <f>IF(ISBLANK('1_raw_log'!H225),"",'1_raw_log'!H225)</f>
        <v/>
      </c>
      <c r="I225" s="7">
        <f>IF(ISBLANK('1_raw_log'!I225),"",'1_raw_log'!I225)</f>
        <v/>
      </c>
      <c r="J225" s="2">
        <f>IF(ISBLANK('1_raw_log'!J225),"",'1_raw_log'!J225)</f>
        <v/>
      </c>
      <c r="K225" s="2">
        <f>IF(ISBLANK('1_raw_log'!K225),"",'1_raw_log'!K225)</f>
        <v/>
      </c>
      <c r="L225" s="30">
        <f>INT(B225)</f>
        <v/>
      </c>
      <c r="M225" s="20">
        <f>ROUND(MOD(B225,1)*1440,0)/1440</f>
        <v/>
      </c>
      <c r="N225" s="4">
        <f>IFERROR(INDEX('3_ref_date'!$B:$B,MATCH(L225,'3_ref_date'!$A:$A,0)),"NOT FOUND")</f>
        <v/>
      </c>
      <c r="O225" s="2">
        <f>IFERROR(INDEX('3_ref_date'!$C:$C,MATCH(L225,'3_ref_date'!$A:$A,0)),"NOT FOUND")</f>
        <v/>
      </c>
      <c r="P225" s="4">
        <f>IFERROR(INDEX('3_ref_date'!$D:$D,MATCH(L225,'3_ref_date'!$A:$A,0)),"NOT FOUND")</f>
        <v/>
      </c>
      <c r="Q225" s="4">
        <f>IFERROR(INDEX('3_ref_date'!$E:$E,MATCH(L225,'3_ref_date'!$A:$A,0)),"NOT FOUND")</f>
        <v/>
      </c>
      <c r="R225" s="2">
        <f>IFERROR(INDEX('3_ref_date'!$F:$F,MATCH(L225,'3_ref_date'!$A:$A,0)),"NOT FOUND")</f>
        <v/>
      </c>
      <c r="S225" s="2">
        <f>IFERROR(INDEX('4_ref_time'!$D:$D,MATCH(ROUND(M225*1440,0),'4_ref_time'!$A:$A,0)),"NOT FOUND")</f>
        <v/>
      </c>
      <c r="T225" s="2">
        <f>UPPER(TRIM(C225))</f>
        <v/>
      </c>
      <c r="U225" s="30">
        <f>IF(_xlfn.MAXIFS('6_3nf_branch_history'!$B$2:$B$50,'6_3nf_branch_history'!$A$2:$A$50,T225,'6_3nf_branch_history'!$B$2:$B$50,"&lt;="&amp;L225)=0,"NOT FOUND",_xlfn.MAXIFS('6_3nf_branch_history'!$B$2:$B$50,'6_3nf_branch_history'!$A$2:$A$50,T225,'6_3nf_branch_history'!$B$2:$B$50,"&lt;="&amp;L225))</f>
        <v/>
      </c>
      <c r="V225" s="2">
        <f>IF(U225="NOT FOUND","NOT FOUND",INDEX('6_3nf_branch_history'!$C:$C,SUMPRODUCT(('6_3nf_branch_history'!$A$2:$A$50=T225)*('6_3nf_branch_history'!$B$2:$B$50=U225)*ROW('6_3nf_branch_history'!$A$2:$A$50))))</f>
        <v/>
      </c>
      <c r="W225" s="2">
        <f>IF(U225="NOT FOUND","NOT FOUND",INDEX('6_3nf_branch_history'!$D:$D,SUMPRODUCT(('6_3nf_branch_history'!$A$2:$A$50=T225)*('6_3nf_branch_history'!$B$2:$B$50=U225)*ROW('6_3nf_branch_history'!$A$2:$A$50))))</f>
        <v/>
      </c>
      <c r="X225" s="2">
        <f>IF(U225="NOT FOUND","NOT FOUND",INDEX('6_3nf_branch_history'!$E:$E,SUMPRODUCT(('6_3nf_branch_history'!$A$2:$A$50=T225)*('6_3nf_branch_history'!$B$2:$B$50=U225)*ROW('6_3nf_branch_history'!$A$2:$A$50))))</f>
        <v/>
      </c>
      <c r="Y225" s="2">
        <f>UPPER(TRIM(D225))</f>
        <v/>
      </c>
      <c r="Z225" s="2">
        <f>IFERROR(INDEX('7_3nf_product'!$B:$B,MATCH(Y225,'7_3nf_product'!$A:$A,0)),"NOT FOUND")</f>
        <v/>
      </c>
      <c r="AA225" s="2">
        <f>IFERROR(INDEX('7_3nf_product'!$C:$C,MATCH(Y225,'7_3nf_product'!$A:$A,0)),"NOT FOUND")</f>
        <v/>
      </c>
      <c r="AB225" s="2">
        <f>IFERROR(INDEX('7_3nf_product'!$D:$D,MATCH(Y225,'7_3nf_product'!$A:$A,0)),"NOT FOUND")</f>
        <v/>
      </c>
      <c r="AC225" s="6">
        <f>IFERROR(INDEX('7_3nf_product'!$E:$E,MATCH(Y225,'7_3nf_product'!$A:$A,0)),"NOT FOUND")</f>
        <v/>
      </c>
      <c r="AD225" s="33">
        <f>IF(LEN(TRIM(E225))=10,TRIM(E225),IF(LEN(TRIM(E225))=8,"00"&amp;TRIM(E225),"CHECK"))</f>
        <v/>
      </c>
      <c r="AE225" s="2">
        <f>IFERROR(INDEX('8_3nf_customer'!$C:$C,MATCH(AD225,'8_3nf_customer'!$B:$B,0)),"NOT FOUND")</f>
        <v/>
      </c>
      <c r="AF225" s="30">
        <f>IFERROR(INDEX('8_3nf_customer'!$D:$D,MATCH(AD225,'8_3nf_customer'!$B:$B,0)),"NOT FOUND")</f>
        <v/>
      </c>
      <c r="AG225" s="4">
        <f>IF(ISNUMBER(AF225),DATEDIF(AF225,L225,"y"),"NOT FOUND")</f>
        <v/>
      </c>
      <c r="AH225" s="2">
        <f>IFERROR(INDEX('8_3nf_customer'!$E:$E,MATCH(AD225,'8_3nf_customer'!$B:$B,0)),"NOT FOUND")</f>
        <v/>
      </c>
      <c r="AI225" s="30">
        <f>IF(_xlfn.MAXIFS('9_3nf_customer_history'!$B$2:$B$500,'9_3nf_customer_history'!$A$2:$A$500,AD225,'9_3nf_customer_history'!$B$2:$B$500,"&lt;="&amp;L225)=0,"NOT FOUND",_xlfn.MAXIFS('9_3nf_customer_history'!$B$2:$B$500,'9_3nf_customer_history'!$A$2:$A$500,AD225,'9_3nf_customer_history'!$B$2:$B$500,"&lt;="&amp;L225))</f>
        <v/>
      </c>
      <c r="AJ225" s="2">
        <f>IF(AI225="NOT FOUND","NOT FOUND",INDEX('9_3nf_customer_history'!$C:$C,SUMPRODUCT(('9_3nf_customer_history'!$A$2:$A$500=AD225)*('9_3nf_customer_history'!$B$2:$B$500=AI225)*ROW('9_3nf_customer_history'!$A$2:$A$500))))</f>
        <v/>
      </c>
      <c r="AK225" s="2">
        <f>IF(AI225="NOT FOUND","NOT FOUND",INDEX('9_3nf_customer_history'!$D:$D,SUMPRODUCT(('9_3nf_customer_history'!$A$2:$A$500=AD225)*('9_3nf_customer_history'!$B$2:$B$500=AI225)*ROW('9_3nf_customer_history'!$A$2:$A$500))))</f>
        <v/>
      </c>
      <c r="AL225" s="2">
        <f>UPPER(TRIM(H225))</f>
        <v/>
      </c>
      <c r="AM225" s="30">
        <f>IF(_xlfn.MAXIFS('10_ref_fx_rate'!$B$2:$B$2000,'10_ref_fx_rate'!$A$2:$A$2000,AL225,'10_ref_fx_rate'!$B$2:$B$2000,"&lt;="&amp;L225)=0,"NOT FOUND",_xlfn.MAXIFS('10_ref_fx_rate'!$B$2:$B$2000,'10_ref_fx_rate'!$A$2:$A$2000,AL225,'10_ref_fx_rate'!$B$2:$B$2000,"&lt;="&amp;L225))</f>
        <v/>
      </c>
      <c r="AN225" s="8">
        <f>IF(AM225="NOT FOUND","NOT FOUND",SUMIFS('10_ref_fx_rate'!$D$2:$D$2000,'10_ref_fx_rate'!$A$2:$A$2000,AL225,'10_ref_fx_rate'!$B$2:$B$2000,AM225))</f>
        <v/>
      </c>
      <c r="AO225" s="37">
        <f>IF(ISNUMBER(AN225),I225*AN225,"NOT FOUND")</f>
        <v/>
      </c>
      <c r="AP225" s="2">
        <f>UPPER(TRIM(J225))</f>
        <v/>
      </c>
      <c r="AQ225" s="2">
        <f>IF(AP225="","SELF-DIRECTED",IF(ISNUMBER(MATCH(AP225,'11_3nf_sales_person'!$A:$A,0)),IF(EXACT(AP225,J225),"OK","OK (auto-fixed)"),IF(ISNA(MATCH($A225,'12_sales_person_confirmation'!$A:$A,0)),"CONFIRM (not logged)",IF(INDEX('12_sales_person_confirmation'!$I:$I,MATCH($A225,'12_sales_person_confirmation'!$A:$A,0))="CONFIRMED","CONFIRMED ("&amp;LOWER(INDEX('12_sales_person_confirmation'!$E:$E,MATCH($A225,'12_sales_person_confirmation'!$A:$A,0)))&amp;")","PENDING CONFIRM"))))</f>
        <v/>
      </c>
      <c r="AR225" s="2">
        <f>IF(OR(AQ225="OK",AQ225="OK (auto-fixed)"),AP225,IF(LEFT(AQ225,9)="CONFIRMED",INDEX('12_sales_person_confirmation'!$F:$F,MATCH($A225,'12_sales_person_confirmation'!$A:$A,0)),""))</f>
        <v/>
      </c>
      <c r="AS225" s="2">
        <f>IF(AR225="","",INDEX('11_3nf_sales_person'!$B:$B,MATCH(AR225,'11_3nf_sales_person'!$A:$A,0)))</f>
        <v/>
      </c>
    </row>
    <row r="226">
      <c r="A226" s="2">
        <f>IF(ISBLANK('1_raw_log'!A226),"",'1_raw_log'!A226)</f>
        <v/>
      </c>
      <c r="B226" s="3">
        <f>IF(ISBLANK('1_raw_log'!B226),"",'1_raw_log'!B226)</f>
        <v/>
      </c>
      <c r="C226" s="2">
        <f>IF(ISBLANK('1_raw_log'!C226),"",'1_raw_log'!C226)</f>
        <v/>
      </c>
      <c r="D226" s="2">
        <f>IF(ISBLANK('1_raw_log'!D226),"",'1_raw_log'!D226)</f>
        <v/>
      </c>
      <c r="E226" s="4">
        <f>IF(ISBLANK('1_raw_log'!E226),"",'1_raw_log'!E226)</f>
        <v/>
      </c>
      <c r="F226" s="2">
        <f>IF(ISBLANK('1_raw_log'!F226),"",'1_raw_log'!F226)</f>
        <v/>
      </c>
      <c r="G226" s="2">
        <f>IF(ISBLANK('1_raw_log'!G226),"",'1_raw_log'!G226)</f>
        <v/>
      </c>
      <c r="H226" s="2">
        <f>IF(ISBLANK('1_raw_log'!H226),"",'1_raw_log'!H226)</f>
        <v/>
      </c>
      <c r="I226" s="7">
        <f>IF(ISBLANK('1_raw_log'!I226),"",'1_raw_log'!I226)</f>
        <v/>
      </c>
      <c r="J226" s="2">
        <f>IF(ISBLANK('1_raw_log'!J226),"",'1_raw_log'!J226)</f>
        <v/>
      </c>
      <c r="K226" s="2">
        <f>IF(ISBLANK('1_raw_log'!K226),"",'1_raw_log'!K226)</f>
        <v/>
      </c>
      <c r="L226" s="30">
        <f>INT(B226)</f>
        <v/>
      </c>
      <c r="M226" s="20">
        <f>ROUND(MOD(B226,1)*1440,0)/1440</f>
        <v/>
      </c>
      <c r="N226" s="4">
        <f>IFERROR(INDEX('3_ref_date'!$B:$B,MATCH(L226,'3_ref_date'!$A:$A,0)),"NOT FOUND")</f>
        <v/>
      </c>
      <c r="O226" s="2">
        <f>IFERROR(INDEX('3_ref_date'!$C:$C,MATCH(L226,'3_ref_date'!$A:$A,0)),"NOT FOUND")</f>
        <v/>
      </c>
      <c r="P226" s="4">
        <f>IFERROR(INDEX('3_ref_date'!$D:$D,MATCH(L226,'3_ref_date'!$A:$A,0)),"NOT FOUND")</f>
        <v/>
      </c>
      <c r="Q226" s="4">
        <f>IFERROR(INDEX('3_ref_date'!$E:$E,MATCH(L226,'3_ref_date'!$A:$A,0)),"NOT FOUND")</f>
        <v/>
      </c>
      <c r="R226" s="2">
        <f>IFERROR(INDEX('3_ref_date'!$F:$F,MATCH(L226,'3_ref_date'!$A:$A,0)),"NOT FOUND")</f>
        <v/>
      </c>
      <c r="S226" s="2">
        <f>IFERROR(INDEX('4_ref_time'!$D:$D,MATCH(ROUND(M226*1440,0),'4_ref_time'!$A:$A,0)),"NOT FOUND")</f>
        <v/>
      </c>
      <c r="T226" s="2">
        <f>UPPER(TRIM(C226))</f>
        <v/>
      </c>
      <c r="U226" s="30">
        <f>IF(_xlfn.MAXIFS('6_3nf_branch_history'!$B$2:$B$50,'6_3nf_branch_history'!$A$2:$A$50,T226,'6_3nf_branch_history'!$B$2:$B$50,"&lt;="&amp;L226)=0,"NOT FOUND",_xlfn.MAXIFS('6_3nf_branch_history'!$B$2:$B$50,'6_3nf_branch_history'!$A$2:$A$50,T226,'6_3nf_branch_history'!$B$2:$B$50,"&lt;="&amp;L226))</f>
        <v/>
      </c>
      <c r="V226" s="2">
        <f>IF(U226="NOT FOUND","NOT FOUND",INDEX('6_3nf_branch_history'!$C:$C,SUMPRODUCT(('6_3nf_branch_history'!$A$2:$A$50=T226)*('6_3nf_branch_history'!$B$2:$B$50=U226)*ROW('6_3nf_branch_history'!$A$2:$A$50))))</f>
        <v/>
      </c>
      <c r="W226" s="2">
        <f>IF(U226="NOT FOUND","NOT FOUND",INDEX('6_3nf_branch_history'!$D:$D,SUMPRODUCT(('6_3nf_branch_history'!$A$2:$A$50=T226)*('6_3nf_branch_history'!$B$2:$B$50=U226)*ROW('6_3nf_branch_history'!$A$2:$A$50))))</f>
        <v/>
      </c>
      <c r="X226" s="2">
        <f>IF(U226="NOT FOUND","NOT FOUND",INDEX('6_3nf_branch_history'!$E:$E,SUMPRODUCT(('6_3nf_branch_history'!$A$2:$A$50=T226)*('6_3nf_branch_history'!$B$2:$B$50=U226)*ROW('6_3nf_branch_history'!$A$2:$A$50))))</f>
        <v/>
      </c>
      <c r="Y226" s="2">
        <f>UPPER(TRIM(D226))</f>
        <v/>
      </c>
      <c r="Z226" s="2">
        <f>IFERROR(INDEX('7_3nf_product'!$B:$B,MATCH(Y226,'7_3nf_product'!$A:$A,0)),"NOT FOUND")</f>
        <v/>
      </c>
      <c r="AA226" s="2">
        <f>IFERROR(INDEX('7_3nf_product'!$C:$C,MATCH(Y226,'7_3nf_product'!$A:$A,0)),"NOT FOUND")</f>
        <v/>
      </c>
      <c r="AB226" s="2">
        <f>IFERROR(INDEX('7_3nf_product'!$D:$D,MATCH(Y226,'7_3nf_product'!$A:$A,0)),"NOT FOUND")</f>
        <v/>
      </c>
      <c r="AC226" s="6">
        <f>IFERROR(INDEX('7_3nf_product'!$E:$E,MATCH(Y226,'7_3nf_product'!$A:$A,0)),"NOT FOUND")</f>
        <v/>
      </c>
      <c r="AD226" s="33">
        <f>IF(LEN(TRIM(E226))=10,TRIM(E226),IF(LEN(TRIM(E226))=8,"00"&amp;TRIM(E226),"CHECK"))</f>
        <v/>
      </c>
      <c r="AE226" s="2">
        <f>IFERROR(INDEX('8_3nf_customer'!$C:$C,MATCH(AD226,'8_3nf_customer'!$B:$B,0)),"NOT FOUND")</f>
        <v/>
      </c>
      <c r="AF226" s="30">
        <f>IFERROR(INDEX('8_3nf_customer'!$D:$D,MATCH(AD226,'8_3nf_customer'!$B:$B,0)),"NOT FOUND")</f>
        <v/>
      </c>
      <c r="AG226" s="4">
        <f>IF(ISNUMBER(AF226),DATEDIF(AF226,L226,"y"),"NOT FOUND")</f>
        <v/>
      </c>
      <c r="AH226" s="2">
        <f>IFERROR(INDEX('8_3nf_customer'!$E:$E,MATCH(AD226,'8_3nf_customer'!$B:$B,0)),"NOT FOUND")</f>
        <v/>
      </c>
      <c r="AI226" s="30">
        <f>IF(_xlfn.MAXIFS('9_3nf_customer_history'!$B$2:$B$500,'9_3nf_customer_history'!$A$2:$A$500,AD226,'9_3nf_customer_history'!$B$2:$B$500,"&lt;="&amp;L226)=0,"NOT FOUND",_xlfn.MAXIFS('9_3nf_customer_history'!$B$2:$B$500,'9_3nf_customer_history'!$A$2:$A$500,AD226,'9_3nf_customer_history'!$B$2:$B$500,"&lt;="&amp;L226))</f>
        <v/>
      </c>
      <c r="AJ226" s="2">
        <f>IF(AI226="NOT FOUND","NOT FOUND",INDEX('9_3nf_customer_history'!$C:$C,SUMPRODUCT(('9_3nf_customer_history'!$A$2:$A$500=AD226)*('9_3nf_customer_history'!$B$2:$B$500=AI226)*ROW('9_3nf_customer_history'!$A$2:$A$500))))</f>
        <v/>
      </c>
      <c r="AK226" s="2">
        <f>IF(AI226="NOT FOUND","NOT FOUND",INDEX('9_3nf_customer_history'!$D:$D,SUMPRODUCT(('9_3nf_customer_history'!$A$2:$A$500=AD226)*('9_3nf_customer_history'!$B$2:$B$500=AI226)*ROW('9_3nf_customer_history'!$A$2:$A$500))))</f>
        <v/>
      </c>
      <c r="AL226" s="2">
        <f>UPPER(TRIM(H226))</f>
        <v/>
      </c>
      <c r="AM226" s="30">
        <f>IF(_xlfn.MAXIFS('10_ref_fx_rate'!$B$2:$B$2000,'10_ref_fx_rate'!$A$2:$A$2000,AL226,'10_ref_fx_rate'!$B$2:$B$2000,"&lt;="&amp;L226)=0,"NOT FOUND",_xlfn.MAXIFS('10_ref_fx_rate'!$B$2:$B$2000,'10_ref_fx_rate'!$A$2:$A$2000,AL226,'10_ref_fx_rate'!$B$2:$B$2000,"&lt;="&amp;L226))</f>
        <v/>
      </c>
      <c r="AN226" s="8">
        <f>IF(AM226="NOT FOUND","NOT FOUND",SUMIFS('10_ref_fx_rate'!$D$2:$D$2000,'10_ref_fx_rate'!$A$2:$A$2000,AL226,'10_ref_fx_rate'!$B$2:$B$2000,AM226))</f>
        <v/>
      </c>
      <c r="AO226" s="37">
        <f>IF(ISNUMBER(AN226),I226*AN226,"NOT FOUND")</f>
        <v/>
      </c>
      <c r="AP226" s="2">
        <f>UPPER(TRIM(J226))</f>
        <v/>
      </c>
      <c r="AQ226" s="2">
        <f>IF(AP226="","SELF-DIRECTED",IF(ISNUMBER(MATCH(AP226,'11_3nf_sales_person'!$A:$A,0)),IF(EXACT(AP226,J226),"OK","OK (auto-fixed)"),IF(ISNA(MATCH($A226,'12_sales_person_confirmation'!$A:$A,0)),"CONFIRM (not logged)",IF(INDEX('12_sales_person_confirmation'!$I:$I,MATCH($A226,'12_sales_person_confirmation'!$A:$A,0))="CONFIRMED","CONFIRMED ("&amp;LOWER(INDEX('12_sales_person_confirmation'!$E:$E,MATCH($A226,'12_sales_person_confirmation'!$A:$A,0)))&amp;")","PENDING CONFIRM"))))</f>
        <v/>
      </c>
      <c r="AR226" s="2">
        <f>IF(OR(AQ226="OK",AQ226="OK (auto-fixed)"),AP226,IF(LEFT(AQ226,9)="CONFIRMED",INDEX('12_sales_person_confirmation'!$F:$F,MATCH($A226,'12_sales_person_confirmation'!$A:$A,0)),""))</f>
        <v/>
      </c>
      <c r="AS226" s="2">
        <f>IF(AR226="","",INDEX('11_3nf_sales_person'!$B:$B,MATCH(AR226,'11_3nf_sales_person'!$A:$A,0)))</f>
        <v/>
      </c>
    </row>
    <row r="227">
      <c r="A227" s="2">
        <f>IF(ISBLANK('1_raw_log'!A227),"",'1_raw_log'!A227)</f>
        <v/>
      </c>
      <c r="B227" s="3">
        <f>IF(ISBLANK('1_raw_log'!B227),"",'1_raw_log'!B227)</f>
        <v/>
      </c>
      <c r="C227" s="2">
        <f>IF(ISBLANK('1_raw_log'!C227),"",'1_raw_log'!C227)</f>
        <v/>
      </c>
      <c r="D227" s="2">
        <f>IF(ISBLANK('1_raw_log'!D227),"",'1_raw_log'!D227)</f>
        <v/>
      </c>
      <c r="E227" s="4">
        <f>IF(ISBLANK('1_raw_log'!E227),"",'1_raw_log'!E227)</f>
        <v/>
      </c>
      <c r="F227" s="2">
        <f>IF(ISBLANK('1_raw_log'!F227),"",'1_raw_log'!F227)</f>
        <v/>
      </c>
      <c r="G227" s="2">
        <f>IF(ISBLANK('1_raw_log'!G227),"",'1_raw_log'!G227)</f>
        <v/>
      </c>
      <c r="H227" s="2">
        <f>IF(ISBLANK('1_raw_log'!H227),"",'1_raw_log'!H227)</f>
        <v/>
      </c>
      <c r="I227" s="7">
        <f>IF(ISBLANK('1_raw_log'!I227),"",'1_raw_log'!I227)</f>
        <v/>
      </c>
      <c r="J227" s="2">
        <f>IF(ISBLANK('1_raw_log'!J227),"",'1_raw_log'!J227)</f>
        <v/>
      </c>
      <c r="K227" s="2">
        <f>IF(ISBLANK('1_raw_log'!K227),"",'1_raw_log'!K227)</f>
        <v/>
      </c>
      <c r="L227" s="30">
        <f>INT(B227)</f>
        <v/>
      </c>
      <c r="M227" s="20">
        <f>ROUND(MOD(B227,1)*1440,0)/1440</f>
        <v/>
      </c>
      <c r="N227" s="4">
        <f>IFERROR(INDEX('3_ref_date'!$B:$B,MATCH(L227,'3_ref_date'!$A:$A,0)),"NOT FOUND")</f>
        <v/>
      </c>
      <c r="O227" s="2">
        <f>IFERROR(INDEX('3_ref_date'!$C:$C,MATCH(L227,'3_ref_date'!$A:$A,0)),"NOT FOUND")</f>
        <v/>
      </c>
      <c r="P227" s="4">
        <f>IFERROR(INDEX('3_ref_date'!$D:$D,MATCH(L227,'3_ref_date'!$A:$A,0)),"NOT FOUND")</f>
        <v/>
      </c>
      <c r="Q227" s="4">
        <f>IFERROR(INDEX('3_ref_date'!$E:$E,MATCH(L227,'3_ref_date'!$A:$A,0)),"NOT FOUND")</f>
        <v/>
      </c>
      <c r="R227" s="2">
        <f>IFERROR(INDEX('3_ref_date'!$F:$F,MATCH(L227,'3_ref_date'!$A:$A,0)),"NOT FOUND")</f>
        <v/>
      </c>
      <c r="S227" s="2">
        <f>IFERROR(INDEX('4_ref_time'!$D:$D,MATCH(ROUND(M227*1440,0),'4_ref_time'!$A:$A,0)),"NOT FOUND")</f>
        <v/>
      </c>
      <c r="T227" s="2">
        <f>UPPER(TRIM(C227))</f>
        <v/>
      </c>
      <c r="U227" s="30">
        <f>IF(_xlfn.MAXIFS('6_3nf_branch_history'!$B$2:$B$50,'6_3nf_branch_history'!$A$2:$A$50,T227,'6_3nf_branch_history'!$B$2:$B$50,"&lt;="&amp;L227)=0,"NOT FOUND",_xlfn.MAXIFS('6_3nf_branch_history'!$B$2:$B$50,'6_3nf_branch_history'!$A$2:$A$50,T227,'6_3nf_branch_history'!$B$2:$B$50,"&lt;="&amp;L227))</f>
        <v/>
      </c>
      <c r="V227" s="2">
        <f>IF(U227="NOT FOUND","NOT FOUND",INDEX('6_3nf_branch_history'!$C:$C,SUMPRODUCT(('6_3nf_branch_history'!$A$2:$A$50=T227)*('6_3nf_branch_history'!$B$2:$B$50=U227)*ROW('6_3nf_branch_history'!$A$2:$A$50))))</f>
        <v/>
      </c>
      <c r="W227" s="2">
        <f>IF(U227="NOT FOUND","NOT FOUND",INDEX('6_3nf_branch_history'!$D:$D,SUMPRODUCT(('6_3nf_branch_history'!$A$2:$A$50=T227)*('6_3nf_branch_history'!$B$2:$B$50=U227)*ROW('6_3nf_branch_history'!$A$2:$A$50))))</f>
        <v/>
      </c>
      <c r="X227" s="2">
        <f>IF(U227="NOT FOUND","NOT FOUND",INDEX('6_3nf_branch_history'!$E:$E,SUMPRODUCT(('6_3nf_branch_history'!$A$2:$A$50=T227)*('6_3nf_branch_history'!$B$2:$B$50=U227)*ROW('6_3nf_branch_history'!$A$2:$A$50))))</f>
        <v/>
      </c>
      <c r="Y227" s="2">
        <f>UPPER(TRIM(D227))</f>
        <v/>
      </c>
      <c r="Z227" s="2">
        <f>IFERROR(INDEX('7_3nf_product'!$B:$B,MATCH(Y227,'7_3nf_product'!$A:$A,0)),"NOT FOUND")</f>
        <v/>
      </c>
      <c r="AA227" s="2">
        <f>IFERROR(INDEX('7_3nf_product'!$C:$C,MATCH(Y227,'7_3nf_product'!$A:$A,0)),"NOT FOUND")</f>
        <v/>
      </c>
      <c r="AB227" s="2">
        <f>IFERROR(INDEX('7_3nf_product'!$D:$D,MATCH(Y227,'7_3nf_product'!$A:$A,0)),"NOT FOUND")</f>
        <v/>
      </c>
      <c r="AC227" s="6">
        <f>IFERROR(INDEX('7_3nf_product'!$E:$E,MATCH(Y227,'7_3nf_product'!$A:$A,0)),"NOT FOUND")</f>
        <v/>
      </c>
      <c r="AD227" s="33">
        <f>IF(LEN(TRIM(E227))=10,TRIM(E227),IF(LEN(TRIM(E227))=8,"00"&amp;TRIM(E227),"CHECK"))</f>
        <v/>
      </c>
      <c r="AE227" s="2">
        <f>IFERROR(INDEX('8_3nf_customer'!$C:$C,MATCH(AD227,'8_3nf_customer'!$B:$B,0)),"NOT FOUND")</f>
        <v/>
      </c>
      <c r="AF227" s="30">
        <f>IFERROR(INDEX('8_3nf_customer'!$D:$D,MATCH(AD227,'8_3nf_customer'!$B:$B,0)),"NOT FOUND")</f>
        <v/>
      </c>
      <c r="AG227" s="4">
        <f>IF(ISNUMBER(AF227),DATEDIF(AF227,L227,"y"),"NOT FOUND")</f>
        <v/>
      </c>
      <c r="AH227" s="2">
        <f>IFERROR(INDEX('8_3nf_customer'!$E:$E,MATCH(AD227,'8_3nf_customer'!$B:$B,0)),"NOT FOUND")</f>
        <v/>
      </c>
      <c r="AI227" s="30">
        <f>IF(_xlfn.MAXIFS('9_3nf_customer_history'!$B$2:$B$500,'9_3nf_customer_history'!$A$2:$A$500,AD227,'9_3nf_customer_history'!$B$2:$B$500,"&lt;="&amp;L227)=0,"NOT FOUND",_xlfn.MAXIFS('9_3nf_customer_history'!$B$2:$B$500,'9_3nf_customer_history'!$A$2:$A$500,AD227,'9_3nf_customer_history'!$B$2:$B$500,"&lt;="&amp;L227))</f>
        <v/>
      </c>
      <c r="AJ227" s="2">
        <f>IF(AI227="NOT FOUND","NOT FOUND",INDEX('9_3nf_customer_history'!$C:$C,SUMPRODUCT(('9_3nf_customer_history'!$A$2:$A$500=AD227)*('9_3nf_customer_history'!$B$2:$B$500=AI227)*ROW('9_3nf_customer_history'!$A$2:$A$500))))</f>
        <v/>
      </c>
      <c r="AK227" s="2">
        <f>IF(AI227="NOT FOUND","NOT FOUND",INDEX('9_3nf_customer_history'!$D:$D,SUMPRODUCT(('9_3nf_customer_history'!$A$2:$A$500=AD227)*('9_3nf_customer_history'!$B$2:$B$500=AI227)*ROW('9_3nf_customer_history'!$A$2:$A$500))))</f>
        <v/>
      </c>
      <c r="AL227" s="2">
        <f>UPPER(TRIM(H227))</f>
        <v/>
      </c>
      <c r="AM227" s="30">
        <f>IF(_xlfn.MAXIFS('10_ref_fx_rate'!$B$2:$B$2000,'10_ref_fx_rate'!$A$2:$A$2000,AL227,'10_ref_fx_rate'!$B$2:$B$2000,"&lt;="&amp;L227)=0,"NOT FOUND",_xlfn.MAXIFS('10_ref_fx_rate'!$B$2:$B$2000,'10_ref_fx_rate'!$A$2:$A$2000,AL227,'10_ref_fx_rate'!$B$2:$B$2000,"&lt;="&amp;L227))</f>
        <v/>
      </c>
      <c r="AN227" s="8">
        <f>IF(AM227="NOT FOUND","NOT FOUND",SUMIFS('10_ref_fx_rate'!$D$2:$D$2000,'10_ref_fx_rate'!$A$2:$A$2000,AL227,'10_ref_fx_rate'!$B$2:$B$2000,AM227))</f>
        <v/>
      </c>
      <c r="AO227" s="37">
        <f>IF(ISNUMBER(AN227),I227*AN227,"NOT FOUND")</f>
        <v/>
      </c>
      <c r="AP227" s="2">
        <f>UPPER(TRIM(J227))</f>
        <v/>
      </c>
      <c r="AQ227" s="2">
        <f>IF(AP227="","SELF-DIRECTED",IF(ISNUMBER(MATCH(AP227,'11_3nf_sales_person'!$A:$A,0)),IF(EXACT(AP227,J227),"OK","OK (auto-fixed)"),IF(ISNA(MATCH($A227,'12_sales_person_confirmation'!$A:$A,0)),"CONFIRM (not logged)",IF(INDEX('12_sales_person_confirmation'!$I:$I,MATCH($A227,'12_sales_person_confirmation'!$A:$A,0))="CONFIRMED","CONFIRMED ("&amp;LOWER(INDEX('12_sales_person_confirmation'!$E:$E,MATCH($A227,'12_sales_person_confirmation'!$A:$A,0)))&amp;")","PENDING CONFIRM"))))</f>
        <v/>
      </c>
      <c r="AR227" s="2">
        <f>IF(OR(AQ227="OK",AQ227="OK (auto-fixed)"),AP227,IF(LEFT(AQ227,9)="CONFIRMED",INDEX('12_sales_person_confirmation'!$F:$F,MATCH($A227,'12_sales_person_confirmation'!$A:$A,0)),""))</f>
        <v/>
      </c>
      <c r="AS227" s="2">
        <f>IF(AR227="","",INDEX('11_3nf_sales_person'!$B:$B,MATCH(AR227,'11_3nf_sales_person'!$A:$A,0)))</f>
        <v/>
      </c>
    </row>
    <row r="228">
      <c r="A228" s="2">
        <f>IF(ISBLANK('1_raw_log'!A228),"",'1_raw_log'!A228)</f>
        <v/>
      </c>
      <c r="B228" s="3">
        <f>IF(ISBLANK('1_raw_log'!B228),"",'1_raw_log'!B228)</f>
        <v/>
      </c>
      <c r="C228" s="2">
        <f>IF(ISBLANK('1_raw_log'!C228),"",'1_raw_log'!C228)</f>
        <v/>
      </c>
      <c r="D228" s="2">
        <f>IF(ISBLANK('1_raw_log'!D228),"",'1_raw_log'!D228)</f>
        <v/>
      </c>
      <c r="E228" s="4">
        <f>IF(ISBLANK('1_raw_log'!E228),"",'1_raw_log'!E228)</f>
        <v/>
      </c>
      <c r="F228" s="2">
        <f>IF(ISBLANK('1_raw_log'!F228),"",'1_raw_log'!F228)</f>
        <v/>
      </c>
      <c r="G228" s="2">
        <f>IF(ISBLANK('1_raw_log'!G228),"",'1_raw_log'!G228)</f>
        <v/>
      </c>
      <c r="H228" s="2">
        <f>IF(ISBLANK('1_raw_log'!H228),"",'1_raw_log'!H228)</f>
        <v/>
      </c>
      <c r="I228" s="7">
        <f>IF(ISBLANK('1_raw_log'!I228),"",'1_raw_log'!I228)</f>
        <v/>
      </c>
      <c r="J228" s="2">
        <f>IF(ISBLANK('1_raw_log'!J228),"",'1_raw_log'!J228)</f>
        <v/>
      </c>
      <c r="K228" s="2">
        <f>IF(ISBLANK('1_raw_log'!K228),"",'1_raw_log'!K228)</f>
        <v/>
      </c>
      <c r="L228" s="30">
        <f>INT(B228)</f>
        <v/>
      </c>
      <c r="M228" s="20">
        <f>ROUND(MOD(B228,1)*1440,0)/1440</f>
        <v/>
      </c>
      <c r="N228" s="4">
        <f>IFERROR(INDEX('3_ref_date'!$B:$B,MATCH(L228,'3_ref_date'!$A:$A,0)),"NOT FOUND")</f>
        <v/>
      </c>
      <c r="O228" s="2">
        <f>IFERROR(INDEX('3_ref_date'!$C:$C,MATCH(L228,'3_ref_date'!$A:$A,0)),"NOT FOUND")</f>
        <v/>
      </c>
      <c r="P228" s="4">
        <f>IFERROR(INDEX('3_ref_date'!$D:$D,MATCH(L228,'3_ref_date'!$A:$A,0)),"NOT FOUND")</f>
        <v/>
      </c>
      <c r="Q228" s="4">
        <f>IFERROR(INDEX('3_ref_date'!$E:$E,MATCH(L228,'3_ref_date'!$A:$A,0)),"NOT FOUND")</f>
        <v/>
      </c>
      <c r="R228" s="2">
        <f>IFERROR(INDEX('3_ref_date'!$F:$F,MATCH(L228,'3_ref_date'!$A:$A,0)),"NOT FOUND")</f>
        <v/>
      </c>
      <c r="S228" s="2">
        <f>IFERROR(INDEX('4_ref_time'!$D:$D,MATCH(ROUND(M228*1440,0),'4_ref_time'!$A:$A,0)),"NOT FOUND")</f>
        <v/>
      </c>
      <c r="T228" s="2">
        <f>UPPER(TRIM(C228))</f>
        <v/>
      </c>
      <c r="U228" s="30">
        <f>IF(_xlfn.MAXIFS('6_3nf_branch_history'!$B$2:$B$50,'6_3nf_branch_history'!$A$2:$A$50,T228,'6_3nf_branch_history'!$B$2:$B$50,"&lt;="&amp;L228)=0,"NOT FOUND",_xlfn.MAXIFS('6_3nf_branch_history'!$B$2:$B$50,'6_3nf_branch_history'!$A$2:$A$50,T228,'6_3nf_branch_history'!$B$2:$B$50,"&lt;="&amp;L228))</f>
        <v/>
      </c>
      <c r="V228" s="2">
        <f>IF(U228="NOT FOUND","NOT FOUND",INDEX('6_3nf_branch_history'!$C:$C,SUMPRODUCT(('6_3nf_branch_history'!$A$2:$A$50=T228)*('6_3nf_branch_history'!$B$2:$B$50=U228)*ROW('6_3nf_branch_history'!$A$2:$A$50))))</f>
        <v/>
      </c>
      <c r="W228" s="2">
        <f>IF(U228="NOT FOUND","NOT FOUND",INDEX('6_3nf_branch_history'!$D:$D,SUMPRODUCT(('6_3nf_branch_history'!$A$2:$A$50=T228)*('6_3nf_branch_history'!$B$2:$B$50=U228)*ROW('6_3nf_branch_history'!$A$2:$A$50))))</f>
        <v/>
      </c>
      <c r="X228" s="2">
        <f>IF(U228="NOT FOUND","NOT FOUND",INDEX('6_3nf_branch_history'!$E:$E,SUMPRODUCT(('6_3nf_branch_history'!$A$2:$A$50=T228)*('6_3nf_branch_history'!$B$2:$B$50=U228)*ROW('6_3nf_branch_history'!$A$2:$A$50))))</f>
        <v/>
      </c>
      <c r="Y228" s="2">
        <f>UPPER(TRIM(D228))</f>
        <v/>
      </c>
      <c r="Z228" s="2">
        <f>IFERROR(INDEX('7_3nf_product'!$B:$B,MATCH(Y228,'7_3nf_product'!$A:$A,0)),"NOT FOUND")</f>
        <v/>
      </c>
      <c r="AA228" s="2">
        <f>IFERROR(INDEX('7_3nf_product'!$C:$C,MATCH(Y228,'7_3nf_product'!$A:$A,0)),"NOT FOUND")</f>
        <v/>
      </c>
      <c r="AB228" s="2">
        <f>IFERROR(INDEX('7_3nf_product'!$D:$D,MATCH(Y228,'7_3nf_product'!$A:$A,0)),"NOT FOUND")</f>
        <v/>
      </c>
      <c r="AC228" s="6">
        <f>IFERROR(INDEX('7_3nf_product'!$E:$E,MATCH(Y228,'7_3nf_product'!$A:$A,0)),"NOT FOUND")</f>
        <v/>
      </c>
      <c r="AD228" s="33">
        <f>IF(LEN(TRIM(E228))=10,TRIM(E228),IF(LEN(TRIM(E228))=8,"00"&amp;TRIM(E228),"CHECK"))</f>
        <v/>
      </c>
      <c r="AE228" s="2">
        <f>IFERROR(INDEX('8_3nf_customer'!$C:$C,MATCH(AD228,'8_3nf_customer'!$B:$B,0)),"NOT FOUND")</f>
        <v/>
      </c>
      <c r="AF228" s="30">
        <f>IFERROR(INDEX('8_3nf_customer'!$D:$D,MATCH(AD228,'8_3nf_customer'!$B:$B,0)),"NOT FOUND")</f>
        <v/>
      </c>
      <c r="AG228" s="4">
        <f>IF(ISNUMBER(AF228),DATEDIF(AF228,L228,"y"),"NOT FOUND")</f>
        <v/>
      </c>
      <c r="AH228" s="2">
        <f>IFERROR(INDEX('8_3nf_customer'!$E:$E,MATCH(AD228,'8_3nf_customer'!$B:$B,0)),"NOT FOUND")</f>
        <v/>
      </c>
      <c r="AI228" s="30">
        <f>IF(_xlfn.MAXIFS('9_3nf_customer_history'!$B$2:$B$500,'9_3nf_customer_history'!$A$2:$A$500,AD228,'9_3nf_customer_history'!$B$2:$B$500,"&lt;="&amp;L228)=0,"NOT FOUND",_xlfn.MAXIFS('9_3nf_customer_history'!$B$2:$B$500,'9_3nf_customer_history'!$A$2:$A$500,AD228,'9_3nf_customer_history'!$B$2:$B$500,"&lt;="&amp;L228))</f>
        <v/>
      </c>
      <c r="AJ228" s="2">
        <f>IF(AI228="NOT FOUND","NOT FOUND",INDEX('9_3nf_customer_history'!$C:$C,SUMPRODUCT(('9_3nf_customer_history'!$A$2:$A$500=AD228)*('9_3nf_customer_history'!$B$2:$B$500=AI228)*ROW('9_3nf_customer_history'!$A$2:$A$500))))</f>
        <v/>
      </c>
      <c r="AK228" s="2">
        <f>IF(AI228="NOT FOUND","NOT FOUND",INDEX('9_3nf_customer_history'!$D:$D,SUMPRODUCT(('9_3nf_customer_history'!$A$2:$A$500=AD228)*('9_3nf_customer_history'!$B$2:$B$500=AI228)*ROW('9_3nf_customer_history'!$A$2:$A$500))))</f>
        <v/>
      </c>
      <c r="AL228" s="2">
        <f>UPPER(TRIM(H228))</f>
        <v/>
      </c>
      <c r="AM228" s="30">
        <f>IF(_xlfn.MAXIFS('10_ref_fx_rate'!$B$2:$B$2000,'10_ref_fx_rate'!$A$2:$A$2000,AL228,'10_ref_fx_rate'!$B$2:$B$2000,"&lt;="&amp;L228)=0,"NOT FOUND",_xlfn.MAXIFS('10_ref_fx_rate'!$B$2:$B$2000,'10_ref_fx_rate'!$A$2:$A$2000,AL228,'10_ref_fx_rate'!$B$2:$B$2000,"&lt;="&amp;L228))</f>
        <v/>
      </c>
      <c r="AN228" s="8">
        <f>IF(AM228="NOT FOUND","NOT FOUND",SUMIFS('10_ref_fx_rate'!$D$2:$D$2000,'10_ref_fx_rate'!$A$2:$A$2000,AL228,'10_ref_fx_rate'!$B$2:$B$2000,AM228))</f>
        <v/>
      </c>
      <c r="AO228" s="37">
        <f>IF(ISNUMBER(AN228),I228*AN228,"NOT FOUND")</f>
        <v/>
      </c>
      <c r="AP228" s="2">
        <f>UPPER(TRIM(J228))</f>
        <v/>
      </c>
      <c r="AQ228" s="2">
        <f>IF(AP228="","SELF-DIRECTED",IF(ISNUMBER(MATCH(AP228,'11_3nf_sales_person'!$A:$A,0)),IF(EXACT(AP228,J228),"OK","OK (auto-fixed)"),IF(ISNA(MATCH($A228,'12_sales_person_confirmation'!$A:$A,0)),"CONFIRM (not logged)",IF(INDEX('12_sales_person_confirmation'!$I:$I,MATCH($A228,'12_sales_person_confirmation'!$A:$A,0))="CONFIRMED","CONFIRMED ("&amp;LOWER(INDEX('12_sales_person_confirmation'!$E:$E,MATCH($A228,'12_sales_person_confirmation'!$A:$A,0)))&amp;")","PENDING CONFIRM"))))</f>
        <v/>
      </c>
      <c r="AR228" s="2">
        <f>IF(OR(AQ228="OK",AQ228="OK (auto-fixed)"),AP228,IF(LEFT(AQ228,9)="CONFIRMED",INDEX('12_sales_person_confirmation'!$F:$F,MATCH($A228,'12_sales_person_confirmation'!$A:$A,0)),""))</f>
        <v/>
      </c>
      <c r="AS228" s="2">
        <f>IF(AR228="","",INDEX('11_3nf_sales_person'!$B:$B,MATCH(AR228,'11_3nf_sales_person'!$A:$A,0)))</f>
        <v/>
      </c>
    </row>
    <row r="229">
      <c r="A229" s="2">
        <f>IF(ISBLANK('1_raw_log'!A229),"",'1_raw_log'!A229)</f>
        <v/>
      </c>
      <c r="B229" s="3">
        <f>IF(ISBLANK('1_raw_log'!B229),"",'1_raw_log'!B229)</f>
        <v/>
      </c>
      <c r="C229" s="2">
        <f>IF(ISBLANK('1_raw_log'!C229),"",'1_raw_log'!C229)</f>
        <v/>
      </c>
      <c r="D229" s="2">
        <f>IF(ISBLANK('1_raw_log'!D229),"",'1_raw_log'!D229)</f>
        <v/>
      </c>
      <c r="E229" s="4">
        <f>IF(ISBLANK('1_raw_log'!E229),"",'1_raw_log'!E229)</f>
        <v/>
      </c>
      <c r="F229" s="2">
        <f>IF(ISBLANK('1_raw_log'!F229),"",'1_raw_log'!F229)</f>
        <v/>
      </c>
      <c r="G229" s="2">
        <f>IF(ISBLANK('1_raw_log'!G229),"",'1_raw_log'!G229)</f>
        <v/>
      </c>
      <c r="H229" s="2">
        <f>IF(ISBLANK('1_raw_log'!H229),"",'1_raw_log'!H229)</f>
        <v/>
      </c>
      <c r="I229" s="7">
        <f>IF(ISBLANK('1_raw_log'!I229),"",'1_raw_log'!I229)</f>
        <v/>
      </c>
      <c r="J229" s="2">
        <f>IF(ISBLANK('1_raw_log'!J229),"",'1_raw_log'!J229)</f>
        <v/>
      </c>
      <c r="K229" s="2">
        <f>IF(ISBLANK('1_raw_log'!K229),"",'1_raw_log'!K229)</f>
        <v/>
      </c>
      <c r="L229" s="30">
        <f>INT(B229)</f>
        <v/>
      </c>
      <c r="M229" s="20">
        <f>ROUND(MOD(B229,1)*1440,0)/1440</f>
        <v/>
      </c>
      <c r="N229" s="4">
        <f>IFERROR(INDEX('3_ref_date'!$B:$B,MATCH(L229,'3_ref_date'!$A:$A,0)),"NOT FOUND")</f>
        <v/>
      </c>
      <c r="O229" s="2">
        <f>IFERROR(INDEX('3_ref_date'!$C:$C,MATCH(L229,'3_ref_date'!$A:$A,0)),"NOT FOUND")</f>
        <v/>
      </c>
      <c r="P229" s="4">
        <f>IFERROR(INDEX('3_ref_date'!$D:$D,MATCH(L229,'3_ref_date'!$A:$A,0)),"NOT FOUND")</f>
        <v/>
      </c>
      <c r="Q229" s="4">
        <f>IFERROR(INDEX('3_ref_date'!$E:$E,MATCH(L229,'3_ref_date'!$A:$A,0)),"NOT FOUND")</f>
        <v/>
      </c>
      <c r="R229" s="2">
        <f>IFERROR(INDEX('3_ref_date'!$F:$F,MATCH(L229,'3_ref_date'!$A:$A,0)),"NOT FOUND")</f>
        <v/>
      </c>
      <c r="S229" s="2">
        <f>IFERROR(INDEX('4_ref_time'!$D:$D,MATCH(ROUND(M229*1440,0),'4_ref_time'!$A:$A,0)),"NOT FOUND")</f>
        <v/>
      </c>
      <c r="T229" s="2">
        <f>UPPER(TRIM(C229))</f>
        <v/>
      </c>
      <c r="U229" s="30">
        <f>IF(_xlfn.MAXIFS('6_3nf_branch_history'!$B$2:$B$50,'6_3nf_branch_history'!$A$2:$A$50,T229,'6_3nf_branch_history'!$B$2:$B$50,"&lt;="&amp;L229)=0,"NOT FOUND",_xlfn.MAXIFS('6_3nf_branch_history'!$B$2:$B$50,'6_3nf_branch_history'!$A$2:$A$50,T229,'6_3nf_branch_history'!$B$2:$B$50,"&lt;="&amp;L229))</f>
        <v/>
      </c>
      <c r="V229" s="2">
        <f>IF(U229="NOT FOUND","NOT FOUND",INDEX('6_3nf_branch_history'!$C:$C,SUMPRODUCT(('6_3nf_branch_history'!$A$2:$A$50=T229)*('6_3nf_branch_history'!$B$2:$B$50=U229)*ROW('6_3nf_branch_history'!$A$2:$A$50))))</f>
        <v/>
      </c>
      <c r="W229" s="2">
        <f>IF(U229="NOT FOUND","NOT FOUND",INDEX('6_3nf_branch_history'!$D:$D,SUMPRODUCT(('6_3nf_branch_history'!$A$2:$A$50=T229)*('6_3nf_branch_history'!$B$2:$B$50=U229)*ROW('6_3nf_branch_history'!$A$2:$A$50))))</f>
        <v/>
      </c>
      <c r="X229" s="2">
        <f>IF(U229="NOT FOUND","NOT FOUND",INDEX('6_3nf_branch_history'!$E:$E,SUMPRODUCT(('6_3nf_branch_history'!$A$2:$A$50=T229)*('6_3nf_branch_history'!$B$2:$B$50=U229)*ROW('6_3nf_branch_history'!$A$2:$A$50))))</f>
        <v/>
      </c>
      <c r="Y229" s="2">
        <f>UPPER(TRIM(D229))</f>
        <v/>
      </c>
      <c r="Z229" s="2">
        <f>IFERROR(INDEX('7_3nf_product'!$B:$B,MATCH(Y229,'7_3nf_product'!$A:$A,0)),"NOT FOUND")</f>
        <v/>
      </c>
      <c r="AA229" s="2">
        <f>IFERROR(INDEX('7_3nf_product'!$C:$C,MATCH(Y229,'7_3nf_product'!$A:$A,0)),"NOT FOUND")</f>
        <v/>
      </c>
      <c r="AB229" s="2">
        <f>IFERROR(INDEX('7_3nf_product'!$D:$D,MATCH(Y229,'7_3nf_product'!$A:$A,0)),"NOT FOUND")</f>
        <v/>
      </c>
      <c r="AC229" s="6">
        <f>IFERROR(INDEX('7_3nf_product'!$E:$E,MATCH(Y229,'7_3nf_product'!$A:$A,0)),"NOT FOUND")</f>
        <v/>
      </c>
      <c r="AD229" s="33">
        <f>IF(LEN(TRIM(E229))=10,TRIM(E229),IF(LEN(TRIM(E229))=8,"00"&amp;TRIM(E229),"CHECK"))</f>
        <v/>
      </c>
      <c r="AE229" s="2">
        <f>IFERROR(INDEX('8_3nf_customer'!$C:$C,MATCH(AD229,'8_3nf_customer'!$B:$B,0)),"NOT FOUND")</f>
        <v/>
      </c>
      <c r="AF229" s="30">
        <f>IFERROR(INDEX('8_3nf_customer'!$D:$D,MATCH(AD229,'8_3nf_customer'!$B:$B,0)),"NOT FOUND")</f>
        <v/>
      </c>
      <c r="AG229" s="4">
        <f>IF(ISNUMBER(AF229),DATEDIF(AF229,L229,"y"),"NOT FOUND")</f>
        <v/>
      </c>
      <c r="AH229" s="2">
        <f>IFERROR(INDEX('8_3nf_customer'!$E:$E,MATCH(AD229,'8_3nf_customer'!$B:$B,0)),"NOT FOUND")</f>
        <v/>
      </c>
      <c r="AI229" s="30">
        <f>IF(_xlfn.MAXIFS('9_3nf_customer_history'!$B$2:$B$500,'9_3nf_customer_history'!$A$2:$A$500,AD229,'9_3nf_customer_history'!$B$2:$B$500,"&lt;="&amp;L229)=0,"NOT FOUND",_xlfn.MAXIFS('9_3nf_customer_history'!$B$2:$B$500,'9_3nf_customer_history'!$A$2:$A$500,AD229,'9_3nf_customer_history'!$B$2:$B$500,"&lt;="&amp;L229))</f>
        <v/>
      </c>
      <c r="AJ229" s="2">
        <f>IF(AI229="NOT FOUND","NOT FOUND",INDEX('9_3nf_customer_history'!$C:$C,SUMPRODUCT(('9_3nf_customer_history'!$A$2:$A$500=AD229)*('9_3nf_customer_history'!$B$2:$B$500=AI229)*ROW('9_3nf_customer_history'!$A$2:$A$500))))</f>
        <v/>
      </c>
      <c r="AK229" s="2">
        <f>IF(AI229="NOT FOUND","NOT FOUND",INDEX('9_3nf_customer_history'!$D:$D,SUMPRODUCT(('9_3nf_customer_history'!$A$2:$A$500=AD229)*('9_3nf_customer_history'!$B$2:$B$500=AI229)*ROW('9_3nf_customer_history'!$A$2:$A$500))))</f>
        <v/>
      </c>
      <c r="AL229" s="2">
        <f>UPPER(TRIM(H229))</f>
        <v/>
      </c>
      <c r="AM229" s="30">
        <f>IF(_xlfn.MAXIFS('10_ref_fx_rate'!$B$2:$B$2000,'10_ref_fx_rate'!$A$2:$A$2000,AL229,'10_ref_fx_rate'!$B$2:$B$2000,"&lt;="&amp;L229)=0,"NOT FOUND",_xlfn.MAXIFS('10_ref_fx_rate'!$B$2:$B$2000,'10_ref_fx_rate'!$A$2:$A$2000,AL229,'10_ref_fx_rate'!$B$2:$B$2000,"&lt;="&amp;L229))</f>
        <v/>
      </c>
      <c r="AN229" s="8">
        <f>IF(AM229="NOT FOUND","NOT FOUND",SUMIFS('10_ref_fx_rate'!$D$2:$D$2000,'10_ref_fx_rate'!$A$2:$A$2000,AL229,'10_ref_fx_rate'!$B$2:$B$2000,AM229))</f>
        <v/>
      </c>
      <c r="AO229" s="37">
        <f>IF(ISNUMBER(AN229),I229*AN229,"NOT FOUND")</f>
        <v/>
      </c>
      <c r="AP229" s="2">
        <f>UPPER(TRIM(J229))</f>
        <v/>
      </c>
      <c r="AQ229" s="2">
        <f>IF(AP229="","SELF-DIRECTED",IF(ISNUMBER(MATCH(AP229,'11_3nf_sales_person'!$A:$A,0)),IF(EXACT(AP229,J229),"OK","OK (auto-fixed)"),IF(ISNA(MATCH($A229,'12_sales_person_confirmation'!$A:$A,0)),"CONFIRM (not logged)",IF(INDEX('12_sales_person_confirmation'!$I:$I,MATCH($A229,'12_sales_person_confirmation'!$A:$A,0))="CONFIRMED","CONFIRMED ("&amp;LOWER(INDEX('12_sales_person_confirmation'!$E:$E,MATCH($A229,'12_sales_person_confirmation'!$A:$A,0)))&amp;")","PENDING CONFIRM"))))</f>
        <v/>
      </c>
      <c r="AR229" s="2">
        <f>IF(OR(AQ229="OK",AQ229="OK (auto-fixed)"),AP229,IF(LEFT(AQ229,9)="CONFIRMED",INDEX('12_sales_person_confirmation'!$F:$F,MATCH($A229,'12_sales_person_confirmation'!$A:$A,0)),""))</f>
        <v/>
      </c>
      <c r="AS229" s="2">
        <f>IF(AR229="","",INDEX('11_3nf_sales_person'!$B:$B,MATCH(AR229,'11_3nf_sales_person'!$A:$A,0)))</f>
        <v/>
      </c>
    </row>
    <row r="230">
      <c r="A230" s="2">
        <f>IF(ISBLANK('1_raw_log'!A230),"",'1_raw_log'!A230)</f>
        <v/>
      </c>
      <c r="B230" s="3">
        <f>IF(ISBLANK('1_raw_log'!B230),"",'1_raw_log'!B230)</f>
        <v/>
      </c>
      <c r="C230" s="2">
        <f>IF(ISBLANK('1_raw_log'!C230),"",'1_raw_log'!C230)</f>
        <v/>
      </c>
      <c r="D230" s="2">
        <f>IF(ISBLANK('1_raw_log'!D230),"",'1_raw_log'!D230)</f>
        <v/>
      </c>
      <c r="E230" s="4">
        <f>IF(ISBLANK('1_raw_log'!E230),"",'1_raw_log'!E230)</f>
        <v/>
      </c>
      <c r="F230" s="2">
        <f>IF(ISBLANK('1_raw_log'!F230),"",'1_raw_log'!F230)</f>
        <v/>
      </c>
      <c r="G230" s="2">
        <f>IF(ISBLANK('1_raw_log'!G230),"",'1_raw_log'!G230)</f>
        <v/>
      </c>
      <c r="H230" s="2">
        <f>IF(ISBLANK('1_raw_log'!H230),"",'1_raw_log'!H230)</f>
        <v/>
      </c>
      <c r="I230" s="7">
        <f>IF(ISBLANK('1_raw_log'!I230),"",'1_raw_log'!I230)</f>
        <v/>
      </c>
      <c r="J230" s="2">
        <f>IF(ISBLANK('1_raw_log'!J230),"",'1_raw_log'!J230)</f>
        <v/>
      </c>
      <c r="K230" s="2">
        <f>IF(ISBLANK('1_raw_log'!K230),"",'1_raw_log'!K230)</f>
        <v/>
      </c>
      <c r="L230" s="30">
        <f>INT(B230)</f>
        <v/>
      </c>
      <c r="M230" s="20">
        <f>ROUND(MOD(B230,1)*1440,0)/1440</f>
        <v/>
      </c>
      <c r="N230" s="4">
        <f>IFERROR(INDEX('3_ref_date'!$B:$B,MATCH(L230,'3_ref_date'!$A:$A,0)),"NOT FOUND")</f>
        <v/>
      </c>
      <c r="O230" s="2">
        <f>IFERROR(INDEX('3_ref_date'!$C:$C,MATCH(L230,'3_ref_date'!$A:$A,0)),"NOT FOUND")</f>
        <v/>
      </c>
      <c r="P230" s="4">
        <f>IFERROR(INDEX('3_ref_date'!$D:$D,MATCH(L230,'3_ref_date'!$A:$A,0)),"NOT FOUND")</f>
        <v/>
      </c>
      <c r="Q230" s="4">
        <f>IFERROR(INDEX('3_ref_date'!$E:$E,MATCH(L230,'3_ref_date'!$A:$A,0)),"NOT FOUND")</f>
        <v/>
      </c>
      <c r="R230" s="2">
        <f>IFERROR(INDEX('3_ref_date'!$F:$F,MATCH(L230,'3_ref_date'!$A:$A,0)),"NOT FOUND")</f>
        <v/>
      </c>
      <c r="S230" s="2">
        <f>IFERROR(INDEX('4_ref_time'!$D:$D,MATCH(ROUND(M230*1440,0),'4_ref_time'!$A:$A,0)),"NOT FOUND")</f>
        <v/>
      </c>
      <c r="T230" s="2">
        <f>UPPER(TRIM(C230))</f>
        <v/>
      </c>
      <c r="U230" s="30">
        <f>IF(_xlfn.MAXIFS('6_3nf_branch_history'!$B$2:$B$50,'6_3nf_branch_history'!$A$2:$A$50,T230,'6_3nf_branch_history'!$B$2:$B$50,"&lt;="&amp;L230)=0,"NOT FOUND",_xlfn.MAXIFS('6_3nf_branch_history'!$B$2:$B$50,'6_3nf_branch_history'!$A$2:$A$50,T230,'6_3nf_branch_history'!$B$2:$B$50,"&lt;="&amp;L230))</f>
        <v/>
      </c>
      <c r="V230" s="2">
        <f>IF(U230="NOT FOUND","NOT FOUND",INDEX('6_3nf_branch_history'!$C:$C,SUMPRODUCT(('6_3nf_branch_history'!$A$2:$A$50=T230)*('6_3nf_branch_history'!$B$2:$B$50=U230)*ROW('6_3nf_branch_history'!$A$2:$A$50))))</f>
        <v/>
      </c>
      <c r="W230" s="2">
        <f>IF(U230="NOT FOUND","NOT FOUND",INDEX('6_3nf_branch_history'!$D:$D,SUMPRODUCT(('6_3nf_branch_history'!$A$2:$A$50=T230)*('6_3nf_branch_history'!$B$2:$B$50=U230)*ROW('6_3nf_branch_history'!$A$2:$A$50))))</f>
        <v/>
      </c>
      <c r="X230" s="2">
        <f>IF(U230="NOT FOUND","NOT FOUND",INDEX('6_3nf_branch_history'!$E:$E,SUMPRODUCT(('6_3nf_branch_history'!$A$2:$A$50=T230)*('6_3nf_branch_history'!$B$2:$B$50=U230)*ROW('6_3nf_branch_history'!$A$2:$A$50))))</f>
        <v/>
      </c>
      <c r="Y230" s="2">
        <f>UPPER(TRIM(D230))</f>
        <v/>
      </c>
      <c r="Z230" s="2">
        <f>IFERROR(INDEX('7_3nf_product'!$B:$B,MATCH(Y230,'7_3nf_product'!$A:$A,0)),"NOT FOUND")</f>
        <v/>
      </c>
      <c r="AA230" s="2">
        <f>IFERROR(INDEX('7_3nf_product'!$C:$C,MATCH(Y230,'7_3nf_product'!$A:$A,0)),"NOT FOUND")</f>
        <v/>
      </c>
      <c r="AB230" s="2">
        <f>IFERROR(INDEX('7_3nf_product'!$D:$D,MATCH(Y230,'7_3nf_product'!$A:$A,0)),"NOT FOUND")</f>
        <v/>
      </c>
      <c r="AC230" s="6">
        <f>IFERROR(INDEX('7_3nf_product'!$E:$E,MATCH(Y230,'7_3nf_product'!$A:$A,0)),"NOT FOUND")</f>
        <v/>
      </c>
      <c r="AD230" s="33">
        <f>IF(LEN(TRIM(E230))=10,TRIM(E230),IF(LEN(TRIM(E230))=8,"00"&amp;TRIM(E230),"CHECK"))</f>
        <v/>
      </c>
      <c r="AE230" s="2">
        <f>IFERROR(INDEX('8_3nf_customer'!$C:$C,MATCH(AD230,'8_3nf_customer'!$B:$B,0)),"NOT FOUND")</f>
        <v/>
      </c>
      <c r="AF230" s="30">
        <f>IFERROR(INDEX('8_3nf_customer'!$D:$D,MATCH(AD230,'8_3nf_customer'!$B:$B,0)),"NOT FOUND")</f>
        <v/>
      </c>
      <c r="AG230" s="4">
        <f>IF(ISNUMBER(AF230),DATEDIF(AF230,L230,"y"),"NOT FOUND")</f>
        <v/>
      </c>
      <c r="AH230" s="2">
        <f>IFERROR(INDEX('8_3nf_customer'!$E:$E,MATCH(AD230,'8_3nf_customer'!$B:$B,0)),"NOT FOUND")</f>
        <v/>
      </c>
      <c r="AI230" s="30">
        <f>IF(_xlfn.MAXIFS('9_3nf_customer_history'!$B$2:$B$500,'9_3nf_customer_history'!$A$2:$A$500,AD230,'9_3nf_customer_history'!$B$2:$B$500,"&lt;="&amp;L230)=0,"NOT FOUND",_xlfn.MAXIFS('9_3nf_customer_history'!$B$2:$B$500,'9_3nf_customer_history'!$A$2:$A$500,AD230,'9_3nf_customer_history'!$B$2:$B$500,"&lt;="&amp;L230))</f>
        <v/>
      </c>
      <c r="AJ230" s="2">
        <f>IF(AI230="NOT FOUND","NOT FOUND",INDEX('9_3nf_customer_history'!$C:$C,SUMPRODUCT(('9_3nf_customer_history'!$A$2:$A$500=AD230)*('9_3nf_customer_history'!$B$2:$B$500=AI230)*ROW('9_3nf_customer_history'!$A$2:$A$500))))</f>
        <v/>
      </c>
      <c r="AK230" s="2">
        <f>IF(AI230="NOT FOUND","NOT FOUND",INDEX('9_3nf_customer_history'!$D:$D,SUMPRODUCT(('9_3nf_customer_history'!$A$2:$A$500=AD230)*('9_3nf_customer_history'!$B$2:$B$500=AI230)*ROW('9_3nf_customer_history'!$A$2:$A$500))))</f>
        <v/>
      </c>
      <c r="AL230" s="2">
        <f>UPPER(TRIM(H230))</f>
        <v/>
      </c>
      <c r="AM230" s="30">
        <f>IF(_xlfn.MAXIFS('10_ref_fx_rate'!$B$2:$B$2000,'10_ref_fx_rate'!$A$2:$A$2000,AL230,'10_ref_fx_rate'!$B$2:$B$2000,"&lt;="&amp;L230)=0,"NOT FOUND",_xlfn.MAXIFS('10_ref_fx_rate'!$B$2:$B$2000,'10_ref_fx_rate'!$A$2:$A$2000,AL230,'10_ref_fx_rate'!$B$2:$B$2000,"&lt;="&amp;L230))</f>
        <v/>
      </c>
      <c r="AN230" s="8">
        <f>IF(AM230="NOT FOUND","NOT FOUND",SUMIFS('10_ref_fx_rate'!$D$2:$D$2000,'10_ref_fx_rate'!$A$2:$A$2000,AL230,'10_ref_fx_rate'!$B$2:$B$2000,AM230))</f>
        <v/>
      </c>
      <c r="AO230" s="37">
        <f>IF(ISNUMBER(AN230),I230*AN230,"NOT FOUND")</f>
        <v/>
      </c>
      <c r="AP230" s="2">
        <f>UPPER(TRIM(J230))</f>
        <v/>
      </c>
      <c r="AQ230" s="2">
        <f>IF(AP230="","SELF-DIRECTED",IF(ISNUMBER(MATCH(AP230,'11_3nf_sales_person'!$A:$A,0)),IF(EXACT(AP230,J230),"OK","OK (auto-fixed)"),IF(ISNA(MATCH($A230,'12_sales_person_confirmation'!$A:$A,0)),"CONFIRM (not logged)",IF(INDEX('12_sales_person_confirmation'!$I:$I,MATCH($A230,'12_sales_person_confirmation'!$A:$A,0))="CONFIRMED","CONFIRMED ("&amp;LOWER(INDEX('12_sales_person_confirmation'!$E:$E,MATCH($A230,'12_sales_person_confirmation'!$A:$A,0)))&amp;")","PENDING CONFIRM"))))</f>
        <v/>
      </c>
      <c r="AR230" s="2">
        <f>IF(OR(AQ230="OK",AQ230="OK (auto-fixed)"),AP230,IF(LEFT(AQ230,9)="CONFIRMED",INDEX('12_sales_person_confirmation'!$F:$F,MATCH($A230,'12_sales_person_confirmation'!$A:$A,0)),""))</f>
        <v/>
      </c>
      <c r="AS230" s="2">
        <f>IF(AR230="","",INDEX('11_3nf_sales_person'!$B:$B,MATCH(AR230,'11_3nf_sales_person'!$A:$A,0)))</f>
        <v/>
      </c>
    </row>
    <row r="231">
      <c r="A231" s="2">
        <f>IF(ISBLANK('1_raw_log'!A231),"",'1_raw_log'!A231)</f>
        <v/>
      </c>
      <c r="B231" s="3">
        <f>IF(ISBLANK('1_raw_log'!B231),"",'1_raw_log'!B231)</f>
        <v/>
      </c>
      <c r="C231" s="2">
        <f>IF(ISBLANK('1_raw_log'!C231),"",'1_raw_log'!C231)</f>
        <v/>
      </c>
      <c r="D231" s="2">
        <f>IF(ISBLANK('1_raw_log'!D231),"",'1_raw_log'!D231)</f>
        <v/>
      </c>
      <c r="E231" s="4">
        <f>IF(ISBLANK('1_raw_log'!E231),"",'1_raw_log'!E231)</f>
        <v/>
      </c>
      <c r="F231" s="2">
        <f>IF(ISBLANK('1_raw_log'!F231),"",'1_raw_log'!F231)</f>
        <v/>
      </c>
      <c r="G231" s="2">
        <f>IF(ISBLANK('1_raw_log'!G231),"",'1_raw_log'!G231)</f>
        <v/>
      </c>
      <c r="H231" s="2">
        <f>IF(ISBLANK('1_raw_log'!H231),"",'1_raw_log'!H231)</f>
        <v/>
      </c>
      <c r="I231" s="7">
        <f>IF(ISBLANK('1_raw_log'!I231),"",'1_raw_log'!I231)</f>
        <v/>
      </c>
      <c r="J231" s="2">
        <f>IF(ISBLANK('1_raw_log'!J231),"",'1_raw_log'!J231)</f>
        <v/>
      </c>
      <c r="K231" s="2">
        <f>IF(ISBLANK('1_raw_log'!K231),"",'1_raw_log'!K231)</f>
        <v/>
      </c>
      <c r="L231" s="30">
        <f>INT(B231)</f>
        <v/>
      </c>
      <c r="M231" s="20">
        <f>ROUND(MOD(B231,1)*1440,0)/1440</f>
        <v/>
      </c>
      <c r="N231" s="4">
        <f>IFERROR(INDEX('3_ref_date'!$B:$B,MATCH(L231,'3_ref_date'!$A:$A,0)),"NOT FOUND")</f>
        <v/>
      </c>
      <c r="O231" s="2">
        <f>IFERROR(INDEX('3_ref_date'!$C:$C,MATCH(L231,'3_ref_date'!$A:$A,0)),"NOT FOUND")</f>
        <v/>
      </c>
      <c r="P231" s="4">
        <f>IFERROR(INDEX('3_ref_date'!$D:$D,MATCH(L231,'3_ref_date'!$A:$A,0)),"NOT FOUND")</f>
        <v/>
      </c>
      <c r="Q231" s="4">
        <f>IFERROR(INDEX('3_ref_date'!$E:$E,MATCH(L231,'3_ref_date'!$A:$A,0)),"NOT FOUND")</f>
        <v/>
      </c>
      <c r="R231" s="2">
        <f>IFERROR(INDEX('3_ref_date'!$F:$F,MATCH(L231,'3_ref_date'!$A:$A,0)),"NOT FOUND")</f>
        <v/>
      </c>
      <c r="S231" s="2">
        <f>IFERROR(INDEX('4_ref_time'!$D:$D,MATCH(ROUND(M231*1440,0),'4_ref_time'!$A:$A,0)),"NOT FOUND")</f>
        <v/>
      </c>
      <c r="T231" s="2">
        <f>UPPER(TRIM(C231))</f>
        <v/>
      </c>
      <c r="U231" s="30">
        <f>IF(_xlfn.MAXIFS('6_3nf_branch_history'!$B$2:$B$50,'6_3nf_branch_history'!$A$2:$A$50,T231,'6_3nf_branch_history'!$B$2:$B$50,"&lt;="&amp;L231)=0,"NOT FOUND",_xlfn.MAXIFS('6_3nf_branch_history'!$B$2:$B$50,'6_3nf_branch_history'!$A$2:$A$50,T231,'6_3nf_branch_history'!$B$2:$B$50,"&lt;="&amp;L231))</f>
        <v/>
      </c>
      <c r="V231" s="2">
        <f>IF(U231="NOT FOUND","NOT FOUND",INDEX('6_3nf_branch_history'!$C:$C,SUMPRODUCT(('6_3nf_branch_history'!$A$2:$A$50=T231)*('6_3nf_branch_history'!$B$2:$B$50=U231)*ROW('6_3nf_branch_history'!$A$2:$A$50))))</f>
        <v/>
      </c>
      <c r="W231" s="2">
        <f>IF(U231="NOT FOUND","NOT FOUND",INDEX('6_3nf_branch_history'!$D:$D,SUMPRODUCT(('6_3nf_branch_history'!$A$2:$A$50=T231)*('6_3nf_branch_history'!$B$2:$B$50=U231)*ROW('6_3nf_branch_history'!$A$2:$A$50))))</f>
        <v/>
      </c>
      <c r="X231" s="2">
        <f>IF(U231="NOT FOUND","NOT FOUND",INDEX('6_3nf_branch_history'!$E:$E,SUMPRODUCT(('6_3nf_branch_history'!$A$2:$A$50=T231)*('6_3nf_branch_history'!$B$2:$B$50=U231)*ROW('6_3nf_branch_history'!$A$2:$A$50))))</f>
        <v/>
      </c>
      <c r="Y231" s="2">
        <f>UPPER(TRIM(D231))</f>
        <v/>
      </c>
      <c r="Z231" s="2">
        <f>IFERROR(INDEX('7_3nf_product'!$B:$B,MATCH(Y231,'7_3nf_product'!$A:$A,0)),"NOT FOUND")</f>
        <v/>
      </c>
      <c r="AA231" s="2">
        <f>IFERROR(INDEX('7_3nf_product'!$C:$C,MATCH(Y231,'7_3nf_product'!$A:$A,0)),"NOT FOUND")</f>
        <v/>
      </c>
      <c r="AB231" s="2">
        <f>IFERROR(INDEX('7_3nf_product'!$D:$D,MATCH(Y231,'7_3nf_product'!$A:$A,0)),"NOT FOUND")</f>
        <v/>
      </c>
      <c r="AC231" s="6">
        <f>IFERROR(INDEX('7_3nf_product'!$E:$E,MATCH(Y231,'7_3nf_product'!$A:$A,0)),"NOT FOUND")</f>
        <v/>
      </c>
      <c r="AD231" s="33">
        <f>IF(LEN(TRIM(E231))=10,TRIM(E231),IF(LEN(TRIM(E231))=8,"00"&amp;TRIM(E231),"CHECK"))</f>
        <v/>
      </c>
      <c r="AE231" s="2">
        <f>IFERROR(INDEX('8_3nf_customer'!$C:$C,MATCH(AD231,'8_3nf_customer'!$B:$B,0)),"NOT FOUND")</f>
        <v/>
      </c>
      <c r="AF231" s="30">
        <f>IFERROR(INDEX('8_3nf_customer'!$D:$D,MATCH(AD231,'8_3nf_customer'!$B:$B,0)),"NOT FOUND")</f>
        <v/>
      </c>
      <c r="AG231" s="4">
        <f>IF(ISNUMBER(AF231),DATEDIF(AF231,L231,"y"),"NOT FOUND")</f>
        <v/>
      </c>
      <c r="AH231" s="2">
        <f>IFERROR(INDEX('8_3nf_customer'!$E:$E,MATCH(AD231,'8_3nf_customer'!$B:$B,0)),"NOT FOUND")</f>
        <v/>
      </c>
      <c r="AI231" s="30">
        <f>IF(_xlfn.MAXIFS('9_3nf_customer_history'!$B$2:$B$500,'9_3nf_customer_history'!$A$2:$A$500,AD231,'9_3nf_customer_history'!$B$2:$B$500,"&lt;="&amp;L231)=0,"NOT FOUND",_xlfn.MAXIFS('9_3nf_customer_history'!$B$2:$B$500,'9_3nf_customer_history'!$A$2:$A$500,AD231,'9_3nf_customer_history'!$B$2:$B$500,"&lt;="&amp;L231))</f>
        <v/>
      </c>
      <c r="AJ231" s="2">
        <f>IF(AI231="NOT FOUND","NOT FOUND",INDEX('9_3nf_customer_history'!$C:$C,SUMPRODUCT(('9_3nf_customer_history'!$A$2:$A$500=AD231)*('9_3nf_customer_history'!$B$2:$B$500=AI231)*ROW('9_3nf_customer_history'!$A$2:$A$500))))</f>
        <v/>
      </c>
      <c r="AK231" s="2">
        <f>IF(AI231="NOT FOUND","NOT FOUND",INDEX('9_3nf_customer_history'!$D:$D,SUMPRODUCT(('9_3nf_customer_history'!$A$2:$A$500=AD231)*('9_3nf_customer_history'!$B$2:$B$500=AI231)*ROW('9_3nf_customer_history'!$A$2:$A$500))))</f>
        <v/>
      </c>
      <c r="AL231" s="2">
        <f>UPPER(TRIM(H231))</f>
        <v/>
      </c>
      <c r="AM231" s="30">
        <f>IF(_xlfn.MAXIFS('10_ref_fx_rate'!$B$2:$B$2000,'10_ref_fx_rate'!$A$2:$A$2000,AL231,'10_ref_fx_rate'!$B$2:$B$2000,"&lt;="&amp;L231)=0,"NOT FOUND",_xlfn.MAXIFS('10_ref_fx_rate'!$B$2:$B$2000,'10_ref_fx_rate'!$A$2:$A$2000,AL231,'10_ref_fx_rate'!$B$2:$B$2000,"&lt;="&amp;L231))</f>
        <v/>
      </c>
      <c r="AN231" s="8">
        <f>IF(AM231="NOT FOUND","NOT FOUND",SUMIFS('10_ref_fx_rate'!$D$2:$D$2000,'10_ref_fx_rate'!$A$2:$A$2000,AL231,'10_ref_fx_rate'!$B$2:$B$2000,AM231))</f>
        <v/>
      </c>
      <c r="AO231" s="37">
        <f>IF(ISNUMBER(AN231),I231*AN231,"NOT FOUND")</f>
        <v/>
      </c>
      <c r="AP231" s="2">
        <f>UPPER(TRIM(J231))</f>
        <v/>
      </c>
      <c r="AQ231" s="2">
        <f>IF(AP231="","SELF-DIRECTED",IF(ISNUMBER(MATCH(AP231,'11_3nf_sales_person'!$A:$A,0)),IF(EXACT(AP231,J231),"OK","OK (auto-fixed)"),IF(ISNA(MATCH($A231,'12_sales_person_confirmation'!$A:$A,0)),"CONFIRM (not logged)",IF(INDEX('12_sales_person_confirmation'!$I:$I,MATCH($A231,'12_sales_person_confirmation'!$A:$A,0))="CONFIRMED","CONFIRMED ("&amp;LOWER(INDEX('12_sales_person_confirmation'!$E:$E,MATCH($A231,'12_sales_person_confirmation'!$A:$A,0)))&amp;")","PENDING CONFIRM"))))</f>
        <v/>
      </c>
      <c r="AR231" s="2">
        <f>IF(OR(AQ231="OK",AQ231="OK (auto-fixed)"),AP231,IF(LEFT(AQ231,9)="CONFIRMED",INDEX('12_sales_person_confirmation'!$F:$F,MATCH($A231,'12_sales_person_confirmation'!$A:$A,0)),""))</f>
        <v/>
      </c>
      <c r="AS231" s="2">
        <f>IF(AR231="","",INDEX('11_3nf_sales_person'!$B:$B,MATCH(AR231,'11_3nf_sales_person'!$A:$A,0)))</f>
        <v/>
      </c>
    </row>
    <row r="232">
      <c r="A232" s="2">
        <f>IF(ISBLANK('1_raw_log'!A232),"",'1_raw_log'!A232)</f>
        <v/>
      </c>
      <c r="B232" s="3">
        <f>IF(ISBLANK('1_raw_log'!B232),"",'1_raw_log'!B232)</f>
        <v/>
      </c>
      <c r="C232" s="2">
        <f>IF(ISBLANK('1_raw_log'!C232),"",'1_raw_log'!C232)</f>
        <v/>
      </c>
      <c r="D232" s="2">
        <f>IF(ISBLANK('1_raw_log'!D232),"",'1_raw_log'!D232)</f>
        <v/>
      </c>
      <c r="E232" s="4">
        <f>IF(ISBLANK('1_raw_log'!E232),"",'1_raw_log'!E232)</f>
        <v/>
      </c>
      <c r="F232" s="2">
        <f>IF(ISBLANK('1_raw_log'!F232),"",'1_raw_log'!F232)</f>
        <v/>
      </c>
      <c r="G232" s="2">
        <f>IF(ISBLANK('1_raw_log'!G232),"",'1_raw_log'!G232)</f>
        <v/>
      </c>
      <c r="H232" s="2">
        <f>IF(ISBLANK('1_raw_log'!H232),"",'1_raw_log'!H232)</f>
        <v/>
      </c>
      <c r="I232" s="7">
        <f>IF(ISBLANK('1_raw_log'!I232),"",'1_raw_log'!I232)</f>
        <v/>
      </c>
      <c r="J232" s="2">
        <f>IF(ISBLANK('1_raw_log'!J232),"",'1_raw_log'!J232)</f>
        <v/>
      </c>
      <c r="K232" s="2">
        <f>IF(ISBLANK('1_raw_log'!K232),"",'1_raw_log'!K232)</f>
        <v/>
      </c>
      <c r="L232" s="30">
        <f>INT(B232)</f>
        <v/>
      </c>
      <c r="M232" s="20">
        <f>ROUND(MOD(B232,1)*1440,0)/1440</f>
        <v/>
      </c>
      <c r="N232" s="4">
        <f>IFERROR(INDEX('3_ref_date'!$B:$B,MATCH(L232,'3_ref_date'!$A:$A,0)),"NOT FOUND")</f>
        <v/>
      </c>
      <c r="O232" s="2">
        <f>IFERROR(INDEX('3_ref_date'!$C:$C,MATCH(L232,'3_ref_date'!$A:$A,0)),"NOT FOUND")</f>
        <v/>
      </c>
      <c r="P232" s="4">
        <f>IFERROR(INDEX('3_ref_date'!$D:$D,MATCH(L232,'3_ref_date'!$A:$A,0)),"NOT FOUND")</f>
        <v/>
      </c>
      <c r="Q232" s="4">
        <f>IFERROR(INDEX('3_ref_date'!$E:$E,MATCH(L232,'3_ref_date'!$A:$A,0)),"NOT FOUND")</f>
        <v/>
      </c>
      <c r="R232" s="2">
        <f>IFERROR(INDEX('3_ref_date'!$F:$F,MATCH(L232,'3_ref_date'!$A:$A,0)),"NOT FOUND")</f>
        <v/>
      </c>
      <c r="S232" s="2">
        <f>IFERROR(INDEX('4_ref_time'!$D:$D,MATCH(ROUND(M232*1440,0),'4_ref_time'!$A:$A,0)),"NOT FOUND")</f>
        <v/>
      </c>
      <c r="T232" s="2">
        <f>UPPER(TRIM(C232))</f>
        <v/>
      </c>
      <c r="U232" s="30">
        <f>IF(_xlfn.MAXIFS('6_3nf_branch_history'!$B$2:$B$50,'6_3nf_branch_history'!$A$2:$A$50,T232,'6_3nf_branch_history'!$B$2:$B$50,"&lt;="&amp;L232)=0,"NOT FOUND",_xlfn.MAXIFS('6_3nf_branch_history'!$B$2:$B$50,'6_3nf_branch_history'!$A$2:$A$50,T232,'6_3nf_branch_history'!$B$2:$B$50,"&lt;="&amp;L232))</f>
        <v/>
      </c>
      <c r="V232" s="2">
        <f>IF(U232="NOT FOUND","NOT FOUND",INDEX('6_3nf_branch_history'!$C:$C,SUMPRODUCT(('6_3nf_branch_history'!$A$2:$A$50=T232)*('6_3nf_branch_history'!$B$2:$B$50=U232)*ROW('6_3nf_branch_history'!$A$2:$A$50))))</f>
        <v/>
      </c>
      <c r="W232" s="2">
        <f>IF(U232="NOT FOUND","NOT FOUND",INDEX('6_3nf_branch_history'!$D:$D,SUMPRODUCT(('6_3nf_branch_history'!$A$2:$A$50=T232)*('6_3nf_branch_history'!$B$2:$B$50=U232)*ROW('6_3nf_branch_history'!$A$2:$A$50))))</f>
        <v/>
      </c>
      <c r="X232" s="2">
        <f>IF(U232="NOT FOUND","NOT FOUND",INDEX('6_3nf_branch_history'!$E:$E,SUMPRODUCT(('6_3nf_branch_history'!$A$2:$A$50=T232)*('6_3nf_branch_history'!$B$2:$B$50=U232)*ROW('6_3nf_branch_history'!$A$2:$A$50))))</f>
        <v/>
      </c>
      <c r="Y232" s="2">
        <f>UPPER(TRIM(D232))</f>
        <v/>
      </c>
      <c r="Z232" s="2">
        <f>IFERROR(INDEX('7_3nf_product'!$B:$B,MATCH(Y232,'7_3nf_product'!$A:$A,0)),"NOT FOUND")</f>
        <v/>
      </c>
      <c r="AA232" s="2">
        <f>IFERROR(INDEX('7_3nf_product'!$C:$C,MATCH(Y232,'7_3nf_product'!$A:$A,0)),"NOT FOUND")</f>
        <v/>
      </c>
      <c r="AB232" s="2">
        <f>IFERROR(INDEX('7_3nf_product'!$D:$D,MATCH(Y232,'7_3nf_product'!$A:$A,0)),"NOT FOUND")</f>
        <v/>
      </c>
      <c r="AC232" s="6">
        <f>IFERROR(INDEX('7_3nf_product'!$E:$E,MATCH(Y232,'7_3nf_product'!$A:$A,0)),"NOT FOUND")</f>
        <v/>
      </c>
      <c r="AD232" s="33">
        <f>IF(LEN(TRIM(E232))=10,TRIM(E232),IF(LEN(TRIM(E232))=8,"00"&amp;TRIM(E232),"CHECK"))</f>
        <v/>
      </c>
      <c r="AE232" s="2">
        <f>IFERROR(INDEX('8_3nf_customer'!$C:$C,MATCH(AD232,'8_3nf_customer'!$B:$B,0)),"NOT FOUND")</f>
        <v/>
      </c>
      <c r="AF232" s="30">
        <f>IFERROR(INDEX('8_3nf_customer'!$D:$D,MATCH(AD232,'8_3nf_customer'!$B:$B,0)),"NOT FOUND")</f>
        <v/>
      </c>
      <c r="AG232" s="4">
        <f>IF(ISNUMBER(AF232),DATEDIF(AF232,L232,"y"),"NOT FOUND")</f>
        <v/>
      </c>
      <c r="AH232" s="2">
        <f>IFERROR(INDEX('8_3nf_customer'!$E:$E,MATCH(AD232,'8_3nf_customer'!$B:$B,0)),"NOT FOUND")</f>
        <v/>
      </c>
      <c r="AI232" s="30">
        <f>IF(_xlfn.MAXIFS('9_3nf_customer_history'!$B$2:$B$500,'9_3nf_customer_history'!$A$2:$A$500,AD232,'9_3nf_customer_history'!$B$2:$B$500,"&lt;="&amp;L232)=0,"NOT FOUND",_xlfn.MAXIFS('9_3nf_customer_history'!$B$2:$B$500,'9_3nf_customer_history'!$A$2:$A$500,AD232,'9_3nf_customer_history'!$B$2:$B$500,"&lt;="&amp;L232))</f>
        <v/>
      </c>
      <c r="AJ232" s="2">
        <f>IF(AI232="NOT FOUND","NOT FOUND",INDEX('9_3nf_customer_history'!$C:$C,SUMPRODUCT(('9_3nf_customer_history'!$A$2:$A$500=AD232)*('9_3nf_customer_history'!$B$2:$B$500=AI232)*ROW('9_3nf_customer_history'!$A$2:$A$500))))</f>
        <v/>
      </c>
      <c r="AK232" s="2">
        <f>IF(AI232="NOT FOUND","NOT FOUND",INDEX('9_3nf_customer_history'!$D:$D,SUMPRODUCT(('9_3nf_customer_history'!$A$2:$A$500=AD232)*('9_3nf_customer_history'!$B$2:$B$500=AI232)*ROW('9_3nf_customer_history'!$A$2:$A$500))))</f>
        <v/>
      </c>
      <c r="AL232" s="2">
        <f>UPPER(TRIM(H232))</f>
        <v/>
      </c>
      <c r="AM232" s="30">
        <f>IF(_xlfn.MAXIFS('10_ref_fx_rate'!$B$2:$B$2000,'10_ref_fx_rate'!$A$2:$A$2000,AL232,'10_ref_fx_rate'!$B$2:$B$2000,"&lt;="&amp;L232)=0,"NOT FOUND",_xlfn.MAXIFS('10_ref_fx_rate'!$B$2:$B$2000,'10_ref_fx_rate'!$A$2:$A$2000,AL232,'10_ref_fx_rate'!$B$2:$B$2000,"&lt;="&amp;L232))</f>
        <v/>
      </c>
      <c r="AN232" s="8">
        <f>IF(AM232="NOT FOUND","NOT FOUND",SUMIFS('10_ref_fx_rate'!$D$2:$D$2000,'10_ref_fx_rate'!$A$2:$A$2000,AL232,'10_ref_fx_rate'!$B$2:$B$2000,AM232))</f>
        <v/>
      </c>
      <c r="AO232" s="37">
        <f>IF(ISNUMBER(AN232),I232*AN232,"NOT FOUND")</f>
        <v/>
      </c>
      <c r="AP232" s="2">
        <f>UPPER(TRIM(J232))</f>
        <v/>
      </c>
      <c r="AQ232" s="2">
        <f>IF(AP232="","SELF-DIRECTED",IF(ISNUMBER(MATCH(AP232,'11_3nf_sales_person'!$A:$A,0)),IF(EXACT(AP232,J232),"OK","OK (auto-fixed)"),IF(ISNA(MATCH($A232,'12_sales_person_confirmation'!$A:$A,0)),"CONFIRM (not logged)",IF(INDEX('12_sales_person_confirmation'!$I:$I,MATCH($A232,'12_sales_person_confirmation'!$A:$A,0))="CONFIRMED","CONFIRMED ("&amp;LOWER(INDEX('12_sales_person_confirmation'!$E:$E,MATCH($A232,'12_sales_person_confirmation'!$A:$A,0)))&amp;")","PENDING CONFIRM"))))</f>
        <v/>
      </c>
      <c r="AR232" s="2">
        <f>IF(OR(AQ232="OK",AQ232="OK (auto-fixed)"),AP232,IF(LEFT(AQ232,9)="CONFIRMED",INDEX('12_sales_person_confirmation'!$F:$F,MATCH($A232,'12_sales_person_confirmation'!$A:$A,0)),""))</f>
        <v/>
      </c>
      <c r="AS232" s="2">
        <f>IF(AR232="","",INDEX('11_3nf_sales_person'!$B:$B,MATCH(AR232,'11_3nf_sales_person'!$A:$A,0)))</f>
        <v/>
      </c>
    </row>
    <row r="233">
      <c r="A233" s="2">
        <f>IF(ISBLANK('1_raw_log'!A233),"",'1_raw_log'!A233)</f>
        <v/>
      </c>
      <c r="B233" s="3">
        <f>IF(ISBLANK('1_raw_log'!B233),"",'1_raw_log'!B233)</f>
        <v/>
      </c>
      <c r="C233" s="2">
        <f>IF(ISBLANK('1_raw_log'!C233),"",'1_raw_log'!C233)</f>
        <v/>
      </c>
      <c r="D233" s="2">
        <f>IF(ISBLANK('1_raw_log'!D233),"",'1_raw_log'!D233)</f>
        <v/>
      </c>
      <c r="E233" s="4">
        <f>IF(ISBLANK('1_raw_log'!E233),"",'1_raw_log'!E233)</f>
        <v/>
      </c>
      <c r="F233" s="2">
        <f>IF(ISBLANK('1_raw_log'!F233),"",'1_raw_log'!F233)</f>
        <v/>
      </c>
      <c r="G233" s="2">
        <f>IF(ISBLANK('1_raw_log'!G233),"",'1_raw_log'!G233)</f>
        <v/>
      </c>
      <c r="H233" s="2">
        <f>IF(ISBLANK('1_raw_log'!H233),"",'1_raw_log'!H233)</f>
        <v/>
      </c>
      <c r="I233" s="7">
        <f>IF(ISBLANK('1_raw_log'!I233),"",'1_raw_log'!I233)</f>
        <v/>
      </c>
      <c r="J233" s="2">
        <f>IF(ISBLANK('1_raw_log'!J233),"",'1_raw_log'!J233)</f>
        <v/>
      </c>
      <c r="K233" s="2">
        <f>IF(ISBLANK('1_raw_log'!K233),"",'1_raw_log'!K233)</f>
        <v/>
      </c>
      <c r="L233" s="30">
        <f>INT(B233)</f>
        <v/>
      </c>
      <c r="M233" s="20">
        <f>ROUND(MOD(B233,1)*1440,0)/1440</f>
        <v/>
      </c>
      <c r="N233" s="4">
        <f>IFERROR(INDEX('3_ref_date'!$B:$B,MATCH(L233,'3_ref_date'!$A:$A,0)),"NOT FOUND")</f>
        <v/>
      </c>
      <c r="O233" s="2">
        <f>IFERROR(INDEX('3_ref_date'!$C:$C,MATCH(L233,'3_ref_date'!$A:$A,0)),"NOT FOUND")</f>
        <v/>
      </c>
      <c r="P233" s="4">
        <f>IFERROR(INDEX('3_ref_date'!$D:$D,MATCH(L233,'3_ref_date'!$A:$A,0)),"NOT FOUND")</f>
        <v/>
      </c>
      <c r="Q233" s="4">
        <f>IFERROR(INDEX('3_ref_date'!$E:$E,MATCH(L233,'3_ref_date'!$A:$A,0)),"NOT FOUND")</f>
        <v/>
      </c>
      <c r="R233" s="2">
        <f>IFERROR(INDEX('3_ref_date'!$F:$F,MATCH(L233,'3_ref_date'!$A:$A,0)),"NOT FOUND")</f>
        <v/>
      </c>
      <c r="S233" s="2">
        <f>IFERROR(INDEX('4_ref_time'!$D:$D,MATCH(ROUND(M233*1440,0),'4_ref_time'!$A:$A,0)),"NOT FOUND")</f>
        <v/>
      </c>
      <c r="T233" s="2">
        <f>UPPER(TRIM(C233))</f>
        <v/>
      </c>
      <c r="U233" s="30">
        <f>IF(_xlfn.MAXIFS('6_3nf_branch_history'!$B$2:$B$50,'6_3nf_branch_history'!$A$2:$A$50,T233,'6_3nf_branch_history'!$B$2:$B$50,"&lt;="&amp;L233)=0,"NOT FOUND",_xlfn.MAXIFS('6_3nf_branch_history'!$B$2:$B$50,'6_3nf_branch_history'!$A$2:$A$50,T233,'6_3nf_branch_history'!$B$2:$B$50,"&lt;="&amp;L233))</f>
        <v/>
      </c>
      <c r="V233" s="2">
        <f>IF(U233="NOT FOUND","NOT FOUND",INDEX('6_3nf_branch_history'!$C:$C,SUMPRODUCT(('6_3nf_branch_history'!$A$2:$A$50=T233)*('6_3nf_branch_history'!$B$2:$B$50=U233)*ROW('6_3nf_branch_history'!$A$2:$A$50))))</f>
        <v/>
      </c>
      <c r="W233" s="2">
        <f>IF(U233="NOT FOUND","NOT FOUND",INDEX('6_3nf_branch_history'!$D:$D,SUMPRODUCT(('6_3nf_branch_history'!$A$2:$A$50=T233)*('6_3nf_branch_history'!$B$2:$B$50=U233)*ROW('6_3nf_branch_history'!$A$2:$A$50))))</f>
        <v/>
      </c>
      <c r="X233" s="2">
        <f>IF(U233="NOT FOUND","NOT FOUND",INDEX('6_3nf_branch_history'!$E:$E,SUMPRODUCT(('6_3nf_branch_history'!$A$2:$A$50=T233)*('6_3nf_branch_history'!$B$2:$B$50=U233)*ROW('6_3nf_branch_history'!$A$2:$A$50))))</f>
        <v/>
      </c>
      <c r="Y233" s="2">
        <f>UPPER(TRIM(D233))</f>
        <v/>
      </c>
      <c r="Z233" s="2">
        <f>IFERROR(INDEX('7_3nf_product'!$B:$B,MATCH(Y233,'7_3nf_product'!$A:$A,0)),"NOT FOUND")</f>
        <v/>
      </c>
      <c r="AA233" s="2">
        <f>IFERROR(INDEX('7_3nf_product'!$C:$C,MATCH(Y233,'7_3nf_product'!$A:$A,0)),"NOT FOUND")</f>
        <v/>
      </c>
      <c r="AB233" s="2">
        <f>IFERROR(INDEX('7_3nf_product'!$D:$D,MATCH(Y233,'7_3nf_product'!$A:$A,0)),"NOT FOUND")</f>
        <v/>
      </c>
      <c r="AC233" s="6">
        <f>IFERROR(INDEX('7_3nf_product'!$E:$E,MATCH(Y233,'7_3nf_product'!$A:$A,0)),"NOT FOUND")</f>
        <v/>
      </c>
      <c r="AD233" s="33">
        <f>IF(LEN(TRIM(E233))=10,TRIM(E233),IF(LEN(TRIM(E233))=8,"00"&amp;TRIM(E233),"CHECK"))</f>
        <v/>
      </c>
      <c r="AE233" s="2">
        <f>IFERROR(INDEX('8_3nf_customer'!$C:$C,MATCH(AD233,'8_3nf_customer'!$B:$B,0)),"NOT FOUND")</f>
        <v/>
      </c>
      <c r="AF233" s="30">
        <f>IFERROR(INDEX('8_3nf_customer'!$D:$D,MATCH(AD233,'8_3nf_customer'!$B:$B,0)),"NOT FOUND")</f>
        <v/>
      </c>
      <c r="AG233" s="4">
        <f>IF(ISNUMBER(AF233),DATEDIF(AF233,L233,"y"),"NOT FOUND")</f>
        <v/>
      </c>
      <c r="AH233" s="2">
        <f>IFERROR(INDEX('8_3nf_customer'!$E:$E,MATCH(AD233,'8_3nf_customer'!$B:$B,0)),"NOT FOUND")</f>
        <v/>
      </c>
      <c r="AI233" s="30">
        <f>IF(_xlfn.MAXIFS('9_3nf_customer_history'!$B$2:$B$500,'9_3nf_customer_history'!$A$2:$A$500,AD233,'9_3nf_customer_history'!$B$2:$B$500,"&lt;="&amp;L233)=0,"NOT FOUND",_xlfn.MAXIFS('9_3nf_customer_history'!$B$2:$B$500,'9_3nf_customer_history'!$A$2:$A$500,AD233,'9_3nf_customer_history'!$B$2:$B$500,"&lt;="&amp;L233))</f>
        <v/>
      </c>
      <c r="AJ233" s="2">
        <f>IF(AI233="NOT FOUND","NOT FOUND",INDEX('9_3nf_customer_history'!$C:$C,SUMPRODUCT(('9_3nf_customer_history'!$A$2:$A$500=AD233)*('9_3nf_customer_history'!$B$2:$B$500=AI233)*ROW('9_3nf_customer_history'!$A$2:$A$500))))</f>
        <v/>
      </c>
      <c r="AK233" s="2">
        <f>IF(AI233="NOT FOUND","NOT FOUND",INDEX('9_3nf_customer_history'!$D:$D,SUMPRODUCT(('9_3nf_customer_history'!$A$2:$A$500=AD233)*('9_3nf_customer_history'!$B$2:$B$500=AI233)*ROW('9_3nf_customer_history'!$A$2:$A$500))))</f>
        <v/>
      </c>
      <c r="AL233" s="2">
        <f>UPPER(TRIM(H233))</f>
        <v/>
      </c>
      <c r="AM233" s="30">
        <f>IF(_xlfn.MAXIFS('10_ref_fx_rate'!$B$2:$B$2000,'10_ref_fx_rate'!$A$2:$A$2000,AL233,'10_ref_fx_rate'!$B$2:$B$2000,"&lt;="&amp;L233)=0,"NOT FOUND",_xlfn.MAXIFS('10_ref_fx_rate'!$B$2:$B$2000,'10_ref_fx_rate'!$A$2:$A$2000,AL233,'10_ref_fx_rate'!$B$2:$B$2000,"&lt;="&amp;L233))</f>
        <v/>
      </c>
      <c r="AN233" s="8">
        <f>IF(AM233="NOT FOUND","NOT FOUND",SUMIFS('10_ref_fx_rate'!$D$2:$D$2000,'10_ref_fx_rate'!$A$2:$A$2000,AL233,'10_ref_fx_rate'!$B$2:$B$2000,AM233))</f>
        <v/>
      </c>
      <c r="AO233" s="37">
        <f>IF(ISNUMBER(AN233),I233*AN233,"NOT FOUND")</f>
        <v/>
      </c>
      <c r="AP233" s="2">
        <f>UPPER(TRIM(J233))</f>
        <v/>
      </c>
      <c r="AQ233" s="2">
        <f>IF(AP233="","SELF-DIRECTED",IF(ISNUMBER(MATCH(AP233,'11_3nf_sales_person'!$A:$A,0)),IF(EXACT(AP233,J233),"OK","OK (auto-fixed)"),IF(ISNA(MATCH($A233,'12_sales_person_confirmation'!$A:$A,0)),"CONFIRM (not logged)",IF(INDEX('12_sales_person_confirmation'!$I:$I,MATCH($A233,'12_sales_person_confirmation'!$A:$A,0))="CONFIRMED","CONFIRMED ("&amp;LOWER(INDEX('12_sales_person_confirmation'!$E:$E,MATCH($A233,'12_sales_person_confirmation'!$A:$A,0)))&amp;")","PENDING CONFIRM"))))</f>
        <v/>
      </c>
      <c r="AR233" s="2">
        <f>IF(OR(AQ233="OK",AQ233="OK (auto-fixed)"),AP233,IF(LEFT(AQ233,9)="CONFIRMED",INDEX('12_sales_person_confirmation'!$F:$F,MATCH($A233,'12_sales_person_confirmation'!$A:$A,0)),""))</f>
        <v/>
      </c>
      <c r="AS233" s="2">
        <f>IF(AR233="","",INDEX('11_3nf_sales_person'!$B:$B,MATCH(AR233,'11_3nf_sales_person'!$A:$A,0)))</f>
        <v/>
      </c>
    </row>
    <row r="234">
      <c r="A234" s="2">
        <f>IF(ISBLANK('1_raw_log'!A234),"",'1_raw_log'!A234)</f>
        <v/>
      </c>
      <c r="B234" s="3">
        <f>IF(ISBLANK('1_raw_log'!B234),"",'1_raw_log'!B234)</f>
        <v/>
      </c>
      <c r="C234" s="2">
        <f>IF(ISBLANK('1_raw_log'!C234),"",'1_raw_log'!C234)</f>
        <v/>
      </c>
      <c r="D234" s="2">
        <f>IF(ISBLANK('1_raw_log'!D234),"",'1_raw_log'!D234)</f>
        <v/>
      </c>
      <c r="E234" s="4">
        <f>IF(ISBLANK('1_raw_log'!E234),"",'1_raw_log'!E234)</f>
        <v/>
      </c>
      <c r="F234" s="2">
        <f>IF(ISBLANK('1_raw_log'!F234),"",'1_raw_log'!F234)</f>
        <v/>
      </c>
      <c r="G234" s="2">
        <f>IF(ISBLANK('1_raw_log'!G234),"",'1_raw_log'!G234)</f>
        <v/>
      </c>
      <c r="H234" s="2">
        <f>IF(ISBLANK('1_raw_log'!H234),"",'1_raw_log'!H234)</f>
        <v/>
      </c>
      <c r="I234" s="7">
        <f>IF(ISBLANK('1_raw_log'!I234),"",'1_raw_log'!I234)</f>
        <v/>
      </c>
      <c r="J234" s="2">
        <f>IF(ISBLANK('1_raw_log'!J234),"",'1_raw_log'!J234)</f>
        <v/>
      </c>
      <c r="K234" s="2">
        <f>IF(ISBLANK('1_raw_log'!K234),"",'1_raw_log'!K234)</f>
        <v/>
      </c>
      <c r="L234" s="30">
        <f>INT(B234)</f>
        <v/>
      </c>
      <c r="M234" s="20">
        <f>ROUND(MOD(B234,1)*1440,0)/1440</f>
        <v/>
      </c>
      <c r="N234" s="4">
        <f>IFERROR(INDEX('3_ref_date'!$B:$B,MATCH(L234,'3_ref_date'!$A:$A,0)),"NOT FOUND")</f>
        <v/>
      </c>
      <c r="O234" s="2">
        <f>IFERROR(INDEX('3_ref_date'!$C:$C,MATCH(L234,'3_ref_date'!$A:$A,0)),"NOT FOUND")</f>
        <v/>
      </c>
      <c r="P234" s="4">
        <f>IFERROR(INDEX('3_ref_date'!$D:$D,MATCH(L234,'3_ref_date'!$A:$A,0)),"NOT FOUND")</f>
        <v/>
      </c>
      <c r="Q234" s="4">
        <f>IFERROR(INDEX('3_ref_date'!$E:$E,MATCH(L234,'3_ref_date'!$A:$A,0)),"NOT FOUND")</f>
        <v/>
      </c>
      <c r="R234" s="2">
        <f>IFERROR(INDEX('3_ref_date'!$F:$F,MATCH(L234,'3_ref_date'!$A:$A,0)),"NOT FOUND")</f>
        <v/>
      </c>
      <c r="S234" s="2">
        <f>IFERROR(INDEX('4_ref_time'!$D:$D,MATCH(ROUND(M234*1440,0),'4_ref_time'!$A:$A,0)),"NOT FOUND")</f>
        <v/>
      </c>
      <c r="T234" s="2">
        <f>UPPER(TRIM(C234))</f>
        <v/>
      </c>
      <c r="U234" s="30">
        <f>IF(_xlfn.MAXIFS('6_3nf_branch_history'!$B$2:$B$50,'6_3nf_branch_history'!$A$2:$A$50,T234,'6_3nf_branch_history'!$B$2:$B$50,"&lt;="&amp;L234)=0,"NOT FOUND",_xlfn.MAXIFS('6_3nf_branch_history'!$B$2:$B$50,'6_3nf_branch_history'!$A$2:$A$50,T234,'6_3nf_branch_history'!$B$2:$B$50,"&lt;="&amp;L234))</f>
        <v/>
      </c>
      <c r="V234" s="2">
        <f>IF(U234="NOT FOUND","NOT FOUND",INDEX('6_3nf_branch_history'!$C:$C,SUMPRODUCT(('6_3nf_branch_history'!$A$2:$A$50=T234)*('6_3nf_branch_history'!$B$2:$B$50=U234)*ROW('6_3nf_branch_history'!$A$2:$A$50))))</f>
        <v/>
      </c>
      <c r="W234" s="2">
        <f>IF(U234="NOT FOUND","NOT FOUND",INDEX('6_3nf_branch_history'!$D:$D,SUMPRODUCT(('6_3nf_branch_history'!$A$2:$A$50=T234)*('6_3nf_branch_history'!$B$2:$B$50=U234)*ROW('6_3nf_branch_history'!$A$2:$A$50))))</f>
        <v/>
      </c>
      <c r="X234" s="2">
        <f>IF(U234="NOT FOUND","NOT FOUND",INDEX('6_3nf_branch_history'!$E:$E,SUMPRODUCT(('6_3nf_branch_history'!$A$2:$A$50=T234)*('6_3nf_branch_history'!$B$2:$B$50=U234)*ROW('6_3nf_branch_history'!$A$2:$A$50))))</f>
        <v/>
      </c>
      <c r="Y234" s="2">
        <f>UPPER(TRIM(D234))</f>
        <v/>
      </c>
      <c r="Z234" s="2">
        <f>IFERROR(INDEX('7_3nf_product'!$B:$B,MATCH(Y234,'7_3nf_product'!$A:$A,0)),"NOT FOUND")</f>
        <v/>
      </c>
      <c r="AA234" s="2">
        <f>IFERROR(INDEX('7_3nf_product'!$C:$C,MATCH(Y234,'7_3nf_product'!$A:$A,0)),"NOT FOUND")</f>
        <v/>
      </c>
      <c r="AB234" s="2">
        <f>IFERROR(INDEX('7_3nf_product'!$D:$D,MATCH(Y234,'7_3nf_product'!$A:$A,0)),"NOT FOUND")</f>
        <v/>
      </c>
      <c r="AC234" s="6">
        <f>IFERROR(INDEX('7_3nf_product'!$E:$E,MATCH(Y234,'7_3nf_product'!$A:$A,0)),"NOT FOUND")</f>
        <v/>
      </c>
      <c r="AD234" s="33">
        <f>IF(LEN(TRIM(E234))=10,TRIM(E234),IF(LEN(TRIM(E234))=8,"00"&amp;TRIM(E234),"CHECK"))</f>
        <v/>
      </c>
      <c r="AE234" s="2">
        <f>IFERROR(INDEX('8_3nf_customer'!$C:$C,MATCH(AD234,'8_3nf_customer'!$B:$B,0)),"NOT FOUND")</f>
        <v/>
      </c>
      <c r="AF234" s="30">
        <f>IFERROR(INDEX('8_3nf_customer'!$D:$D,MATCH(AD234,'8_3nf_customer'!$B:$B,0)),"NOT FOUND")</f>
        <v/>
      </c>
      <c r="AG234" s="4">
        <f>IF(ISNUMBER(AF234),DATEDIF(AF234,L234,"y"),"NOT FOUND")</f>
        <v/>
      </c>
      <c r="AH234" s="2">
        <f>IFERROR(INDEX('8_3nf_customer'!$E:$E,MATCH(AD234,'8_3nf_customer'!$B:$B,0)),"NOT FOUND")</f>
        <v/>
      </c>
      <c r="AI234" s="30">
        <f>IF(_xlfn.MAXIFS('9_3nf_customer_history'!$B$2:$B$500,'9_3nf_customer_history'!$A$2:$A$500,AD234,'9_3nf_customer_history'!$B$2:$B$500,"&lt;="&amp;L234)=0,"NOT FOUND",_xlfn.MAXIFS('9_3nf_customer_history'!$B$2:$B$500,'9_3nf_customer_history'!$A$2:$A$500,AD234,'9_3nf_customer_history'!$B$2:$B$500,"&lt;="&amp;L234))</f>
        <v/>
      </c>
      <c r="AJ234" s="2">
        <f>IF(AI234="NOT FOUND","NOT FOUND",INDEX('9_3nf_customer_history'!$C:$C,SUMPRODUCT(('9_3nf_customer_history'!$A$2:$A$500=AD234)*('9_3nf_customer_history'!$B$2:$B$500=AI234)*ROW('9_3nf_customer_history'!$A$2:$A$500))))</f>
        <v/>
      </c>
      <c r="AK234" s="2">
        <f>IF(AI234="NOT FOUND","NOT FOUND",INDEX('9_3nf_customer_history'!$D:$D,SUMPRODUCT(('9_3nf_customer_history'!$A$2:$A$500=AD234)*('9_3nf_customer_history'!$B$2:$B$500=AI234)*ROW('9_3nf_customer_history'!$A$2:$A$500))))</f>
        <v/>
      </c>
      <c r="AL234" s="2">
        <f>UPPER(TRIM(H234))</f>
        <v/>
      </c>
      <c r="AM234" s="30">
        <f>IF(_xlfn.MAXIFS('10_ref_fx_rate'!$B$2:$B$2000,'10_ref_fx_rate'!$A$2:$A$2000,AL234,'10_ref_fx_rate'!$B$2:$B$2000,"&lt;="&amp;L234)=0,"NOT FOUND",_xlfn.MAXIFS('10_ref_fx_rate'!$B$2:$B$2000,'10_ref_fx_rate'!$A$2:$A$2000,AL234,'10_ref_fx_rate'!$B$2:$B$2000,"&lt;="&amp;L234))</f>
        <v/>
      </c>
      <c r="AN234" s="8">
        <f>IF(AM234="NOT FOUND","NOT FOUND",SUMIFS('10_ref_fx_rate'!$D$2:$D$2000,'10_ref_fx_rate'!$A$2:$A$2000,AL234,'10_ref_fx_rate'!$B$2:$B$2000,AM234))</f>
        <v/>
      </c>
      <c r="AO234" s="37">
        <f>IF(ISNUMBER(AN234),I234*AN234,"NOT FOUND")</f>
        <v/>
      </c>
      <c r="AP234" s="2">
        <f>UPPER(TRIM(J234))</f>
        <v/>
      </c>
      <c r="AQ234" s="2">
        <f>IF(AP234="","SELF-DIRECTED",IF(ISNUMBER(MATCH(AP234,'11_3nf_sales_person'!$A:$A,0)),IF(EXACT(AP234,J234),"OK","OK (auto-fixed)"),IF(ISNA(MATCH($A234,'12_sales_person_confirmation'!$A:$A,0)),"CONFIRM (not logged)",IF(INDEX('12_sales_person_confirmation'!$I:$I,MATCH($A234,'12_sales_person_confirmation'!$A:$A,0))="CONFIRMED","CONFIRMED ("&amp;LOWER(INDEX('12_sales_person_confirmation'!$E:$E,MATCH($A234,'12_sales_person_confirmation'!$A:$A,0)))&amp;")","PENDING CONFIRM"))))</f>
        <v/>
      </c>
      <c r="AR234" s="2">
        <f>IF(OR(AQ234="OK",AQ234="OK (auto-fixed)"),AP234,IF(LEFT(AQ234,9)="CONFIRMED",INDEX('12_sales_person_confirmation'!$F:$F,MATCH($A234,'12_sales_person_confirmation'!$A:$A,0)),""))</f>
        <v/>
      </c>
      <c r="AS234" s="2">
        <f>IF(AR234="","",INDEX('11_3nf_sales_person'!$B:$B,MATCH(AR234,'11_3nf_sales_person'!$A:$A,0)))</f>
        <v/>
      </c>
    </row>
    <row r="235">
      <c r="A235" s="2">
        <f>IF(ISBLANK('1_raw_log'!A235),"",'1_raw_log'!A235)</f>
        <v/>
      </c>
      <c r="B235" s="3">
        <f>IF(ISBLANK('1_raw_log'!B235),"",'1_raw_log'!B235)</f>
        <v/>
      </c>
      <c r="C235" s="2">
        <f>IF(ISBLANK('1_raw_log'!C235),"",'1_raw_log'!C235)</f>
        <v/>
      </c>
      <c r="D235" s="2">
        <f>IF(ISBLANK('1_raw_log'!D235),"",'1_raw_log'!D235)</f>
        <v/>
      </c>
      <c r="E235" s="4">
        <f>IF(ISBLANK('1_raw_log'!E235),"",'1_raw_log'!E235)</f>
        <v/>
      </c>
      <c r="F235" s="2">
        <f>IF(ISBLANK('1_raw_log'!F235),"",'1_raw_log'!F235)</f>
        <v/>
      </c>
      <c r="G235" s="2">
        <f>IF(ISBLANK('1_raw_log'!G235),"",'1_raw_log'!G235)</f>
        <v/>
      </c>
      <c r="H235" s="2">
        <f>IF(ISBLANK('1_raw_log'!H235),"",'1_raw_log'!H235)</f>
        <v/>
      </c>
      <c r="I235" s="7">
        <f>IF(ISBLANK('1_raw_log'!I235),"",'1_raw_log'!I235)</f>
        <v/>
      </c>
      <c r="J235" s="2">
        <f>IF(ISBLANK('1_raw_log'!J235),"",'1_raw_log'!J235)</f>
        <v/>
      </c>
      <c r="K235" s="2">
        <f>IF(ISBLANK('1_raw_log'!K235),"",'1_raw_log'!K235)</f>
        <v/>
      </c>
      <c r="L235" s="30">
        <f>INT(B235)</f>
        <v/>
      </c>
      <c r="M235" s="20">
        <f>ROUND(MOD(B235,1)*1440,0)/1440</f>
        <v/>
      </c>
      <c r="N235" s="4">
        <f>IFERROR(INDEX('3_ref_date'!$B:$B,MATCH(L235,'3_ref_date'!$A:$A,0)),"NOT FOUND")</f>
        <v/>
      </c>
      <c r="O235" s="2">
        <f>IFERROR(INDEX('3_ref_date'!$C:$C,MATCH(L235,'3_ref_date'!$A:$A,0)),"NOT FOUND")</f>
        <v/>
      </c>
      <c r="P235" s="4">
        <f>IFERROR(INDEX('3_ref_date'!$D:$D,MATCH(L235,'3_ref_date'!$A:$A,0)),"NOT FOUND")</f>
        <v/>
      </c>
      <c r="Q235" s="4">
        <f>IFERROR(INDEX('3_ref_date'!$E:$E,MATCH(L235,'3_ref_date'!$A:$A,0)),"NOT FOUND")</f>
        <v/>
      </c>
      <c r="R235" s="2">
        <f>IFERROR(INDEX('3_ref_date'!$F:$F,MATCH(L235,'3_ref_date'!$A:$A,0)),"NOT FOUND")</f>
        <v/>
      </c>
      <c r="S235" s="2">
        <f>IFERROR(INDEX('4_ref_time'!$D:$D,MATCH(ROUND(M235*1440,0),'4_ref_time'!$A:$A,0)),"NOT FOUND")</f>
        <v/>
      </c>
      <c r="T235" s="2">
        <f>UPPER(TRIM(C235))</f>
        <v/>
      </c>
      <c r="U235" s="30">
        <f>IF(_xlfn.MAXIFS('6_3nf_branch_history'!$B$2:$B$50,'6_3nf_branch_history'!$A$2:$A$50,T235,'6_3nf_branch_history'!$B$2:$B$50,"&lt;="&amp;L235)=0,"NOT FOUND",_xlfn.MAXIFS('6_3nf_branch_history'!$B$2:$B$50,'6_3nf_branch_history'!$A$2:$A$50,T235,'6_3nf_branch_history'!$B$2:$B$50,"&lt;="&amp;L235))</f>
        <v/>
      </c>
      <c r="V235" s="2">
        <f>IF(U235="NOT FOUND","NOT FOUND",INDEX('6_3nf_branch_history'!$C:$C,SUMPRODUCT(('6_3nf_branch_history'!$A$2:$A$50=T235)*('6_3nf_branch_history'!$B$2:$B$50=U235)*ROW('6_3nf_branch_history'!$A$2:$A$50))))</f>
        <v/>
      </c>
      <c r="W235" s="2">
        <f>IF(U235="NOT FOUND","NOT FOUND",INDEX('6_3nf_branch_history'!$D:$D,SUMPRODUCT(('6_3nf_branch_history'!$A$2:$A$50=T235)*('6_3nf_branch_history'!$B$2:$B$50=U235)*ROW('6_3nf_branch_history'!$A$2:$A$50))))</f>
        <v/>
      </c>
      <c r="X235" s="2">
        <f>IF(U235="NOT FOUND","NOT FOUND",INDEX('6_3nf_branch_history'!$E:$E,SUMPRODUCT(('6_3nf_branch_history'!$A$2:$A$50=T235)*('6_3nf_branch_history'!$B$2:$B$50=U235)*ROW('6_3nf_branch_history'!$A$2:$A$50))))</f>
        <v/>
      </c>
      <c r="Y235" s="2">
        <f>UPPER(TRIM(D235))</f>
        <v/>
      </c>
      <c r="Z235" s="2">
        <f>IFERROR(INDEX('7_3nf_product'!$B:$B,MATCH(Y235,'7_3nf_product'!$A:$A,0)),"NOT FOUND")</f>
        <v/>
      </c>
      <c r="AA235" s="2">
        <f>IFERROR(INDEX('7_3nf_product'!$C:$C,MATCH(Y235,'7_3nf_product'!$A:$A,0)),"NOT FOUND")</f>
        <v/>
      </c>
      <c r="AB235" s="2">
        <f>IFERROR(INDEX('7_3nf_product'!$D:$D,MATCH(Y235,'7_3nf_product'!$A:$A,0)),"NOT FOUND")</f>
        <v/>
      </c>
      <c r="AC235" s="6">
        <f>IFERROR(INDEX('7_3nf_product'!$E:$E,MATCH(Y235,'7_3nf_product'!$A:$A,0)),"NOT FOUND")</f>
        <v/>
      </c>
      <c r="AD235" s="33">
        <f>IF(LEN(TRIM(E235))=10,TRIM(E235),IF(LEN(TRIM(E235))=8,"00"&amp;TRIM(E235),"CHECK"))</f>
        <v/>
      </c>
      <c r="AE235" s="2">
        <f>IFERROR(INDEX('8_3nf_customer'!$C:$C,MATCH(AD235,'8_3nf_customer'!$B:$B,0)),"NOT FOUND")</f>
        <v/>
      </c>
      <c r="AF235" s="30">
        <f>IFERROR(INDEX('8_3nf_customer'!$D:$D,MATCH(AD235,'8_3nf_customer'!$B:$B,0)),"NOT FOUND")</f>
        <v/>
      </c>
      <c r="AG235" s="4">
        <f>IF(ISNUMBER(AF235),DATEDIF(AF235,L235,"y"),"NOT FOUND")</f>
        <v/>
      </c>
      <c r="AH235" s="2">
        <f>IFERROR(INDEX('8_3nf_customer'!$E:$E,MATCH(AD235,'8_3nf_customer'!$B:$B,0)),"NOT FOUND")</f>
        <v/>
      </c>
      <c r="AI235" s="30">
        <f>IF(_xlfn.MAXIFS('9_3nf_customer_history'!$B$2:$B$500,'9_3nf_customer_history'!$A$2:$A$500,AD235,'9_3nf_customer_history'!$B$2:$B$500,"&lt;="&amp;L235)=0,"NOT FOUND",_xlfn.MAXIFS('9_3nf_customer_history'!$B$2:$B$500,'9_3nf_customer_history'!$A$2:$A$500,AD235,'9_3nf_customer_history'!$B$2:$B$500,"&lt;="&amp;L235))</f>
        <v/>
      </c>
      <c r="AJ235" s="2">
        <f>IF(AI235="NOT FOUND","NOT FOUND",INDEX('9_3nf_customer_history'!$C:$C,SUMPRODUCT(('9_3nf_customer_history'!$A$2:$A$500=AD235)*('9_3nf_customer_history'!$B$2:$B$500=AI235)*ROW('9_3nf_customer_history'!$A$2:$A$500))))</f>
        <v/>
      </c>
      <c r="AK235" s="2">
        <f>IF(AI235="NOT FOUND","NOT FOUND",INDEX('9_3nf_customer_history'!$D:$D,SUMPRODUCT(('9_3nf_customer_history'!$A$2:$A$500=AD235)*('9_3nf_customer_history'!$B$2:$B$500=AI235)*ROW('9_3nf_customer_history'!$A$2:$A$500))))</f>
        <v/>
      </c>
      <c r="AL235" s="2">
        <f>UPPER(TRIM(H235))</f>
        <v/>
      </c>
      <c r="AM235" s="30">
        <f>IF(_xlfn.MAXIFS('10_ref_fx_rate'!$B$2:$B$2000,'10_ref_fx_rate'!$A$2:$A$2000,AL235,'10_ref_fx_rate'!$B$2:$B$2000,"&lt;="&amp;L235)=0,"NOT FOUND",_xlfn.MAXIFS('10_ref_fx_rate'!$B$2:$B$2000,'10_ref_fx_rate'!$A$2:$A$2000,AL235,'10_ref_fx_rate'!$B$2:$B$2000,"&lt;="&amp;L235))</f>
        <v/>
      </c>
      <c r="AN235" s="8">
        <f>IF(AM235="NOT FOUND","NOT FOUND",SUMIFS('10_ref_fx_rate'!$D$2:$D$2000,'10_ref_fx_rate'!$A$2:$A$2000,AL235,'10_ref_fx_rate'!$B$2:$B$2000,AM235))</f>
        <v/>
      </c>
      <c r="AO235" s="37">
        <f>IF(ISNUMBER(AN235),I235*AN235,"NOT FOUND")</f>
        <v/>
      </c>
      <c r="AP235" s="2">
        <f>UPPER(TRIM(J235))</f>
        <v/>
      </c>
      <c r="AQ235" s="2">
        <f>IF(AP235="","SELF-DIRECTED",IF(ISNUMBER(MATCH(AP235,'11_3nf_sales_person'!$A:$A,0)),IF(EXACT(AP235,J235),"OK","OK (auto-fixed)"),IF(ISNA(MATCH($A235,'12_sales_person_confirmation'!$A:$A,0)),"CONFIRM (not logged)",IF(INDEX('12_sales_person_confirmation'!$I:$I,MATCH($A235,'12_sales_person_confirmation'!$A:$A,0))="CONFIRMED","CONFIRMED ("&amp;LOWER(INDEX('12_sales_person_confirmation'!$E:$E,MATCH($A235,'12_sales_person_confirmation'!$A:$A,0)))&amp;")","PENDING CONFIRM"))))</f>
        <v/>
      </c>
      <c r="AR235" s="2">
        <f>IF(OR(AQ235="OK",AQ235="OK (auto-fixed)"),AP235,IF(LEFT(AQ235,9)="CONFIRMED",INDEX('12_sales_person_confirmation'!$F:$F,MATCH($A235,'12_sales_person_confirmation'!$A:$A,0)),""))</f>
        <v/>
      </c>
      <c r="AS235" s="2">
        <f>IF(AR235="","",INDEX('11_3nf_sales_person'!$B:$B,MATCH(AR235,'11_3nf_sales_person'!$A:$A,0)))</f>
        <v/>
      </c>
    </row>
    <row r="236">
      <c r="A236" s="2">
        <f>IF(ISBLANK('1_raw_log'!A236),"",'1_raw_log'!A236)</f>
        <v/>
      </c>
      <c r="B236" s="3">
        <f>IF(ISBLANK('1_raw_log'!B236),"",'1_raw_log'!B236)</f>
        <v/>
      </c>
      <c r="C236" s="2">
        <f>IF(ISBLANK('1_raw_log'!C236),"",'1_raw_log'!C236)</f>
        <v/>
      </c>
      <c r="D236" s="2">
        <f>IF(ISBLANK('1_raw_log'!D236),"",'1_raw_log'!D236)</f>
        <v/>
      </c>
      <c r="E236" s="4">
        <f>IF(ISBLANK('1_raw_log'!E236),"",'1_raw_log'!E236)</f>
        <v/>
      </c>
      <c r="F236" s="2">
        <f>IF(ISBLANK('1_raw_log'!F236),"",'1_raw_log'!F236)</f>
        <v/>
      </c>
      <c r="G236" s="2">
        <f>IF(ISBLANK('1_raw_log'!G236),"",'1_raw_log'!G236)</f>
        <v/>
      </c>
      <c r="H236" s="2">
        <f>IF(ISBLANK('1_raw_log'!H236),"",'1_raw_log'!H236)</f>
        <v/>
      </c>
      <c r="I236" s="7">
        <f>IF(ISBLANK('1_raw_log'!I236),"",'1_raw_log'!I236)</f>
        <v/>
      </c>
      <c r="J236" s="2">
        <f>IF(ISBLANK('1_raw_log'!J236),"",'1_raw_log'!J236)</f>
        <v/>
      </c>
      <c r="K236" s="2">
        <f>IF(ISBLANK('1_raw_log'!K236),"",'1_raw_log'!K236)</f>
        <v/>
      </c>
      <c r="L236" s="30">
        <f>INT(B236)</f>
        <v/>
      </c>
      <c r="M236" s="20">
        <f>ROUND(MOD(B236,1)*1440,0)/1440</f>
        <v/>
      </c>
      <c r="N236" s="4">
        <f>IFERROR(INDEX('3_ref_date'!$B:$B,MATCH(L236,'3_ref_date'!$A:$A,0)),"NOT FOUND")</f>
        <v/>
      </c>
      <c r="O236" s="2">
        <f>IFERROR(INDEX('3_ref_date'!$C:$C,MATCH(L236,'3_ref_date'!$A:$A,0)),"NOT FOUND")</f>
        <v/>
      </c>
      <c r="P236" s="4">
        <f>IFERROR(INDEX('3_ref_date'!$D:$D,MATCH(L236,'3_ref_date'!$A:$A,0)),"NOT FOUND")</f>
        <v/>
      </c>
      <c r="Q236" s="4">
        <f>IFERROR(INDEX('3_ref_date'!$E:$E,MATCH(L236,'3_ref_date'!$A:$A,0)),"NOT FOUND")</f>
        <v/>
      </c>
      <c r="R236" s="2">
        <f>IFERROR(INDEX('3_ref_date'!$F:$F,MATCH(L236,'3_ref_date'!$A:$A,0)),"NOT FOUND")</f>
        <v/>
      </c>
      <c r="S236" s="2">
        <f>IFERROR(INDEX('4_ref_time'!$D:$D,MATCH(ROUND(M236*1440,0),'4_ref_time'!$A:$A,0)),"NOT FOUND")</f>
        <v/>
      </c>
      <c r="T236" s="2">
        <f>UPPER(TRIM(C236))</f>
        <v/>
      </c>
      <c r="U236" s="30">
        <f>IF(_xlfn.MAXIFS('6_3nf_branch_history'!$B$2:$B$50,'6_3nf_branch_history'!$A$2:$A$50,T236,'6_3nf_branch_history'!$B$2:$B$50,"&lt;="&amp;L236)=0,"NOT FOUND",_xlfn.MAXIFS('6_3nf_branch_history'!$B$2:$B$50,'6_3nf_branch_history'!$A$2:$A$50,T236,'6_3nf_branch_history'!$B$2:$B$50,"&lt;="&amp;L236))</f>
        <v/>
      </c>
      <c r="V236" s="2">
        <f>IF(U236="NOT FOUND","NOT FOUND",INDEX('6_3nf_branch_history'!$C:$C,SUMPRODUCT(('6_3nf_branch_history'!$A$2:$A$50=T236)*('6_3nf_branch_history'!$B$2:$B$50=U236)*ROW('6_3nf_branch_history'!$A$2:$A$50))))</f>
        <v/>
      </c>
      <c r="W236" s="2">
        <f>IF(U236="NOT FOUND","NOT FOUND",INDEX('6_3nf_branch_history'!$D:$D,SUMPRODUCT(('6_3nf_branch_history'!$A$2:$A$50=T236)*('6_3nf_branch_history'!$B$2:$B$50=U236)*ROW('6_3nf_branch_history'!$A$2:$A$50))))</f>
        <v/>
      </c>
      <c r="X236" s="2">
        <f>IF(U236="NOT FOUND","NOT FOUND",INDEX('6_3nf_branch_history'!$E:$E,SUMPRODUCT(('6_3nf_branch_history'!$A$2:$A$50=T236)*('6_3nf_branch_history'!$B$2:$B$50=U236)*ROW('6_3nf_branch_history'!$A$2:$A$50))))</f>
        <v/>
      </c>
      <c r="Y236" s="2">
        <f>UPPER(TRIM(D236))</f>
        <v/>
      </c>
      <c r="Z236" s="2">
        <f>IFERROR(INDEX('7_3nf_product'!$B:$B,MATCH(Y236,'7_3nf_product'!$A:$A,0)),"NOT FOUND")</f>
        <v/>
      </c>
      <c r="AA236" s="2">
        <f>IFERROR(INDEX('7_3nf_product'!$C:$C,MATCH(Y236,'7_3nf_product'!$A:$A,0)),"NOT FOUND")</f>
        <v/>
      </c>
      <c r="AB236" s="2">
        <f>IFERROR(INDEX('7_3nf_product'!$D:$D,MATCH(Y236,'7_3nf_product'!$A:$A,0)),"NOT FOUND")</f>
        <v/>
      </c>
      <c r="AC236" s="6">
        <f>IFERROR(INDEX('7_3nf_product'!$E:$E,MATCH(Y236,'7_3nf_product'!$A:$A,0)),"NOT FOUND")</f>
        <v/>
      </c>
      <c r="AD236" s="33">
        <f>IF(LEN(TRIM(E236))=10,TRIM(E236),IF(LEN(TRIM(E236))=8,"00"&amp;TRIM(E236),"CHECK"))</f>
        <v/>
      </c>
      <c r="AE236" s="2">
        <f>IFERROR(INDEX('8_3nf_customer'!$C:$C,MATCH(AD236,'8_3nf_customer'!$B:$B,0)),"NOT FOUND")</f>
        <v/>
      </c>
      <c r="AF236" s="30">
        <f>IFERROR(INDEX('8_3nf_customer'!$D:$D,MATCH(AD236,'8_3nf_customer'!$B:$B,0)),"NOT FOUND")</f>
        <v/>
      </c>
      <c r="AG236" s="4">
        <f>IF(ISNUMBER(AF236),DATEDIF(AF236,L236,"y"),"NOT FOUND")</f>
        <v/>
      </c>
      <c r="AH236" s="2">
        <f>IFERROR(INDEX('8_3nf_customer'!$E:$E,MATCH(AD236,'8_3nf_customer'!$B:$B,0)),"NOT FOUND")</f>
        <v/>
      </c>
      <c r="AI236" s="30">
        <f>IF(_xlfn.MAXIFS('9_3nf_customer_history'!$B$2:$B$500,'9_3nf_customer_history'!$A$2:$A$500,AD236,'9_3nf_customer_history'!$B$2:$B$500,"&lt;="&amp;L236)=0,"NOT FOUND",_xlfn.MAXIFS('9_3nf_customer_history'!$B$2:$B$500,'9_3nf_customer_history'!$A$2:$A$500,AD236,'9_3nf_customer_history'!$B$2:$B$500,"&lt;="&amp;L236))</f>
        <v/>
      </c>
      <c r="AJ236" s="2">
        <f>IF(AI236="NOT FOUND","NOT FOUND",INDEX('9_3nf_customer_history'!$C:$C,SUMPRODUCT(('9_3nf_customer_history'!$A$2:$A$500=AD236)*('9_3nf_customer_history'!$B$2:$B$500=AI236)*ROW('9_3nf_customer_history'!$A$2:$A$500))))</f>
        <v/>
      </c>
      <c r="AK236" s="2">
        <f>IF(AI236="NOT FOUND","NOT FOUND",INDEX('9_3nf_customer_history'!$D:$D,SUMPRODUCT(('9_3nf_customer_history'!$A$2:$A$500=AD236)*('9_3nf_customer_history'!$B$2:$B$500=AI236)*ROW('9_3nf_customer_history'!$A$2:$A$500))))</f>
        <v/>
      </c>
      <c r="AL236" s="2">
        <f>UPPER(TRIM(H236))</f>
        <v/>
      </c>
      <c r="AM236" s="30">
        <f>IF(_xlfn.MAXIFS('10_ref_fx_rate'!$B$2:$B$2000,'10_ref_fx_rate'!$A$2:$A$2000,AL236,'10_ref_fx_rate'!$B$2:$B$2000,"&lt;="&amp;L236)=0,"NOT FOUND",_xlfn.MAXIFS('10_ref_fx_rate'!$B$2:$B$2000,'10_ref_fx_rate'!$A$2:$A$2000,AL236,'10_ref_fx_rate'!$B$2:$B$2000,"&lt;="&amp;L236))</f>
        <v/>
      </c>
      <c r="AN236" s="8">
        <f>IF(AM236="NOT FOUND","NOT FOUND",SUMIFS('10_ref_fx_rate'!$D$2:$D$2000,'10_ref_fx_rate'!$A$2:$A$2000,AL236,'10_ref_fx_rate'!$B$2:$B$2000,AM236))</f>
        <v/>
      </c>
      <c r="AO236" s="37">
        <f>IF(ISNUMBER(AN236),I236*AN236,"NOT FOUND")</f>
        <v/>
      </c>
      <c r="AP236" s="2">
        <f>UPPER(TRIM(J236))</f>
        <v/>
      </c>
      <c r="AQ236" s="2">
        <f>IF(AP236="","SELF-DIRECTED",IF(ISNUMBER(MATCH(AP236,'11_3nf_sales_person'!$A:$A,0)),IF(EXACT(AP236,J236),"OK","OK (auto-fixed)"),IF(ISNA(MATCH($A236,'12_sales_person_confirmation'!$A:$A,0)),"CONFIRM (not logged)",IF(INDEX('12_sales_person_confirmation'!$I:$I,MATCH($A236,'12_sales_person_confirmation'!$A:$A,0))="CONFIRMED","CONFIRMED ("&amp;LOWER(INDEX('12_sales_person_confirmation'!$E:$E,MATCH($A236,'12_sales_person_confirmation'!$A:$A,0)))&amp;")","PENDING CONFIRM"))))</f>
        <v/>
      </c>
      <c r="AR236" s="2">
        <f>IF(OR(AQ236="OK",AQ236="OK (auto-fixed)"),AP236,IF(LEFT(AQ236,9)="CONFIRMED",INDEX('12_sales_person_confirmation'!$F:$F,MATCH($A236,'12_sales_person_confirmation'!$A:$A,0)),""))</f>
        <v/>
      </c>
      <c r="AS236" s="2">
        <f>IF(AR236="","",INDEX('11_3nf_sales_person'!$B:$B,MATCH(AR236,'11_3nf_sales_person'!$A:$A,0)))</f>
        <v/>
      </c>
    </row>
    <row r="237">
      <c r="A237" s="2">
        <f>IF(ISBLANK('1_raw_log'!A237),"",'1_raw_log'!A237)</f>
        <v/>
      </c>
      <c r="B237" s="3">
        <f>IF(ISBLANK('1_raw_log'!B237),"",'1_raw_log'!B237)</f>
        <v/>
      </c>
      <c r="C237" s="2">
        <f>IF(ISBLANK('1_raw_log'!C237),"",'1_raw_log'!C237)</f>
        <v/>
      </c>
      <c r="D237" s="2">
        <f>IF(ISBLANK('1_raw_log'!D237),"",'1_raw_log'!D237)</f>
        <v/>
      </c>
      <c r="E237" s="4">
        <f>IF(ISBLANK('1_raw_log'!E237),"",'1_raw_log'!E237)</f>
        <v/>
      </c>
      <c r="F237" s="2">
        <f>IF(ISBLANK('1_raw_log'!F237),"",'1_raw_log'!F237)</f>
        <v/>
      </c>
      <c r="G237" s="2">
        <f>IF(ISBLANK('1_raw_log'!G237),"",'1_raw_log'!G237)</f>
        <v/>
      </c>
      <c r="H237" s="2">
        <f>IF(ISBLANK('1_raw_log'!H237),"",'1_raw_log'!H237)</f>
        <v/>
      </c>
      <c r="I237" s="7">
        <f>IF(ISBLANK('1_raw_log'!I237),"",'1_raw_log'!I237)</f>
        <v/>
      </c>
      <c r="J237" s="2">
        <f>IF(ISBLANK('1_raw_log'!J237),"",'1_raw_log'!J237)</f>
        <v/>
      </c>
      <c r="K237" s="2">
        <f>IF(ISBLANK('1_raw_log'!K237),"",'1_raw_log'!K237)</f>
        <v/>
      </c>
      <c r="L237" s="30">
        <f>INT(B237)</f>
        <v/>
      </c>
      <c r="M237" s="20">
        <f>ROUND(MOD(B237,1)*1440,0)/1440</f>
        <v/>
      </c>
      <c r="N237" s="4">
        <f>IFERROR(INDEX('3_ref_date'!$B:$B,MATCH(L237,'3_ref_date'!$A:$A,0)),"NOT FOUND")</f>
        <v/>
      </c>
      <c r="O237" s="2">
        <f>IFERROR(INDEX('3_ref_date'!$C:$C,MATCH(L237,'3_ref_date'!$A:$A,0)),"NOT FOUND")</f>
        <v/>
      </c>
      <c r="P237" s="4">
        <f>IFERROR(INDEX('3_ref_date'!$D:$D,MATCH(L237,'3_ref_date'!$A:$A,0)),"NOT FOUND")</f>
        <v/>
      </c>
      <c r="Q237" s="4">
        <f>IFERROR(INDEX('3_ref_date'!$E:$E,MATCH(L237,'3_ref_date'!$A:$A,0)),"NOT FOUND")</f>
        <v/>
      </c>
      <c r="R237" s="2">
        <f>IFERROR(INDEX('3_ref_date'!$F:$F,MATCH(L237,'3_ref_date'!$A:$A,0)),"NOT FOUND")</f>
        <v/>
      </c>
      <c r="S237" s="2">
        <f>IFERROR(INDEX('4_ref_time'!$D:$D,MATCH(ROUND(M237*1440,0),'4_ref_time'!$A:$A,0)),"NOT FOUND")</f>
        <v/>
      </c>
      <c r="T237" s="2">
        <f>UPPER(TRIM(C237))</f>
        <v/>
      </c>
      <c r="U237" s="30">
        <f>IF(_xlfn.MAXIFS('6_3nf_branch_history'!$B$2:$B$50,'6_3nf_branch_history'!$A$2:$A$50,T237,'6_3nf_branch_history'!$B$2:$B$50,"&lt;="&amp;L237)=0,"NOT FOUND",_xlfn.MAXIFS('6_3nf_branch_history'!$B$2:$B$50,'6_3nf_branch_history'!$A$2:$A$50,T237,'6_3nf_branch_history'!$B$2:$B$50,"&lt;="&amp;L237))</f>
        <v/>
      </c>
      <c r="V237" s="2">
        <f>IF(U237="NOT FOUND","NOT FOUND",INDEX('6_3nf_branch_history'!$C:$C,SUMPRODUCT(('6_3nf_branch_history'!$A$2:$A$50=T237)*('6_3nf_branch_history'!$B$2:$B$50=U237)*ROW('6_3nf_branch_history'!$A$2:$A$50))))</f>
        <v/>
      </c>
      <c r="W237" s="2">
        <f>IF(U237="NOT FOUND","NOT FOUND",INDEX('6_3nf_branch_history'!$D:$D,SUMPRODUCT(('6_3nf_branch_history'!$A$2:$A$50=T237)*('6_3nf_branch_history'!$B$2:$B$50=U237)*ROW('6_3nf_branch_history'!$A$2:$A$50))))</f>
        <v/>
      </c>
      <c r="X237" s="2">
        <f>IF(U237="NOT FOUND","NOT FOUND",INDEX('6_3nf_branch_history'!$E:$E,SUMPRODUCT(('6_3nf_branch_history'!$A$2:$A$50=T237)*('6_3nf_branch_history'!$B$2:$B$50=U237)*ROW('6_3nf_branch_history'!$A$2:$A$50))))</f>
        <v/>
      </c>
      <c r="Y237" s="2">
        <f>UPPER(TRIM(D237))</f>
        <v/>
      </c>
      <c r="Z237" s="2">
        <f>IFERROR(INDEX('7_3nf_product'!$B:$B,MATCH(Y237,'7_3nf_product'!$A:$A,0)),"NOT FOUND")</f>
        <v/>
      </c>
      <c r="AA237" s="2">
        <f>IFERROR(INDEX('7_3nf_product'!$C:$C,MATCH(Y237,'7_3nf_product'!$A:$A,0)),"NOT FOUND")</f>
        <v/>
      </c>
      <c r="AB237" s="2">
        <f>IFERROR(INDEX('7_3nf_product'!$D:$D,MATCH(Y237,'7_3nf_product'!$A:$A,0)),"NOT FOUND")</f>
        <v/>
      </c>
      <c r="AC237" s="6">
        <f>IFERROR(INDEX('7_3nf_product'!$E:$E,MATCH(Y237,'7_3nf_product'!$A:$A,0)),"NOT FOUND")</f>
        <v/>
      </c>
      <c r="AD237" s="33">
        <f>IF(LEN(TRIM(E237))=10,TRIM(E237),IF(LEN(TRIM(E237))=8,"00"&amp;TRIM(E237),"CHECK"))</f>
        <v/>
      </c>
      <c r="AE237" s="2">
        <f>IFERROR(INDEX('8_3nf_customer'!$C:$C,MATCH(AD237,'8_3nf_customer'!$B:$B,0)),"NOT FOUND")</f>
        <v/>
      </c>
      <c r="AF237" s="30">
        <f>IFERROR(INDEX('8_3nf_customer'!$D:$D,MATCH(AD237,'8_3nf_customer'!$B:$B,0)),"NOT FOUND")</f>
        <v/>
      </c>
      <c r="AG237" s="4">
        <f>IF(ISNUMBER(AF237),DATEDIF(AF237,L237,"y"),"NOT FOUND")</f>
        <v/>
      </c>
      <c r="AH237" s="2">
        <f>IFERROR(INDEX('8_3nf_customer'!$E:$E,MATCH(AD237,'8_3nf_customer'!$B:$B,0)),"NOT FOUND")</f>
        <v/>
      </c>
      <c r="AI237" s="30">
        <f>IF(_xlfn.MAXIFS('9_3nf_customer_history'!$B$2:$B$500,'9_3nf_customer_history'!$A$2:$A$500,AD237,'9_3nf_customer_history'!$B$2:$B$500,"&lt;="&amp;L237)=0,"NOT FOUND",_xlfn.MAXIFS('9_3nf_customer_history'!$B$2:$B$500,'9_3nf_customer_history'!$A$2:$A$500,AD237,'9_3nf_customer_history'!$B$2:$B$500,"&lt;="&amp;L237))</f>
        <v/>
      </c>
      <c r="AJ237" s="2">
        <f>IF(AI237="NOT FOUND","NOT FOUND",INDEX('9_3nf_customer_history'!$C:$C,SUMPRODUCT(('9_3nf_customer_history'!$A$2:$A$500=AD237)*('9_3nf_customer_history'!$B$2:$B$500=AI237)*ROW('9_3nf_customer_history'!$A$2:$A$500))))</f>
        <v/>
      </c>
      <c r="AK237" s="2">
        <f>IF(AI237="NOT FOUND","NOT FOUND",INDEX('9_3nf_customer_history'!$D:$D,SUMPRODUCT(('9_3nf_customer_history'!$A$2:$A$500=AD237)*('9_3nf_customer_history'!$B$2:$B$500=AI237)*ROW('9_3nf_customer_history'!$A$2:$A$500))))</f>
        <v/>
      </c>
      <c r="AL237" s="2">
        <f>UPPER(TRIM(H237))</f>
        <v/>
      </c>
      <c r="AM237" s="30">
        <f>IF(_xlfn.MAXIFS('10_ref_fx_rate'!$B$2:$B$2000,'10_ref_fx_rate'!$A$2:$A$2000,AL237,'10_ref_fx_rate'!$B$2:$B$2000,"&lt;="&amp;L237)=0,"NOT FOUND",_xlfn.MAXIFS('10_ref_fx_rate'!$B$2:$B$2000,'10_ref_fx_rate'!$A$2:$A$2000,AL237,'10_ref_fx_rate'!$B$2:$B$2000,"&lt;="&amp;L237))</f>
        <v/>
      </c>
      <c r="AN237" s="8">
        <f>IF(AM237="NOT FOUND","NOT FOUND",SUMIFS('10_ref_fx_rate'!$D$2:$D$2000,'10_ref_fx_rate'!$A$2:$A$2000,AL237,'10_ref_fx_rate'!$B$2:$B$2000,AM237))</f>
        <v/>
      </c>
      <c r="AO237" s="37">
        <f>IF(ISNUMBER(AN237),I237*AN237,"NOT FOUND")</f>
        <v/>
      </c>
      <c r="AP237" s="2">
        <f>UPPER(TRIM(J237))</f>
        <v/>
      </c>
      <c r="AQ237" s="2">
        <f>IF(AP237="","SELF-DIRECTED",IF(ISNUMBER(MATCH(AP237,'11_3nf_sales_person'!$A:$A,0)),IF(EXACT(AP237,J237),"OK","OK (auto-fixed)"),IF(ISNA(MATCH($A237,'12_sales_person_confirmation'!$A:$A,0)),"CONFIRM (not logged)",IF(INDEX('12_sales_person_confirmation'!$I:$I,MATCH($A237,'12_sales_person_confirmation'!$A:$A,0))="CONFIRMED","CONFIRMED ("&amp;LOWER(INDEX('12_sales_person_confirmation'!$E:$E,MATCH($A237,'12_sales_person_confirmation'!$A:$A,0)))&amp;")","PENDING CONFIRM"))))</f>
        <v/>
      </c>
      <c r="AR237" s="2">
        <f>IF(OR(AQ237="OK",AQ237="OK (auto-fixed)"),AP237,IF(LEFT(AQ237,9)="CONFIRMED",INDEX('12_sales_person_confirmation'!$F:$F,MATCH($A237,'12_sales_person_confirmation'!$A:$A,0)),""))</f>
        <v/>
      </c>
      <c r="AS237" s="2">
        <f>IF(AR237="","",INDEX('11_3nf_sales_person'!$B:$B,MATCH(AR237,'11_3nf_sales_person'!$A:$A,0)))</f>
        <v/>
      </c>
    </row>
    <row r="238">
      <c r="A238" s="2">
        <f>IF(ISBLANK('1_raw_log'!A238),"",'1_raw_log'!A238)</f>
        <v/>
      </c>
      <c r="B238" s="3">
        <f>IF(ISBLANK('1_raw_log'!B238),"",'1_raw_log'!B238)</f>
        <v/>
      </c>
      <c r="C238" s="2">
        <f>IF(ISBLANK('1_raw_log'!C238),"",'1_raw_log'!C238)</f>
        <v/>
      </c>
      <c r="D238" s="2">
        <f>IF(ISBLANK('1_raw_log'!D238),"",'1_raw_log'!D238)</f>
        <v/>
      </c>
      <c r="E238" s="4">
        <f>IF(ISBLANK('1_raw_log'!E238),"",'1_raw_log'!E238)</f>
        <v/>
      </c>
      <c r="F238" s="2">
        <f>IF(ISBLANK('1_raw_log'!F238),"",'1_raw_log'!F238)</f>
        <v/>
      </c>
      <c r="G238" s="2">
        <f>IF(ISBLANK('1_raw_log'!G238),"",'1_raw_log'!G238)</f>
        <v/>
      </c>
      <c r="H238" s="2">
        <f>IF(ISBLANK('1_raw_log'!H238),"",'1_raw_log'!H238)</f>
        <v/>
      </c>
      <c r="I238" s="7">
        <f>IF(ISBLANK('1_raw_log'!I238),"",'1_raw_log'!I238)</f>
        <v/>
      </c>
      <c r="J238" s="2">
        <f>IF(ISBLANK('1_raw_log'!J238),"",'1_raw_log'!J238)</f>
        <v/>
      </c>
      <c r="K238" s="2">
        <f>IF(ISBLANK('1_raw_log'!K238),"",'1_raw_log'!K238)</f>
        <v/>
      </c>
      <c r="L238" s="30">
        <f>INT(B238)</f>
        <v/>
      </c>
      <c r="M238" s="20">
        <f>ROUND(MOD(B238,1)*1440,0)/1440</f>
        <v/>
      </c>
      <c r="N238" s="4">
        <f>IFERROR(INDEX('3_ref_date'!$B:$B,MATCH(L238,'3_ref_date'!$A:$A,0)),"NOT FOUND")</f>
        <v/>
      </c>
      <c r="O238" s="2">
        <f>IFERROR(INDEX('3_ref_date'!$C:$C,MATCH(L238,'3_ref_date'!$A:$A,0)),"NOT FOUND")</f>
        <v/>
      </c>
      <c r="P238" s="4">
        <f>IFERROR(INDEX('3_ref_date'!$D:$D,MATCH(L238,'3_ref_date'!$A:$A,0)),"NOT FOUND")</f>
        <v/>
      </c>
      <c r="Q238" s="4">
        <f>IFERROR(INDEX('3_ref_date'!$E:$E,MATCH(L238,'3_ref_date'!$A:$A,0)),"NOT FOUND")</f>
        <v/>
      </c>
      <c r="R238" s="2">
        <f>IFERROR(INDEX('3_ref_date'!$F:$F,MATCH(L238,'3_ref_date'!$A:$A,0)),"NOT FOUND")</f>
        <v/>
      </c>
      <c r="S238" s="2">
        <f>IFERROR(INDEX('4_ref_time'!$D:$D,MATCH(ROUND(M238*1440,0),'4_ref_time'!$A:$A,0)),"NOT FOUND")</f>
        <v/>
      </c>
      <c r="T238" s="2">
        <f>UPPER(TRIM(C238))</f>
        <v/>
      </c>
      <c r="U238" s="30">
        <f>IF(_xlfn.MAXIFS('6_3nf_branch_history'!$B$2:$B$50,'6_3nf_branch_history'!$A$2:$A$50,T238,'6_3nf_branch_history'!$B$2:$B$50,"&lt;="&amp;L238)=0,"NOT FOUND",_xlfn.MAXIFS('6_3nf_branch_history'!$B$2:$B$50,'6_3nf_branch_history'!$A$2:$A$50,T238,'6_3nf_branch_history'!$B$2:$B$50,"&lt;="&amp;L238))</f>
        <v/>
      </c>
      <c r="V238" s="2">
        <f>IF(U238="NOT FOUND","NOT FOUND",INDEX('6_3nf_branch_history'!$C:$C,SUMPRODUCT(('6_3nf_branch_history'!$A$2:$A$50=T238)*('6_3nf_branch_history'!$B$2:$B$50=U238)*ROW('6_3nf_branch_history'!$A$2:$A$50))))</f>
        <v/>
      </c>
      <c r="W238" s="2">
        <f>IF(U238="NOT FOUND","NOT FOUND",INDEX('6_3nf_branch_history'!$D:$D,SUMPRODUCT(('6_3nf_branch_history'!$A$2:$A$50=T238)*('6_3nf_branch_history'!$B$2:$B$50=U238)*ROW('6_3nf_branch_history'!$A$2:$A$50))))</f>
        <v/>
      </c>
      <c r="X238" s="2">
        <f>IF(U238="NOT FOUND","NOT FOUND",INDEX('6_3nf_branch_history'!$E:$E,SUMPRODUCT(('6_3nf_branch_history'!$A$2:$A$50=T238)*('6_3nf_branch_history'!$B$2:$B$50=U238)*ROW('6_3nf_branch_history'!$A$2:$A$50))))</f>
        <v/>
      </c>
      <c r="Y238" s="2">
        <f>UPPER(TRIM(D238))</f>
        <v/>
      </c>
      <c r="Z238" s="2">
        <f>IFERROR(INDEX('7_3nf_product'!$B:$B,MATCH(Y238,'7_3nf_product'!$A:$A,0)),"NOT FOUND")</f>
        <v/>
      </c>
      <c r="AA238" s="2">
        <f>IFERROR(INDEX('7_3nf_product'!$C:$C,MATCH(Y238,'7_3nf_product'!$A:$A,0)),"NOT FOUND")</f>
        <v/>
      </c>
      <c r="AB238" s="2">
        <f>IFERROR(INDEX('7_3nf_product'!$D:$D,MATCH(Y238,'7_3nf_product'!$A:$A,0)),"NOT FOUND")</f>
        <v/>
      </c>
      <c r="AC238" s="6">
        <f>IFERROR(INDEX('7_3nf_product'!$E:$E,MATCH(Y238,'7_3nf_product'!$A:$A,0)),"NOT FOUND")</f>
        <v/>
      </c>
      <c r="AD238" s="33">
        <f>IF(LEN(TRIM(E238))=10,TRIM(E238),IF(LEN(TRIM(E238))=8,"00"&amp;TRIM(E238),"CHECK"))</f>
        <v/>
      </c>
      <c r="AE238" s="2">
        <f>IFERROR(INDEX('8_3nf_customer'!$C:$C,MATCH(AD238,'8_3nf_customer'!$B:$B,0)),"NOT FOUND")</f>
        <v/>
      </c>
      <c r="AF238" s="30">
        <f>IFERROR(INDEX('8_3nf_customer'!$D:$D,MATCH(AD238,'8_3nf_customer'!$B:$B,0)),"NOT FOUND")</f>
        <v/>
      </c>
      <c r="AG238" s="4">
        <f>IF(ISNUMBER(AF238),DATEDIF(AF238,L238,"y"),"NOT FOUND")</f>
        <v/>
      </c>
      <c r="AH238" s="2">
        <f>IFERROR(INDEX('8_3nf_customer'!$E:$E,MATCH(AD238,'8_3nf_customer'!$B:$B,0)),"NOT FOUND")</f>
        <v/>
      </c>
      <c r="AI238" s="30">
        <f>IF(_xlfn.MAXIFS('9_3nf_customer_history'!$B$2:$B$500,'9_3nf_customer_history'!$A$2:$A$500,AD238,'9_3nf_customer_history'!$B$2:$B$500,"&lt;="&amp;L238)=0,"NOT FOUND",_xlfn.MAXIFS('9_3nf_customer_history'!$B$2:$B$500,'9_3nf_customer_history'!$A$2:$A$500,AD238,'9_3nf_customer_history'!$B$2:$B$500,"&lt;="&amp;L238))</f>
        <v/>
      </c>
      <c r="AJ238" s="2">
        <f>IF(AI238="NOT FOUND","NOT FOUND",INDEX('9_3nf_customer_history'!$C:$C,SUMPRODUCT(('9_3nf_customer_history'!$A$2:$A$500=AD238)*('9_3nf_customer_history'!$B$2:$B$500=AI238)*ROW('9_3nf_customer_history'!$A$2:$A$500))))</f>
        <v/>
      </c>
      <c r="AK238" s="2">
        <f>IF(AI238="NOT FOUND","NOT FOUND",INDEX('9_3nf_customer_history'!$D:$D,SUMPRODUCT(('9_3nf_customer_history'!$A$2:$A$500=AD238)*('9_3nf_customer_history'!$B$2:$B$500=AI238)*ROW('9_3nf_customer_history'!$A$2:$A$500))))</f>
        <v/>
      </c>
      <c r="AL238" s="2">
        <f>UPPER(TRIM(H238))</f>
        <v/>
      </c>
      <c r="AM238" s="30">
        <f>IF(_xlfn.MAXIFS('10_ref_fx_rate'!$B$2:$B$2000,'10_ref_fx_rate'!$A$2:$A$2000,AL238,'10_ref_fx_rate'!$B$2:$B$2000,"&lt;="&amp;L238)=0,"NOT FOUND",_xlfn.MAXIFS('10_ref_fx_rate'!$B$2:$B$2000,'10_ref_fx_rate'!$A$2:$A$2000,AL238,'10_ref_fx_rate'!$B$2:$B$2000,"&lt;="&amp;L238))</f>
        <v/>
      </c>
      <c r="AN238" s="8">
        <f>IF(AM238="NOT FOUND","NOT FOUND",SUMIFS('10_ref_fx_rate'!$D$2:$D$2000,'10_ref_fx_rate'!$A$2:$A$2000,AL238,'10_ref_fx_rate'!$B$2:$B$2000,AM238))</f>
        <v/>
      </c>
      <c r="AO238" s="37">
        <f>IF(ISNUMBER(AN238),I238*AN238,"NOT FOUND")</f>
        <v/>
      </c>
      <c r="AP238" s="2">
        <f>UPPER(TRIM(J238))</f>
        <v/>
      </c>
      <c r="AQ238" s="2">
        <f>IF(AP238="","SELF-DIRECTED",IF(ISNUMBER(MATCH(AP238,'11_3nf_sales_person'!$A:$A,0)),IF(EXACT(AP238,J238),"OK","OK (auto-fixed)"),IF(ISNA(MATCH($A238,'12_sales_person_confirmation'!$A:$A,0)),"CONFIRM (not logged)",IF(INDEX('12_sales_person_confirmation'!$I:$I,MATCH($A238,'12_sales_person_confirmation'!$A:$A,0))="CONFIRMED","CONFIRMED ("&amp;LOWER(INDEX('12_sales_person_confirmation'!$E:$E,MATCH($A238,'12_sales_person_confirmation'!$A:$A,0)))&amp;")","PENDING CONFIRM"))))</f>
        <v/>
      </c>
      <c r="AR238" s="2">
        <f>IF(OR(AQ238="OK",AQ238="OK (auto-fixed)"),AP238,IF(LEFT(AQ238,9)="CONFIRMED",INDEX('12_sales_person_confirmation'!$F:$F,MATCH($A238,'12_sales_person_confirmation'!$A:$A,0)),""))</f>
        <v/>
      </c>
      <c r="AS238" s="2">
        <f>IF(AR238="","",INDEX('11_3nf_sales_person'!$B:$B,MATCH(AR238,'11_3nf_sales_person'!$A:$A,0)))</f>
        <v/>
      </c>
    </row>
    <row r="239">
      <c r="A239" s="2">
        <f>IF(ISBLANK('1_raw_log'!A239),"",'1_raw_log'!A239)</f>
        <v/>
      </c>
      <c r="B239" s="3">
        <f>IF(ISBLANK('1_raw_log'!B239),"",'1_raw_log'!B239)</f>
        <v/>
      </c>
      <c r="C239" s="2">
        <f>IF(ISBLANK('1_raw_log'!C239),"",'1_raw_log'!C239)</f>
        <v/>
      </c>
      <c r="D239" s="2">
        <f>IF(ISBLANK('1_raw_log'!D239),"",'1_raw_log'!D239)</f>
        <v/>
      </c>
      <c r="E239" s="4">
        <f>IF(ISBLANK('1_raw_log'!E239),"",'1_raw_log'!E239)</f>
        <v/>
      </c>
      <c r="F239" s="2">
        <f>IF(ISBLANK('1_raw_log'!F239),"",'1_raw_log'!F239)</f>
        <v/>
      </c>
      <c r="G239" s="2">
        <f>IF(ISBLANK('1_raw_log'!G239),"",'1_raw_log'!G239)</f>
        <v/>
      </c>
      <c r="H239" s="2">
        <f>IF(ISBLANK('1_raw_log'!H239),"",'1_raw_log'!H239)</f>
        <v/>
      </c>
      <c r="I239" s="7">
        <f>IF(ISBLANK('1_raw_log'!I239),"",'1_raw_log'!I239)</f>
        <v/>
      </c>
      <c r="J239" s="2">
        <f>IF(ISBLANK('1_raw_log'!J239),"",'1_raw_log'!J239)</f>
        <v/>
      </c>
      <c r="K239" s="2">
        <f>IF(ISBLANK('1_raw_log'!K239),"",'1_raw_log'!K239)</f>
        <v/>
      </c>
      <c r="L239" s="30">
        <f>INT(B239)</f>
        <v/>
      </c>
      <c r="M239" s="20">
        <f>ROUND(MOD(B239,1)*1440,0)/1440</f>
        <v/>
      </c>
      <c r="N239" s="4">
        <f>IFERROR(INDEX('3_ref_date'!$B:$B,MATCH(L239,'3_ref_date'!$A:$A,0)),"NOT FOUND")</f>
        <v/>
      </c>
      <c r="O239" s="2">
        <f>IFERROR(INDEX('3_ref_date'!$C:$C,MATCH(L239,'3_ref_date'!$A:$A,0)),"NOT FOUND")</f>
        <v/>
      </c>
      <c r="P239" s="4">
        <f>IFERROR(INDEX('3_ref_date'!$D:$D,MATCH(L239,'3_ref_date'!$A:$A,0)),"NOT FOUND")</f>
        <v/>
      </c>
      <c r="Q239" s="4">
        <f>IFERROR(INDEX('3_ref_date'!$E:$E,MATCH(L239,'3_ref_date'!$A:$A,0)),"NOT FOUND")</f>
        <v/>
      </c>
      <c r="R239" s="2">
        <f>IFERROR(INDEX('3_ref_date'!$F:$F,MATCH(L239,'3_ref_date'!$A:$A,0)),"NOT FOUND")</f>
        <v/>
      </c>
      <c r="S239" s="2">
        <f>IFERROR(INDEX('4_ref_time'!$D:$D,MATCH(ROUND(M239*1440,0),'4_ref_time'!$A:$A,0)),"NOT FOUND")</f>
        <v/>
      </c>
      <c r="T239" s="2">
        <f>UPPER(TRIM(C239))</f>
        <v/>
      </c>
      <c r="U239" s="30">
        <f>IF(_xlfn.MAXIFS('6_3nf_branch_history'!$B$2:$B$50,'6_3nf_branch_history'!$A$2:$A$50,T239,'6_3nf_branch_history'!$B$2:$B$50,"&lt;="&amp;L239)=0,"NOT FOUND",_xlfn.MAXIFS('6_3nf_branch_history'!$B$2:$B$50,'6_3nf_branch_history'!$A$2:$A$50,T239,'6_3nf_branch_history'!$B$2:$B$50,"&lt;="&amp;L239))</f>
        <v/>
      </c>
      <c r="V239" s="2">
        <f>IF(U239="NOT FOUND","NOT FOUND",INDEX('6_3nf_branch_history'!$C:$C,SUMPRODUCT(('6_3nf_branch_history'!$A$2:$A$50=T239)*('6_3nf_branch_history'!$B$2:$B$50=U239)*ROW('6_3nf_branch_history'!$A$2:$A$50))))</f>
        <v/>
      </c>
      <c r="W239" s="2">
        <f>IF(U239="NOT FOUND","NOT FOUND",INDEX('6_3nf_branch_history'!$D:$D,SUMPRODUCT(('6_3nf_branch_history'!$A$2:$A$50=T239)*('6_3nf_branch_history'!$B$2:$B$50=U239)*ROW('6_3nf_branch_history'!$A$2:$A$50))))</f>
        <v/>
      </c>
      <c r="X239" s="2">
        <f>IF(U239="NOT FOUND","NOT FOUND",INDEX('6_3nf_branch_history'!$E:$E,SUMPRODUCT(('6_3nf_branch_history'!$A$2:$A$50=T239)*('6_3nf_branch_history'!$B$2:$B$50=U239)*ROW('6_3nf_branch_history'!$A$2:$A$50))))</f>
        <v/>
      </c>
      <c r="Y239" s="2">
        <f>UPPER(TRIM(D239))</f>
        <v/>
      </c>
      <c r="Z239" s="2">
        <f>IFERROR(INDEX('7_3nf_product'!$B:$B,MATCH(Y239,'7_3nf_product'!$A:$A,0)),"NOT FOUND")</f>
        <v/>
      </c>
      <c r="AA239" s="2">
        <f>IFERROR(INDEX('7_3nf_product'!$C:$C,MATCH(Y239,'7_3nf_product'!$A:$A,0)),"NOT FOUND")</f>
        <v/>
      </c>
      <c r="AB239" s="2">
        <f>IFERROR(INDEX('7_3nf_product'!$D:$D,MATCH(Y239,'7_3nf_product'!$A:$A,0)),"NOT FOUND")</f>
        <v/>
      </c>
      <c r="AC239" s="6">
        <f>IFERROR(INDEX('7_3nf_product'!$E:$E,MATCH(Y239,'7_3nf_product'!$A:$A,0)),"NOT FOUND")</f>
        <v/>
      </c>
      <c r="AD239" s="33">
        <f>IF(LEN(TRIM(E239))=10,TRIM(E239),IF(LEN(TRIM(E239))=8,"00"&amp;TRIM(E239),"CHECK"))</f>
        <v/>
      </c>
      <c r="AE239" s="2">
        <f>IFERROR(INDEX('8_3nf_customer'!$C:$C,MATCH(AD239,'8_3nf_customer'!$B:$B,0)),"NOT FOUND")</f>
        <v/>
      </c>
      <c r="AF239" s="30">
        <f>IFERROR(INDEX('8_3nf_customer'!$D:$D,MATCH(AD239,'8_3nf_customer'!$B:$B,0)),"NOT FOUND")</f>
        <v/>
      </c>
      <c r="AG239" s="4">
        <f>IF(ISNUMBER(AF239),DATEDIF(AF239,L239,"y"),"NOT FOUND")</f>
        <v/>
      </c>
      <c r="AH239" s="2">
        <f>IFERROR(INDEX('8_3nf_customer'!$E:$E,MATCH(AD239,'8_3nf_customer'!$B:$B,0)),"NOT FOUND")</f>
        <v/>
      </c>
      <c r="AI239" s="30">
        <f>IF(_xlfn.MAXIFS('9_3nf_customer_history'!$B$2:$B$500,'9_3nf_customer_history'!$A$2:$A$500,AD239,'9_3nf_customer_history'!$B$2:$B$500,"&lt;="&amp;L239)=0,"NOT FOUND",_xlfn.MAXIFS('9_3nf_customer_history'!$B$2:$B$500,'9_3nf_customer_history'!$A$2:$A$500,AD239,'9_3nf_customer_history'!$B$2:$B$500,"&lt;="&amp;L239))</f>
        <v/>
      </c>
      <c r="AJ239" s="2">
        <f>IF(AI239="NOT FOUND","NOT FOUND",INDEX('9_3nf_customer_history'!$C:$C,SUMPRODUCT(('9_3nf_customer_history'!$A$2:$A$500=AD239)*('9_3nf_customer_history'!$B$2:$B$500=AI239)*ROW('9_3nf_customer_history'!$A$2:$A$500))))</f>
        <v/>
      </c>
      <c r="AK239" s="2">
        <f>IF(AI239="NOT FOUND","NOT FOUND",INDEX('9_3nf_customer_history'!$D:$D,SUMPRODUCT(('9_3nf_customer_history'!$A$2:$A$500=AD239)*('9_3nf_customer_history'!$B$2:$B$500=AI239)*ROW('9_3nf_customer_history'!$A$2:$A$500))))</f>
        <v/>
      </c>
      <c r="AL239" s="2">
        <f>UPPER(TRIM(H239))</f>
        <v/>
      </c>
      <c r="AM239" s="30">
        <f>IF(_xlfn.MAXIFS('10_ref_fx_rate'!$B$2:$B$2000,'10_ref_fx_rate'!$A$2:$A$2000,AL239,'10_ref_fx_rate'!$B$2:$B$2000,"&lt;="&amp;L239)=0,"NOT FOUND",_xlfn.MAXIFS('10_ref_fx_rate'!$B$2:$B$2000,'10_ref_fx_rate'!$A$2:$A$2000,AL239,'10_ref_fx_rate'!$B$2:$B$2000,"&lt;="&amp;L239))</f>
        <v/>
      </c>
      <c r="AN239" s="8">
        <f>IF(AM239="NOT FOUND","NOT FOUND",SUMIFS('10_ref_fx_rate'!$D$2:$D$2000,'10_ref_fx_rate'!$A$2:$A$2000,AL239,'10_ref_fx_rate'!$B$2:$B$2000,AM239))</f>
        <v/>
      </c>
      <c r="AO239" s="37">
        <f>IF(ISNUMBER(AN239),I239*AN239,"NOT FOUND")</f>
        <v/>
      </c>
      <c r="AP239" s="2">
        <f>UPPER(TRIM(J239))</f>
        <v/>
      </c>
      <c r="AQ239" s="2">
        <f>IF(AP239="","SELF-DIRECTED",IF(ISNUMBER(MATCH(AP239,'11_3nf_sales_person'!$A:$A,0)),IF(EXACT(AP239,J239),"OK","OK (auto-fixed)"),IF(ISNA(MATCH($A239,'12_sales_person_confirmation'!$A:$A,0)),"CONFIRM (not logged)",IF(INDEX('12_sales_person_confirmation'!$I:$I,MATCH($A239,'12_sales_person_confirmation'!$A:$A,0))="CONFIRMED","CONFIRMED ("&amp;LOWER(INDEX('12_sales_person_confirmation'!$E:$E,MATCH($A239,'12_sales_person_confirmation'!$A:$A,0)))&amp;")","PENDING CONFIRM"))))</f>
        <v/>
      </c>
      <c r="AR239" s="2">
        <f>IF(OR(AQ239="OK",AQ239="OK (auto-fixed)"),AP239,IF(LEFT(AQ239,9)="CONFIRMED",INDEX('12_sales_person_confirmation'!$F:$F,MATCH($A239,'12_sales_person_confirmation'!$A:$A,0)),""))</f>
        <v/>
      </c>
      <c r="AS239" s="2">
        <f>IF(AR239="","",INDEX('11_3nf_sales_person'!$B:$B,MATCH(AR239,'11_3nf_sales_person'!$A:$A,0)))</f>
        <v/>
      </c>
    </row>
    <row r="240">
      <c r="A240" s="2">
        <f>IF(ISBLANK('1_raw_log'!A240),"",'1_raw_log'!A240)</f>
        <v/>
      </c>
      <c r="B240" s="3">
        <f>IF(ISBLANK('1_raw_log'!B240),"",'1_raw_log'!B240)</f>
        <v/>
      </c>
      <c r="C240" s="2">
        <f>IF(ISBLANK('1_raw_log'!C240),"",'1_raw_log'!C240)</f>
        <v/>
      </c>
      <c r="D240" s="2">
        <f>IF(ISBLANK('1_raw_log'!D240),"",'1_raw_log'!D240)</f>
        <v/>
      </c>
      <c r="E240" s="4">
        <f>IF(ISBLANK('1_raw_log'!E240),"",'1_raw_log'!E240)</f>
        <v/>
      </c>
      <c r="F240" s="2">
        <f>IF(ISBLANK('1_raw_log'!F240),"",'1_raw_log'!F240)</f>
        <v/>
      </c>
      <c r="G240" s="2">
        <f>IF(ISBLANK('1_raw_log'!G240),"",'1_raw_log'!G240)</f>
        <v/>
      </c>
      <c r="H240" s="2">
        <f>IF(ISBLANK('1_raw_log'!H240),"",'1_raw_log'!H240)</f>
        <v/>
      </c>
      <c r="I240" s="7">
        <f>IF(ISBLANK('1_raw_log'!I240),"",'1_raw_log'!I240)</f>
        <v/>
      </c>
      <c r="J240" s="2">
        <f>IF(ISBLANK('1_raw_log'!J240),"",'1_raw_log'!J240)</f>
        <v/>
      </c>
      <c r="K240" s="2">
        <f>IF(ISBLANK('1_raw_log'!K240),"",'1_raw_log'!K240)</f>
        <v/>
      </c>
      <c r="L240" s="30">
        <f>INT(B240)</f>
        <v/>
      </c>
      <c r="M240" s="20">
        <f>ROUND(MOD(B240,1)*1440,0)/1440</f>
        <v/>
      </c>
      <c r="N240" s="4">
        <f>IFERROR(INDEX('3_ref_date'!$B:$B,MATCH(L240,'3_ref_date'!$A:$A,0)),"NOT FOUND")</f>
        <v/>
      </c>
      <c r="O240" s="2">
        <f>IFERROR(INDEX('3_ref_date'!$C:$C,MATCH(L240,'3_ref_date'!$A:$A,0)),"NOT FOUND")</f>
        <v/>
      </c>
      <c r="P240" s="4">
        <f>IFERROR(INDEX('3_ref_date'!$D:$D,MATCH(L240,'3_ref_date'!$A:$A,0)),"NOT FOUND")</f>
        <v/>
      </c>
      <c r="Q240" s="4">
        <f>IFERROR(INDEX('3_ref_date'!$E:$E,MATCH(L240,'3_ref_date'!$A:$A,0)),"NOT FOUND")</f>
        <v/>
      </c>
      <c r="R240" s="2">
        <f>IFERROR(INDEX('3_ref_date'!$F:$F,MATCH(L240,'3_ref_date'!$A:$A,0)),"NOT FOUND")</f>
        <v/>
      </c>
      <c r="S240" s="2">
        <f>IFERROR(INDEX('4_ref_time'!$D:$D,MATCH(ROUND(M240*1440,0),'4_ref_time'!$A:$A,0)),"NOT FOUND")</f>
        <v/>
      </c>
      <c r="T240" s="2">
        <f>UPPER(TRIM(C240))</f>
        <v/>
      </c>
      <c r="U240" s="30">
        <f>IF(_xlfn.MAXIFS('6_3nf_branch_history'!$B$2:$B$50,'6_3nf_branch_history'!$A$2:$A$50,T240,'6_3nf_branch_history'!$B$2:$B$50,"&lt;="&amp;L240)=0,"NOT FOUND",_xlfn.MAXIFS('6_3nf_branch_history'!$B$2:$B$50,'6_3nf_branch_history'!$A$2:$A$50,T240,'6_3nf_branch_history'!$B$2:$B$50,"&lt;="&amp;L240))</f>
        <v/>
      </c>
      <c r="V240" s="2">
        <f>IF(U240="NOT FOUND","NOT FOUND",INDEX('6_3nf_branch_history'!$C:$C,SUMPRODUCT(('6_3nf_branch_history'!$A$2:$A$50=T240)*('6_3nf_branch_history'!$B$2:$B$50=U240)*ROW('6_3nf_branch_history'!$A$2:$A$50))))</f>
        <v/>
      </c>
      <c r="W240" s="2">
        <f>IF(U240="NOT FOUND","NOT FOUND",INDEX('6_3nf_branch_history'!$D:$D,SUMPRODUCT(('6_3nf_branch_history'!$A$2:$A$50=T240)*('6_3nf_branch_history'!$B$2:$B$50=U240)*ROW('6_3nf_branch_history'!$A$2:$A$50))))</f>
        <v/>
      </c>
      <c r="X240" s="2">
        <f>IF(U240="NOT FOUND","NOT FOUND",INDEX('6_3nf_branch_history'!$E:$E,SUMPRODUCT(('6_3nf_branch_history'!$A$2:$A$50=T240)*('6_3nf_branch_history'!$B$2:$B$50=U240)*ROW('6_3nf_branch_history'!$A$2:$A$50))))</f>
        <v/>
      </c>
      <c r="Y240" s="2">
        <f>UPPER(TRIM(D240))</f>
        <v/>
      </c>
      <c r="Z240" s="2">
        <f>IFERROR(INDEX('7_3nf_product'!$B:$B,MATCH(Y240,'7_3nf_product'!$A:$A,0)),"NOT FOUND")</f>
        <v/>
      </c>
      <c r="AA240" s="2">
        <f>IFERROR(INDEX('7_3nf_product'!$C:$C,MATCH(Y240,'7_3nf_product'!$A:$A,0)),"NOT FOUND")</f>
        <v/>
      </c>
      <c r="AB240" s="2">
        <f>IFERROR(INDEX('7_3nf_product'!$D:$D,MATCH(Y240,'7_3nf_product'!$A:$A,0)),"NOT FOUND")</f>
        <v/>
      </c>
      <c r="AC240" s="6">
        <f>IFERROR(INDEX('7_3nf_product'!$E:$E,MATCH(Y240,'7_3nf_product'!$A:$A,0)),"NOT FOUND")</f>
        <v/>
      </c>
      <c r="AD240" s="33">
        <f>IF(LEN(TRIM(E240))=10,TRIM(E240),IF(LEN(TRIM(E240))=8,"00"&amp;TRIM(E240),"CHECK"))</f>
        <v/>
      </c>
      <c r="AE240" s="2">
        <f>IFERROR(INDEX('8_3nf_customer'!$C:$C,MATCH(AD240,'8_3nf_customer'!$B:$B,0)),"NOT FOUND")</f>
        <v/>
      </c>
      <c r="AF240" s="30">
        <f>IFERROR(INDEX('8_3nf_customer'!$D:$D,MATCH(AD240,'8_3nf_customer'!$B:$B,0)),"NOT FOUND")</f>
        <v/>
      </c>
      <c r="AG240" s="4">
        <f>IF(ISNUMBER(AF240),DATEDIF(AF240,L240,"y"),"NOT FOUND")</f>
        <v/>
      </c>
      <c r="AH240" s="2">
        <f>IFERROR(INDEX('8_3nf_customer'!$E:$E,MATCH(AD240,'8_3nf_customer'!$B:$B,0)),"NOT FOUND")</f>
        <v/>
      </c>
      <c r="AI240" s="30">
        <f>IF(_xlfn.MAXIFS('9_3nf_customer_history'!$B$2:$B$500,'9_3nf_customer_history'!$A$2:$A$500,AD240,'9_3nf_customer_history'!$B$2:$B$500,"&lt;="&amp;L240)=0,"NOT FOUND",_xlfn.MAXIFS('9_3nf_customer_history'!$B$2:$B$500,'9_3nf_customer_history'!$A$2:$A$500,AD240,'9_3nf_customer_history'!$B$2:$B$500,"&lt;="&amp;L240))</f>
        <v/>
      </c>
      <c r="AJ240" s="2">
        <f>IF(AI240="NOT FOUND","NOT FOUND",INDEX('9_3nf_customer_history'!$C:$C,SUMPRODUCT(('9_3nf_customer_history'!$A$2:$A$500=AD240)*('9_3nf_customer_history'!$B$2:$B$500=AI240)*ROW('9_3nf_customer_history'!$A$2:$A$500))))</f>
        <v/>
      </c>
      <c r="AK240" s="2">
        <f>IF(AI240="NOT FOUND","NOT FOUND",INDEX('9_3nf_customer_history'!$D:$D,SUMPRODUCT(('9_3nf_customer_history'!$A$2:$A$500=AD240)*('9_3nf_customer_history'!$B$2:$B$500=AI240)*ROW('9_3nf_customer_history'!$A$2:$A$500))))</f>
        <v/>
      </c>
      <c r="AL240" s="2">
        <f>UPPER(TRIM(H240))</f>
        <v/>
      </c>
      <c r="AM240" s="30">
        <f>IF(_xlfn.MAXIFS('10_ref_fx_rate'!$B$2:$B$2000,'10_ref_fx_rate'!$A$2:$A$2000,AL240,'10_ref_fx_rate'!$B$2:$B$2000,"&lt;="&amp;L240)=0,"NOT FOUND",_xlfn.MAXIFS('10_ref_fx_rate'!$B$2:$B$2000,'10_ref_fx_rate'!$A$2:$A$2000,AL240,'10_ref_fx_rate'!$B$2:$B$2000,"&lt;="&amp;L240))</f>
        <v/>
      </c>
      <c r="AN240" s="8">
        <f>IF(AM240="NOT FOUND","NOT FOUND",SUMIFS('10_ref_fx_rate'!$D$2:$D$2000,'10_ref_fx_rate'!$A$2:$A$2000,AL240,'10_ref_fx_rate'!$B$2:$B$2000,AM240))</f>
        <v/>
      </c>
      <c r="AO240" s="37">
        <f>IF(ISNUMBER(AN240),I240*AN240,"NOT FOUND")</f>
        <v/>
      </c>
      <c r="AP240" s="2">
        <f>UPPER(TRIM(J240))</f>
        <v/>
      </c>
      <c r="AQ240" s="2">
        <f>IF(AP240="","SELF-DIRECTED",IF(ISNUMBER(MATCH(AP240,'11_3nf_sales_person'!$A:$A,0)),IF(EXACT(AP240,J240),"OK","OK (auto-fixed)"),IF(ISNA(MATCH($A240,'12_sales_person_confirmation'!$A:$A,0)),"CONFIRM (not logged)",IF(INDEX('12_sales_person_confirmation'!$I:$I,MATCH($A240,'12_sales_person_confirmation'!$A:$A,0))="CONFIRMED","CONFIRMED ("&amp;LOWER(INDEX('12_sales_person_confirmation'!$E:$E,MATCH($A240,'12_sales_person_confirmation'!$A:$A,0)))&amp;")","PENDING CONFIRM"))))</f>
        <v/>
      </c>
      <c r="AR240" s="2">
        <f>IF(OR(AQ240="OK",AQ240="OK (auto-fixed)"),AP240,IF(LEFT(AQ240,9)="CONFIRMED",INDEX('12_sales_person_confirmation'!$F:$F,MATCH($A240,'12_sales_person_confirmation'!$A:$A,0)),""))</f>
        <v/>
      </c>
      <c r="AS240" s="2">
        <f>IF(AR240="","",INDEX('11_3nf_sales_person'!$B:$B,MATCH(AR240,'11_3nf_sales_person'!$A:$A,0)))</f>
        <v/>
      </c>
    </row>
    <row r="241">
      <c r="A241" s="2">
        <f>IF(ISBLANK('1_raw_log'!A241),"",'1_raw_log'!A241)</f>
        <v/>
      </c>
      <c r="B241" s="3">
        <f>IF(ISBLANK('1_raw_log'!B241),"",'1_raw_log'!B241)</f>
        <v/>
      </c>
      <c r="C241" s="2">
        <f>IF(ISBLANK('1_raw_log'!C241),"",'1_raw_log'!C241)</f>
        <v/>
      </c>
      <c r="D241" s="2">
        <f>IF(ISBLANK('1_raw_log'!D241),"",'1_raw_log'!D241)</f>
        <v/>
      </c>
      <c r="E241" s="4">
        <f>IF(ISBLANK('1_raw_log'!E241),"",'1_raw_log'!E241)</f>
        <v/>
      </c>
      <c r="F241" s="2">
        <f>IF(ISBLANK('1_raw_log'!F241),"",'1_raw_log'!F241)</f>
        <v/>
      </c>
      <c r="G241" s="2">
        <f>IF(ISBLANK('1_raw_log'!G241),"",'1_raw_log'!G241)</f>
        <v/>
      </c>
      <c r="H241" s="2">
        <f>IF(ISBLANK('1_raw_log'!H241),"",'1_raw_log'!H241)</f>
        <v/>
      </c>
      <c r="I241" s="7">
        <f>IF(ISBLANK('1_raw_log'!I241),"",'1_raw_log'!I241)</f>
        <v/>
      </c>
      <c r="J241" s="2">
        <f>IF(ISBLANK('1_raw_log'!J241),"",'1_raw_log'!J241)</f>
        <v/>
      </c>
      <c r="K241" s="2">
        <f>IF(ISBLANK('1_raw_log'!K241),"",'1_raw_log'!K241)</f>
        <v/>
      </c>
      <c r="L241" s="30">
        <f>INT(B241)</f>
        <v/>
      </c>
      <c r="M241" s="20">
        <f>ROUND(MOD(B241,1)*1440,0)/1440</f>
        <v/>
      </c>
      <c r="N241" s="4">
        <f>IFERROR(INDEX('3_ref_date'!$B:$B,MATCH(L241,'3_ref_date'!$A:$A,0)),"NOT FOUND")</f>
        <v/>
      </c>
      <c r="O241" s="2">
        <f>IFERROR(INDEX('3_ref_date'!$C:$C,MATCH(L241,'3_ref_date'!$A:$A,0)),"NOT FOUND")</f>
        <v/>
      </c>
      <c r="P241" s="4">
        <f>IFERROR(INDEX('3_ref_date'!$D:$D,MATCH(L241,'3_ref_date'!$A:$A,0)),"NOT FOUND")</f>
        <v/>
      </c>
      <c r="Q241" s="4">
        <f>IFERROR(INDEX('3_ref_date'!$E:$E,MATCH(L241,'3_ref_date'!$A:$A,0)),"NOT FOUND")</f>
        <v/>
      </c>
      <c r="R241" s="2">
        <f>IFERROR(INDEX('3_ref_date'!$F:$F,MATCH(L241,'3_ref_date'!$A:$A,0)),"NOT FOUND")</f>
        <v/>
      </c>
      <c r="S241" s="2">
        <f>IFERROR(INDEX('4_ref_time'!$D:$D,MATCH(ROUND(M241*1440,0),'4_ref_time'!$A:$A,0)),"NOT FOUND")</f>
        <v/>
      </c>
      <c r="T241" s="2">
        <f>UPPER(TRIM(C241))</f>
        <v/>
      </c>
      <c r="U241" s="30">
        <f>IF(_xlfn.MAXIFS('6_3nf_branch_history'!$B$2:$B$50,'6_3nf_branch_history'!$A$2:$A$50,T241,'6_3nf_branch_history'!$B$2:$B$50,"&lt;="&amp;L241)=0,"NOT FOUND",_xlfn.MAXIFS('6_3nf_branch_history'!$B$2:$B$50,'6_3nf_branch_history'!$A$2:$A$50,T241,'6_3nf_branch_history'!$B$2:$B$50,"&lt;="&amp;L241))</f>
        <v/>
      </c>
      <c r="V241" s="2">
        <f>IF(U241="NOT FOUND","NOT FOUND",INDEX('6_3nf_branch_history'!$C:$C,SUMPRODUCT(('6_3nf_branch_history'!$A$2:$A$50=T241)*('6_3nf_branch_history'!$B$2:$B$50=U241)*ROW('6_3nf_branch_history'!$A$2:$A$50))))</f>
        <v/>
      </c>
      <c r="W241" s="2">
        <f>IF(U241="NOT FOUND","NOT FOUND",INDEX('6_3nf_branch_history'!$D:$D,SUMPRODUCT(('6_3nf_branch_history'!$A$2:$A$50=T241)*('6_3nf_branch_history'!$B$2:$B$50=U241)*ROW('6_3nf_branch_history'!$A$2:$A$50))))</f>
        <v/>
      </c>
      <c r="X241" s="2">
        <f>IF(U241="NOT FOUND","NOT FOUND",INDEX('6_3nf_branch_history'!$E:$E,SUMPRODUCT(('6_3nf_branch_history'!$A$2:$A$50=T241)*('6_3nf_branch_history'!$B$2:$B$50=U241)*ROW('6_3nf_branch_history'!$A$2:$A$50))))</f>
        <v/>
      </c>
      <c r="Y241" s="2">
        <f>UPPER(TRIM(D241))</f>
        <v/>
      </c>
      <c r="Z241" s="2">
        <f>IFERROR(INDEX('7_3nf_product'!$B:$B,MATCH(Y241,'7_3nf_product'!$A:$A,0)),"NOT FOUND")</f>
        <v/>
      </c>
      <c r="AA241" s="2">
        <f>IFERROR(INDEX('7_3nf_product'!$C:$C,MATCH(Y241,'7_3nf_product'!$A:$A,0)),"NOT FOUND")</f>
        <v/>
      </c>
      <c r="AB241" s="2">
        <f>IFERROR(INDEX('7_3nf_product'!$D:$D,MATCH(Y241,'7_3nf_product'!$A:$A,0)),"NOT FOUND")</f>
        <v/>
      </c>
      <c r="AC241" s="6">
        <f>IFERROR(INDEX('7_3nf_product'!$E:$E,MATCH(Y241,'7_3nf_product'!$A:$A,0)),"NOT FOUND")</f>
        <v/>
      </c>
      <c r="AD241" s="33">
        <f>IF(LEN(TRIM(E241))=10,TRIM(E241),IF(LEN(TRIM(E241))=8,"00"&amp;TRIM(E241),"CHECK"))</f>
        <v/>
      </c>
      <c r="AE241" s="2">
        <f>IFERROR(INDEX('8_3nf_customer'!$C:$C,MATCH(AD241,'8_3nf_customer'!$B:$B,0)),"NOT FOUND")</f>
        <v/>
      </c>
      <c r="AF241" s="30">
        <f>IFERROR(INDEX('8_3nf_customer'!$D:$D,MATCH(AD241,'8_3nf_customer'!$B:$B,0)),"NOT FOUND")</f>
        <v/>
      </c>
      <c r="AG241" s="4">
        <f>IF(ISNUMBER(AF241),DATEDIF(AF241,L241,"y"),"NOT FOUND")</f>
        <v/>
      </c>
      <c r="AH241" s="2">
        <f>IFERROR(INDEX('8_3nf_customer'!$E:$E,MATCH(AD241,'8_3nf_customer'!$B:$B,0)),"NOT FOUND")</f>
        <v/>
      </c>
      <c r="AI241" s="30">
        <f>IF(_xlfn.MAXIFS('9_3nf_customer_history'!$B$2:$B$500,'9_3nf_customer_history'!$A$2:$A$500,AD241,'9_3nf_customer_history'!$B$2:$B$500,"&lt;="&amp;L241)=0,"NOT FOUND",_xlfn.MAXIFS('9_3nf_customer_history'!$B$2:$B$500,'9_3nf_customer_history'!$A$2:$A$500,AD241,'9_3nf_customer_history'!$B$2:$B$500,"&lt;="&amp;L241))</f>
        <v/>
      </c>
      <c r="AJ241" s="2">
        <f>IF(AI241="NOT FOUND","NOT FOUND",INDEX('9_3nf_customer_history'!$C:$C,SUMPRODUCT(('9_3nf_customer_history'!$A$2:$A$500=AD241)*('9_3nf_customer_history'!$B$2:$B$500=AI241)*ROW('9_3nf_customer_history'!$A$2:$A$500))))</f>
        <v/>
      </c>
      <c r="AK241" s="2">
        <f>IF(AI241="NOT FOUND","NOT FOUND",INDEX('9_3nf_customer_history'!$D:$D,SUMPRODUCT(('9_3nf_customer_history'!$A$2:$A$500=AD241)*('9_3nf_customer_history'!$B$2:$B$500=AI241)*ROW('9_3nf_customer_history'!$A$2:$A$500))))</f>
        <v/>
      </c>
      <c r="AL241" s="2">
        <f>UPPER(TRIM(H241))</f>
        <v/>
      </c>
      <c r="AM241" s="30">
        <f>IF(_xlfn.MAXIFS('10_ref_fx_rate'!$B$2:$B$2000,'10_ref_fx_rate'!$A$2:$A$2000,AL241,'10_ref_fx_rate'!$B$2:$B$2000,"&lt;="&amp;L241)=0,"NOT FOUND",_xlfn.MAXIFS('10_ref_fx_rate'!$B$2:$B$2000,'10_ref_fx_rate'!$A$2:$A$2000,AL241,'10_ref_fx_rate'!$B$2:$B$2000,"&lt;="&amp;L241))</f>
        <v/>
      </c>
      <c r="AN241" s="8">
        <f>IF(AM241="NOT FOUND","NOT FOUND",SUMIFS('10_ref_fx_rate'!$D$2:$D$2000,'10_ref_fx_rate'!$A$2:$A$2000,AL241,'10_ref_fx_rate'!$B$2:$B$2000,AM241))</f>
        <v/>
      </c>
      <c r="AO241" s="37">
        <f>IF(ISNUMBER(AN241),I241*AN241,"NOT FOUND")</f>
        <v/>
      </c>
      <c r="AP241" s="2">
        <f>UPPER(TRIM(J241))</f>
        <v/>
      </c>
      <c r="AQ241" s="2">
        <f>IF(AP241="","SELF-DIRECTED",IF(ISNUMBER(MATCH(AP241,'11_3nf_sales_person'!$A:$A,0)),IF(EXACT(AP241,J241),"OK","OK (auto-fixed)"),IF(ISNA(MATCH($A241,'12_sales_person_confirmation'!$A:$A,0)),"CONFIRM (not logged)",IF(INDEX('12_sales_person_confirmation'!$I:$I,MATCH($A241,'12_sales_person_confirmation'!$A:$A,0))="CONFIRMED","CONFIRMED ("&amp;LOWER(INDEX('12_sales_person_confirmation'!$E:$E,MATCH($A241,'12_sales_person_confirmation'!$A:$A,0)))&amp;")","PENDING CONFIRM"))))</f>
        <v/>
      </c>
      <c r="AR241" s="2">
        <f>IF(OR(AQ241="OK",AQ241="OK (auto-fixed)"),AP241,IF(LEFT(AQ241,9)="CONFIRMED",INDEX('12_sales_person_confirmation'!$F:$F,MATCH($A241,'12_sales_person_confirmation'!$A:$A,0)),""))</f>
        <v/>
      </c>
      <c r="AS241" s="2">
        <f>IF(AR241="","",INDEX('11_3nf_sales_person'!$B:$B,MATCH(AR241,'11_3nf_sales_person'!$A:$A,0)))</f>
        <v/>
      </c>
    </row>
    <row r="242">
      <c r="A242" s="2">
        <f>IF(ISBLANK('1_raw_log'!A242),"",'1_raw_log'!A242)</f>
        <v/>
      </c>
      <c r="B242" s="3">
        <f>IF(ISBLANK('1_raw_log'!B242),"",'1_raw_log'!B242)</f>
        <v/>
      </c>
      <c r="C242" s="2">
        <f>IF(ISBLANK('1_raw_log'!C242),"",'1_raw_log'!C242)</f>
        <v/>
      </c>
      <c r="D242" s="2">
        <f>IF(ISBLANK('1_raw_log'!D242),"",'1_raw_log'!D242)</f>
        <v/>
      </c>
      <c r="E242" s="4">
        <f>IF(ISBLANK('1_raw_log'!E242),"",'1_raw_log'!E242)</f>
        <v/>
      </c>
      <c r="F242" s="2">
        <f>IF(ISBLANK('1_raw_log'!F242),"",'1_raw_log'!F242)</f>
        <v/>
      </c>
      <c r="G242" s="2">
        <f>IF(ISBLANK('1_raw_log'!G242),"",'1_raw_log'!G242)</f>
        <v/>
      </c>
      <c r="H242" s="2">
        <f>IF(ISBLANK('1_raw_log'!H242),"",'1_raw_log'!H242)</f>
        <v/>
      </c>
      <c r="I242" s="7">
        <f>IF(ISBLANK('1_raw_log'!I242),"",'1_raw_log'!I242)</f>
        <v/>
      </c>
      <c r="J242" s="2">
        <f>IF(ISBLANK('1_raw_log'!J242),"",'1_raw_log'!J242)</f>
        <v/>
      </c>
      <c r="K242" s="2">
        <f>IF(ISBLANK('1_raw_log'!K242),"",'1_raw_log'!K242)</f>
        <v/>
      </c>
      <c r="L242" s="30">
        <f>INT(B242)</f>
        <v/>
      </c>
      <c r="M242" s="20">
        <f>ROUND(MOD(B242,1)*1440,0)/1440</f>
        <v/>
      </c>
      <c r="N242" s="4">
        <f>IFERROR(INDEX('3_ref_date'!$B:$B,MATCH(L242,'3_ref_date'!$A:$A,0)),"NOT FOUND")</f>
        <v/>
      </c>
      <c r="O242" s="2">
        <f>IFERROR(INDEX('3_ref_date'!$C:$C,MATCH(L242,'3_ref_date'!$A:$A,0)),"NOT FOUND")</f>
        <v/>
      </c>
      <c r="P242" s="4">
        <f>IFERROR(INDEX('3_ref_date'!$D:$D,MATCH(L242,'3_ref_date'!$A:$A,0)),"NOT FOUND")</f>
        <v/>
      </c>
      <c r="Q242" s="4">
        <f>IFERROR(INDEX('3_ref_date'!$E:$E,MATCH(L242,'3_ref_date'!$A:$A,0)),"NOT FOUND")</f>
        <v/>
      </c>
      <c r="R242" s="2">
        <f>IFERROR(INDEX('3_ref_date'!$F:$F,MATCH(L242,'3_ref_date'!$A:$A,0)),"NOT FOUND")</f>
        <v/>
      </c>
      <c r="S242" s="2">
        <f>IFERROR(INDEX('4_ref_time'!$D:$D,MATCH(ROUND(M242*1440,0),'4_ref_time'!$A:$A,0)),"NOT FOUND")</f>
        <v/>
      </c>
      <c r="T242" s="2">
        <f>UPPER(TRIM(C242))</f>
        <v/>
      </c>
      <c r="U242" s="30">
        <f>IF(_xlfn.MAXIFS('6_3nf_branch_history'!$B$2:$B$50,'6_3nf_branch_history'!$A$2:$A$50,T242,'6_3nf_branch_history'!$B$2:$B$50,"&lt;="&amp;L242)=0,"NOT FOUND",_xlfn.MAXIFS('6_3nf_branch_history'!$B$2:$B$50,'6_3nf_branch_history'!$A$2:$A$50,T242,'6_3nf_branch_history'!$B$2:$B$50,"&lt;="&amp;L242))</f>
        <v/>
      </c>
      <c r="V242" s="2">
        <f>IF(U242="NOT FOUND","NOT FOUND",INDEX('6_3nf_branch_history'!$C:$C,SUMPRODUCT(('6_3nf_branch_history'!$A$2:$A$50=T242)*('6_3nf_branch_history'!$B$2:$B$50=U242)*ROW('6_3nf_branch_history'!$A$2:$A$50))))</f>
        <v/>
      </c>
      <c r="W242" s="2">
        <f>IF(U242="NOT FOUND","NOT FOUND",INDEX('6_3nf_branch_history'!$D:$D,SUMPRODUCT(('6_3nf_branch_history'!$A$2:$A$50=T242)*('6_3nf_branch_history'!$B$2:$B$50=U242)*ROW('6_3nf_branch_history'!$A$2:$A$50))))</f>
        <v/>
      </c>
      <c r="X242" s="2">
        <f>IF(U242="NOT FOUND","NOT FOUND",INDEX('6_3nf_branch_history'!$E:$E,SUMPRODUCT(('6_3nf_branch_history'!$A$2:$A$50=T242)*('6_3nf_branch_history'!$B$2:$B$50=U242)*ROW('6_3nf_branch_history'!$A$2:$A$50))))</f>
        <v/>
      </c>
      <c r="Y242" s="2">
        <f>UPPER(TRIM(D242))</f>
        <v/>
      </c>
      <c r="Z242" s="2">
        <f>IFERROR(INDEX('7_3nf_product'!$B:$B,MATCH(Y242,'7_3nf_product'!$A:$A,0)),"NOT FOUND")</f>
        <v/>
      </c>
      <c r="AA242" s="2">
        <f>IFERROR(INDEX('7_3nf_product'!$C:$C,MATCH(Y242,'7_3nf_product'!$A:$A,0)),"NOT FOUND")</f>
        <v/>
      </c>
      <c r="AB242" s="2">
        <f>IFERROR(INDEX('7_3nf_product'!$D:$D,MATCH(Y242,'7_3nf_product'!$A:$A,0)),"NOT FOUND")</f>
        <v/>
      </c>
      <c r="AC242" s="6">
        <f>IFERROR(INDEX('7_3nf_product'!$E:$E,MATCH(Y242,'7_3nf_product'!$A:$A,0)),"NOT FOUND")</f>
        <v/>
      </c>
      <c r="AD242" s="33">
        <f>IF(LEN(TRIM(E242))=10,TRIM(E242),IF(LEN(TRIM(E242))=8,"00"&amp;TRIM(E242),"CHECK"))</f>
        <v/>
      </c>
      <c r="AE242" s="2">
        <f>IFERROR(INDEX('8_3nf_customer'!$C:$C,MATCH(AD242,'8_3nf_customer'!$B:$B,0)),"NOT FOUND")</f>
        <v/>
      </c>
      <c r="AF242" s="30">
        <f>IFERROR(INDEX('8_3nf_customer'!$D:$D,MATCH(AD242,'8_3nf_customer'!$B:$B,0)),"NOT FOUND")</f>
        <v/>
      </c>
      <c r="AG242" s="4">
        <f>IF(ISNUMBER(AF242),DATEDIF(AF242,L242,"y"),"NOT FOUND")</f>
        <v/>
      </c>
      <c r="AH242" s="2">
        <f>IFERROR(INDEX('8_3nf_customer'!$E:$E,MATCH(AD242,'8_3nf_customer'!$B:$B,0)),"NOT FOUND")</f>
        <v/>
      </c>
      <c r="AI242" s="30">
        <f>IF(_xlfn.MAXIFS('9_3nf_customer_history'!$B$2:$B$500,'9_3nf_customer_history'!$A$2:$A$500,AD242,'9_3nf_customer_history'!$B$2:$B$500,"&lt;="&amp;L242)=0,"NOT FOUND",_xlfn.MAXIFS('9_3nf_customer_history'!$B$2:$B$500,'9_3nf_customer_history'!$A$2:$A$500,AD242,'9_3nf_customer_history'!$B$2:$B$500,"&lt;="&amp;L242))</f>
        <v/>
      </c>
      <c r="AJ242" s="2">
        <f>IF(AI242="NOT FOUND","NOT FOUND",INDEX('9_3nf_customer_history'!$C:$C,SUMPRODUCT(('9_3nf_customer_history'!$A$2:$A$500=AD242)*('9_3nf_customer_history'!$B$2:$B$500=AI242)*ROW('9_3nf_customer_history'!$A$2:$A$500))))</f>
        <v/>
      </c>
      <c r="AK242" s="2">
        <f>IF(AI242="NOT FOUND","NOT FOUND",INDEX('9_3nf_customer_history'!$D:$D,SUMPRODUCT(('9_3nf_customer_history'!$A$2:$A$500=AD242)*('9_3nf_customer_history'!$B$2:$B$500=AI242)*ROW('9_3nf_customer_history'!$A$2:$A$500))))</f>
        <v/>
      </c>
      <c r="AL242" s="2">
        <f>UPPER(TRIM(H242))</f>
        <v/>
      </c>
      <c r="AM242" s="30">
        <f>IF(_xlfn.MAXIFS('10_ref_fx_rate'!$B$2:$B$2000,'10_ref_fx_rate'!$A$2:$A$2000,AL242,'10_ref_fx_rate'!$B$2:$B$2000,"&lt;="&amp;L242)=0,"NOT FOUND",_xlfn.MAXIFS('10_ref_fx_rate'!$B$2:$B$2000,'10_ref_fx_rate'!$A$2:$A$2000,AL242,'10_ref_fx_rate'!$B$2:$B$2000,"&lt;="&amp;L242))</f>
        <v/>
      </c>
      <c r="AN242" s="8">
        <f>IF(AM242="NOT FOUND","NOT FOUND",SUMIFS('10_ref_fx_rate'!$D$2:$D$2000,'10_ref_fx_rate'!$A$2:$A$2000,AL242,'10_ref_fx_rate'!$B$2:$B$2000,AM242))</f>
        <v/>
      </c>
      <c r="AO242" s="37">
        <f>IF(ISNUMBER(AN242),I242*AN242,"NOT FOUND")</f>
        <v/>
      </c>
      <c r="AP242" s="2">
        <f>UPPER(TRIM(J242))</f>
        <v/>
      </c>
      <c r="AQ242" s="2">
        <f>IF(AP242="","SELF-DIRECTED",IF(ISNUMBER(MATCH(AP242,'11_3nf_sales_person'!$A:$A,0)),IF(EXACT(AP242,J242),"OK","OK (auto-fixed)"),IF(ISNA(MATCH($A242,'12_sales_person_confirmation'!$A:$A,0)),"CONFIRM (not logged)",IF(INDEX('12_sales_person_confirmation'!$I:$I,MATCH($A242,'12_sales_person_confirmation'!$A:$A,0))="CONFIRMED","CONFIRMED ("&amp;LOWER(INDEX('12_sales_person_confirmation'!$E:$E,MATCH($A242,'12_sales_person_confirmation'!$A:$A,0)))&amp;")","PENDING CONFIRM"))))</f>
        <v/>
      </c>
      <c r="AR242" s="2">
        <f>IF(OR(AQ242="OK",AQ242="OK (auto-fixed)"),AP242,IF(LEFT(AQ242,9)="CONFIRMED",INDEX('12_sales_person_confirmation'!$F:$F,MATCH($A242,'12_sales_person_confirmation'!$A:$A,0)),""))</f>
        <v/>
      </c>
      <c r="AS242" s="2">
        <f>IF(AR242="","",INDEX('11_3nf_sales_person'!$B:$B,MATCH(AR242,'11_3nf_sales_person'!$A:$A,0)))</f>
        <v/>
      </c>
    </row>
    <row r="243">
      <c r="A243" s="2">
        <f>IF(ISBLANK('1_raw_log'!A243),"",'1_raw_log'!A243)</f>
        <v/>
      </c>
      <c r="B243" s="3">
        <f>IF(ISBLANK('1_raw_log'!B243),"",'1_raw_log'!B243)</f>
        <v/>
      </c>
      <c r="C243" s="2">
        <f>IF(ISBLANK('1_raw_log'!C243),"",'1_raw_log'!C243)</f>
        <v/>
      </c>
      <c r="D243" s="2">
        <f>IF(ISBLANK('1_raw_log'!D243),"",'1_raw_log'!D243)</f>
        <v/>
      </c>
      <c r="E243" s="4">
        <f>IF(ISBLANK('1_raw_log'!E243),"",'1_raw_log'!E243)</f>
        <v/>
      </c>
      <c r="F243" s="2">
        <f>IF(ISBLANK('1_raw_log'!F243),"",'1_raw_log'!F243)</f>
        <v/>
      </c>
      <c r="G243" s="2">
        <f>IF(ISBLANK('1_raw_log'!G243),"",'1_raw_log'!G243)</f>
        <v/>
      </c>
      <c r="H243" s="2">
        <f>IF(ISBLANK('1_raw_log'!H243),"",'1_raw_log'!H243)</f>
        <v/>
      </c>
      <c r="I243" s="7">
        <f>IF(ISBLANK('1_raw_log'!I243),"",'1_raw_log'!I243)</f>
        <v/>
      </c>
      <c r="J243" s="2">
        <f>IF(ISBLANK('1_raw_log'!J243),"",'1_raw_log'!J243)</f>
        <v/>
      </c>
      <c r="K243" s="2">
        <f>IF(ISBLANK('1_raw_log'!K243),"",'1_raw_log'!K243)</f>
        <v/>
      </c>
      <c r="L243" s="30">
        <f>INT(B243)</f>
        <v/>
      </c>
      <c r="M243" s="20">
        <f>ROUND(MOD(B243,1)*1440,0)/1440</f>
        <v/>
      </c>
      <c r="N243" s="4">
        <f>IFERROR(INDEX('3_ref_date'!$B:$B,MATCH(L243,'3_ref_date'!$A:$A,0)),"NOT FOUND")</f>
        <v/>
      </c>
      <c r="O243" s="2">
        <f>IFERROR(INDEX('3_ref_date'!$C:$C,MATCH(L243,'3_ref_date'!$A:$A,0)),"NOT FOUND")</f>
        <v/>
      </c>
      <c r="P243" s="4">
        <f>IFERROR(INDEX('3_ref_date'!$D:$D,MATCH(L243,'3_ref_date'!$A:$A,0)),"NOT FOUND")</f>
        <v/>
      </c>
      <c r="Q243" s="4">
        <f>IFERROR(INDEX('3_ref_date'!$E:$E,MATCH(L243,'3_ref_date'!$A:$A,0)),"NOT FOUND")</f>
        <v/>
      </c>
      <c r="R243" s="2">
        <f>IFERROR(INDEX('3_ref_date'!$F:$F,MATCH(L243,'3_ref_date'!$A:$A,0)),"NOT FOUND")</f>
        <v/>
      </c>
      <c r="S243" s="2">
        <f>IFERROR(INDEX('4_ref_time'!$D:$D,MATCH(ROUND(M243*1440,0),'4_ref_time'!$A:$A,0)),"NOT FOUND")</f>
        <v/>
      </c>
      <c r="T243" s="2">
        <f>UPPER(TRIM(C243))</f>
        <v/>
      </c>
      <c r="U243" s="30">
        <f>IF(_xlfn.MAXIFS('6_3nf_branch_history'!$B$2:$B$50,'6_3nf_branch_history'!$A$2:$A$50,T243,'6_3nf_branch_history'!$B$2:$B$50,"&lt;="&amp;L243)=0,"NOT FOUND",_xlfn.MAXIFS('6_3nf_branch_history'!$B$2:$B$50,'6_3nf_branch_history'!$A$2:$A$50,T243,'6_3nf_branch_history'!$B$2:$B$50,"&lt;="&amp;L243))</f>
        <v/>
      </c>
      <c r="V243" s="2">
        <f>IF(U243="NOT FOUND","NOT FOUND",INDEX('6_3nf_branch_history'!$C:$C,SUMPRODUCT(('6_3nf_branch_history'!$A$2:$A$50=T243)*('6_3nf_branch_history'!$B$2:$B$50=U243)*ROW('6_3nf_branch_history'!$A$2:$A$50))))</f>
        <v/>
      </c>
      <c r="W243" s="2">
        <f>IF(U243="NOT FOUND","NOT FOUND",INDEX('6_3nf_branch_history'!$D:$D,SUMPRODUCT(('6_3nf_branch_history'!$A$2:$A$50=T243)*('6_3nf_branch_history'!$B$2:$B$50=U243)*ROW('6_3nf_branch_history'!$A$2:$A$50))))</f>
        <v/>
      </c>
      <c r="X243" s="2">
        <f>IF(U243="NOT FOUND","NOT FOUND",INDEX('6_3nf_branch_history'!$E:$E,SUMPRODUCT(('6_3nf_branch_history'!$A$2:$A$50=T243)*('6_3nf_branch_history'!$B$2:$B$50=U243)*ROW('6_3nf_branch_history'!$A$2:$A$50))))</f>
        <v/>
      </c>
      <c r="Y243" s="2">
        <f>UPPER(TRIM(D243))</f>
        <v/>
      </c>
      <c r="Z243" s="2">
        <f>IFERROR(INDEX('7_3nf_product'!$B:$B,MATCH(Y243,'7_3nf_product'!$A:$A,0)),"NOT FOUND")</f>
        <v/>
      </c>
      <c r="AA243" s="2">
        <f>IFERROR(INDEX('7_3nf_product'!$C:$C,MATCH(Y243,'7_3nf_product'!$A:$A,0)),"NOT FOUND")</f>
        <v/>
      </c>
      <c r="AB243" s="2">
        <f>IFERROR(INDEX('7_3nf_product'!$D:$D,MATCH(Y243,'7_3nf_product'!$A:$A,0)),"NOT FOUND")</f>
        <v/>
      </c>
      <c r="AC243" s="6">
        <f>IFERROR(INDEX('7_3nf_product'!$E:$E,MATCH(Y243,'7_3nf_product'!$A:$A,0)),"NOT FOUND")</f>
        <v/>
      </c>
      <c r="AD243" s="33">
        <f>IF(LEN(TRIM(E243))=10,TRIM(E243),IF(LEN(TRIM(E243))=8,"00"&amp;TRIM(E243),"CHECK"))</f>
        <v/>
      </c>
      <c r="AE243" s="2">
        <f>IFERROR(INDEX('8_3nf_customer'!$C:$C,MATCH(AD243,'8_3nf_customer'!$B:$B,0)),"NOT FOUND")</f>
        <v/>
      </c>
      <c r="AF243" s="30">
        <f>IFERROR(INDEX('8_3nf_customer'!$D:$D,MATCH(AD243,'8_3nf_customer'!$B:$B,0)),"NOT FOUND")</f>
        <v/>
      </c>
      <c r="AG243" s="4">
        <f>IF(ISNUMBER(AF243),DATEDIF(AF243,L243,"y"),"NOT FOUND")</f>
        <v/>
      </c>
      <c r="AH243" s="2">
        <f>IFERROR(INDEX('8_3nf_customer'!$E:$E,MATCH(AD243,'8_3nf_customer'!$B:$B,0)),"NOT FOUND")</f>
        <v/>
      </c>
      <c r="AI243" s="30">
        <f>IF(_xlfn.MAXIFS('9_3nf_customer_history'!$B$2:$B$500,'9_3nf_customer_history'!$A$2:$A$500,AD243,'9_3nf_customer_history'!$B$2:$B$500,"&lt;="&amp;L243)=0,"NOT FOUND",_xlfn.MAXIFS('9_3nf_customer_history'!$B$2:$B$500,'9_3nf_customer_history'!$A$2:$A$500,AD243,'9_3nf_customer_history'!$B$2:$B$500,"&lt;="&amp;L243))</f>
        <v/>
      </c>
      <c r="AJ243" s="2">
        <f>IF(AI243="NOT FOUND","NOT FOUND",INDEX('9_3nf_customer_history'!$C:$C,SUMPRODUCT(('9_3nf_customer_history'!$A$2:$A$500=AD243)*('9_3nf_customer_history'!$B$2:$B$500=AI243)*ROW('9_3nf_customer_history'!$A$2:$A$500))))</f>
        <v/>
      </c>
      <c r="AK243" s="2">
        <f>IF(AI243="NOT FOUND","NOT FOUND",INDEX('9_3nf_customer_history'!$D:$D,SUMPRODUCT(('9_3nf_customer_history'!$A$2:$A$500=AD243)*('9_3nf_customer_history'!$B$2:$B$500=AI243)*ROW('9_3nf_customer_history'!$A$2:$A$500))))</f>
        <v/>
      </c>
      <c r="AL243" s="2">
        <f>UPPER(TRIM(H243))</f>
        <v/>
      </c>
      <c r="AM243" s="30">
        <f>IF(_xlfn.MAXIFS('10_ref_fx_rate'!$B$2:$B$2000,'10_ref_fx_rate'!$A$2:$A$2000,AL243,'10_ref_fx_rate'!$B$2:$B$2000,"&lt;="&amp;L243)=0,"NOT FOUND",_xlfn.MAXIFS('10_ref_fx_rate'!$B$2:$B$2000,'10_ref_fx_rate'!$A$2:$A$2000,AL243,'10_ref_fx_rate'!$B$2:$B$2000,"&lt;="&amp;L243))</f>
        <v/>
      </c>
      <c r="AN243" s="8">
        <f>IF(AM243="NOT FOUND","NOT FOUND",SUMIFS('10_ref_fx_rate'!$D$2:$D$2000,'10_ref_fx_rate'!$A$2:$A$2000,AL243,'10_ref_fx_rate'!$B$2:$B$2000,AM243))</f>
        <v/>
      </c>
      <c r="AO243" s="37">
        <f>IF(ISNUMBER(AN243),I243*AN243,"NOT FOUND")</f>
        <v/>
      </c>
      <c r="AP243" s="2">
        <f>UPPER(TRIM(J243))</f>
        <v/>
      </c>
      <c r="AQ243" s="2">
        <f>IF(AP243="","SELF-DIRECTED",IF(ISNUMBER(MATCH(AP243,'11_3nf_sales_person'!$A:$A,0)),IF(EXACT(AP243,J243),"OK","OK (auto-fixed)"),IF(ISNA(MATCH($A243,'12_sales_person_confirmation'!$A:$A,0)),"CONFIRM (not logged)",IF(INDEX('12_sales_person_confirmation'!$I:$I,MATCH($A243,'12_sales_person_confirmation'!$A:$A,0))="CONFIRMED","CONFIRMED ("&amp;LOWER(INDEX('12_sales_person_confirmation'!$E:$E,MATCH($A243,'12_sales_person_confirmation'!$A:$A,0)))&amp;")","PENDING CONFIRM"))))</f>
        <v/>
      </c>
      <c r="AR243" s="2">
        <f>IF(OR(AQ243="OK",AQ243="OK (auto-fixed)"),AP243,IF(LEFT(AQ243,9)="CONFIRMED",INDEX('12_sales_person_confirmation'!$F:$F,MATCH($A243,'12_sales_person_confirmation'!$A:$A,0)),""))</f>
        <v/>
      </c>
      <c r="AS243" s="2">
        <f>IF(AR243="","",INDEX('11_3nf_sales_person'!$B:$B,MATCH(AR243,'11_3nf_sales_person'!$A:$A,0)))</f>
        <v/>
      </c>
    </row>
    <row r="244">
      <c r="A244" s="2">
        <f>IF(ISBLANK('1_raw_log'!A244),"",'1_raw_log'!A244)</f>
        <v/>
      </c>
      <c r="B244" s="3">
        <f>IF(ISBLANK('1_raw_log'!B244),"",'1_raw_log'!B244)</f>
        <v/>
      </c>
      <c r="C244" s="2">
        <f>IF(ISBLANK('1_raw_log'!C244),"",'1_raw_log'!C244)</f>
        <v/>
      </c>
      <c r="D244" s="2">
        <f>IF(ISBLANK('1_raw_log'!D244),"",'1_raw_log'!D244)</f>
        <v/>
      </c>
      <c r="E244" s="4">
        <f>IF(ISBLANK('1_raw_log'!E244),"",'1_raw_log'!E244)</f>
        <v/>
      </c>
      <c r="F244" s="2">
        <f>IF(ISBLANK('1_raw_log'!F244),"",'1_raw_log'!F244)</f>
        <v/>
      </c>
      <c r="G244" s="2">
        <f>IF(ISBLANK('1_raw_log'!G244),"",'1_raw_log'!G244)</f>
        <v/>
      </c>
      <c r="H244" s="2">
        <f>IF(ISBLANK('1_raw_log'!H244),"",'1_raw_log'!H244)</f>
        <v/>
      </c>
      <c r="I244" s="7">
        <f>IF(ISBLANK('1_raw_log'!I244),"",'1_raw_log'!I244)</f>
        <v/>
      </c>
      <c r="J244" s="2">
        <f>IF(ISBLANK('1_raw_log'!J244),"",'1_raw_log'!J244)</f>
        <v/>
      </c>
      <c r="K244" s="2">
        <f>IF(ISBLANK('1_raw_log'!K244),"",'1_raw_log'!K244)</f>
        <v/>
      </c>
      <c r="L244" s="30">
        <f>INT(B244)</f>
        <v/>
      </c>
      <c r="M244" s="20">
        <f>ROUND(MOD(B244,1)*1440,0)/1440</f>
        <v/>
      </c>
      <c r="N244" s="4">
        <f>IFERROR(INDEX('3_ref_date'!$B:$B,MATCH(L244,'3_ref_date'!$A:$A,0)),"NOT FOUND")</f>
        <v/>
      </c>
      <c r="O244" s="2">
        <f>IFERROR(INDEX('3_ref_date'!$C:$C,MATCH(L244,'3_ref_date'!$A:$A,0)),"NOT FOUND")</f>
        <v/>
      </c>
      <c r="P244" s="4">
        <f>IFERROR(INDEX('3_ref_date'!$D:$D,MATCH(L244,'3_ref_date'!$A:$A,0)),"NOT FOUND")</f>
        <v/>
      </c>
      <c r="Q244" s="4">
        <f>IFERROR(INDEX('3_ref_date'!$E:$E,MATCH(L244,'3_ref_date'!$A:$A,0)),"NOT FOUND")</f>
        <v/>
      </c>
      <c r="R244" s="2">
        <f>IFERROR(INDEX('3_ref_date'!$F:$F,MATCH(L244,'3_ref_date'!$A:$A,0)),"NOT FOUND")</f>
        <v/>
      </c>
      <c r="S244" s="2">
        <f>IFERROR(INDEX('4_ref_time'!$D:$D,MATCH(ROUND(M244*1440,0),'4_ref_time'!$A:$A,0)),"NOT FOUND")</f>
        <v/>
      </c>
      <c r="T244" s="2">
        <f>UPPER(TRIM(C244))</f>
        <v/>
      </c>
      <c r="U244" s="30">
        <f>IF(_xlfn.MAXIFS('6_3nf_branch_history'!$B$2:$B$50,'6_3nf_branch_history'!$A$2:$A$50,T244,'6_3nf_branch_history'!$B$2:$B$50,"&lt;="&amp;L244)=0,"NOT FOUND",_xlfn.MAXIFS('6_3nf_branch_history'!$B$2:$B$50,'6_3nf_branch_history'!$A$2:$A$50,T244,'6_3nf_branch_history'!$B$2:$B$50,"&lt;="&amp;L244))</f>
        <v/>
      </c>
      <c r="V244" s="2">
        <f>IF(U244="NOT FOUND","NOT FOUND",INDEX('6_3nf_branch_history'!$C:$C,SUMPRODUCT(('6_3nf_branch_history'!$A$2:$A$50=T244)*('6_3nf_branch_history'!$B$2:$B$50=U244)*ROW('6_3nf_branch_history'!$A$2:$A$50))))</f>
        <v/>
      </c>
      <c r="W244" s="2">
        <f>IF(U244="NOT FOUND","NOT FOUND",INDEX('6_3nf_branch_history'!$D:$D,SUMPRODUCT(('6_3nf_branch_history'!$A$2:$A$50=T244)*('6_3nf_branch_history'!$B$2:$B$50=U244)*ROW('6_3nf_branch_history'!$A$2:$A$50))))</f>
        <v/>
      </c>
      <c r="X244" s="2">
        <f>IF(U244="NOT FOUND","NOT FOUND",INDEX('6_3nf_branch_history'!$E:$E,SUMPRODUCT(('6_3nf_branch_history'!$A$2:$A$50=T244)*('6_3nf_branch_history'!$B$2:$B$50=U244)*ROW('6_3nf_branch_history'!$A$2:$A$50))))</f>
        <v/>
      </c>
      <c r="Y244" s="2">
        <f>UPPER(TRIM(D244))</f>
        <v/>
      </c>
      <c r="Z244" s="2">
        <f>IFERROR(INDEX('7_3nf_product'!$B:$B,MATCH(Y244,'7_3nf_product'!$A:$A,0)),"NOT FOUND")</f>
        <v/>
      </c>
      <c r="AA244" s="2">
        <f>IFERROR(INDEX('7_3nf_product'!$C:$C,MATCH(Y244,'7_3nf_product'!$A:$A,0)),"NOT FOUND")</f>
        <v/>
      </c>
      <c r="AB244" s="2">
        <f>IFERROR(INDEX('7_3nf_product'!$D:$D,MATCH(Y244,'7_3nf_product'!$A:$A,0)),"NOT FOUND")</f>
        <v/>
      </c>
      <c r="AC244" s="6">
        <f>IFERROR(INDEX('7_3nf_product'!$E:$E,MATCH(Y244,'7_3nf_product'!$A:$A,0)),"NOT FOUND")</f>
        <v/>
      </c>
      <c r="AD244" s="33">
        <f>IF(LEN(TRIM(E244))=10,TRIM(E244),IF(LEN(TRIM(E244))=8,"00"&amp;TRIM(E244),"CHECK"))</f>
        <v/>
      </c>
      <c r="AE244" s="2">
        <f>IFERROR(INDEX('8_3nf_customer'!$C:$C,MATCH(AD244,'8_3nf_customer'!$B:$B,0)),"NOT FOUND")</f>
        <v/>
      </c>
      <c r="AF244" s="30">
        <f>IFERROR(INDEX('8_3nf_customer'!$D:$D,MATCH(AD244,'8_3nf_customer'!$B:$B,0)),"NOT FOUND")</f>
        <v/>
      </c>
      <c r="AG244" s="4">
        <f>IF(ISNUMBER(AF244),DATEDIF(AF244,L244,"y"),"NOT FOUND")</f>
        <v/>
      </c>
      <c r="AH244" s="2">
        <f>IFERROR(INDEX('8_3nf_customer'!$E:$E,MATCH(AD244,'8_3nf_customer'!$B:$B,0)),"NOT FOUND")</f>
        <v/>
      </c>
      <c r="AI244" s="30">
        <f>IF(_xlfn.MAXIFS('9_3nf_customer_history'!$B$2:$B$500,'9_3nf_customer_history'!$A$2:$A$500,AD244,'9_3nf_customer_history'!$B$2:$B$500,"&lt;="&amp;L244)=0,"NOT FOUND",_xlfn.MAXIFS('9_3nf_customer_history'!$B$2:$B$500,'9_3nf_customer_history'!$A$2:$A$500,AD244,'9_3nf_customer_history'!$B$2:$B$500,"&lt;="&amp;L244))</f>
        <v/>
      </c>
      <c r="AJ244" s="2">
        <f>IF(AI244="NOT FOUND","NOT FOUND",INDEX('9_3nf_customer_history'!$C:$C,SUMPRODUCT(('9_3nf_customer_history'!$A$2:$A$500=AD244)*('9_3nf_customer_history'!$B$2:$B$500=AI244)*ROW('9_3nf_customer_history'!$A$2:$A$500))))</f>
        <v/>
      </c>
      <c r="AK244" s="2">
        <f>IF(AI244="NOT FOUND","NOT FOUND",INDEX('9_3nf_customer_history'!$D:$D,SUMPRODUCT(('9_3nf_customer_history'!$A$2:$A$500=AD244)*('9_3nf_customer_history'!$B$2:$B$500=AI244)*ROW('9_3nf_customer_history'!$A$2:$A$500))))</f>
        <v/>
      </c>
      <c r="AL244" s="2">
        <f>UPPER(TRIM(H244))</f>
        <v/>
      </c>
      <c r="AM244" s="30">
        <f>IF(_xlfn.MAXIFS('10_ref_fx_rate'!$B$2:$B$2000,'10_ref_fx_rate'!$A$2:$A$2000,AL244,'10_ref_fx_rate'!$B$2:$B$2000,"&lt;="&amp;L244)=0,"NOT FOUND",_xlfn.MAXIFS('10_ref_fx_rate'!$B$2:$B$2000,'10_ref_fx_rate'!$A$2:$A$2000,AL244,'10_ref_fx_rate'!$B$2:$B$2000,"&lt;="&amp;L244))</f>
        <v/>
      </c>
      <c r="AN244" s="8">
        <f>IF(AM244="NOT FOUND","NOT FOUND",SUMIFS('10_ref_fx_rate'!$D$2:$D$2000,'10_ref_fx_rate'!$A$2:$A$2000,AL244,'10_ref_fx_rate'!$B$2:$B$2000,AM244))</f>
        <v/>
      </c>
      <c r="AO244" s="37">
        <f>IF(ISNUMBER(AN244),I244*AN244,"NOT FOUND")</f>
        <v/>
      </c>
      <c r="AP244" s="2">
        <f>UPPER(TRIM(J244))</f>
        <v/>
      </c>
      <c r="AQ244" s="2">
        <f>IF(AP244="","SELF-DIRECTED",IF(ISNUMBER(MATCH(AP244,'11_3nf_sales_person'!$A:$A,0)),IF(EXACT(AP244,J244),"OK","OK (auto-fixed)"),IF(ISNA(MATCH($A244,'12_sales_person_confirmation'!$A:$A,0)),"CONFIRM (not logged)",IF(INDEX('12_sales_person_confirmation'!$I:$I,MATCH($A244,'12_sales_person_confirmation'!$A:$A,0))="CONFIRMED","CONFIRMED ("&amp;LOWER(INDEX('12_sales_person_confirmation'!$E:$E,MATCH($A244,'12_sales_person_confirmation'!$A:$A,0)))&amp;")","PENDING CONFIRM"))))</f>
        <v/>
      </c>
      <c r="AR244" s="2">
        <f>IF(OR(AQ244="OK",AQ244="OK (auto-fixed)"),AP244,IF(LEFT(AQ244,9)="CONFIRMED",INDEX('12_sales_person_confirmation'!$F:$F,MATCH($A244,'12_sales_person_confirmation'!$A:$A,0)),""))</f>
        <v/>
      </c>
      <c r="AS244" s="2">
        <f>IF(AR244="","",INDEX('11_3nf_sales_person'!$B:$B,MATCH(AR244,'11_3nf_sales_person'!$A:$A,0)))</f>
        <v/>
      </c>
    </row>
    <row r="245">
      <c r="A245" s="2">
        <f>IF(ISBLANK('1_raw_log'!A245),"",'1_raw_log'!A245)</f>
        <v/>
      </c>
      <c r="B245" s="3">
        <f>IF(ISBLANK('1_raw_log'!B245),"",'1_raw_log'!B245)</f>
        <v/>
      </c>
      <c r="C245" s="2">
        <f>IF(ISBLANK('1_raw_log'!C245),"",'1_raw_log'!C245)</f>
        <v/>
      </c>
      <c r="D245" s="2">
        <f>IF(ISBLANK('1_raw_log'!D245),"",'1_raw_log'!D245)</f>
        <v/>
      </c>
      <c r="E245" s="4">
        <f>IF(ISBLANK('1_raw_log'!E245),"",'1_raw_log'!E245)</f>
        <v/>
      </c>
      <c r="F245" s="2">
        <f>IF(ISBLANK('1_raw_log'!F245),"",'1_raw_log'!F245)</f>
        <v/>
      </c>
      <c r="G245" s="2">
        <f>IF(ISBLANK('1_raw_log'!G245),"",'1_raw_log'!G245)</f>
        <v/>
      </c>
      <c r="H245" s="2">
        <f>IF(ISBLANK('1_raw_log'!H245),"",'1_raw_log'!H245)</f>
        <v/>
      </c>
      <c r="I245" s="7">
        <f>IF(ISBLANK('1_raw_log'!I245),"",'1_raw_log'!I245)</f>
        <v/>
      </c>
      <c r="J245" s="2">
        <f>IF(ISBLANK('1_raw_log'!J245),"",'1_raw_log'!J245)</f>
        <v/>
      </c>
      <c r="K245" s="2">
        <f>IF(ISBLANK('1_raw_log'!K245),"",'1_raw_log'!K245)</f>
        <v/>
      </c>
      <c r="L245" s="30">
        <f>INT(B245)</f>
        <v/>
      </c>
      <c r="M245" s="20">
        <f>ROUND(MOD(B245,1)*1440,0)/1440</f>
        <v/>
      </c>
      <c r="N245" s="4">
        <f>IFERROR(INDEX('3_ref_date'!$B:$B,MATCH(L245,'3_ref_date'!$A:$A,0)),"NOT FOUND")</f>
        <v/>
      </c>
      <c r="O245" s="2">
        <f>IFERROR(INDEX('3_ref_date'!$C:$C,MATCH(L245,'3_ref_date'!$A:$A,0)),"NOT FOUND")</f>
        <v/>
      </c>
      <c r="P245" s="4">
        <f>IFERROR(INDEX('3_ref_date'!$D:$D,MATCH(L245,'3_ref_date'!$A:$A,0)),"NOT FOUND")</f>
        <v/>
      </c>
      <c r="Q245" s="4">
        <f>IFERROR(INDEX('3_ref_date'!$E:$E,MATCH(L245,'3_ref_date'!$A:$A,0)),"NOT FOUND")</f>
        <v/>
      </c>
      <c r="R245" s="2">
        <f>IFERROR(INDEX('3_ref_date'!$F:$F,MATCH(L245,'3_ref_date'!$A:$A,0)),"NOT FOUND")</f>
        <v/>
      </c>
      <c r="S245" s="2">
        <f>IFERROR(INDEX('4_ref_time'!$D:$D,MATCH(ROUND(M245*1440,0),'4_ref_time'!$A:$A,0)),"NOT FOUND")</f>
        <v/>
      </c>
      <c r="T245" s="2">
        <f>UPPER(TRIM(C245))</f>
        <v/>
      </c>
      <c r="U245" s="30">
        <f>IF(_xlfn.MAXIFS('6_3nf_branch_history'!$B$2:$B$50,'6_3nf_branch_history'!$A$2:$A$50,T245,'6_3nf_branch_history'!$B$2:$B$50,"&lt;="&amp;L245)=0,"NOT FOUND",_xlfn.MAXIFS('6_3nf_branch_history'!$B$2:$B$50,'6_3nf_branch_history'!$A$2:$A$50,T245,'6_3nf_branch_history'!$B$2:$B$50,"&lt;="&amp;L245))</f>
        <v/>
      </c>
      <c r="V245" s="2">
        <f>IF(U245="NOT FOUND","NOT FOUND",INDEX('6_3nf_branch_history'!$C:$C,SUMPRODUCT(('6_3nf_branch_history'!$A$2:$A$50=T245)*('6_3nf_branch_history'!$B$2:$B$50=U245)*ROW('6_3nf_branch_history'!$A$2:$A$50))))</f>
        <v/>
      </c>
      <c r="W245" s="2">
        <f>IF(U245="NOT FOUND","NOT FOUND",INDEX('6_3nf_branch_history'!$D:$D,SUMPRODUCT(('6_3nf_branch_history'!$A$2:$A$50=T245)*('6_3nf_branch_history'!$B$2:$B$50=U245)*ROW('6_3nf_branch_history'!$A$2:$A$50))))</f>
        <v/>
      </c>
      <c r="X245" s="2">
        <f>IF(U245="NOT FOUND","NOT FOUND",INDEX('6_3nf_branch_history'!$E:$E,SUMPRODUCT(('6_3nf_branch_history'!$A$2:$A$50=T245)*('6_3nf_branch_history'!$B$2:$B$50=U245)*ROW('6_3nf_branch_history'!$A$2:$A$50))))</f>
        <v/>
      </c>
      <c r="Y245" s="2">
        <f>UPPER(TRIM(D245))</f>
        <v/>
      </c>
      <c r="Z245" s="2">
        <f>IFERROR(INDEX('7_3nf_product'!$B:$B,MATCH(Y245,'7_3nf_product'!$A:$A,0)),"NOT FOUND")</f>
        <v/>
      </c>
      <c r="AA245" s="2">
        <f>IFERROR(INDEX('7_3nf_product'!$C:$C,MATCH(Y245,'7_3nf_product'!$A:$A,0)),"NOT FOUND")</f>
        <v/>
      </c>
      <c r="AB245" s="2">
        <f>IFERROR(INDEX('7_3nf_product'!$D:$D,MATCH(Y245,'7_3nf_product'!$A:$A,0)),"NOT FOUND")</f>
        <v/>
      </c>
      <c r="AC245" s="6">
        <f>IFERROR(INDEX('7_3nf_product'!$E:$E,MATCH(Y245,'7_3nf_product'!$A:$A,0)),"NOT FOUND")</f>
        <v/>
      </c>
      <c r="AD245" s="33">
        <f>IF(LEN(TRIM(E245))=10,TRIM(E245),IF(LEN(TRIM(E245))=8,"00"&amp;TRIM(E245),"CHECK"))</f>
        <v/>
      </c>
      <c r="AE245" s="2">
        <f>IFERROR(INDEX('8_3nf_customer'!$C:$C,MATCH(AD245,'8_3nf_customer'!$B:$B,0)),"NOT FOUND")</f>
        <v/>
      </c>
      <c r="AF245" s="30">
        <f>IFERROR(INDEX('8_3nf_customer'!$D:$D,MATCH(AD245,'8_3nf_customer'!$B:$B,0)),"NOT FOUND")</f>
        <v/>
      </c>
      <c r="AG245" s="4">
        <f>IF(ISNUMBER(AF245),DATEDIF(AF245,L245,"y"),"NOT FOUND")</f>
        <v/>
      </c>
      <c r="AH245" s="2">
        <f>IFERROR(INDEX('8_3nf_customer'!$E:$E,MATCH(AD245,'8_3nf_customer'!$B:$B,0)),"NOT FOUND")</f>
        <v/>
      </c>
      <c r="AI245" s="30">
        <f>IF(_xlfn.MAXIFS('9_3nf_customer_history'!$B$2:$B$500,'9_3nf_customer_history'!$A$2:$A$500,AD245,'9_3nf_customer_history'!$B$2:$B$500,"&lt;="&amp;L245)=0,"NOT FOUND",_xlfn.MAXIFS('9_3nf_customer_history'!$B$2:$B$500,'9_3nf_customer_history'!$A$2:$A$500,AD245,'9_3nf_customer_history'!$B$2:$B$500,"&lt;="&amp;L245))</f>
        <v/>
      </c>
      <c r="AJ245" s="2">
        <f>IF(AI245="NOT FOUND","NOT FOUND",INDEX('9_3nf_customer_history'!$C:$C,SUMPRODUCT(('9_3nf_customer_history'!$A$2:$A$500=AD245)*('9_3nf_customer_history'!$B$2:$B$500=AI245)*ROW('9_3nf_customer_history'!$A$2:$A$500))))</f>
        <v/>
      </c>
      <c r="AK245" s="2">
        <f>IF(AI245="NOT FOUND","NOT FOUND",INDEX('9_3nf_customer_history'!$D:$D,SUMPRODUCT(('9_3nf_customer_history'!$A$2:$A$500=AD245)*('9_3nf_customer_history'!$B$2:$B$500=AI245)*ROW('9_3nf_customer_history'!$A$2:$A$500))))</f>
        <v/>
      </c>
      <c r="AL245" s="2">
        <f>UPPER(TRIM(H245))</f>
        <v/>
      </c>
      <c r="AM245" s="30">
        <f>IF(_xlfn.MAXIFS('10_ref_fx_rate'!$B$2:$B$2000,'10_ref_fx_rate'!$A$2:$A$2000,AL245,'10_ref_fx_rate'!$B$2:$B$2000,"&lt;="&amp;L245)=0,"NOT FOUND",_xlfn.MAXIFS('10_ref_fx_rate'!$B$2:$B$2000,'10_ref_fx_rate'!$A$2:$A$2000,AL245,'10_ref_fx_rate'!$B$2:$B$2000,"&lt;="&amp;L245))</f>
        <v/>
      </c>
      <c r="AN245" s="8">
        <f>IF(AM245="NOT FOUND","NOT FOUND",SUMIFS('10_ref_fx_rate'!$D$2:$D$2000,'10_ref_fx_rate'!$A$2:$A$2000,AL245,'10_ref_fx_rate'!$B$2:$B$2000,AM245))</f>
        <v/>
      </c>
      <c r="AO245" s="37">
        <f>IF(ISNUMBER(AN245),I245*AN245,"NOT FOUND")</f>
        <v/>
      </c>
      <c r="AP245" s="2">
        <f>UPPER(TRIM(J245))</f>
        <v/>
      </c>
      <c r="AQ245" s="2">
        <f>IF(AP245="","SELF-DIRECTED",IF(ISNUMBER(MATCH(AP245,'11_3nf_sales_person'!$A:$A,0)),IF(EXACT(AP245,J245),"OK","OK (auto-fixed)"),IF(ISNA(MATCH($A245,'12_sales_person_confirmation'!$A:$A,0)),"CONFIRM (not logged)",IF(INDEX('12_sales_person_confirmation'!$I:$I,MATCH($A245,'12_sales_person_confirmation'!$A:$A,0))="CONFIRMED","CONFIRMED ("&amp;LOWER(INDEX('12_sales_person_confirmation'!$E:$E,MATCH($A245,'12_sales_person_confirmation'!$A:$A,0)))&amp;")","PENDING CONFIRM"))))</f>
        <v/>
      </c>
      <c r="AR245" s="2">
        <f>IF(OR(AQ245="OK",AQ245="OK (auto-fixed)"),AP245,IF(LEFT(AQ245,9)="CONFIRMED",INDEX('12_sales_person_confirmation'!$F:$F,MATCH($A245,'12_sales_person_confirmation'!$A:$A,0)),""))</f>
        <v/>
      </c>
      <c r="AS245" s="2">
        <f>IF(AR245="","",INDEX('11_3nf_sales_person'!$B:$B,MATCH(AR245,'11_3nf_sales_person'!$A:$A,0)))</f>
        <v/>
      </c>
    </row>
    <row r="246">
      <c r="A246" s="2">
        <f>IF(ISBLANK('1_raw_log'!A246),"",'1_raw_log'!A246)</f>
        <v/>
      </c>
      <c r="B246" s="3">
        <f>IF(ISBLANK('1_raw_log'!B246),"",'1_raw_log'!B246)</f>
        <v/>
      </c>
      <c r="C246" s="2">
        <f>IF(ISBLANK('1_raw_log'!C246),"",'1_raw_log'!C246)</f>
        <v/>
      </c>
      <c r="D246" s="2">
        <f>IF(ISBLANK('1_raw_log'!D246),"",'1_raw_log'!D246)</f>
        <v/>
      </c>
      <c r="E246" s="4">
        <f>IF(ISBLANK('1_raw_log'!E246),"",'1_raw_log'!E246)</f>
        <v/>
      </c>
      <c r="F246" s="2">
        <f>IF(ISBLANK('1_raw_log'!F246),"",'1_raw_log'!F246)</f>
        <v/>
      </c>
      <c r="G246" s="2">
        <f>IF(ISBLANK('1_raw_log'!G246),"",'1_raw_log'!G246)</f>
        <v/>
      </c>
      <c r="H246" s="2">
        <f>IF(ISBLANK('1_raw_log'!H246),"",'1_raw_log'!H246)</f>
        <v/>
      </c>
      <c r="I246" s="7">
        <f>IF(ISBLANK('1_raw_log'!I246),"",'1_raw_log'!I246)</f>
        <v/>
      </c>
      <c r="J246" s="2">
        <f>IF(ISBLANK('1_raw_log'!J246),"",'1_raw_log'!J246)</f>
        <v/>
      </c>
      <c r="K246" s="2">
        <f>IF(ISBLANK('1_raw_log'!K246),"",'1_raw_log'!K246)</f>
        <v/>
      </c>
      <c r="L246" s="30">
        <f>INT(B246)</f>
        <v/>
      </c>
      <c r="M246" s="20">
        <f>ROUND(MOD(B246,1)*1440,0)/1440</f>
        <v/>
      </c>
      <c r="N246" s="4">
        <f>IFERROR(INDEX('3_ref_date'!$B:$B,MATCH(L246,'3_ref_date'!$A:$A,0)),"NOT FOUND")</f>
        <v/>
      </c>
      <c r="O246" s="2">
        <f>IFERROR(INDEX('3_ref_date'!$C:$C,MATCH(L246,'3_ref_date'!$A:$A,0)),"NOT FOUND")</f>
        <v/>
      </c>
      <c r="P246" s="4">
        <f>IFERROR(INDEX('3_ref_date'!$D:$D,MATCH(L246,'3_ref_date'!$A:$A,0)),"NOT FOUND")</f>
        <v/>
      </c>
      <c r="Q246" s="4">
        <f>IFERROR(INDEX('3_ref_date'!$E:$E,MATCH(L246,'3_ref_date'!$A:$A,0)),"NOT FOUND")</f>
        <v/>
      </c>
      <c r="R246" s="2">
        <f>IFERROR(INDEX('3_ref_date'!$F:$F,MATCH(L246,'3_ref_date'!$A:$A,0)),"NOT FOUND")</f>
        <v/>
      </c>
      <c r="S246" s="2">
        <f>IFERROR(INDEX('4_ref_time'!$D:$D,MATCH(ROUND(M246*1440,0),'4_ref_time'!$A:$A,0)),"NOT FOUND")</f>
        <v/>
      </c>
      <c r="T246" s="2">
        <f>UPPER(TRIM(C246))</f>
        <v/>
      </c>
      <c r="U246" s="30">
        <f>IF(_xlfn.MAXIFS('6_3nf_branch_history'!$B$2:$B$50,'6_3nf_branch_history'!$A$2:$A$50,T246,'6_3nf_branch_history'!$B$2:$B$50,"&lt;="&amp;L246)=0,"NOT FOUND",_xlfn.MAXIFS('6_3nf_branch_history'!$B$2:$B$50,'6_3nf_branch_history'!$A$2:$A$50,T246,'6_3nf_branch_history'!$B$2:$B$50,"&lt;="&amp;L246))</f>
        <v/>
      </c>
      <c r="V246" s="2">
        <f>IF(U246="NOT FOUND","NOT FOUND",INDEX('6_3nf_branch_history'!$C:$C,SUMPRODUCT(('6_3nf_branch_history'!$A$2:$A$50=T246)*('6_3nf_branch_history'!$B$2:$B$50=U246)*ROW('6_3nf_branch_history'!$A$2:$A$50))))</f>
        <v/>
      </c>
      <c r="W246" s="2">
        <f>IF(U246="NOT FOUND","NOT FOUND",INDEX('6_3nf_branch_history'!$D:$D,SUMPRODUCT(('6_3nf_branch_history'!$A$2:$A$50=T246)*('6_3nf_branch_history'!$B$2:$B$50=U246)*ROW('6_3nf_branch_history'!$A$2:$A$50))))</f>
        <v/>
      </c>
      <c r="X246" s="2">
        <f>IF(U246="NOT FOUND","NOT FOUND",INDEX('6_3nf_branch_history'!$E:$E,SUMPRODUCT(('6_3nf_branch_history'!$A$2:$A$50=T246)*('6_3nf_branch_history'!$B$2:$B$50=U246)*ROW('6_3nf_branch_history'!$A$2:$A$50))))</f>
        <v/>
      </c>
      <c r="Y246" s="2">
        <f>UPPER(TRIM(D246))</f>
        <v/>
      </c>
      <c r="Z246" s="2">
        <f>IFERROR(INDEX('7_3nf_product'!$B:$B,MATCH(Y246,'7_3nf_product'!$A:$A,0)),"NOT FOUND")</f>
        <v/>
      </c>
      <c r="AA246" s="2">
        <f>IFERROR(INDEX('7_3nf_product'!$C:$C,MATCH(Y246,'7_3nf_product'!$A:$A,0)),"NOT FOUND")</f>
        <v/>
      </c>
      <c r="AB246" s="2">
        <f>IFERROR(INDEX('7_3nf_product'!$D:$D,MATCH(Y246,'7_3nf_product'!$A:$A,0)),"NOT FOUND")</f>
        <v/>
      </c>
      <c r="AC246" s="6">
        <f>IFERROR(INDEX('7_3nf_product'!$E:$E,MATCH(Y246,'7_3nf_product'!$A:$A,0)),"NOT FOUND")</f>
        <v/>
      </c>
      <c r="AD246" s="33">
        <f>IF(LEN(TRIM(E246))=10,TRIM(E246),IF(LEN(TRIM(E246))=8,"00"&amp;TRIM(E246),"CHECK"))</f>
        <v/>
      </c>
      <c r="AE246" s="2">
        <f>IFERROR(INDEX('8_3nf_customer'!$C:$C,MATCH(AD246,'8_3nf_customer'!$B:$B,0)),"NOT FOUND")</f>
        <v/>
      </c>
      <c r="AF246" s="30">
        <f>IFERROR(INDEX('8_3nf_customer'!$D:$D,MATCH(AD246,'8_3nf_customer'!$B:$B,0)),"NOT FOUND")</f>
        <v/>
      </c>
      <c r="AG246" s="4">
        <f>IF(ISNUMBER(AF246),DATEDIF(AF246,L246,"y"),"NOT FOUND")</f>
        <v/>
      </c>
      <c r="AH246" s="2">
        <f>IFERROR(INDEX('8_3nf_customer'!$E:$E,MATCH(AD246,'8_3nf_customer'!$B:$B,0)),"NOT FOUND")</f>
        <v/>
      </c>
      <c r="AI246" s="30">
        <f>IF(_xlfn.MAXIFS('9_3nf_customer_history'!$B$2:$B$500,'9_3nf_customer_history'!$A$2:$A$500,AD246,'9_3nf_customer_history'!$B$2:$B$500,"&lt;="&amp;L246)=0,"NOT FOUND",_xlfn.MAXIFS('9_3nf_customer_history'!$B$2:$B$500,'9_3nf_customer_history'!$A$2:$A$500,AD246,'9_3nf_customer_history'!$B$2:$B$500,"&lt;="&amp;L246))</f>
        <v/>
      </c>
      <c r="AJ246" s="2">
        <f>IF(AI246="NOT FOUND","NOT FOUND",INDEX('9_3nf_customer_history'!$C:$C,SUMPRODUCT(('9_3nf_customer_history'!$A$2:$A$500=AD246)*('9_3nf_customer_history'!$B$2:$B$500=AI246)*ROW('9_3nf_customer_history'!$A$2:$A$500))))</f>
        <v/>
      </c>
      <c r="AK246" s="2">
        <f>IF(AI246="NOT FOUND","NOT FOUND",INDEX('9_3nf_customer_history'!$D:$D,SUMPRODUCT(('9_3nf_customer_history'!$A$2:$A$500=AD246)*('9_3nf_customer_history'!$B$2:$B$500=AI246)*ROW('9_3nf_customer_history'!$A$2:$A$500))))</f>
        <v/>
      </c>
      <c r="AL246" s="2">
        <f>UPPER(TRIM(H246))</f>
        <v/>
      </c>
      <c r="AM246" s="30">
        <f>IF(_xlfn.MAXIFS('10_ref_fx_rate'!$B$2:$B$2000,'10_ref_fx_rate'!$A$2:$A$2000,AL246,'10_ref_fx_rate'!$B$2:$B$2000,"&lt;="&amp;L246)=0,"NOT FOUND",_xlfn.MAXIFS('10_ref_fx_rate'!$B$2:$B$2000,'10_ref_fx_rate'!$A$2:$A$2000,AL246,'10_ref_fx_rate'!$B$2:$B$2000,"&lt;="&amp;L246))</f>
        <v/>
      </c>
      <c r="AN246" s="8">
        <f>IF(AM246="NOT FOUND","NOT FOUND",SUMIFS('10_ref_fx_rate'!$D$2:$D$2000,'10_ref_fx_rate'!$A$2:$A$2000,AL246,'10_ref_fx_rate'!$B$2:$B$2000,AM246))</f>
        <v/>
      </c>
      <c r="AO246" s="37">
        <f>IF(ISNUMBER(AN246),I246*AN246,"NOT FOUND")</f>
        <v/>
      </c>
      <c r="AP246" s="2">
        <f>UPPER(TRIM(J246))</f>
        <v/>
      </c>
      <c r="AQ246" s="2">
        <f>IF(AP246="","SELF-DIRECTED",IF(ISNUMBER(MATCH(AP246,'11_3nf_sales_person'!$A:$A,0)),IF(EXACT(AP246,J246),"OK","OK (auto-fixed)"),IF(ISNA(MATCH($A246,'12_sales_person_confirmation'!$A:$A,0)),"CONFIRM (not logged)",IF(INDEX('12_sales_person_confirmation'!$I:$I,MATCH($A246,'12_sales_person_confirmation'!$A:$A,0))="CONFIRMED","CONFIRMED ("&amp;LOWER(INDEX('12_sales_person_confirmation'!$E:$E,MATCH($A246,'12_sales_person_confirmation'!$A:$A,0)))&amp;")","PENDING CONFIRM"))))</f>
        <v/>
      </c>
      <c r="AR246" s="2">
        <f>IF(OR(AQ246="OK",AQ246="OK (auto-fixed)"),AP246,IF(LEFT(AQ246,9)="CONFIRMED",INDEX('12_sales_person_confirmation'!$F:$F,MATCH($A246,'12_sales_person_confirmation'!$A:$A,0)),""))</f>
        <v/>
      </c>
      <c r="AS246" s="2">
        <f>IF(AR246="","",INDEX('11_3nf_sales_person'!$B:$B,MATCH(AR246,'11_3nf_sales_person'!$A:$A,0)))</f>
        <v/>
      </c>
    </row>
    <row r="247">
      <c r="A247" s="2">
        <f>IF(ISBLANK('1_raw_log'!A247),"",'1_raw_log'!A247)</f>
        <v/>
      </c>
      <c r="B247" s="3">
        <f>IF(ISBLANK('1_raw_log'!B247),"",'1_raw_log'!B247)</f>
        <v/>
      </c>
      <c r="C247" s="2">
        <f>IF(ISBLANK('1_raw_log'!C247),"",'1_raw_log'!C247)</f>
        <v/>
      </c>
      <c r="D247" s="2">
        <f>IF(ISBLANK('1_raw_log'!D247),"",'1_raw_log'!D247)</f>
        <v/>
      </c>
      <c r="E247" s="4">
        <f>IF(ISBLANK('1_raw_log'!E247),"",'1_raw_log'!E247)</f>
        <v/>
      </c>
      <c r="F247" s="2">
        <f>IF(ISBLANK('1_raw_log'!F247),"",'1_raw_log'!F247)</f>
        <v/>
      </c>
      <c r="G247" s="2">
        <f>IF(ISBLANK('1_raw_log'!G247),"",'1_raw_log'!G247)</f>
        <v/>
      </c>
      <c r="H247" s="2">
        <f>IF(ISBLANK('1_raw_log'!H247),"",'1_raw_log'!H247)</f>
        <v/>
      </c>
      <c r="I247" s="7">
        <f>IF(ISBLANK('1_raw_log'!I247),"",'1_raw_log'!I247)</f>
        <v/>
      </c>
      <c r="J247" s="2">
        <f>IF(ISBLANK('1_raw_log'!J247),"",'1_raw_log'!J247)</f>
        <v/>
      </c>
      <c r="K247" s="2">
        <f>IF(ISBLANK('1_raw_log'!K247),"",'1_raw_log'!K247)</f>
        <v/>
      </c>
      <c r="L247" s="30">
        <f>INT(B247)</f>
        <v/>
      </c>
      <c r="M247" s="20">
        <f>ROUND(MOD(B247,1)*1440,0)/1440</f>
        <v/>
      </c>
      <c r="N247" s="4">
        <f>IFERROR(INDEX('3_ref_date'!$B:$B,MATCH(L247,'3_ref_date'!$A:$A,0)),"NOT FOUND")</f>
        <v/>
      </c>
      <c r="O247" s="2">
        <f>IFERROR(INDEX('3_ref_date'!$C:$C,MATCH(L247,'3_ref_date'!$A:$A,0)),"NOT FOUND")</f>
        <v/>
      </c>
      <c r="P247" s="4">
        <f>IFERROR(INDEX('3_ref_date'!$D:$D,MATCH(L247,'3_ref_date'!$A:$A,0)),"NOT FOUND")</f>
        <v/>
      </c>
      <c r="Q247" s="4">
        <f>IFERROR(INDEX('3_ref_date'!$E:$E,MATCH(L247,'3_ref_date'!$A:$A,0)),"NOT FOUND")</f>
        <v/>
      </c>
      <c r="R247" s="2">
        <f>IFERROR(INDEX('3_ref_date'!$F:$F,MATCH(L247,'3_ref_date'!$A:$A,0)),"NOT FOUND")</f>
        <v/>
      </c>
      <c r="S247" s="2">
        <f>IFERROR(INDEX('4_ref_time'!$D:$D,MATCH(ROUND(M247*1440,0),'4_ref_time'!$A:$A,0)),"NOT FOUND")</f>
        <v/>
      </c>
      <c r="T247" s="2">
        <f>UPPER(TRIM(C247))</f>
        <v/>
      </c>
      <c r="U247" s="30">
        <f>IF(_xlfn.MAXIFS('6_3nf_branch_history'!$B$2:$B$50,'6_3nf_branch_history'!$A$2:$A$50,T247,'6_3nf_branch_history'!$B$2:$B$50,"&lt;="&amp;L247)=0,"NOT FOUND",_xlfn.MAXIFS('6_3nf_branch_history'!$B$2:$B$50,'6_3nf_branch_history'!$A$2:$A$50,T247,'6_3nf_branch_history'!$B$2:$B$50,"&lt;="&amp;L247))</f>
        <v/>
      </c>
      <c r="V247" s="2">
        <f>IF(U247="NOT FOUND","NOT FOUND",INDEX('6_3nf_branch_history'!$C:$C,SUMPRODUCT(('6_3nf_branch_history'!$A$2:$A$50=T247)*('6_3nf_branch_history'!$B$2:$B$50=U247)*ROW('6_3nf_branch_history'!$A$2:$A$50))))</f>
        <v/>
      </c>
      <c r="W247" s="2">
        <f>IF(U247="NOT FOUND","NOT FOUND",INDEX('6_3nf_branch_history'!$D:$D,SUMPRODUCT(('6_3nf_branch_history'!$A$2:$A$50=T247)*('6_3nf_branch_history'!$B$2:$B$50=U247)*ROW('6_3nf_branch_history'!$A$2:$A$50))))</f>
        <v/>
      </c>
      <c r="X247" s="2">
        <f>IF(U247="NOT FOUND","NOT FOUND",INDEX('6_3nf_branch_history'!$E:$E,SUMPRODUCT(('6_3nf_branch_history'!$A$2:$A$50=T247)*('6_3nf_branch_history'!$B$2:$B$50=U247)*ROW('6_3nf_branch_history'!$A$2:$A$50))))</f>
        <v/>
      </c>
      <c r="Y247" s="2">
        <f>UPPER(TRIM(D247))</f>
        <v/>
      </c>
      <c r="Z247" s="2">
        <f>IFERROR(INDEX('7_3nf_product'!$B:$B,MATCH(Y247,'7_3nf_product'!$A:$A,0)),"NOT FOUND")</f>
        <v/>
      </c>
      <c r="AA247" s="2">
        <f>IFERROR(INDEX('7_3nf_product'!$C:$C,MATCH(Y247,'7_3nf_product'!$A:$A,0)),"NOT FOUND")</f>
        <v/>
      </c>
      <c r="AB247" s="2">
        <f>IFERROR(INDEX('7_3nf_product'!$D:$D,MATCH(Y247,'7_3nf_product'!$A:$A,0)),"NOT FOUND")</f>
        <v/>
      </c>
      <c r="AC247" s="6">
        <f>IFERROR(INDEX('7_3nf_product'!$E:$E,MATCH(Y247,'7_3nf_product'!$A:$A,0)),"NOT FOUND")</f>
        <v/>
      </c>
      <c r="AD247" s="33">
        <f>IF(LEN(TRIM(E247))=10,TRIM(E247),IF(LEN(TRIM(E247))=8,"00"&amp;TRIM(E247),"CHECK"))</f>
        <v/>
      </c>
      <c r="AE247" s="2">
        <f>IFERROR(INDEX('8_3nf_customer'!$C:$C,MATCH(AD247,'8_3nf_customer'!$B:$B,0)),"NOT FOUND")</f>
        <v/>
      </c>
      <c r="AF247" s="30">
        <f>IFERROR(INDEX('8_3nf_customer'!$D:$D,MATCH(AD247,'8_3nf_customer'!$B:$B,0)),"NOT FOUND")</f>
        <v/>
      </c>
      <c r="AG247" s="4">
        <f>IF(ISNUMBER(AF247),DATEDIF(AF247,L247,"y"),"NOT FOUND")</f>
        <v/>
      </c>
      <c r="AH247" s="2">
        <f>IFERROR(INDEX('8_3nf_customer'!$E:$E,MATCH(AD247,'8_3nf_customer'!$B:$B,0)),"NOT FOUND")</f>
        <v/>
      </c>
      <c r="AI247" s="30">
        <f>IF(_xlfn.MAXIFS('9_3nf_customer_history'!$B$2:$B$500,'9_3nf_customer_history'!$A$2:$A$500,AD247,'9_3nf_customer_history'!$B$2:$B$500,"&lt;="&amp;L247)=0,"NOT FOUND",_xlfn.MAXIFS('9_3nf_customer_history'!$B$2:$B$500,'9_3nf_customer_history'!$A$2:$A$500,AD247,'9_3nf_customer_history'!$B$2:$B$500,"&lt;="&amp;L247))</f>
        <v/>
      </c>
      <c r="AJ247" s="2">
        <f>IF(AI247="NOT FOUND","NOT FOUND",INDEX('9_3nf_customer_history'!$C:$C,SUMPRODUCT(('9_3nf_customer_history'!$A$2:$A$500=AD247)*('9_3nf_customer_history'!$B$2:$B$500=AI247)*ROW('9_3nf_customer_history'!$A$2:$A$500))))</f>
        <v/>
      </c>
      <c r="AK247" s="2">
        <f>IF(AI247="NOT FOUND","NOT FOUND",INDEX('9_3nf_customer_history'!$D:$D,SUMPRODUCT(('9_3nf_customer_history'!$A$2:$A$500=AD247)*('9_3nf_customer_history'!$B$2:$B$500=AI247)*ROW('9_3nf_customer_history'!$A$2:$A$500))))</f>
        <v/>
      </c>
      <c r="AL247" s="2">
        <f>UPPER(TRIM(H247))</f>
        <v/>
      </c>
      <c r="AM247" s="30">
        <f>IF(_xlfn.MAXIFS('10_ref_fx_rate'!$B$2:$B$2000,'10_ref_fx_rate'!$A$2:$A$2000,AL247,'10_ref_fx_rate'!$B$2:$B$2000,"&lt;="&amp;L247)=0,"NOT FOUND",_xlfn.MAXIFS('10_ref_fx_rate'!$B$2:$B$2000,'10_ref_fx_rate'!$A$2:$A$2000,AL247,'10_ref_fx_rate'!$B$2:$B$2000,"&lt;="&amp;L247))</f>
        <v/>
      </c>
      <c r="AN247" s="8">
        <f>IF(AM247="NOT FOUND","NOT FOUND",SUMIFS('10_ref_fx_rate'!$D$2:$D$2000,'10_ref_fx_rate'!$A$2:$A$2000,AL247,'10_ref_fx_rate'!$B$2:$B$2000,AM247))</f>
        <v/>
      </c>
      <c r="AO247" s="37">
        <f>IF(ISNUMBER(AN247),I247*AN247,"NOT FOUND")</f>
        <v/>
      </c>
      <c r="AP247" s="2">
        <f>UPPER(TRIM(J247))</f>
        <v/>
      </c>
      <c r="AQ247" s="2">
        <f>IF(AP247="","SELF-DIRECTED",IF(ISNUMBER(MATCH(AP247,'11_3nf_sales_person'!$A:$A,0)),IF(EXACT(AP247,J247),"OK","OK (auto-fixed)"),IF(ISNA(MATCH($A247,'12_sales_person_confirmation'!$A:$A,0)),"CONFIRM (not logged)",IF(INDEX('12_sales_person_confirmation'!$I:$I,MATCH($A247,'12_sales_person_confirmation'!$A:$A,0))="CONFIRMED","CONFIRMED ("&amp;LOWER(INDEX('12_sales_person_confirmation'!$E:$E,MATCH($A247,'12_sales_person_confirmation'!$A:$A,0)))&amp;")","PENDING CONFIRM"))))</f>
        <v/>
      </c>
      <c r="AR247" s="2">
        <f>IF(OR(AQ247="OK",AQ247="OK (auto-fixed)"),AP247,IF(LEFT(AQ247,9)="CONFIRMED",INDEX('12_sales_person_confirmation'!$F:$F,MATCH($A247,'12_sales_person_confirmation'!$A:$A,0)),""))</f>
        <v/>
      </c>
      <c r="AS247" s="2">
        <f>IF(AR247="","",INDEX('11_3nf_sales_person'!$B:$B,MATCH(AR247,'11_3nf_sales_person'!$A:$A,0)))</f>
        <v/>
      </c>
    </row>
    <row r="248">
      <c r="A248" s="2">
        <f>IF(ISBLANK('1_raw_log'!A248),"",'1_raw_log'!A248)</f>
        <v/>
      </c>
      <c r="B248" s="3">
        <f>IF(ISBLANK('1_raw_log'!B248),"",'1_raw_log'!B248)</f>
        <v/>
      </c>
      <c r="C248" s="2">
        <f>IF(ISBLANK('1_raw_log'!C248),"",'1_raw_log'!C248)</f>
        <v/>
      </c>
      <c r="D248" s="2">
        <f>IF(ISBLANK('1_raw_log'!D248),"",'1_raw_log'!D248)</f>
        <v/>
      </c>
      <c r="E248" s="4">
        <f>IF(ISBLANK('1_raw_log'!E248),"",'1_raw_log'!E248)</f>
        <v/>
      </c>
      <c r="F248" s="2">
        <f>IF(ISBLANK('1_raw_log'!F248),"",'1_raw_log'!F248)</f>
        <v/>
      </c>
      <c r="G248" s="2">
        <f>IF(ISBLANK('1_raw_log'!G248),"",'1_raw_log'!G248)</f>
        <v/>
      </c>
      <c r="H248" s="2">
        <f>IF(ISBLANK('1_raw_log'!H248),"",'1_raw_log'!H248)</f>
        <v/>
      </c>
      <c r="I248" s="7">
        <f>IF(ISBLANK('1_raw_log'!I248),"",'1_raw_log'!I248)</f>
        <v/>
      </c>
      <c r="J248" s="2">
        <f>IF(ISBLANK('1_raw_log'!J248),"",'1_raw_log'!J248)</f>
        <v/>
      </c>
      <c r="K248" s="2">
        <f>IF(ISBLANK('1_raw_log'!K248),"",'1_raw_log'!K248)</f>
        <v/>
      </c>
      <c r="L248" s="30">
        <f>INT(B248)</f>
        <v/>
      </c>
      <c r="M248" s="20">
        <f>ROUND(MOD(B248,1)*1440,0)/1440</f>
        <v/>
      </c>
      <c r="N248" s="4">
        <f>IFERROR(INDEX('3_ref_date'!$B:$B,MATCH(L248,'3_ref_date'!$A:$A,0)),"NOT FOUND")</f>
        <v/>
      </c>
      <c r="O248" s="2">
        <f>IFERROR(INDEX('3_ref_date'!$C:$C,MATCH(L248,'3_ref_date'!$A:$A,0)),"NOT FOUND")</f>
        <v/>
      </c>
      <c r="P248" s="4">
        <f>IFERROR(INDEX('3_ref_date'!$D:$D,MATCH(L248,'3_ref_date'!$A:$A,0)),"NOT FOUND")</f>
        <v/>
      </c>
      <c r="Q248" s="4">
        <f>IFERROR(INDEX('3_ref_date'!$E:$E,MATCH(L248,'3_ref_date'!$A:$A,0)),"NOT FOUND")</f>
        <v/>
      </c>
      <c r="R248" s="2">
        <f>IFERROR(INDEX('3_ref_date'!$F:$F,MATCH(L248,'3_ref_date'!$A:$A,0)),"NOT FOUND")</f>
        <v/>
      </c>
      <c r="S248" s="2">
        <f>IFERROR(INDEX('4_ref_time'!$D:$D,MATCH(ROUND(M248*1440,0),'4_ref_time'!$A:$A,0)),"NOT FOUND")</f>
        <v/>
      </c>
      <c r="T248" s="2">
        <f>UPPER(TRIM(C248))</f>
        <v/>
      </c>
      <c r="U248" s="30">
        <f>IF(_xlfn.MAXIFS('6_3nf_branch_history'!$B$2:$B$50,'6_3nf_branch_history'!$A$2:$A$50,T248,'6_3nf_branch_history'!$B$2:$B$50,"&lt;="&amp;L248)=0,"NOT FOUND",_xlfn.MAXIFS('6_3nf_branch_history'!$B$2:$B$50,'6_3nf_branch_history'!$A$2:$A$50,T248,'6_3nf_branch_history'!$B$2:$B$50,"&lt;="&amp;L248))</f>
        <v/>
      </c>
      <c r="V248" s="2">
        <f>IF(U248="NOT FOUND","NOT FOUND",INDEX('6_3nf_branch_history'!$C:$C,SUMPRODUCT(('6_3nf_branch_history'!$A$2:$A$50=T248)*('6_3nf_branch_history'!$B$2:$B$50=U248)*ROW('6_3nf_branch_history'!$A$2:$A$50))))</f>
        <v/>
      </c>
      <c r="W248" s="2">
        <f>IF(U248="NOT FOUND","NOT FOUND",INDEX('6_3nf_branch_history'!$D:$D,SUMPRODUCT(('6_3nf_branch_history'!$A$2:$A$50=T248)*('6_3nf_branch_history'!$B$2:$B$50=U248)*ROW('6_3nf_branch_history'!$A$2:$A$50))))</f>
        <v/>
      </c>
      <c r="X248" s="2">
        <f>IF(U248="NOT FOUND","NOT FOUND",INDEX('6_3nf_branch_history'!$E:$E,SUMPRODUCT(('6_3nf_branch_history'!$A$2:$A$50=T248)*('6_3nf_branch_history'!$B$2:$B$50=U248)*ROW('6_3nf_branch_history'!$A$2:$A$50))))</f>
        <v/>
      </c>
      <c r="Y248" s="2">
        <f>UPPER(TRIM(D248))</f>
        <v/>
      </c>
      <c r="Z248" s="2">
        <f>IFERROR(INDEX('7_3nf_product'!$B:$B,MATCH(Y248,'7_3nf_product'!$A:$A,0)),"NOT FOUND")</f>
        <v/>
      </c>
      <c r="AA248" s="2">
        <f>IFERROR(INDEX('7_3nf_product'!$C:$C,MATCH(Y248,'7_3nf_product'!$A:$A,0)),"NOT FOUND")</f>
        <v/>
      </c>
      <c r="AB248" s="2">
        <f>IFERROR(INDEX('7_3nf_product'!$D:$D,MATCH(Y248,'7_3nf_product'!$A:$A,0)),"NOT FOUND")</f>
        <v/>
      </c>
      <c r="AC248" s="6">
        <f>IFERROR(INDEX('7_3nf_product'!$E:$E,MATCH(Y248,'7_3nf_product'!$A:$A,0)),"NOT FOUND")</f>
        <v/>
      </c>
      <c r="AD248" s="33">
        <f>IF(LEN(TRIM(E248))=10,TRIM(E248),IF(LEN(TRIM(E248))=8,"00"&amp;TRIM(E248),"CHECK"))</f>
        <v/>
      </c>
      <c r="AE248" s="2">
        <f>IFERROR(INDEX('8_3nf_customer'!$C:$C,MATCH(AD248,'8_3nf_customer'!$B:$B,0)),"NOT FOUND")</f>
        <v/>
      </c>
      <c r="AF248" s="30">
        <f>IFERROR(INDEX('8_3nf_customer'!$D:$D,MATCH(AD248,'8_3nf_customer'!$B:$B,0)),"NOT FOUND")</f>
        <v/>
      </c>
      <c r="AG248" s="4">
        <f>IF(ISNUMBER(AF248),DATEDIF(AF248,L248,"y"),"NOT FOUND")</f>
        <v/>
      </c>
      <c r="AH248" s="2">
        <f>IFERROR(INDEX('8_3nf_customer'!$E:$E,MATCH(AD248,'8_3nf_customer'!$B:$B,0)),"NOT FOUND")</f>
        <v/>
      </c>
      <c r="AI248" s="30">
        <f>IF(_xlfn.MAXIFS('9_3nf_customer_history'!$B$2:$B$500,'9_3nf_customer_history'!$A$2:$A$500,AD248,'9_3nf_customer_history'!$B$2:$B$500,"&lt;="&amp;L248)=0,"NOT FOUND",_xlfn.MAXIFS('9_3nf_customer_history'!$B$2:$B$500,'9_3nf_customer_history'!$A$2:$A$500,AD248,'9_3nf_customer_history'!$B$2:$B$500,"&lt;="&amp;L248))</f>
        <v/>
      </c>
      <c r="AJ248" s="2">
        <f>IF(AI248="NOT FOUND","NOT FOUND",INDEX('9_3nf_customer_history'!$C:$C,SUMPRODUCT(('9_3nf_customer_history'!$A$2:$A$500=AD248)*('9_3nf_customer_history'!$B$2:$B$500=AI248)*ROW('9_3nf_customer_history'!$A$2:$A$500))))</f>
        <v/>
      </c>
      <c r="AK248" s="2">
        <f>IF(AI248="NOT FOUND","NOT FOUND",INDEX('9_3nf_customer_history'!$D:$D,SUMPRODUCT(('9_3nf_customer_history'!$A$2:$A$500=AD248)*('9_3nf_customer_history'!$B$2:$B$500=AI248)*ROW('9_3nf_customer_history'!$A$2:$A$500))))</f>
        <v/>
      </c>
      <c r="AL248" s="2">
        <f>UPPER(TRIM(H248))</f>
        <v/>
      </c>
      <c r="AM248" s="30">
        <f>IF(_xlfn.MAXIFS('10_ref_fx_rate'!$B$2:$B$2000,'10_ref_fx_rate'!$A$2:$A$2000,AL248,'10_ref_fx_rate'!$B$2:$B$2000,"&lt;="&amp;L248)=0,"NOT FOUND",_xlfn.MAXIFS('10_ref_fx_rate'!$B$2:$B$2000,'10_ref_fx_rate'!$A$2:$A$2000,AL248,'10_ref_fx_rate'!$B$2:$B$2000,"&lt;="&amp;L248))</f>
        <v/>
      </c>
      <c r="AN248" s="8">
        <f>IF(AM248="NOT FOUND","NOT FOUND",SUMIFS('10_ref_fx_rate'!$D$2:$D$2000,'10_ref_fx_rate'!$A$2:$A$2000,AL248,'10_ref_fx_rate'!$B$2:$B$2000,AM248))</f>
        <v/>
      </c>
      <c r="AO248" s="37">
        <f>IF(ISNUMBER(AN248),I248*AN248,"NOT FOUND")</f>
        <v/>
      </c>
      <c r="AP248" s="2">
        <f>UPPER(TRIM(J248))</f>
        <v/>
      </c>
      <c r="AQ248" s="2">
        <f>IF(AP248="","SELF-DIRECTED",IF(ISNUMBER(MATCH(AP248,'11_3nf_sales_person'!$A:$A,0)),IF(EXACT(AP248,J248),"OK","OK (auto-fixed)"),IF(ISNA(MATCH($A248,'12_sales_person_confirmation'!$A:$A,0)),"CONFIRM (not logged)",IF(INDEX('12_sales_person_confirmation'!$I:$I,MATCH($A248,'12_sales_person_confirmation'!$A:$A,0))="CONFIRMED","CONFIRMED ("&amp;LOWER(INDEX('12_sales_person_confirmation'!$E:$E,MATCH($A248,'12_sales_person_confirmation'!$A:$A,0)))&amp;")","PENDING CONFIRM"))))</f>
        <v/>
      </c>
      <c r="AR248" s="2">
        <f>IF(OR(AQ248="OK",AQ248="OK (auto-fixed)"),AP248,IF(LEFT(AQ248,9)="CONFIRMED",INDEX('12_sales_person_confirmation'!$F:$F,MATCH($A248,'12_sales_person_confirmation'!$A:$A,0)),""))</f>
        <v/>
      </c>
      <c r="AS248" s="2">
        <f>IF(AR248="","",INDEX('11_3nf_sales_person'!$B:$B,MATCH(AR248,'11_3nf_sales_person'!$A:$A,0)))</f>
        <v/>
      </c>
    </row>
    <row r="249">
      <c r="A249" s="2">
        <f>IF(ISBLANK('1_raw_log'!A249),"",'1_raw_log'!A249)</f>
        <v/>
      </c>
      <c r="B249" s="3">
        <f>IF(ISBLANK('1_raw_log'!B249),"",'1_raw_log'!B249)</f>
        <v/>
      </c>
      <c r="C249" s="2">
        <f>IF(ISBLANK('1_raw_log'!C249),"",'1_raw_log'!C249)</f>
        <v/>
      </c>
      <c r="D249" s="2">
        <f>IF(ISBLANK('1_raw_log'!D249),"",'1_raw_log'!D249)</f>
        <v/>
      </c>
      <c r="E249" s="4">
        <f>IF(ISBLANK('1_raw_log'!E249),"",'1_raw_log'!E249)</f>
        <v/>
      </c>
      <c r="F249" s="2">
        <f>IF(ISBLANK('1_raw_log'!F249),"",'1_raw_log'!F249)</f>
        <v/>
      </c>
      <c r="G249" s="2">
        <f>IF(ISBLANK('1_raw_log'!G249),"",'1_raw_log'!G249)</f>
        <v/>
      </c>
      <c r="H249" s="2">
        <f>IF(ISBLANK('1_raw_log'!H249),"",'1_raw_log'!H249)</f>
        <v/>
      </c>
      <c r="I249" s="7">
        <f>IF(ISBLANK('1_raw_log'!I249),"",'1_raw_log'!I249)</f>
        <v/>
      </c>
      <c r="J249" s="2">
        <f>IF(ISBLANK('1_raw_log'!J249),"",'1_raw_log'!J249)</f>
        <v/>
      </c>
      <c r="K249" s="2">
        <f>IF(ISBLANK('1_raw_log'!K249),"",'1_raw_log'!K249)</f>
        <v/>
      </c>
      <c r="L249" s="30">
        <f>INT(B249)</f>
        <v/>
      </c>
      <c r="M249" s="20">
        <f>ROUND(MOD(B249,1)*1440,0)/1440</f>
        <v/>
      </c>
      <c r="N249" s="4">
        <f>IFERROR(INDEX('3_ref_date'!$B:$B,MATCH(L249,'3_ref_date'!$A:$A,0)),"NOT FOUND")</f>
        <v/>
      </c>
      <c r="O249" s="2">
        <f>IFERROR(INDEX('3_ref_date'!$C:$C,MATCH(L249,'3_ref_date'!$A:$A,0)),"NOT FOUND")</f>
        <v/>
      </c>
      <c r="P249" s="4">
        <f>IFERROR(INDEX('3_ref_date'!$D:$D,MATCH(L249,'3_ref_date'!$A:$A,0)),"NOT FOUND")</f>
        <v/>
      </c>
      <c r="Q249" s="4">
        <f>IFERROR(INDEX('3_ref_date'!$E:$E,MATCH(L249,'3_ref_date'!$A:$A,0)),"NOT FOUND")</f>
        <v/>
      </c>
      <c r="R249" s="2">
        <f>IFERROR(INDEX('3_ref_date'!$F:$F,MATCH(L249,'3_ref_date'!$A:$A,0)),"NOT FOUND")</f>
        <v/>
      </c>
      <c r="S249" s="2">
        <f>IFERROR(INDEX('4_ref_time'!$D:$D,MATCH(ROUND(M249*1440,0),'4_ref_time'!$A:$A,0)),"NOT FOUND")</f>
        <v/>
      </c>
      <c r="T249" s="2">
        <f>UPPER(TRIM(C249))</f>
        <v/>
      </c>
      <c r="U249" s="30">
        <f>IF(_xlfn.MAXIFS('6_3nf_branch_history'!$B$2:$B$50,'6_3nf_branch_history'!$A$2:$A$50,T249,'6_3nf_branch_history'!$B$2:$B$50,"&lt;="&amp;L249)=0,"NOT FOUND",_xlfn.MAXIFS('6_3nf_branch_history'!$B$2:$B$50,'6_3nf_branch_history'!$A$2:$A$50,T249,'6_3nf_branch_history'!$B$2:$B$50,"&lt;="&amp;L249))</f>
        <v/>
      </c>
      <c r="V249" s="2">
        <f>IF(U249="NOT FOUND","NOT FOUND",INDEX('6_3nf_branch_history'!$C:$C,SUMPRODUCT(('6_3nf_branch_history'!$A$2:$A$50=T249)*('6_3nf_branch_history'!$B$2:$B$50=U249)*ROW('6_3nf_branch_history'!$A$2:$A$50))))</f>
        <v/>
      </c>
      <c r="W249" s="2">
        <f>IF(U249="NOT FOUND","NOT FOUND",INDEX('6_3nf_branch_history'!$D:$D,SUMPRODUCT(('6_3nf_branch_history'!$A$2:$A$50=T249)*('6_3nf_branch_history'!$B$2:$B$50=U249)*ROW('6_3nf_branch_history'!$A$2:$A$50))))</f>
        <v/>
      </c>
      <c r="X249" s="2">
        <f>IF(U249="NOT FOUND","NOT FOUND",INDEX('6_3nf_branch_history'!$E:$E,SUMPRODUCT(('6_3nf_branch_history'!$A$2:$A$50=T249)*('6_3nf_branch_history'!$B$2:$B$50=U249)*ROW('6_3nf_branch_history'!$A$2:$A$50))))</f>
        <v/>
      </c>
      <c r="Y249" s="2">
        <f>UPPER(TRIM(D249))</f>
        <v/>
      </c>
      <c r="Z249" s="2">
        <f>IFERROR(INDEX('7_3nf_product'!$B:$B,MATCH(Y249,'7_3nf_product'!$A:$A,0)),"NOT FOUND")</f>
        <v/>
      </c>
      <c r="AA249" s="2">
        <f>IFERROR(INDEX('7_3nf_product'!$C:$C,MATCH(Y249,'7_3nf_product'!$A:$A,0)),"NOT FOUND")</f>
        <v/>
      </c>
      <c r="AB249" s="2">
        <f>IFERROR(INDEX('7_3nf_product'!$D:$D,MATCH(Y249,'7_3nf_product'!$A:$A,0)),"NOT FOUND")</f>
        <v/>
      </c>
      <c r="AC249" s="6">
        <f>IFERROR(INDEX('7_3nf_product'!$E:$E,MATCH(Y249,'7_3nf_product'!$A:$A,0)),"NOT FOUND")</f>
        <v/>
      </c>
      <c r="AD249" s="33">
        <f>IF(LEN(TRIM(E249))=10,TRIM(E249),IF(LEN(TRIM(E249))=8,"00"&amp;TRIM(E249),"CHECK"))</f>
        <v/>
      </c>
      <c r="AE249" s="2">
        <f>IFERROR(INDEX('8_3nf_customer'!$C:$C,MATCH(AD249,'8_3nf_customer'!$B:$B,0)),"NOT FOUND")</f>
        <v/>
      </c>
      <c r="AF249" s="30">
        <f>IFERROR(INDEX('8_3nf_customer'!$D:$D,MATCH(AD249,'8_3nf_customer'!$B:$B,0)),"NOT FOUND")</f>
        <v/>
      </c>
      <c r="AG249" s="4">
        <f>IF(ISNUMBER(AF249),DATEDIF(AF249,L249,"y"),"NOT FOUND")</f>
        <v/>
      </c>
      <c r="AH249" s="2">
        <f>IFERROR(INDEX('8_3nf_customer'!$E:$E,MATCH(AD249,'8_3nf_customer'!$B:$B,0)),"NOT FOUND")</f>
        <v/>
      </c>
      <c r="AI249" s="30">
        <f>IF(_xlfn.MAXIFS('9_3nf_customer_history'!$B$2:$B$500,'9_3nf_customer_history'!$A$2:$A$500,AD249,'9_3nf_customer_history'!$B$2:$B$500,"&lt;="&amp;L249)=0,"NOT FOUND",_xlfn.MAXIFS('9_3nf_customer_history'!$B$2:$B$500,'9_3nf_customer_history'!$A$2:$A$500,AD249,'9_3nf_customer_history'!$B$2:$B$500,"&lt;="&amp;L249))</f>
        <v/>
      </c>
      <c r="AJ249" s="2">
        <f>IF(AI249="NOT FOUND","NOT FOUND",INDEX('9_3nf_customer_history'!$C:$C,SUMPRODUCT(('9_3nf_customer_history'!$A$2:$A$500=AD249)*('9_3nf_customer_history'!$B$2:$B$500=AI249)*ROW('9_3nf_customer_history'!$A$2:$A$500))))</f>
        <v/>
      </c>
      <c r="AK249" s="2">
        <f>IF(AI249="NOT FOUND","NOT FOUND",INDEX('9_3nf_customer_history'!$D:$D,SUMPRODUCT(('9_3nf_customer_history'!$A$2:$A$500=AD249)*('9_3nf_customer_history'!$B$2:$B$500=AI249)*ROW('9_3nf_customer_history'!$A$2:$A$500))))</f>
        <v/>
      </c>
      <c r="AL249" s="2">
        <f>UPPER(TRIM(H249))</f>
        <v/>
      </c>
      <c r="AM249" s="30">
        <f>IF(_xlfn.MAXIFS('10_ref_fx_rate'!$B$2:$B$2000,'10_ref_fx_rate'!$A$2:$A$2000,AL249,'10_ref_fx_rate'!$B$2:$B$2000,"&lt;="&amp;L249)=0,"NOT FOUND",_xlfn.MAXIFS('10_ref_fx_rate'!$B$2:$B$2000,'10_ref_fx_rate'!$A$2:$A$2000,AL249,'10_ref_fx_rate'!$B$2:$B$2000,"&lt;="&amp;L249))</f>
        <v/>
      </c>
      <c r="AN249" s="8">
        <f>IF(AM249="NOT FOUND","NOT FOUND",SUMIFS('10_ref_fx_rate'!$D$2:$D$2000,'10_ref_fx_rate'!$A$2:$A$2000,AL249,'10_ref_fx_rate'!$B$2:$B$2000,AM249))</f>
        <v/>
      </c>
      <c r="AO249" s="37">
        <f>IF(ISNUMBER(AN249),I249*AN249,"NOT FOUND")</f>
        <v/>
      </c>
      <c r="AP249" s="2">
        <f>UPPER(TRIM(J249))</f>
        <v/>
      </c>
      <c r="AQ249" s="2">
        <f>IF(AP249="","SELF-DIRECTED",IF(ISNUMBER(MATCH(AP249,'11_3nf_sales_person'!$A:$A,0)),IF(EXACT(AP249,J249),"OK","OK (auto-fixed)"),IF(ISNA(MATCH($A249,'12_sales_person_confirmation'!$A:$A,0)),"CONFIRM (not logged)",IF(INDEX('12_sales_person_confirmation'!$I:$I,MATCH($A249,'12_sales_person_confirmation'!$A:$A,0))="CONFIRMED","CONFIRMED ("&amp;LOWER(INDEX('12_sales_person_confirmation'!$E:$E,MATCH($A249,'12_sales_person_confirmation'!$A:$A,0)))&amp;")","PENDING CONFIRM"))))</f>
        <v/>
      </c>
      <c r="AR249" s="2">
        <f>IF(OR(AQ249="OK",AQ249="OK (auto-fixed)"),AP249,IF(LEFT(AQ249,9)="CONFIRMED",INDEX('12_sales_person_confirmation'!$F:$F,MATCH($A249,'12_sales_person_confirmation'!$A:$A,0)),""))</f>
        <v/>
      </c>
      <c r="AS249" s="2">
        <f>IF(AR249="","",INDEX('11_3nf_sales_person'!$B:$B,MATCH(AR249,'11_3nf_sales_person'!$A:$A,0)))</f>
        <v/>
      </c>
    </row>
    <row r="250">
      <c r="A250" s="2">
        <f>IF(ISBLANK('1_raw_log'!A250),"",'1_raw_log'!A250)</f>
        <v/>
      </c>
      <c r="B250" s="3">
        <f>IF(ISBLANK('1_raw_log'!B250),"",'1_raw_log'!B250)</f>
        <v/>
      </c>
      <c r="C250" s="2">
        <f>IF(ISBLANK('1_raw_log'!C250),"",'1_raw_log'!C250)</f>
        <v/>
      </c>
      <c r="D250" s="2">
        <f>IF(ISBLANK('1_raw_log'!D250),"",'1_raw_log'!D250)</f>
        <v/>
      </c>
      <c r="E250" s="4">
        <f>IF(ISBLANK('1_raw_log'!E250),"",'1_raw_log'!E250)</f>
        <v/>
      </c>
      <c r="F250" s="2">
        <f>IF(ISBLANK('1_raw_log'!F250),"",'1_raw_log'!F250)</f>
        <v/>
      </c>
      <c r="G250" s="2">
        <f>IF(ISBLANK('1_raw_log'!G250),"",'1_raw_log'!G250)</f>
        <v/>
      </c>
      <c r="H250" s="2">
        <f>IF(ISBLANK('1_raw_log'!H250),"",'1_raw_log'!H250)</f>
        <v/>
      </c>
      <c r="I250" s="7">
        <f>IF(ISBLANK('1_raw_log'!I250),"",'1_raw_log'!I250)</f>
        <v/>
      </c>
      <c r="J250" s="2">
        <f>IF(ISBLANK('1_raw_log'!J250),"",'1_raw_log'!J250)</f>
        <v/>
      </c>
      <c r="K250" s="2">
        <f>IF(ISBLANK('1_raw_log'!K250),"",'1_raw_log'!K250)</f>
        <v/>
      </c>
      <c r="L250" s="30">
        <f>INT(B250)</f>
        <v/>
      </c>
      <c r="M250" s="20">
        <f>ROUND(MOD(B250,1)*1440,0)/1440</f>
        <v/>
      </c>
      <c r="N250" s="4">
        <f>IFERROR(INDEX('3_ref_date'!$B:$B,MATCH(L250,'3_ref_date'!$A:$A,0)),"NOT FOUND")</f>
        <v/>
      </c>
      <c r="O250" s="2">
        <f>IFERROR(INDEX('3_ref_date'!$C:$C,MATCH(L250,'3_ref_date'!$A:$A,0)),"NOT FOUND")</f>
        <v/>
      </c>
      <c r="P250" s="4">
        <f>IFERROR(INDEX('3_ref_date'!$D:$D,MATCH(L250,'3_ref_date'!$A:$A,0)),"NOT FOUND")</f>
        <v/>
      </c>
      <c r="Q250" s="4">
        <f>IFERROR(INDEX('3_ref_date'!$E:$E,MATCH(L250,'3_ref_date'!$A:$A,0)),"NOT FOUND")</f>
        <v/>
      </c>
      <c r="R250" s="2">
        <f>IFERROR(INDEX('3_ref_date'!$F:$F,MATCH(L250,'3_ref_date'!$A:$A,0)),"NOT FOUND")</f>
        <v/>
      </c>
      <c r="S250" s="2">
        <f>IFERROR(INDEX('4_ref_time'!$D:$D,MATCH(ROUND(M250*1440,0),'4_ref_time'!$A:$A,0)),"NOT FOUND")</f>
        <v/>
      </c>
      <c r="T250" s="2">
        <f>UPPER(TRIM(C250))</f>
        <v/>
      </c>
      <c r="U250" s="30">
        <f>IF(_xlfn.MAXIFS('6_3nf_branch_history'!$B$2:$B$50,'6_3nf_branch_history'!$A$2:$A$50,T250,'6_3nf_branch_history'!$B$2:$B$50,"&lt;="&amp;L250)=0,"NOT FOUND",_xlfn.MAXIFS('6_3nf_branch_history'!$B$2:$B$50,'6_3nf_branch_history'!$A$2:$A$50,T250,'6_3nf_branch_history'!$B$2:$B$50,"&lt;="&amp;L250))</f>
        <v/>
      </c>
      <c r="V250" s="2">
        <f>IF(U250="NOT FOUND","NOT FOUND",INDEX('6_3nf_branch_history'!$C:$C,SUMPRODUCT(('6_3nf_branch_history'!$A$2:$A$50=T250)*('6_3nf_branch_history'!$B$2:$B$50=U250)*ROW('6_3nf_branch_history'!$A$2:$A$50))))</f>
        <v/>
      </c>
      <c r="W250" s="2">
        <f>IF(U250="NOT FOUND","NOT FOUND",INDEX('6_3nf_branch_history'!$D:$D,SUMPRODUCT(('6_3nf_branch_history'!$A$2:$A$50=T250)*('6_3nf_branch_history'!$B$2:$B$50=U250)*ROW('6_3nf_branch_history'!$A$2:$A$50))))</f>
        <v/>
      </c>
      <c r="X250" s="2">
        <f>IF(U250="NOT FOUND","NOT FOUND",INDEX('6_3nf_branch_history'!$E:$E,SUMPRODUCT(('6_3nf_branch_history'!$A$2:$A$50=T250)*('6_3nf_branch_history'!$B$2:$B$50=U250)*ROW('6_3nf_branch_history'!$A$2:$A$50))))</f>
        <v/>
      </c>
      <c r="Y250" s="2">
        <f>UPPER(TRIM(D250))</f>
        <v/>
      </c>
      <c r="Z250" s="2">
        <f>IFERROR(INDEX('7_3nf_product'!$B:$B,MATCH(Y250,'7_3nf_product'!$A:$A,0)),"NOT FOUND")</f>
        <v/>
      </c>
      <c r="AA250" s="2">
        <f>IFERROR(INDEX('7_3nf_product'!$C:$C,MATCH(Y250,'7_3nf_product'!$A:$A,0)),"NOT FOUND")</f>
        <v/>
      </c>
      <c r="AB250" s="2">
        <f>IFERROR(INDEX('7_3nf_product'!$D:$D,MATCH(Y250,'7_3nf_product'!$A:$A,0)),"NOT FOUND")</f>
        <v/>
      </c>
      <c r="AC250" s="6">
        <f>IFERROR(INDEX('7_3nf_product'!$E:$E,MATCH(Y250,'7_3nf_product'!$A:$A,0)),"NOT FOUND")</f>
        <v/>
      </c>
      <c r="AD250" s="33">
        <f>IF(LEN(TRIM(E250))=10,TRIM(E250),IF(LEN(TRIM(E250))=8,"00"&amp;TRIM(E250),"CHECK"))</f>
        <v/>
      </c>
      <c r="AE250" s="2">
        <f>IFERROR(INDEX('8_3nf_customer'!$C:$C,MATCH(AD250,'8_3nf_customer'!$B:$B,0)),"NOT FOUND")</f>
        <v/>
      </c>
      <c r="AF250" s="30">
        <f>IFERROR(INDEX('8_3nf_customer'!$D:$D,MATCH(AD250,'8_3nf_customer'!$B:$B,0)),"NOT FOUND")</f>
        <v/>
      </c>
      <c r="AG250" s="4">
        <f>IF(ISNUMBER(AF250),DATEDIF(AF250,L250,"y"),"NOT FOUND")</f>
        <v/>
      </c>
      <c r="AH250" s="2">
        <f>IFERROR(INDEX('8_3nf_customer'!$E:$E,MATCH(AD250,'8_3nf_customer'!$B:$B,0)),"NOT FOUND")</f>
        <v/>
      </c>
      <c r="AI250" s="30">
        <f>IF(_xlfn.MAXIFS('9_3nf_customer_history'!$B$2:$B$500,'9_3nf_customer_history'!$A$2:$A$500,AD250,'9_3nf_customer_history'!$B$2:$B$500,"&lt;="&amp;L250)=0,"NOT FOUND",_xlfn.MAXIFS('9_3nf_customer_history'!$B$2:$B$500,'9_3nf_customer_history'!$A$2:$A$500,AD250,'9_3nf_customer_history'!$B$2:$B$500,"&lt;="&amp;L250))</f>
        <v/>
      </c>
      <c r="AJ250" s="2">
        <f>IF(AI250="NOT FOUND","NOT FOUND",INDEX('9_3nf_customer_history'!$C:$C,SUMPRODUCT(('9_3nf_customer_history'!$A$2:$A$500=AD250)*('9_3nf_customer_history'!$B$2:$B$500=AI250)*ROW('9_3nf_customer_history'!$A$2:$A$500))))</f>
        <v/>
      </c>
      <c r="AK250" s="2">
        <f>IF(AI250="NOT FOUND","NOT FOUND",INDEX('9_3nf_customer_history'!$D:$D,SUMPRODUCT(('9_3nf_customer_history'!$A$2:$A$500=AD250)*('9_3nf_customer_history'!$B$2:$B$500=AI250)*ROW('9_3nf_customer_history'!$A$2:$A$500))))</f>
        <v/>
      </c>
      <c r="AL250" s="2">
        <f>UPPER(TRIM(H250))</f>
        <v/>
      </c>
      <c r="AM250" s="30">
        <f>IF(_xlfn.MAXIFS('10_ref_fx_rate'!$B$2:$B$2000,'10_ref_fx_rate'!$A$2:$A$2000,AL250,'10_ref_fx_rate'!$B$2:$B$2000,"&lt;="&amp;L250)=0,"NOT FOUND",_xlfn.MAXIFS('10_ref_fx_rate'!$B$2:$B$2000,'10_ref_fx_rate'!$A$2:$A$2000,AL250,'10_ref_fx_rate'!$B$2:$B$2000,"&lt;="&amp;L250))</f>
        <v/>
      </c>
      <c r="AN250" s="8">
        <f>IF(AM250="NOT FOUND","NOT FOUND",SUMIFS('10_ref_fx_rate'!$D$2:$D$2000,'10_ref_fx_rate'!$A$2:$A$2000,AL250,'10_ref_fx_rate'!$B$2:$B$2000,AM250))</f>
        <v/>
      </c>
      <c r="AO250" s="37">
        <f>IF(ISNUMBER(AN250),I250*AN250,"NOT FOUND")</f>
        <v/>
      </c>
      <c r="AP250" s="2">
        <f>UPPER(TRIM(J250))</f>
        <v/>
      </c>
      <c r="AQ250" s="2">
        <f>IF(AP250="","SELF-DIRECTED",IF(ISNUMBER(MATCH(AP250,'11_3nf_sales_person'!$A:$A,0)),IF(EXACT(AP250,J250),"OK","OK (auto-fixed)"),IF(ISNA(MATCH($A250,'12_sales_person_confirmation'!$A:$A,0)),"CONFIRM (not logged)",IF(INDEX('12_sales_person_confirmation'!$I:$I,MATCH($A250,'12_sales_person_confirmation'!$A:$A,0))="CONFIRMED","CONFIRMED ("&amp;LOWER(INDEX('12_sales_person_confirmation'!$E:$E,MATCH($A250,'12_sales_person_confirmation'!$A:$A,0)))&amp;")","PENDING CONFIRM"))))</f>
        <v/>
      </c>
      <c r="AR250" s="2">
        <f>IF(OR(AQ250="OK",AQ250="OK (auto-fixed)"),AP250,IF(LEFT(AQ250,9)="CONFIRMED",INDEX('12_sales_person_confirmation'!$F:$F,MATCH($A250,'12_sales_person_confirmation'!$A:$A,0)),""))</f>
        <v/>
      </c>
      <c r="AS250" s="2">
        <f>IF(AR250="","",INDEX('11_3nf_sales_person'!$B:$B,MATCH(AR250,'11_3nf_sales_person'!$A:$A,0)))</f>
        <v/>
      </c>
    </row>
    <row r="251">
      <c r="A251" s="2">
        <f>IF(ISBLANK('1_raw_log'!A251),"",'1_raw_log'!A251)</f>
        <v/>
      </c>
      <c r="B251" s="3">
        <f>IF(ISBLANK('1_raw_log'!B251),"",'1_raw_log'!B251)</f>
        <v/>
      </c>
      <c r="C251" s="2">
        <f>IF(ISBLANK('1_raw_log'!C251),"",'1_raw_log'!C251)</f>
        <v/>
      </c>
      <c r="D251" s="2">
        <f>IF(ISBLANK('1_raw_log'!D251),"",'1_raw_log'!D251)</f>
        <v/>
      </c>
      <c r="E251" s="4">
        <f>IF(ISBLANK('1_raw_log'!E251),"",'1_raw_log'!E251)</f>
        <v/>
      </c>
      <c r="F251" s="2">
        <f>IF(ISBLANK('1_raw_log'!F251),"",'1_raw_log'!F251)</f>
        <v/>
      </c>
      <c r="G251" s="2">
        <f>IF(ISBLANK('1_raw_log'!G251),"",'1_raw_log'!G251)</f>
        <v/>
      </c>
      <c r="H251" s="2">
        <f>IF(ISBLANK('1_raw_log'!H251),"",'1_raw_log'!H251)</f>
        <v/>
      </c>
      <c r="I251" s="7">
        <f>IF(ISBLANK('1_raw_log'!I251),"",'1_raw_log'!I251)</f>
        <v/>
      </c>
      <c r="J251" s="2">
        <f>IF(ISBLANK('1_raw_log'!J251),"",'1_raw_log'!J251)</f>
        <v/>
      </c>
      <c r="K251" s="2">
        <f>IF(ISBLANK('1_raw_log'!K251),"",'1_raw_log'!K251)</f>
        <v/>
      </c>
      <c r="L251" s="30">
        <f>INT(B251)</f>
        <v/>
      </c>
      <c r="M251" s="20">
        <f>ROUND(MOD(B251,1)*1440,0)/1440</f>
        <v/>
      </c>
      <c r="N251" s="4">
        <f>IFERROR(INDEX('3_ref_date'!$B:$B,MATCH(L251,'3_ref_date'!$A:$A,0)),"NOT FOUND")</f>
        <v/>
      </c>
      <c r="O251" s="2">
        <f>IFERROR(INDEX('3_ref_date'!$C:$C,MATCH(L251,'3_ref_date'!$A:$A,0)),"NOT FOUND")</f>
        <v/>
      </c>
      <c r="P251" s="4">
        <f>IFERROR(INDEX('3_ref_date'!$D:$D,MATCH(L251,'3_ref_date'!$A:$A,0)),"NOT FOUND")</f>
        <v/>
      </c>
      <c r="Q251" s="4">
        <f>IFERROR(INDEX('3_ref_date'!$E:$E,MATCH(L251,'3_ref_date'!$A:$A,0)),"NOT FOUND")</f>
        <v/>
      </c>
      <c r="R251" s="2">
        <f>IFERROR(INDEX('3_ref_date'!$F:$F,MATCH(L251,'3_ref_date'!$A:$A,0)),"NOT FOUND")</f>
        <v/>
      </c>
      <c r="S251" s="2">
        <f>IFERROR(INDEX('4_ref_time'!$D:$D,MATCH(ROUND(M251*1440,0),'4_ref_time'!$A:$A,0)),"NOT FOUND")</f>
        <v/>
      </c>
      <c r="T251" s="2">
        <f>UPPER(TRIM(C251))</f>
        <v/>
      </c>
      <c r="U251" s="30">
        <f>IF(_xlfn.MAXIFS('6_3nf_branch_history'!$B$2:$B$50,'6_3nf_branch_history'!$A$2:$A$50,T251,'6_3nf_branch_history'!$B$2:$B$50,"&lt;="&amp;L251)=0,"NOT FOUND",_xlfn.MAXIFS('6_3nf_branch_history'!$B$2:$B$50,'6_3nf_branch_history'!$A$2:$A$50,T251,'6_3nf_branch_history'!$B$2:$B$50,"&lt;="&amp;L251))</f>
        <v/>
      </c>
      <c r="V251" s="2">
        <f>IF(U251="NOT FOUND","NOT FOUND",INDEX('6_3nf_branch_history'!$C:$C,SUMPRODUCT(('6_3nf_branch_history'!$A$2:$A$50=T251)*('6_3nf_branch_history'!$B$2:$B$50=U251)*ROW('6_3nf_branch_history'!$A$2:$A$50))))</f>
        <v/>
      </c>
      <c r="W251" s="2">
        <f>IF(U251="NOT FOUND","NOT FOUND",INDEX('6_3nf_branch_history'!$D:$D,SUMPRODUCT(('6_3nf_branch_history'!$A$2:$A$50=T251)*('6_3nf_branch_history'!$B$2:$B$50=U251)*ROW('6_3nf_branch_history'!$A$2:$A$50))))</f>
        <v/>
      </c>
      <c r="X251" s="2">
        <f>IF(U251="NOT FOUND","NOT FOUND",INDEX('6_3nf_branch_history'!$E:$E,SUMPRODUCT(('6_3nf_branch_history'!$A$2:$A$50=T251)*('6_3nf_branch_history'!$B$2:$B$50=U251)*ROW('6_3nf_branch_history'!$A$2:$A$50))))</f>
        <v/>
      </c>
      <c r="Y251" s="2">
        <f>UPPER(TRIM(D251))</f>
        <v/>
      </c>
      <c r="Z251" s="2">
        <f>IFERROR(INDEX('7_3nf_product'!$B:$B,MATCH(Y251,'7_3nf_product'!$A:$A,0)),"NOT FOUND")</f>
        <v/>
      </c>
      <c r="AA251" s="2">
        <f>IFERROR(INDEX('7_3nf_product'!$C:$C,MATCH(Y251,'7_3nf_product'!$A:$A,0)),"NOT FOUND")</f>
        <v/>
      </c>
      <c r="AB251" s="2">
        <f>IFERROR(INDEX('7_3nf_product'!$D:$D,MATCH(Y251,'7_3nf_product'!$A:$A,0)),"NOT FOUND")</f>
        <v/>
      </c>
      <c r="AC251" s="6">
        <f>IFERROR(INDEX('7_3nf_product'!$E:$E,MATCH(Y251,'7_3nf_product'!$A:$A,0)),"NOT FOUND")</f>
        <v/>
      </c>
      <c r="AD251" s="33">
        <f>IF(LEN(TRIM(E251))=10,TRIM(E251),IF(LEN(TRIM(E251))=8,"00"&amp;TRIM(E251),"CHECK"))</f>
        <v/>
      </c>
      <c r="AE251" s="2">
        <f>IFERROR(INDEX('8_3nf_customer'!$C:$C,MATCH(AD251,'8_3nf_customer'!$B:$B,0)),"NOT FOUND")</f>
        <v/>
      </c>
      <c r="AF251" s="30">
        <f>IFERROR(INDEX('8_3nf_customer'!$D:$D,MATCH(AD251,'8_3nf_customer'!$B:$B,0)),"NOT FOUND")</f>
        <v/>
      </c>
      <c r="AG251" s="4">
        <f>IF(ISNUMBER(AF251),DATEDIF(AF251,L251,"y"),"NOT FOUND")</f>
        <v/>
      </c>
      <c r="AH251" s="2">
        <f>IFERROR(INDEX('8_3nf_customer'!$E:$E,MATCH(AD251,'8_3nf_customer'!$B:$B,0)),"NOT FOUND")</f>
        <v/>
      </c>
      <c r="AI251" s="30">
        <f>IF(_xlfn.MAXIFS('9_3nf_customer_history'!$B$2:$B$500,'9_3nf_customer_history'!$A$2:$A$500,AD251,'9_3nf_customer_history'!$B$2:$B$500,"&lt;="&amp;L251)=0,"NOT FOUND",_xlfn.MAXIFS('9_3nf_customer_history'!$B$2:$B$500,'9_3nf_customer_history'!$A$2:$A$500,AD251,'9_3nf_customer_history'!$B$2:$B$500,"&lt;="&amp;L251))</f>
        <v/>
      </c>
      <c r="AJ251" s="2">
        <f>IF(AI251="NOT FOUND","NOT FOUND",INDEX('9_3nf_customer_history'!$C:$C,SUMPRODUCT(('9_3nf_customer_history'!$A$2:$A$500=AD251)*('9_3nf_customer_history'!$B$2:$B$500=AI251)*ROW('9_3nf_customer_history'!$A$2:$A$500))))</f>
        <v/>
      </c>
      <c r="AK251" s="2">
        <f>IF(AI251="NOT FOUND","NOT FOUND",INDEX('9_3nf_customer_history'!$D:$D,SUMPRODUCT(('9_3nf_customer_history'!$A$2:$A$500=AD251)*('9_3nf_customer_history'!$B$2:$B$500=AI251)*ROW('9_3nf_customer_history'!$A$2:$A$500))))</f>
        <v/>
      </c>
      <c r="AL251" s="2">
        <f>UPPER(TRIM(H251))</f>
        <v/>
      </c>
      <c r="AM251" s="30">
        <f>IF(_xlfn.MAXIFS('10_ref_fx_rate'!$B$2:$B$2000,'10_ref_fx_rate'!$A$2:$A$2000,AL251,'10_ref_fx_rate'!$B$2:$B$2000,"&lt;="&amp;L251)=0,"NOT FOUND",_xlfn.MAXIFS('10_ref_fx_rate'!$B$2:$B$2000,'10_ref_fx_rate'!$A$2:$A$2000,AL251,'10_ref_fx_rate'!$B$2:$B$2000,"&lt;="&amp;L251))</f>
        <v/>
      </c>
      <c r="AN251" s="8">
        <f>IF(AM251="NOT FOUND","NOT FOUND",SUMIFS('10_ref_fx_rate'!$D$2:$D$2000,'10_ref_fx_rate'!$A$2:$A$2000,AL251,'10_ref_fx_rate'!$B$2:$B$2000,AM251))</f>
        <v/>
      </c>
      <c r="AO251" s="37">
        <f>IF(ISNUMBER(AN251),I251*AN251,"NOT FOUND")</f>
        <v/>
      </c>
      <c r="AP251" s="2">
        <f>UPPER(TRIM(J251))</f>
        <v/>
      </c>
      <c r="AQ251" s="2">
        <f>IF(AP251="","SELF-DIRECTED",IF(ISNUMBER(MATCH(AP251,'11_3nf_sales_person'!$A:$A,0)),IF(EXACT(AP251,J251),"OK","OK (auto-fixed)"),IF(ISNA(MATCH($A251,'12_sales_person_confirmation'!$A:$A,0)),"CONFIRM (not logged)",IF(INDEX('12_sales_person_confirmation'!$I:$I,MATCH($A251,'12_sales_person_confirmation'!$A:$A,0))="CONFIRMED","CONFIRMED ("&amp;LOWER(INDEX('12_sales_person_confirmation'!$E:$E,MATCH($A251,'12_sales_person_confirmation'!$A:$A,0)))&amp;")","PENDING CONFIRM"))))</f>
        <v/>
      </c>
      <c r="AR251" s="2">
        <f>IF(OR(AQ251="OK",AQ251="OK (auto-fixed)"),AP251,IF(LEFT(AQ251,9)="CONFIRMED",INDEX('12_sales_person_confirmation'!$F:$F,MATCH($A251,'12_sales_person_confirmation'!$A:$A,0)),""))</f>
        <v/>
      </c>
      <c r="AS251" s="2">
        <f>IF(AR251="","",INDEX('11_3nf_sales_person'!$B:$B,MATCH(AR251,'11_3nf_sales_person'!$A:$A,0)))</f>
        <v/>
      </c>
    </row>
    <row r="252">
      <c r="A252" s="2">
        <f>IF(ISBLANK('1_raw_log'!A252),"",'1_raw_log'!A252)</f>
        <v/>
      </c>
      <c r="B252" s="3">
        <f>IF(ISBLANK('1_raw_log'!B252),"",'1_raw_log'!B252)</f>
        <v/>
      </c>
      <c r="C252" s="2">
        <f>IF(ISBLANK('1_raw_log'!C252),"",'1_raw_log'!C252)</f>
        <v/>
      </c>
      <c r="D252" s="2">
        <f>IF(ISBLANK('1_raw_log'!D252),"",'1_raw_log'!D252)</f>
        <v/>
      </c>
      <c r="E252" s="4">
        <f>IF(ISBLANK('1_raw_log'!E252),"",'1_raw_log'!E252)</f>
        <v/>
      </c>
      <c r="F252" s="2">
        <f>IF(ISBLANK('1_raw_log'!F252),"",'1_raw_log'!F252)</f>
        <v/>
      </c>
      <c r="G252" s="2">
        <f>IF(ISBLANK('1_raw_log'!G252),"",'1_raw_log'!G252)</f>
        <v/>
      </c>
      <c r="H252" s="2">
        <f>IF(ISBLANK('1_raw_log'!H252),"",'1_raw_log'!H252)</f>
        <v/>
      </c>
      <c r="I252" s="7">
        <f>IF(ISBLANK('1_raw_log'!I252),"",'1_raw_log'!I252)</f>
        <v/>
      </c>
      <c r="J252" s="2">
        <f>IF(ISBLANK('1_raw_log'!J252),"",'1_raw_log'!J252)</f>
        <v/>
      </c>
      <c r="K252" s="2">
        <f>IF(ISBLANK('1_raw_log'!K252),"",'1_raw_log'!K252)</f>
        <v/>
      </c>
      <c r="L252" s="30">
        <f>INT(B252)</f>
        <v/>
      </c>
      <c r="M252" s="20">
        <f>ROUND(MOD(B252,1)*1440,0)/1440</f>
        <v/>
      </c>
      <c r="N252" s="4">
        <f>IFERROR(INDEX('3_ref_date'!$B:$B,MATCH(L252,'3_ref_date'!$A:$A,0)),"NOT FOUND")</f>
        <v/>
      </c>
      <c r="O252" s="2">
        <f>IFERROR(INDEX('3_ref_date'!$C:$C,MATCH(L252,'3_ref_date'!$A:$A,0)),"NOT FOUND")</f>
        <v/>
      </c>
      <c r="P252" s="4">
        <f>IFERROR(INDEX('3_ref_date'!$D:$D,MATCH(L252,'3_ref_date'!$A:$A,0)),"NOT FOUND")</f>
        <v/>
      </c>
      <c r="Q252" s="4">
        <f>IFERROR(INDEX('3_ref_date'!$E:$E,MATCH(L252,'3_ref_date'!$A:$A,0)),"NOT FOUND")</f>
        <v/>
      </c>
      <c r="R252" s="2">
        <f>IFERROR(INDEX('3_ref_date'!$F:$F,MATCH(L252,'3_ref_date'!$A:$A,0)),"NOT FOUND")</f>
        <v/>
      </c>
      <c r="S252" s="2">
        <f>IFERROR(INDEX('4_ref_time'!$D:$D,MATCH(ROUND(M252*1440,0),'4_ref_time'!$A:$A,0)),"NOT FOUND")</f>
        <v/>
      </c>
      <c r="T252" s="2">
        <f>UPPER(TRIM(C252))</f>
        <v/>
      </c>
      <c r="U252" s="30">
        <f>IF(_xlfn.MAXIFS('6_3nf_branch_history'!$B$2:$B$50,'6_3nf_branch_history'!$A$2:$A$50,T252,'6_3nf_branch_history'!$B$2:$B$50,"&lt;="&amp;L252)=0,"NOT FOUND",_xlfn.MAXIFS('6_3nf_branch_history'!$B$2:$B$50,'6_3nf_branch_history'!$A$2:$A$50,T252,'6_3nf_branch_history'!$B$2:$B$50,"&lt;="&amp;L252))</f>
        <v/>
      </c>
      <c r="V252" s="2">
        <f>IF(U252="NOT FOUND","NOT FOUND",INDEX('6_3nf_branch_history'!$C:$C,SUMPRODUCT(('6_3nf_branch_history'!$A$2:$A$50=T252)*('6_3nf_branch_history'!$B$2:$B$50=U252)*ROW('6_3nf_branch_history'!$A$2:$A$50))))</f>
        <v/>
      </c>
      <c r="W252" s="2">
        <f>IF(U252="NOT FOUND","NOT FOUND",INDEX('6_3nf_branch_history'!$D:$D,SUMPRODUCT(('6_3nf_branch_history'!$A$2:$A$50=T252)*('6_3nf_branch_history'!$B$2:$B$50=U252)*ROW('6_3nf_branch_history'!$A$2:$A$50))))</f>
        <v/>
      </c>
      <c r="X252" s="2">
        <f>IF(U252="NOT FOUND","NOT FOUND",INDEX('6_3nf_branch_history'!$E:$E,SUMPRODUCT(('6_3nf_branch_history'!$A$2:$A$50=T252)*('6_3nf_branch_history'!$B$2:$B$50=U252)*ROW('6_3nf_branch_history'!$A$2:$A$50))))</f>
        <v/>
      </c>
      <c r="Y252" s="2">
        <f>UPPER(TRIM(D252))</f>
        <v/>
      </c>
      <c r="Z252" s="2">
        <f>IFERROR(INDEX('7_3nf_product'!$B:$B,MATCH(Y252,'7_3nf_product'!$A:$A,0)),"NOT FOUND")</f>
        <v/>
      </c>
      <c r="AA252" s="2">
        <f>IFERROR(INDEX('7_3nf_product'!$C:$C,MATCH(Y252,'7_3nf_product'!$A:$A,0)),"NOT FOUND")</f>
        <v/>
      </c>
      <c r="AB252" s="2">
        <f>IFERROR(INDEX('7_3nf_product'!$D:$D,MATCH(Y252,'7_3nf_product'!$A:$A,0)),"NOT FOUND")</f>
        <v/>
      </c>
      <c r="AC252" s="6">
        <f>IFERROR(INDEX('7_3nf_product'!$E:$E,MATCH(Y252,'7_3nf_product'!$A:$A,0)),"NOT FOUND")</f>
        <v/>
      </c>
      <c r="AD252" s="33">
        <f>IF(LEN(TRIM(E252))=10,TRIM(E252),IF(LEN(TRIM(E252))=8,"00"&amp;TRIM(E252),"CHECK"))</f>
        <v/>
      </c>
      <c r="AE252" s="2">
        <f>IFERROR(INDEX('8_3nf_customer'!$C:$C,MATCH(AD252,'8_3nf_customer'!$B:$B,0)),"NOT FOUND")</f>
        <v/>
      </c>
      <c r="AF252" s="30">
        <f>IFERROR(INDEX('8_3nf_customer'!$D:$D,MATCH(AD252,'8_3nf_customer'!$B:$B,0)),"NOT FOUND")</f>
        <v/>
      </c>
      <c r="AG252" s="4">
        <f>IF(ISNUMBER(AF252),DATEDIF(AF252,L252,"y"),"NOT FOUND")</f>
        <v/>
      </c>
      <c r="AH252" s="2">
        <f>IFERROR(INDEX('8_3nf_customer'!$E:$E,MATCH(AD252,'8_3nf_customer'!$B:$B,0)),"NOT FOUND")</f>
        <v/>
      </c>
      <c r="AI252" s="30">
        <f>IF(_xlfn.MAXIFS('9_3nf_customer_history'!$B$2:$B$500,'9_3nf_customer_history'!$A$2:$A$500,AD252,'9_3nf_customer_history'!$B$2:$B$500,"&lt;="&amp;L252)=0,"NOT FOUND",_xlfn.MAXIFS('9_3nf_customer_history'!$B$2:$B$500,'9_3nf_customer_history'!$A$2:$A$500,AD252,'9_3nf_customer_history'!$B$2:$B$500,"&lt;="&amp;L252))</f>
        <v/>
      </c>
      <c r="AJ252" s="2">
        <f>IF(AI252="NOT FOUND","NOT FOUND",INDEX('9_3nf_customer_history'!$C:$C,SUMPRODUCT(('9_3nf_customer_history'!$A$2:$A$500=AD252)*('9_3nf_customer_history'!$B$2:$B$500=AI252)*ROW('9_3nf_customer_history'!$A$2:$A$500))))</f>
        <v/>
      </c>
      <c r="AK252" s="2">
        <f>IF(AI252="NOT FOUND","NOT FOUND",INDEX('9_3nf_customer_history'!$D:$D,SUMPRODUCT(('9_3nf_customer_history'!$A$2:$A$500=AD252)*('9_3nf_customer_history'!$B$2:$B$500=AI252)*ROW('9_3nf_customer_history'!$A$2:$A$500))))</f>
        <v/>
      </c>
      <c r="AL252" s="2">
        <f>UPPER(TRIM(H252))</f>
        <v/>
      </c>
      <c r="AM252" s="30">
        <f>IF(_xlfn.MAXIFS('10_ref_fx_rate'!$B$2:$B$2000,'10_ref_fx_rate'!$A$2:$A$2000,AL252,'10_ref_fx_rate'!$B$2:$B$2000,"&lt;="&amp;L252)=0,"NOT FOUND",_xlfn.MAXIFS('10_ref_fx_rate'!$B$2:$B$2000,'10_ref_fx_rate'!$A$2:$A$2000,AL252,'10_ref_fx_rate'!$B$2:$B$2000,"&lt;="&amp;L252))</f>
        <v/>
      </c>
      <c r="AN252" s="8">
        <f>IF(AM252="NOT FOUND","NOT FOUND",SUMIFS('10_ref_fx_rate'!$D$2:$D$2000,'10_ref_fx_rate'!$A$2:$A$2000,AL252,'10_ref_fx_rate'!$B$2:$B$2000,AM252))</f>
        <v/>
      </c>
      <c r="AO252" s="37">
        <f>IF(ISNUMBER(AN252),I252*AN252,"NOT FOUND")</f>
        <v/>
      </c>
      <c r="AP252" s="2">
        <f>UPPER(TRIM(J252))</f>
        <v/>
      </c>
      <c r="AQ252" s="2">
        <f>IF(AP252="","SELF-DIRECTED",IF(ISNUMBER(MATCH(AP252,'11_3nf_sales_person'!$A:$A,0)),IF(EXACT(AP252,J252),"OK","OK (auto-fixed)"),IF(ISNA(MATCH($A252,'12_sales_person_confirmation'!$A:$A,0)),"CONFIRM (not logged)",IF(INDEX('12_sales_person_confirmation'!$I:$I,MATCH($A252,'12_sales_person_confirmation'!$A:$A,0))="CONFIRMED","CONFIRMED ("&amp;LOWER(INDEX('12_sales_person_confirmation'!$E:$E,MATCH($A252,'12_sales_person_confirmation'!$A:$A,0)))&amp;")","PENDING CONFIRM"))))</f>
        <v/>
      </c>
      <c r="AR252" s="2">
        <f>IF(OR(AQ252="OK",AQ252="OK (auto-fixed)"),AP252,IF(LEFT(AQ252,9)="CONFIRMED",INDEX('12_sales_person_confirmation'!$F:$F,MATCH($A252,'12_sales_person_confirmation'!$A:$A,0)),""))</f>
        <v/>
      </c>
      <c r="AS252" s="2">
        <f>IF(AR252="","",INDEX('11_3nf_sales_person'!$B:$B,MATCH(AR252,'11_3nf_sales_person'!$A:$A,0)))</f>
        <v/>
      </c>
    </row>
    <row r="253">
      <c r="A253" s="2">
        <f>IF(ISBLANK('1_raw_log'!A253),"",'1_raw_log'!A253)</f>
        <v/>
      </c>
      <c r="B253" s="3">
        <f>IF(ISBLANK('1_raw_log'!B253),"",'1_raw_log'!B253)</f>
        <v/>
      </c>
      <c r="C253" s="2">
        <f>IF(ISBLANK('1_raw_log'!C253),"",'1_raw_log'!C253)</f>
        <v/>
      </c>
      <c r="D253" s="2">
        <f>IF(ISBLANK('1_raw_log'!D253),"",'1_raw_log'!D253)</f>
        <v/>
      </c>
      <c r="E253" s="4">
        <f>IF(ISBLANK('1_raw_log'!E253),"",'1_raw_log'!E253)</f>
        <v/>
      </c>
      <c r="F253" s="2">
        <f>IF(ISBLANK('1_raw_log'!F253),"",'1_raw_log'!F253)</f>
        <v/>
      </c>
      <c r="G253" s="2">
        <f>IF(ISBLANK('1_raw_log'!G253),"",'1_raw_log'!G253)</f>
        <v/>
      </c>
      <c r="H253" s="2">
        <f>IF(ISBLANK('1_raw_log'!H253),"",'1_raw_log'!H253)</f>
        <v/>
      </c>
      <c r="I253" s="7">
        <f>IF(ISBLANK('1_raw_log'!I253),"",'1_raw_log'!I253)</f>
        <v/>
      </c>
      <c r="J253" s="2">
        <f>IF(ISBLANK('1_raw_log'!J253),"",'1_raw_log'!J253)</f>
        <v/>
      </c>
      <c r="K253" s="2">
        <f>IF(ISBLANK('1_raw_log'!K253),"",'1_raw_log'!K253)</f>
        <v/>
      </c>
      <c r="L253" s="30">
        <f>INT(B253)</f>
        <v/>
      </c>
      <c r="M253" s="20">
        <f>ROUND(MOD(B253,1)*1440,0)/1440</f>
        <v/>
      </c>
      <c r="N253" s="4">
        <f>IFERROR(INDEX('3_ref_date'!$B:$B,MATCH(L253,'3_ref_date'!$A:$A,0)),"NOT FOUND")</f>
        <v/>
      </c>
      <c r="O253" s="2">
        <f>IFERROR(INDEX('3_ref_date'!$C:$C,MATCH(L253,'3_ref_date'!$A:$A,0)),"NOT FOUND")</f>
        <v/>
      </c>
      <c r="P253" s="4">
        <f>IFERROR(INDEX('3_ref_date'!$D:$D,MATCH(L253,'3_ref_date'!$A:$A,0)),"NOT FOUND")</f>
        <v/>
      </c>
      <c r="Q253" s="4">
        <f>IFERROR(INDEX('3_ref_date'!$E:$E,MATCH(L253,'3_ref_date'!$A:$A,0)),"NOT FOUND")</f>
        <v/>
      </c>
      <c r="R253" s="2">
        <f>IFERROR(INDEX('3_ref_date'!$F:$F,MATCH(L253,'3_ref_date'!$A:$A,0)),"NOT FOUND")</f>
        <v/>
      </c>
      <c r="S253" s="2">
        <f>IFERROR(INDEX('4_ref_time'!$D:$D,MATCH(ROUND(M253*1440,0),'4_ref_time'!$A:$A,0)),"NOT FOUND")</f>
        <v/>
      </c>
      <c r="T253" s="2">
        <f>UPPER(TRIM(C253))</f>
        <v/>
      </c>
      <c r="U253" s="30">
        <f>IF(_xlfn.MAXIFS('6_3nf_branch_history'!$B$2:$B$50,'6_3nf_branch_history'!$A$2:$A$50,T253,'6_3nf_branch_history'!$B$2:$B$50,"&lt;="&amp;L253)=0,"NOT FOUND",_xlfn.MAXIFS('6_3nf_branch_history'!$B$2:$B$50,'6_3nf_branch_history'!$A$2:$A$50,T253,'6_3nf_branch_history'!$B$2:$B$50,"&lt;="&amp;L253))</f>
        <v/>
      </c>
      <c r="V253" s="2">
        <f>IF(U253="NOT FOUND","NOT FOUND",INDEX('6_3nf_branch_history'!$C:$C,SUMPRODUCT(('6_3nf_branch_history'!$A$2:$A$50=T253)*('6_3nf_branch_history'!$B$2:$B$50=U253)*ROW('6_3nf_branch_history'!$A$2:$A$50))))</f>
        <v/>
      </c>
      <c r="W253" s="2">
        <f>IF(U253="NOT FOUND","NOT FOUND",INDEX('6_3nf_branch_history'!$D:$D,SUMPRODUCT(('6_3nf_branch_history'!$A$2:$A$50=T253)*('6_3nf_branch_history'!$B$2:$B$50=U253)*ROW('6_3nf_branch_history'!$A$2:$A$50))))</f>
        <v/>
      </c>
      <c r="X253" s="2">
        <f>IF(U253="NOT FOUND","NOT FOUND",INDEX('6_3nf_branch_history'!$E:$E,SUMPRODUCT(('6_3nf_branch_history'!$A$2:$A$50=T253)*('6_3nf_branch_history'!$B$2:$B$50=U253)*ROW('6_3nf_branch_history'!$A$2:$A$50))))</f>
        <v/>
      </c>
      <c r="Y253" s="2">
        <f>UPPER(TRIM(D253))</f>
        <v/>
      </c>
      <c r="Z253" s="2">
        <f>IFERROR(INDEX('7_3nf_product'!$B:$B,MATCH(Y253,'7_3nf_product'!$A:$A,0)),"NOT FOUND")</f>
        <v/>
      </c>
      <c r="AA253" s="2">
        <f>IFERROR(INDEX('7_3nf_product'!$C:$C,MATCH(Y253,'7_3nf_product'!$A:$A,0)),"NOT FOUND")</f>
        <v/>
      </c>
      <c r="AB253" s="2">
        <f>IFERROR(INDEX('7_3nf_product'!$D:$D,MATCH(Y253,'7_3nf_product'!$A:$A,0)),"NOT FOUND")</f>
        <v/>
      </c>
      <c r="AC253" s="6">
        <f>IFERROR(INDEX('7_3nf_product'!$E:$E,MATCH(Y253,'7_3nf_product'!$A:$A,0)),"NOT FOUND")</f>
        <v/>
      </c>
      <c r="AD253" s="33">
        <f>IF(LEN(TRIM(E253))=10,TRIM(E253),IF(LEN(TRIM(E253))=8,"00"&amp;TRIM(E253),"CHECK"))</f>
        <v/>
      </c>
      <c r="AE253" s="2">
        <f>IFERROR(INDEX('8_3nf_customer'!$C:$C,MATCH(AD253,'8_3nf_customer'!$B:$B,0)),"NOT FOUND")</f>
        <v/>
      </c>
      <c r="AF253" s="30">
        <f>IFERROR(INDEX('8_3nf_customer'!$D:$D,MATCH(AD253,'8_3nf_customer'!$B:$B,0)),"NOT FOUND")</f>
        <v/>
      </c>
      <c r="AG253" s="4">
        <f>IF(ISNUMBER(AF253),DATEDIF(AF253,L253,"y"),"NOT FOUND")</f>
        <v/>
      </c>
      <c r="AH253" s="2">
        <f>IFERROR(INDEX('8_3nf_customer'!$E:$E,MATCH(AD253,'8_3nf_customer'!$B:$B,0)),"NOT FOUND")</f>
        <v/>
      </c>
      <c r="AI253" s="30">
        <f>IF(_xlfn.MAXIFS('9_3nf_customer_history'!$B$2:$B$500,'9_3nf_customer_history'!$A$2:$A$500,AD253,'9_3nf_customer_history'!$B$2:$B$500,"&lt;="&amp;L253)=0,"NOT FOUND",_xlfn.MAXIFS('9_3nf_customer_history'!$B$2:$B$500,'9_3nf_customer_history'!$A$2:$A$500,AD253,'9_3nf_customer_history'!$B$2:$B$500,"&lt;="&amp;L253))</f>
        <v/>
      </c>
      <c r="AJ253" s="2">
        <f>IF(AI253="NOT FOUND","NOT FOUND",INDEX('9_3nf_customer_history'!$C:$C,SUMPRODUCT(('9_3nf_customer_history'!$A$2:$A$500=AD253)*('9_3nf_customer_history'!$B$2:$B$500=AI253)*ROW('9_3nf_customer_history'!$A$2:$A$500))))</f>
        <v/>
      </c>
      <c r="AK253" s="2">
        <f>IF(AI253="NOT FOUND","NOT FOUND",INDEX('9_3nf_customer_history'!$D:$D,SUMPRODUCT(('9_3nf_customer_history'!$A$2:$A$500=AD253)*('9_3nf_customer_history'!$B$2:$B$500=AI253)*ROW('9_3nf_customer_history'!$A$2:$A$500))))</f>
        <v/>
      </c>
      <c r="AL253" s="2">
        <f>UPPER(TRIM(H253))</f>
        <v/>
      </c>
      <c r="AM253" s="30">
        <f>IF(_xlfn.MAXIFS('10_ref_fx_rate'!$B$2:$B$2000,'10_ref_fx_rate'!$A$2:$A$2000,AL253,'10_ref_fx_rate'!$B$2:$B$2000,"&lt;="&amp;L253)=0,"NOT FOUND",_xlfn.MAXIFS('10_ref_fx_rate'!$B$2:$B$2000,'10_ref_fx_rate'!$A$2:$A$2000,AL253,'10_ref_fx_rate'!$B$2:$B$2000,"&lt;="&amp;L253))</f>
        <v/>
      </c>
      <c r="AN253" s="8">
        <f>IF(AM253="NOT FOUND","NOT FOUND",SUMIFS('10_ref_fx_rate'!$D$2:$D$2000,'10_ref_fx_rate'!$A$2:$A$2000,AL253,'10_ref_fx_rate'!$B$2:$B$2000,AM253))</f>
        <v/>
      </c>
      <c r="AO253" s="37">
        <f>IF(ISNUMBER(AN253),I253*AN253,"NOT FOUND")</f>
        <v/>
      </c>
      <c r="AP253" s="2">
        <f>UPPER(TRIM(J253))</f>
        <v/>
      </c>
      <c r="AQ253" s="2">
        <f>IF(AP253="","SELF-DIRECTED",IF(ISNUMBER(MATCH(AP253,'11_3nf_sales_person'!$A:$A,0)),IF(EXACT(AP253,J253),"OK","OK (auto-fixed)"),IF(ISNA(MATCH($A253,'12_sales_person_confirmation'!$A:$A,0)),"CONFIRM (not logged)",IF(INDEX('12_sales_person_confirmation'!$I:$I,MATCH($A253,'12_sales_person_confirmation'!$A:$A,0))="CONFIRMED","CONFIRMED ("&amp;LOWER(INDEX('12_sales_person_confirmation'!$E:$E,MATCH($A253,'12_sales_person_confirmation'!$A:$A,0)))&amp;")","PENDING CONFIRM"))))</f>
        <v/>
      </c>
      <c r="AR253" s="2">
        <f>IF(OR(AQ253="OK",AQ253="OK (auto-fixed)"),AP253,IF(LEFT(AQ253,9)="CONFIRMED",INDEX('12_sales_person_confirmation'!$F:$F,MATCH($A253,'12_sales_person_confirmation'!$A:$A,0)),""))</f>
        <v/>
      </c>
      <c r="AS253" s="2">
        <f>IF(AR253="","",INDEX('11_3nf_sales_person'!$B:$B,MATCH(AR253,'11_3nf_sales_person'!$A:$A,0)))</f>
        <v/>
      </c>
    </row>
    <row r="254">
      <c r="A254" s="2">
        <f>IF(ISBLANK('1_raw_log'!A254),"",'1_raw_log'!A254)</f>
        <v/>
      </c>
      <c r="B254" s="3">
        <f>IF(ISBLANK('1_raw_log'!B254),"",'1_raw_log'!B254)</f>
        <v/>
      </c>
      <c r="C254" s="2">
        <f>IF(ISBLANK('1_raw_log'!C254),"",'1_raw_log'!C254)</f>
        <v/>
      </c>
      <c r="D254" s="2">
        <f>IF(ISBLANK('1_raw_log'!D254),"",'1_raw_log'!D254)</f>
        <v/>
      </c>
      <c r="E254" s="4">
        <f>IF(ISBLANK('1_raw_log'!E254),"",'1_raw_log'!E254)</f>
        <v/>
      </c>
      <c r="F254" s="2">
        <f>IF(ISBLANK('1_raw_log'!F254),"",'1_raw_log'!F254)</f>
        <v/>
      </c>
      <c r="G254" s="2">
        <f>IF(ISBLANK('1_raw_log'!G254),"",'1_raw_log'!G254)</f>
        <v/>
      </c>
      <c r="H254" s="2">
        <f>IF(ISBLANK('1_raw_log'!H254),"",'1_raw_log'!H254)</f>
        <v/>
      </c>
      <c r="I254" s="7">
        <f>IF(ISBLANK('1_raw_log'!I254),"",'1_raw_log'!I254)</f>
        <v/>
      </c>
      <c r="J254" s="2">
        <f>IF(ISBLANK('1_raw_log'!J254),"",'1_raw_log'!J254)</f>
        <v/>
      </c>
      <c r="K254" s="2">
        <f>IF(ISBLANK('1_raw_log'!K254),"",'1_raw_log'!K254)</f>
        <v/>
      </c>
      <c r="L254" s="30">
        <f>INT(B254)</f>
        <v/>
      </c>
      <c r="M254" s="20">
        <f>ROUND(MOD(B254,1)*1440,0)/1440</f>
        <v/>
      </c>
      <c r="N254" s="4">
        <f>IFERROR(INDEX('3_ref_date'!$B:$B,MATCH(L254,'3_ref_date'!$A:$A,0)),"NOT FOUND")</f>
        <v/>
      </c>
      <c r="O254" s="2">
        <f>IFERROR(INDEX('3_ref_date'!$C:$C,MATCH(L254,'3_ref_date'!$A:$A,0)),"NOT FOUND")</f>
        <v/>
      </c>
      <c r="P254" s="4">
        <f>IFERROR(INDEX('3_ref_date'!$D:$D,MATCH(L254,'3_ref_date'!$A:$A,0)),"NOT FOUND")</f>
        <v/>
      </c>
      <c r="Q254" s="4">
        <f>IFERROR(INDEX('3_ref_date'!$E:$E,MATCH(L254,'3_ref_date'!$A:$A,0)),"NOT FOUND")</f>
        <v/>
      </c>
      <c r="R254" s="2">
        <f>IFERROR(INDEX('3_ref_date'!$F:$F,MATCH(L254,'3_ref_date'!$A:$A,0)),"NOT FOUND")</f>
        <v/>
      </c>
      <c r="S254" s="2">
        <f>IFERROR(INDEX('4_ref_time'!$D:$D,MATCH(ROUND(M254*1440,0),'4_ref_time'!$A:$A,0)),"NOT FOUND")</f>
        <v/>
      </c>
      <c r="T254" s="2">
        <f>UPPER(TRIM(C254))</f>
        <v/>
      </c>
      <c r="U254" s="30">
        <f>IF(_xlfn.MAXIFS('6_3nf_branch_history'!$B$2:$B$50,'6_3nf_branch_history'!$A$2:$A$50,T254,'6_3nf_branch_history'!$B$2:$B$50,"&lt;="&amp;L254)=0,"NOT FOUND",_xlfn.MAXIFS('6_3nf_branch_history'!$B$2:$B$50,'6_3nf_branch_history'!$A$2:$A$50,T254,'6_3nf_branch_history'!$B$2:$B$50,"&lt;="&amp;L254))</f>
        <v/>
      </c>
      <c r="V254" s="2">
        <f>IF(U254="NOT FOUND","NOT FOUND",INDEX('6_3nf_branch_history'!$C:$C,SUMPRODUCT(('6_3nf_branch_history'!$A$2:$A$50=T254)*('6_3nf_branch_history'!$B$2:$B$50=U254)*ROW('6_3nf_branch_history'!$A$2:$A$50))))</f>
        <v/>
      </c>
      <c r="W254" s="2">
        <f>IF(U254="NOT FOUND","NOT FOUND",INDEX('6_3nf_branch_history'!$D:$D,SUMPRODUCT(('6_3nf_branch_history'!$A$2:$A$50=T254)*('6_3nf_branch_history'!$B$2:$B$50=U254)*ROW('6_3nf_branch_history'!$A$2:$A$50))))</f>
        <v/>
      </c>
      <c r="X254" s="2">
        <f>IF(U254="NOT FOUND","NOT FOUND",INDEX('6_3nf_branch_history'!$E:$E,SUMPRODUCT(('6_3nf_branch_history'!$A$2:$A$50=T254)*('6_3nf_branch_history'!$B$2:$B$50=U254)*ROW('6_3nf_branch_history'!$A$2:$A$50))))</f>
        <v/>
      </c>
      <c r="Y254" s="2">
        <f>UPPER(TRIM(D254))</f>
        <v/>
      </c>
      <c r="Z254" s="2">
        <f>IFERROR(INDEX('7_3nf_product'!$B:$B,MATCH(Y254,'7_3nf_product'!$A:$A,0)),"NOT FOUND")</f>
        <v/>
      </c>
      <c r="AA254" s="2">
        <f>IFERROR(INDEX('7_3nf_product'!$C:$C,MATCH(Y254,'7_3nf_product'!$A:$A,0)),"NOT FOUND")</f>
        <v/>
      </c>
      <c r="AB254" s="2">
        <f>IFERROR(INDEX('7_3nf_product'!$D:$D,MATCH(Y254,'7_3nf_product'!$A:$A,0)),"NOT FOUND")</f>
        <v/>
      </c>
      <c r="AC254" s="6">
        <f>IFERROR(INDEX('7_3nf_product'!$E:$E,MATCH(Y254,'7_3nf_product'!$A:$A,0)),"NOT FOUND")</f>
        <v/>
      </c>
      <c r="AD254" s="33">
        <f>IF(LEN(TRIM(E254))=10,TRIM(E254),IF(LEN(TRIM(E254))=8,"00"&amp;TRIM(E254),"CHECK"))</f>
        <v/>
      </c>
      <c r="AE254" s="2">
        <f>IFERROR(INDEX('8_3nf_customer'!$C:$C,MATCH(AD254,'8_3nf_customer'!$B:$B,0)),"NOT FOUND")</f>
        <v/>
      </c>
      <c r="AF254" s="30">
        <f>IFERROR(INDEX('8_3nf_customer'!$D:$D,MATCH(AD254,'8_3nf_customer'!$B:$B,0)),"NOT FOUND")</f>
        <v/>
      </c>
      <c r="AG254" s="4">
        <f>IF(ISNUMBER(AF254),DATEDIF(AF254,L254,"y"),"NOT FOUND")</f>
        <v/>
      </c>
      <c r="AH254" s="2">
        <f>IFERROR(INDEX('8_3nf_customer'!$E:$E,MATCH(AD254,'8_3nf_customer'!$B:$B,0)),"NOT FOUND")</f>
        <v/>
      </c>
      <c r="AI254" s="30">
        <f>IF(_xlfn.MAXIFS('9_3nf_customer_history'!$B$2:$B$500,'9_3nf_customer_history'!$A$2:$A$500,AD254,'9_3nf_customer_history'!$B$2:$B$500,"&lt;="&amp;L254)=0,"NOT FOUND",_xlfn.MAXIFS('9_3nf_customer_history'!$B$2:$B$500,'9_3nf_customer_history'!$A$2:$A$500,AD254,'9_3nf_customer_history'!$B$2:$B$500,"&lt;="&amp;L254))</f>
        <v/>
      </c>
      <c r="AJ254" s="2">
        <f>IF(AI254="NOT FOUND","NOT FOUND",INDEX('9_3nf_customer_history'!$C:$C,SUMPRODUCT(('9_3nf_customer_history'!$A$2:$A$500=AD254)*('9_3nf_customer_history'!$B$2:$B$500=AI254)*ROW('9_3nf_customer_history'!$A$2:$A$500))))</f>
        <v/>
      </c>
      <c r="AK254" s="2">
        <f>IF(AI254="NOT FOUND","NOT FOUND",INDEX('9_3nf_customer_history'!$D:$D,SUMPRODUCT(('9_3nf_customer_history'!$A$2:$A$500=AD254)*('9_3nf_customer_history'!$B$2:$B$500=AI254)*ROW('9_3nf_customer_history'!$A$2:$A$500))))</f>
        <v/>
      </c>
      <c r="AL254" s="2">
        <f>UPPER(TRIM(H254))</f>
        <v/>
      </c>
      <c r="AM254" s="30">
        <f>IF(_xlfn.MAXIFS('10_ref_fx_rate'!$B$2:$B$2000,'10_ref_fx_rate'!$A$2:$A$2000,AL254,'10_ref_fx_rate'!$B$2:$B$2000,"&lt;="&amp;L254)=0,"NOT FOUND",_xlfn.MAXIFS('10_ref_fx_rate'!$B$2:$B$2000,'10_ref_fx_rate'!$A$2:$A$2000,AL254,'10_ref_fx_rate'!$B$2:$B$2000,"&lt;="&amp;L254))</f>
        <v/>
      </c>
      <c r="AN254" s="8">
        <f>IF(AM254="NOT FOUND","NOT FOUND",SUMIFS('10_ref_fx_rate'!$D$2:$D$2000,'10_ref_fx_rate'!$A$2:$A$2000,AL254,'10_ref_fx_rate'!$B$2:$B$2000,AM254))</f>
        <v/>
      </c>
      <c r="AO254" s="37">
        <f>IF(ISNUMBER(AN254),I254*AN254,"NOT FOUND")</f>
        <v/>
      </c>
      <c r="AP254" s="2">
        <f>UPPER(TRIM(J254))</f>
        <v/>
      </c>
      <c r="AQ254" s="2">
        <f>IF(AP254="","SELF-DIRECTED",IF(ISNUMBER(MATCH(AP254,'11_3nf_sales_person'!$A:$A,0)),IF(EXACT(AP254,J254),"OK","OK (auto-fixed)"),IF(ISNA(MATCH($A254,'12_sales_person_confirmation'!$A:$A,0)),"CONFIRM (not logged)",IF(INDEX('12_sales_person_confirmation'!$I:$I,MATCH($A254,'12_sales_person_confirmation'!$A:$A,0))="CONFIRMED","CONFIRMED ("&amp;LOWER(INDEX('12_sales_person_confirmation'!$E:$E,MATCH($A254,'12_sales_person_confirmation'!$A:$A,0)))&amp;")","PENDING CONFIRM"))))</f>
        <v/>
      </c>
      <c r="AR254" s="2">
        <f>IF(OR(AQ254="OK",AQ254="OK (auto-fixed)"),AP254,IF(LEFT(AQ254,9)="CONFIRMED",INDEX('12_sales_person_confirmation'!$F:$F,MATCH($A254,'12_sales_person_confirmation'!$A:$A,0)),""))</f>
        <v/>
      </c>
      <c r="AS254" s="2">
        <f>IF(AR254="","",INDEX('11_3nf_sales_person'!$B:$B,MATCH(AR254,'11_3nf_sales_person'!$A:$A,0)))</f>
        <v/>
      </c>
    </row>
    <row r="255">
      <c r="A255" s="2">
        <f>IF(ISBLANK('1_raw_log'!A255),"",'1_raw_log'!A255)</f>
        <v/>
      </c>
      <c r="B255" s="3">
        <f>IF(ISBLANK('1_raw_log'!B255),"",'1_raw_log'!B255)</f>
        <v/>
      </c>
      <c r="C255" s="2">
        <f>IF(ISBLANK('1_raw_log'!C255),"",'1_raw_log'!C255)</f>
        <v/>
      </c>
      <c r="D255" s="2">
        <f>IF(ISBLANK('1_raw_log'!D255),"",'1_raw_log'!D255)</f>
        <v/>
      </c>
      <c r="E255" s="4">
        <f>IF(ISBLANK('1_raw_log'!E255),"",'1_raw_log'!E255)</f>
        <v/>
      </c>
      <c r="F255" s="2">
        <f>IF(ISBLANK('1_raw_log'!F255),"",'1_raw_log'!F255)</f>
        <v/>
      </c>
      <c r="G255" s="2">
        <f>IF(ISBLANK('1_raw_log'!G255),"",'1_raw_log'!G255)</f>
        <v/>
      </c>
      <c r="H255" s="2">
        <f>IF(ISBLANK('1_raw_log'!H255),"",'1_raw_log'!H255)</f>
        <v/>
      </c>
      <c r="I255" s="7">
        <f>IF(ISBLANK('1_raw_log'!I255),"",'1_raw_log'!I255)</f>
        <v/>
      </c>
      <c r="J255" s="2">
        <f>IF(ISBLANK('1_raw_log'!J255),"",'1_raw_log'!J255)</f>
        <v/>
      </c>
      <c r="K255" s="2">
        <f>IF(ISBLANK('1_raw_log'!K255),"",'1_raw_log'!K255)</f>
        <v/>
      </c>
      <c r="L255" s="30">
        <f>INT(B255)</f>
        <v/>
      </c>
      <c r="M255" s="20">
        <f>ROUND(MOD(B255,1)*1440,0)/1440</f>
        <v/>
      </c>
      <c r="N255" s="4">
        <f>IFERROR(INDEX('3_ref_date'!$B:$B,MATCH(L255,'3_ref_date'!$A:$A,0)),"NOT FOUND")</f>
        <v/>
      </c>
      <c r="O255" s="2">
        <f>IFERROR(INDEX('3_ref_date'!$C:$C,MATCH(L255,'3_ref_date'!$A:$A,0)),"NOT FOUND")</f>
        <v/>
      </c>
      <c r="P255" s="4">
        <f>IFERROR(INDEX('3_ref_date'!$D:$D,MATCH(L255,'3_ref_date'!$A:$A,0)),"NOT FOUND")</f>
        <v/>
      </c>
      <c r="Q255" s="4">
        <f>IFERROR(INDEX('3_ref_date'!$E:$E,MATCH(L255,'3_ref_date'!$A:$A,0)),"NOT FOUND")</f>
        <v/>
      </c>
      <c r="R255" s="2">
        <f>IFERROR(INDEX('3_ref_date'!$F:$F,MATCH(L255,'3_ref_date'!$A:$A,0)),"NOT FOUND")</f>
        <v/>
      </c>
      <c r="S255" s="2">
        <f>IFERROR(INDEX('4_ref_time'!$D:$D,MATCH(ROUND(M255*1440,0),'4_ref_time'!$A:$A,0)),"NOT FOUND")</f>
        <v/>
      </c>
      <c r="T255" s="2">
        <f>UPPER(TRIM(C255))</f>
        <v/>
      </c>
      <c r="U255" s="30">
        <f>IF(_xlfn.MAXIFS('6_3nf_branch_history'!$B$2:$B$50,'6_3nf_branch_history'!$A$2:$A$50,T255,'6_3nf_branch_history'!$B$2:$B$50,"&lt;="&amp;L255)=0,"NOT FOUND",_xlfn.MAXIFS('6_3nf_branch_history'!$B$2:$B$50,'6_3nf_branch_history'!$A$2:$A$50,T255,'6_3nf_branch_history'!$B$2:$B$50,"&lt;="&amp;L255))</f>
        <v/>
      </c>
      <c r="V255" s="2">
        <f>IF(U255="NOT FOUND","NOT FOUND",INDEX('6_3nf_branch_history'!$C:$C,SUMPRODUCT(('6_3nf_branch_history'!$A$2:$A$50=T255)*('6_3nf_branch_history'!$B$2:$B$50=U255)*ROW('6_3nf_branch_history'!$A$2:$A$50))))</f>
        <v/>
      </c>
      <c r="W255" s="2">
        <f>IF(U255="NOT FOUND","NOT FOUND",INDEX('6_3nf_branch_history'!$D:$D,SUMPRODUCT(('6_3nf_branch_history'!$A$2:$A$50=T255)*('6_3nf_branch_history'!$B$2:$B$50=U255)*ROW('6_3nf_branch_history'!$A$2:$A$50))))</f>
        <v/>
      </c>
      <c r="X255" s="2">
        <f>IF(U255="NOT FOUND","NOT FOUND",INDEX('6_3nf_branch_history'!$E:$E,SUMPRODUCT(('6_3nf_branch_history'!$A$2:$A$50=T255)*('6_3nf_branch_history'!$B$2:$B$50=U255)*ROW('6_3nf_branch_history'!$A$2:$A$50))))</f>
        <v/>
      </c>
      <c r="Y255" s="2">
        <f>UPPER(TRIM(D255))</f>
        <v/>
      </c>
      <c r="Z255" s="2">
        <f>IFERROR(INDEX('7_3nf_product'!$B:$B,MATCH(Y255,'7_3nf_product'!$A:$A,0)),"NOT FOUND")</f>
        <v/>
      </c>
      <c r="AA255" s="2">
        <f>IFERROR(INDEX('7_3nf_product'!$C:$C,MATCH(Y255,'7_3nf_product'!$A:$A,0)),"NOT FOUND")</f>
        <v/>
      </c>
      <c r="AB255" s="2">
        <f>IFERROR(INDEX('7_3nf_product'!$D:$D,MATCH(Y255,'7_3nf_product'!$A:$A,0)),"NOT FOUND")</f>
        <v/>
      </c>
      <c r="AC255" s="6">
        <f>IFERROR(INDEX('7_3nf_product'!$E:$E,MATCH(Y255,'7_3nf_product'!$A:$A,0)),"NOT FOUND")</f>
        <v/>
      </c>
      <c r="AD255" s="33">
        <f>IF(LEN(TRIM(E255))=10,TRIM(E255),IF(LEN(TRIM(E255))=8,"00"&amp;TRIM(E255),"CHECK"))</f>
        <v/>
      </c>
      <c r="AE255" s="2">
        <f>IFERROR(INDEX('8_3nf_customer'!$C:$C,MATCH(AD255,'8_3nf_customer'!$B:$B,0)),"NOT FOUND")</f>
        <v/>
      </c>
      <c r="AF255" s="30">
        <f>IFERROR(INDEX('8_3nf_customer'!$D:$D,MATCH(AD255,'8_3nf_customer'!$B:$B,0)),"NOT FOUND")</f>
        <v/>
      </c>
      <c r="AG255" s="4">
        <f>IF(ISNUMBER(AF255),DATEDIF(AF255,L255,"y"),"NOT FOUND")</f>
        <v/>
      </c>
      <c r="AH255" s="2">
        <f>IFERROR(INDEX('8_3nf_customer'!$E:$E,MATCH(AD255,'8_3nf_customer'!$B:$B,0)),"NOT FOUND")</f>
        <v/>
      </c>
      <c r="AI255" s="30">
        <f>IF(_xlfn.MAXIFS('9_3nf_customer_history'!$B$2:$B$500,'9_3nf_customer_history'!$A$2:$A$500,AD255,'9_3nf_customer_history'!$B$2:$B$500,"&lt;="&amp;L255)=0,"NOT FOUND",_xlfn.MAXIFS('9_3nf_customer_history'!$B$2:$B$500,'9_3nf_customer_history'!$A$2:$A$500,AD255,'9_3nf_customer_history'!$B$2:$B$500,"&lt;="&amp;L255))</f>
        <v/>
      </c>
      <c r="AJ255" s="2">
        <f>IF(AI255="NOT FOUND","NOT FOUND",INDEX('9_3nf_customer_history'!$C:$C,SUMPRODUCT(('9_3nf_customer_history'!$A$2:$A$500=AD255)*('9_3nf_customer_history'!$B$2:$B$500=AI255)*ROW('9_3nf_customer_history'!$A$2:$A$500))))</f>
        <v/>
      </c>
      <c r="AK255" s="2">
        <f>IF(AI255="NOT FOUND","NOT FOUND",INDEX('9_3nf_customer_history'!$D:$D,SUMPRODUCT(('9_3nf_customer_history'!$A$2:$A$500=AD255)*('9_3nf_customer_history'!$B$2:$B$500=AI255)*ROW('9_3nf_customer_history'!$A$2:$A$500))))</f>
        <v/>
      </c>
      <c r="AL255" s="2">
        <f>UPPER(TRIM(H255))</f>
        <v/>
      </c>
      <c r="AM255" s="30">
        <f>IF(_xlfn.MAXIFS('10_ref_fx_rate'!$B$2:$B$2000,'10_ref_fx_rate'!$A$2:$A$2000,AL255,'10_ref_fx_rate'!$B$2:$B$2000,"&lt;="&amp;L255)=0,"NOT FOUND",_xlfn.MAXIFS('10_ref_fx_rate'!$B$2:$B$2000,'10_ref_fx_rate'!$A$2:$A$2000,AL255,'10_ref_fx_rate'!$B$2:$B$2000,"&lt;="&amp;L255))</f>
        <v/>
      </c>
      <c r="AN255" s="8">
        <f>IF(AM255="NOT FOUND","NOT FOUND",SUMIFS('10_ref_fx_rate'!$D$2:$D$2000,'10_ref_fx_rate'!$A$2:$A$2000,AL255,'10_ref_fx_rate'!$B$2:$B$2000,AM255))</f>
        <v/>
      </c>
      <c r="AO255" s="37">
        <f>IF(ISNUMBER(AN255),I255*AN255,"NOT FOUND")</f>
        <v/>
      </c>
      <c r="AP255" s="2">
        <f>UPPER(TRIM(J255))</f>
        <v/>
      </c>
      <c r="AQ255" s="2">
        <f>IF(AP255="","SELF-DIRECTED",IF(ISNUMBER(MATCH(AP255,'11_3nf_sales_person'!$A:$A,0)),IF(EXACT(AP255,J255),"OK","OK (auto-fixed)"),IF(ISNA(MATCH($A255,'12_sales_person_confirmation'!$A:$A,0)),"CONFIRM (not logged)",IF(INDEX('12_sales_person_confirmation'!$I:$I,MATCH($A255,'12_sales_person_confirmation'!$A:$A,0))="CONFIRMED","CONFIRMED ("&amp;LOWER(INDEX('12_sales_person_confirmation'!$E:$E,MATCH($A255,'12_sales_person_confirmation'!$A:$A,0)))&amp;")","PENDING CONFIRM"))))</f>
        <v/>
      </c>
      <c r="AR255" s="2">
        <f>IF(OR(AQ255="OK",AQ255="OK (auto-fixed)"),AP255,IF(LEFT(AQ255,9)="CONFIRMED",INDEX('12_sales_person_confirmation'!$F:$F,MATCH($A255,'12_sales_person_confirmation'!$A:$A,0)),""))</f>
        <v/>
      </c>
      <c r="AS255" s="2">
        <f>IF(AR255="","",INDEX('11_3nf_sales_person'!$B:$B,MATCH(AR255,'11_3nf_sales_person'!$A:$A,0)))</f>
        <v/>
      </c>
    </row>
    <row r="256">
      <c r="A256" s="2">
        <f>IF(ISBLANK('1_raw_log'!A256),"",'1_raw_log'!A256)</f>
        <v/>
      </c>
      <c r="B256" s="3">
        <f>IF(ISBLANK('1_raw_log'!B256),"",'1_raw_log'!B256)</f>
        <v/>
      </c>
      <c r="C256" s="2">
        <f>IF(ISBLANK('1_raw_log'!C256),"",'1_raw_log'!C256)</f>
        <v/>
      </c>
      <c r="D256" s="2">
        <f>IF(ISBLANK('1_raw_log'!D256),"",'1_raw_log'!D256)</f>
        <v/>
      </c>
      <c r="E256" s="4">
        <f>IF(ISBLANK('1_raw_log'!E256),"",'1_raw_log'!E256)</f>
        <v/>
      </c>
      <c r="F256" s="2">
        <f>IF(ISBLANK('1_raw_log'!F256),"",'1_raw_log'!F256)</f>
        <v/>
      </c>
      <c r="G256" s="2">
        <f>IF(ISBLANK('1_raw_log'!G256),"",'1_raw_log'!G256)</f>
        <v/>
      </c>
      <c r="H256" s="2">
        <f>IF(ISBLANK('1_raw_log'!H256),"",'1_raw_log'!H256)</f>
        <v/>
      </c>
      <c r="I256" s="7">
        <f>IF(ISBLANK('1_raw_log'!I256),"",'1_raw_log'!I256)</f>
        <v/>
      </c>
      <c r="J256" s="2">
        <f>IF(ISBLANK('1_raw_log'!J256),"",'1_raw_log'!J256)</f>
        <v/>
      </c>
      <c r="K256" s="2">
        <f>IF(ISBLANK('1_raw_log'!K256),"",'1_raw_log'!K256)</f>
        <v/>
      </c>
      <c r="L256" s="30">
        <f>INT(B256)</f>
        <v/>
      </c>
      <c r="M256" s="20">
        <f>ROUND(MOD(B256,1)*1440,0)/1440</f>
        <v/>
      </c>
      <c r="N256" s="4">
        <f>IFERROR(INDEX('3_ref_date'!$B:$B,MATCH(L256,'3_ref_date'!$A:$A,0)),"NOT FOUND")</f>
        <v/>
      </c>
      <c r="O256" s="2">
        <f>IFERROR(INDEX('3_ref_date'!$C:$C,MATCH(L256,'3_ref_date'!$A:$A,0)),"NOT FOUND")</f>
        <v/>
      </c>
      <c r="P256" s="4">
        <f>IFERROR(INDEX('3_ref_date'!$D:$D,MATCH(L256,'3_ref_date'!$A:$A,0)),"NOT FOUND")</f>
        <v/>
      </c>
      <c r="Q256" s="4">
        <f>IFERROR(INDEX('3_ref_date'!$E:$E,MATCH(L256,'3_ref_date'!$A:$A,0)),"NOT FOUND")</f>
        <v/>
      </c>
      <c r="R256" s="2">
        <f>IFERROR(INDEX('3_ref_date'!$F:$F,MATCH(L256,'3_ref_date'!$A:$A,0)),"NOT FOUND")</f>
        <v/>
      </c>
      <c r="S256" s="2">
        <f>IFERROR(INDEX('4_ref_time'!$D:$D,MATCH(ROUND(M256*1440,0),'4_ref_time'!$A:$A,0)),"NOT FOUND")</f>
        <v/>
      </c>
      <c r="T256" s="2">
        <f>UPPER(TRIM(C256))</f>
        <v/>
      </c>
      <c r="U256" s="30">
        <f>IF(_xlfn.MAXIFS('6_3nf_branch_history'!$B$2:$B$50,'6_3nf_branch_history'!$A$2:$A$50,T256,'6_3nf_branch_history'!$B$2:$B$50,"&lt;="&amp;L256)=0,"NOT FOUND",_xlfn.MAXIFS('6_3nf_branch_history'!$B$2:$B$50,'6_3nf_branch_history'!$A$2:$A$50,T256,'6_3nf_branch_history'!$B$2:$B$50,"&lt;="&amp;L256))</f>
        <v/>
      </c>
      <c r="V256" s="2">
        <f>IF(U256="NOT FOUND","NOT FOUND",INDEX('6_3nf_branch_history'!$C:$C,SUMPRODUCT(('6_3nf_branch_history'!$A$2:$A$50=T256)*('6_3nf_branch_history'!$B$2:$B$50=U256)*ROW('6_3nf_branch_history'!$A$2:$A$50))))</f>
        <v/>
      </c>
      <c r="W256" s="2">
        <f>IF(U256="NOT FOUND","NOT FOUND",INDEX('6_3nf_branch_history'!$D:$D,SUMPRODUCT(('6_3nf_branch_history'!$A$2:$A$50=T256)*('6_3nf_branch_history'!$B$2:$B$50=U256)*ROW('6_3nf_branch_history'!$A$2:$A$50))))</f>
        <v/>
      </c>
      <c r="X256" s="2">
        <f>IF(U256="NOT FOUND","NOT FOUND",INDEX('6_3nf_branch_history'!$E:$E,SUMPRODUCT(('6_3nf_branch_history'!$A$2:$A$50=T256)*('6_3nf_branch_history'!$B$2:$B$50=U256)*ROW('6_3nf_branch_history'!$A$2:$A$50))))</f>
        <v/>
      </c>
      <c r="Y256" s="2">
        <f>UPPER(TRIM(D256))</f>
        <v/>
      </c>
      <c r="Z256" s="2">
        <f>IFERROR(INDEX('7_3nf_product'!$B:$B,MATCH(Y256,'7_3nf_product'!$A:$A,0)),"NOT FOUND")</f>
        <v/>
      </c>
      <c r="AA256" s="2">
        <f>IFERROR(INDEX('7_3nf_product'!$C:$C,MATCH(Y256,'7_3nf_product'!$A:$A,0)),"NOT FOUND")</f>
        <v/>
      </c>
      <c r="AB256" s="2">
        <f>IFERROR(INDEX('7_3nf_product'!$D:$D,MATCH(Y256,'7_3nf_product'!$A:$A,0)),"NOT FOUND")</f>
        <v/>
      </c>
      <c r="AC256" s="6">
        <f>IFERROR(INDEX('7_3nf_product'!$E:$E,MATCH(Y256,'7_3nf_product'!$A:$A,0)),"NOT FOUND")</f>
        <v/>
      </c>
      <c r="AD256" s="33">
        <f>IF(LEN(TRIM(E256))=10,TRIM(E256),IF(LEN(TRIM(E256))=8,"00"&amp;TRIM(E256),"CHECK"))</f>
        <v/>
      </c>
      <c r="AE256" s="2">
        <f>IFERROR(INDEX('8_3nf_customer'!$C:$C,MATCH(AD256,'8_3nf_customer'!$B:$B,0)),"NOT FOUND")</f>
        <v/>
      </c>
      <c r="AF256" s="30">
        <f>IFERROR(INDEX('8_3nf_customer'!$D:$D,MATCH(AD256,'8_3nf_customer'!$B:$B,0)),"NOT FOUND")</f>
        <v/>
      </c>
      <c r="AG256" s="4">
        <f>IF(ISNUMBER(AF256),DATEDIF(AF256,L256,"y"),"NOT FOUND")</f>
        <v/>
      </c>
      <c r="AH256" s="2">
        <f>IFERROR(INDEX('8_3nf_customer'!$E:$E,MATCH(AD256,'8_3nf_customer'!$B:$B,0)),"NOT FOUND")</f>
        <v/>
      </c>
      <c r="AI256" s="30">
        <f>IF(_xlfn.MAXIFS('9_3nf_customer_history'!$B$2:$B$500,'9_3nf_customer_history'!$A$2:$A$500,AD256,'9_3nf_customer_history'!$B$2:$B$500,"&lt;="&amp;L256)=0,"NOT FOUND",_xlfn.MAXIFS('9_3nf_customer_history'!$B$2:$B$500,'9_3nf_customer_history'!$A$2:$A$500,AD256,'9_3nf_customer_history'!$B$2:$B$500,"&lt;="&amp;L256))</f>
        <v/>
      </c>
      <c r="AJ256" s="2">
        <f>IF(AI256="NOT FOUND","NOT FOUND",INDEX('9_3nf_customer_history'!$C:$C,SUMPRODUCT(('9_3nf_customer_history'!$A$2:$A$500=AD256)*('9_3nf_customer_history'!$B$2:$B$500=AI256)*ROW('9_3nf_customer_history'!$A$2:$A$500))))</f>
        <v/>
      </c>
      <c r="AK256" s="2">
        <f>IF(AI256="NOT FOUND","NOT FOUND",INDEX('9_3nf_customer_history'!$D:$D,SUMPRODUCT(('9_3nf_customer_history'!$A$2:$A$500=AD256)*('9_3nf_customer_history'!$B$2:$B$500=AI256)*ROW('9_3nf_customer_history'!$A$2:$A$500))))</f>
        <v/>
      </c>
      <c r="AL256" s="2">
        <f>UPPER(TRIM(H256))</f>
        <v/>
      </c>
      <c r="AM256" s="30">
        <f>IF(_xlfn.MAXIFS('10_ref_fx_rate'!$B$2:$B$2000,'10_ref_fx_rate'!$A$2:$A$2000,AL256,'10_ref_fx_rate'!$B$2:$B$2000,"&lt;="&amp;L256)=0,"NOT FOUND",_xlfn.MAXIFS('10_ref_fx_rate'!$B$2:$B$2000,'10_ref_fx_rate'!$A$2:$A$2000,AL256,'10_ref_fx_rate'!$B$2:$B$2000,"&lt;="&amp;L256))</f>
        <v/>
      </c>
      <c r="AN256" s="8">
        <f>IF(AM256="NOT FOUND","NOT FOUND",SUMIFS('10_ref_fx_rate'!$D$2:$D$2000,'10_ref_fx_rate'!$A$2:$A$2000,AL256,'10_ref_fx_rate'!$B$2:$B$2000,AM256))</f>
        <v/>
      </c>
      <c r="AO256" s="37">
        <f>IF(ISNUMBER(AN256),I256*AN256,"NOT FOUND")</f>
        <v/>
      </c>
      <c r="AP256" s="2">
        <f>UPPER(TRIM(J256))</f>
        <v/>
      </c>
      <c r="AQ256" s="2">
        <f>IF(AP256="","SELF-DIRECTED",IF(ISNUMBER(MATCH(AP256,'11_3nf_sales_person'!$A:$A,0)),IF(EXACT(AP256,J256),"OK","OK (auto-fixed)"),IF(ISNA(MATCH($A256,'12_sales_person_confirmation'!$A:$A,0)),"CONFIRM (not logged)",IF(INDEX('12_sales_person_confirmation'!$I:$I,MATCH($A256,'12_sales_person_confirmation'!$A:$A,0))="CONFIRMED","CONFIRMED ("&amp;LOWER(INDEX('12_sales_person_confirmation'!$E:$E,MATCH($A256,'12_sales_person_confirmation'!$A:$A,0)))&amp;")","PENDING CONFIRM"))))</f>
        <v/>
      </c>
      <c r="AR256" s="2">
        <f>IF(OR(AQ256="OK",AQ256="OK (auto-fixed)"),AP256,IF(LEFT(AQ256,9)="CONFIRMED",INDEX('12_sales_person_confirmation'!$F:$F,MATCH($A256,'12_sales_person_confirmation'!$A:$A,0)),""))</f>
        <v/>
      </c>
      <c r="AS256" s="2">
        <f>IF(AR256="","",INDEX('11_3nf_sales_person'!$B:$B,MATCH(AR256,'11_3nf_sales_person'!$A:$A,0)))</f>
        <v/>
      </c>
    </row>
    <row r="257">
      <c r="A257" s="2">
        <f>IF(ISBLANK('1_raw_log'!A257),"",'1_raw_log'!A257)</f>
        <v/>
      </c>
      <c r="B257" s="3">
        <f>IF(ISBLANK('1_raw_log'!B257),"",'1_raw_log'!B257)</f>
        <v/>
      </c>
      <c r="C257" s="2">
        <f>IF(ISBLANK('1_raw_log'!C257),"",'1_raw_log'!C257)</f>
        <v/>
      </c>
      <c r="D257" s="2">
        <f>IF(ISBLANK('1_raw_log'!D257),"",'1_raw_log'!D257)</f>
        <v/>
      </c>
      <c r="E257" s="4">
        <f>IF(ISBLANK('1_raw_log'!E257),"",'1_raw_log'!E257)</f>
        <v/>
      </c>
      <c r="F257" s="2">
        <f>IF(ISBLANK('1_raw_log'!F257),"",'1_raw_log'!F257)</f>
        <v/>
      </c>
      <c r="G257" s="2">
        <f>IF(ISBLANK('1_raw_log'!G257),"",'1_raw_log'!G257)</f>
        <v/>
      </c>
      <c r="H257" s="2">
        <f>IF(ISBLANK('1_raw_log'!H257),"",'1_raw_log'!H257)</f>
        <v/>
      </c>
      <c r="I257" s="7">
        <f>IF(ISBLANK('1_raw_log'!I257),"",'1_raw_log'!I257)</f>
        <v/>
      </c>
      <c r="J257" s="2">
        <f>IF(ISBLANK('1_raw_log'!J257),"",'1_raw_log'!J257)</f>
        <v/>
      </c>
      <c r="K257" s="2">
        <f>IF(ISBLANK('1_raw_log'!K257),"",'1_raw_log'!K257)</f>
        <v/>
      </c>
      <c r="L257" s="30">
        <f>INT(B257)</f>
        <v/>
      </c>
      <c r="M257" s="20">
        <f>ROUND(MOD(B257,1)*1440,0)/1440</f>
        <v/>
      </c>
      <c r="N257" s="4">
        <f>IFERROR(INDEX('3_ref_date'!$B:$B,MATCH(L257,'3_ref_date'!$A:$A,0)),"NOT FOUND")</f>
        <v/>
      </c>
      <c r="O257" s="2">
        <f>IFERROR(INDEX('3_ref_date'!$C:$C,MATCH(L257,'3_ref_date'!$A:$A,0)),"NOT FOUND")</f>
        <v/>
      </c>
      <c r="P257" s="4">
        <f>IFERROR(INDEX('3_ref_date'!$D:$D,MATCH(L257,'3_ref_date'!$A:$A,0)),"NOT FOUND")</f>
        <v/>
      </c>
      <c r="Q257" s="4">
        <f>IFERROR(INDEX('3_ref_date'!$E:$E,MATCH(L257,'3_ref_date'!$A:$A,0)),"NOT FOUND")</f>
        <v/>
      </c>
      <c r="R257" s="2">
        <f>IFERROR(INDEX('3_ref_date'!$F:$F,MATCH(L257,'3_ref_date'!$A:$A,0)),"NOT FOUND")</f>
        <v/>
      </c>
      <c r="S257" s="2">
        <f>IFERROR(INDEX('4_ref_time'!$D:$D,MATCH(ROUND(M257*1440,0),'4_ref_time'!$A:$A,0)),"NOT FOUND")</f>
        <v/>
      </c>
      <c r="T257" s="2">
        <f>UPPER(TRIM(C257))</f>
        <v/>
      </c>
      <c r="U257" s="30">
        <f>IF(_xlfn.MAXIFS('6_3nf_branch_history'!$B$2:$B$50,'6_3nf_branch_history'!$A$2:$A$50,T257,'6_3nf_branch_history'!$B$2:$B$50,"&lt;="&amp;L257)=0,"NOT FOUND",_xlfn.MAXIFS('6_3nf_branch_history'!$B$2:$B$50,'6_3nf_branch_history'!$A$2:$A$50,T257,'6_3nf_branch_history'!$B$2:$B$50,"&lt;="&amp;L257))</f>
        <v/>
      </c>
      <c r="V257" s="2">
        <f>IF(U257="NOT FOUND","NOT FOUND",INDEX('6_3nf_branch_history'!$C:$C,SUMPRODUCT(('6_3nf_branch_history'!$A$2:$A$50=T257)*('6_3nf_branch_history'!$B$2:$B$50=U257)*ROW('6_3nf_branch_history'!$A$2:$A$50))))</f>
        <v/>
      </c>
      <c r="W257" s="2">
        <f>IF(U257="NOT FOUND","NOT FOUND",INDEX('6_3nf_branch_history'!$D:$D,SUMPRODUCT(('6_3nf_branch_history'!$A$2:$A$50=T257)*('6_3nf_branch_history'!$B$2:$B$50=U257)*ROW('6_3nf_branch_history'!$A$2:$A$50))))</f>
        <v/>
      </c>
      <c r="X257" s="2">
        <f>IF(U257="NOT FOUND","NOT FOUND",INDEX('6_3nf_branch_history'!$E:$E,SUMPRODUCT(('6_3nf_branch_history'!$A$2:$A$50=T257)*('6_3nf_branch_history'!$B$2:$B$50=U257)*ROW('6_3nf_branch_history'!$A$2:$A$50))))</f>
        <v/>
      </c>
      <c r="Y257" s="2">
        <f>UPPER(TRIM(D257))</f>
        <v/>
      </c>
      <c r="Z257" s="2">
        <f>IFERROR(INDEX('7_3nf_product'!$B:$B,MATCH(Y257,'7_3nf_product'!$A:$A,0)),"NOT FOUND")</f>
        <v/>
      </c>
      <c r="AA257" s="2">
        <f>IFERROR(INDEX('7_3nf_product'!$C:$C,MATCH(Y257,'7_3nf_product'!$A:$A,0)),"NOT FOUND")</f>
        <v/>
      </c>
      <c r="AB257" s="2">
        <f>IFERROR(INDEX('7_3nf_product'!$D:$D,MATCH(Y257,'7_3nf_product'!$A:$A,0)),"NOT FOUND")</f>
        <v/>
      </c>
      <c r="AC257" s="6">
        <f>IFERROR(INDEX('7_3nf_product'!$E:$E,MATCH(Y257,'7_3nf_product'!$A:$A,0)),"NOT FOUND")</f>
        <v/>
      </c>
      <c r="AD257" s="33">
        <f>IF(LEN(TRIM(E257))=10,TRIM(E257),IF(LEN(TRIM(E257))=8,"00"&amp;TRIM(E257),"CHECK"))</f>
        <v/>
      </c>
      <c r="AE257" s="2">
        <f>IFERROR(INDEX('8_3nf_customer'!$C:$C,MATCH(AD257,'8_3nf_customer'!$B:$B,0)),"NOT FOUND")</f>
        <v/>
      </c>
      <c r="AF257" s="30">
        <f>IFERROR(INDEX('8_3nf_customer'!$D:$D,MATCH(AD257,'8_3nf_customer'!$B:$B,0)),"NOT FOUND")</f>
        <v/>
      </c>
      <c r="AG257" s="4">
        <f>IF(ISNUMBER(AF257),DATEDIF(AF257,L257,"y"),"NOT FOUND")</f>
        <v/>
      </c>
      <c r="AH257" s="2">
        <f>IFERROR(INDEX('8_3nf_customer'!$E:$E,MATCH(AD257,'8_3nf_customer'!$B:$B,0)),"NOT FOUND")</f>
        <v/>
      </c>
      <c r="AI257" s="30">
        <f>IF(_xlfn.MAXIFS('9_3nf_customer_history'!$B$2:$B$500,'9_3nf_customer_history'!$A$2:$A$500,AD257,'9_3nf_customer_history'!$B$2:$B$500,"&lt;="&amp;L257)=0,"NOT FOUND",_xlfn.MAXIFS('9_3nf_customer_history'!$B$2:$B$500,'9_3nf_customer_history'!$A$2:$A$500,AD257,'9_3nf_customer_history'!$B$2:$B$500,"&lt;="&amp;L257))</f>
        <v/>
      </c>
      <c r="AJ257" s="2">
        <f>IF(AI257="NOT FOUND","NOT FOUND",INDEX('9_3nf_customer_history'!$C:$C,SUMPRODUCT(('9_3nf_customer_history'!$A$2:$A$500=AD257)*('9_3nf_customer_history'!$B$2:$B$500=AI257)*ROW('9_3nf_customer_history'!$A$2:$A$500))))</f>
        <v/>
      </c>
      <c r="AK257" s="2">
        <f>IF(AI257="NOT FOUND","NOT FOUND",INDEX('9_3nf_customer_history'!$D:$D,SUMPRODUCT(('9_3nf_customer_history'!$A$2:$A$500=AD257)*('9_3nf_customer_history'!$B$2:$B$500=AI257)*ROW('9_3nf_customer_history'!$A$2:$A$500))))</f>
        <v/>
      </c>
      <c r="AL257" s="2">
        <f>UPPER(TRIM(H257))</f>
        <v/>
      </c>
      <c r="AM257" s="30">
        <f>IF(_xlfn.MAXIFS('10_ref_fx_rate'!$B$2:$B$2000,'10_ref_fx_rate'!$A$2:$A$2000,AL257,'10_ref_fx_rate'!$B$2:$B$2000,"&lt;="&amp;L257)=0,"NOT FOUND",_xlfn.MAXIFS('10_ref_fx_rate'!$B$2:$B$2000,'10_ref_fx_rate'!$A$2:$A$2000,AL257,'10_ref_fx_rate'!$B$2:$B$2000,"&lt;="&amp;L257))</f>
        <v/>
      </c>
      <c r="AN257" s="8">
        <f>IF(AM257="NOT FOUND","NOT FOUND",SUMIFS('10_ref_fx_rate'!$D$2:$D$2000,'10_ref_fx_rate'!$A$2:$A$2000,AL257,'10_ref_fx_rate'!$B$2:$B$2000,AM257))</f>
        <v/>
      </c>
      <c r="AO257" s="37">
        <f>IF(ISNUMBER(AN257),I257*AN257,"NOT FOUND")</f>
        <v/>
      </c>
      <c r="AP257" s="2">
        <f>UPPER(TRIM(J257))</f>
        <v/>
      </c>
      <c r="AQ257" s="2">
        <f>IF(AP257="","SELF-DIRECTED",IF(ISNUMBER(MATCH(AP257,'11_3nf_sales_person'!$A:$A,0)),IF(EXACT(AP257,J257),"OK","OK (auto-fixed)"),IF(ISNA(MATCH($A257,'12_sales_person_confirmation'!$A:$A,0)),"CONFIRM (not logged)",IF(INDEX('12_sales_person_confirmation'!$I:$I,MATCH($A257,'12_sales_person_confirmation'!$A:$A,0))="CONFIRMED","CONFIRMED ("&amp;LOWER(INDEX('12_sales_person_confirmation'!$E:$E,MATCH($A257,'12_sales_person_confirmation'!$A:$A,0)))&amp;")","PENDING CONFIRM"))))</f>
        <v/>
      </c>
      <c r="AR257" s="2">
        <f>IF(OR(AQ257="OK",AQ257="OK (auto-fixed)"),AP257,IF(LEFT(AQ257,9)="CONFIRMED",INDEX('12_sales_person_confirmation'!$F:$F,MATCH($A257,'12_sales_person_confirmation'!$A:$A,0)),""))</f>
        <v/>
      </c>
      <c r="AS257" s="2">
        <f>IF(AR257="","",INDEX('11_3nf_sales_person'!$B:$B,MATCH(AR257,'11_3nf_sales_person'!$A:$A,0)))</f>
        <v/>
      </c>
    </row>
    <row r="258">
      <c r="A258" s="2">
        <f>IF(ISBLANK('1_raw_log'!A258),"",'1_raw_log'!A258)</f>
        <v/>
      </c>
      <c r="B258" s="3">
        <f>IF(ISBLANK('1_raw_log'!B258),"",'1_raw_log'!B258)</f>
        <v/>
      </c>
      <c r="C258" s="2">
        <f>IF(ISBLANK('1_raw_log'!C258),"",'1_raw_log'!C258)</f>
        <v/>
      </c>
      <c r="D258" s="2">
        <f>IF(ISBLANK('1_raw_log'!D258),"",'1_raw_log'!D258)</f>
        <v/>
      </c>
      <c r="E258" s="4">
        <f>IF(ISBLANK('1_raw_log'!E258),"",'1_raw_log'!E258)</f>
        <v/>
      </c>
      <c r="F258" s="2">
        <f>IF(ISBLANK('1_raw_log'!F258),"",'1_raw_log'!F258)</f>
        <v/>
      </c>
      <c r="G258" s="2">
        <f>IF(ISBLANK('1_raw_log'!G258),"",'1_raw_log'!G258)</f>
        <v/>
      </c>
      <c r="H258" s="2">
        <f>IF(ISBLANK('1_raw_log'!H258),"",'1_raw_log'!H258)</f>
        <v/>
      </c>
      <c r="I258" s="7">
        <f>IF(ISBLANK('1_raw_log'!I258),"",'1_raw_log'!I258)</f>
        <v/>
      </c>
      <c r="J258" s="2">
        <f>IF(ISBLANK('1_raw_log'!J258),"",'1_raw_log'!J258)</f>
        <v/>
      </c>
      <c r="K258" s="2">
        <f>IF(ISBLANK('1_raw_log'!K258),"",'1_raw_log'!K258)</f>
        <v/>
      </c>
      <c r="L258" s="30">
        <f>INT(B258)</f>
        <v/>
      </c>
      <c r="M258" s="20">
        <f>ROUND(MOD(B258,1)*1440,0)/1440</f>
        <v/>
      </c>
      <c r="N258" s="4">
        <f>IFERROR(INDEX('3_ref_date'!$B:$B,MATCH(L258,'3_ref_date'!$A:$A,0)),"NOT FOUND")</f>
        <v/>
      </c>
      <c r="O258" s="2">
        <f>IFERROR(INDEX('3_ref_date'!$C:$C,MATCH(L258,'3_ref_date'!$A:$A,0)),"NOT FOUND")</f>
        <v/>
      </c>
      <c r="P258" s="4">
        <f>IFERROR(INDEX('3_ref_date'!$D:$D,MATCH(L258,'3_ref_date'!$A:$A,0)),"NOT FOUND")</f>
        <v/>
      </c>
      <c r="Q258" s="4">
        <f>IFERROR(INDEX('3_ref_date'!$E:$E,MATCH(L258,'3_ref_date'!$A:$A,0)),"NOT FOUND")</f>
        <v/>
      </c>
      <c r="R258" s="2">
        <f>IFERROR(INDEX('3_ref_date'!$F:$F,MATCH(L258,'3_ref_date'!$A:$A,0)),"NOT FOUND")</f>
        <v/>
      </c>
      <c r="S258" s="2">
        <f>IFERROR(INDEX('4_ref_time'!$D:$D,MATCH(ROUND(M258*1440,0),'4_ref_time'!$A:$A,0)),"NOT FOUND")</f>
        <v/>
      </c>
      <c r="T258" s="2">
        <f>UPPER(TRIM(C258))</f>
        <v/>
      </c>
      <c r="U258" s="30">
        <f>IF(_xlfn.MAXIFS('6_3nf_branch_history'!$B$2:$B$50,'6_3nf_branch_history'!$A$2:$A$50,T258,'6_3nf_branch_history'!$B$2:$B$50,"&lt;="&amp;L258)=0,"NOT FOUND",_xlfn.MAXIFS('6_3nf_branch_history'!$B$2:$B$50,'6_3nf_branch_history'!$A$2:$A$50,T258,'6_3nf_branch_history'!$B$2:$B$50,"&lt;="&amp;L258))</f>
        <v/>
      </c>
      <c r="V258" s="2">
        <f>IF(U258="NOT FOUND","NOT FOUND",INDEX('6_3nf_branch_history'!$C:$C,SUMPRODUCT(('6_3nf_branch_history'!$A$2:$A$50=T258)*('6_3nf_branch_history'!$B$2:$B$50=U258)*ROW('6_3nf_branch_history'!$A$2:$A$50))))</f>
        <v/>
      </c>
      <c r="W258" s="2">
        <f>IF(U258="NOT FOUND","NOT FOUND",INDEX('6_3nf_branch_history'!$D:$D,SUMPRODUCT(('6_3nf_branch_history'!$A$2:$A$50=T258)*('6_3nf_branch_history'!$B$2:$B$50=U258)*ROW('6_3nf_branch_history'!$A$2:$A$50))))</f>
        <v/>
      </c>
      <c r="X258" s="2">
        <f>IF(U258="NOT FOUND","NOT FOUND",INDEX('6_3nf_branch_history'!$E:$E,SUMPRODUCT(('6_3nf_branch_history'!$A$2:$A$50=T258)*('6_3nf_branch_history'!$B$2:$B$50=U258)*ROW('6_3nf_branch_history'!$A$2:$A$50))))</f>
        <v/>
      </c>
      <c r="Y258" s="2">
        <f>UPPER(TRIM(D258))</f>
        <v/>
      </c>
      <c r="Z258" s="2">
        <f>IFERROR(INDEX('7_3nf_product'!$B:$B,MATCH(Y258,'7_3nf_product'!$A:$A,0)),"NOT FOUND")</f>
        <v/>
      </c>
      <c r="AA258" s="2">
        <f>IFERROR(INDEX('7_3nf_product'!$C:$C,MATCH(Y258,'7_3nf_product'!$A:$A,0)),"NOT FOUND")</f>
        <v/>
      </c>
      <c r="AB258" s="2">
        <f>IFERROR(INDEX('7_3nf_product'!$D:$D,MATCH(Y258,'7_3nf_product'!$A:$A,0)),"NOT FOUND")</f>
        <v/>
      </c>
      <c r="AC258" s="6">
        <f>IFERROR(INDEX('7_3nf_product'!$E:$E,MATCH(Y258,'7_3nf_product'!$A:$A,0)),"NOT FOUND")</f>
        <v/>
      </c>
      <c r="AD258" s="33">
        <f>IF(LEN(TRIM(E258))=10,TRIM(E258),IF(LEN(TRIM(E258))=8,"00"&amp;TRIM(E258),"CHECK"))</f>
        <v/>
      </c>
      <c r="AE258" s="2">
        <f>IFERROR(INDEX('8_3nf_customer'!$C:$C,MATCH(AD258,'8_3nf_customer'!$B:$B,0)),"NOT FOUND")</f>
        <v/>
      </c>
      <c r="AF258" s="30">
        <f>IFERROR(INDEX('8_3nf_customer'!$D:$D,MATCH(AD258,'8_3nf_customer'!$B:$B,0)),"NOT FOUND")</f>
        <v/>
      </c>
      <c r="AG258" s="4">
        <f>IF(ISNUMBER(AF258),DATEDIF(AF258,L258,"y"),"NOT FOUND")</f>
        <v/>
      </c>
      <c r="AH258" s="2">
        <f>IFERROR(INDEX('8_3nf_customer'!$E:$E,MATCH(AD258,'8_3nf_customer'!$B:$B,0)),"NOT FOUND")</f>
        <v/>
      </c>
      <c r="AI258" s="30">
        <f>IF(_xlfn.MAXIFS('9_3nf_customer_history'!$B$2:$B$500,'9_3nf_customer_history'!$A$2:$A$500,AD258,'9_3nf_customer_history'!$B$2:$B$500,"&lt;="&amp;L258)=0,"NOT FOUND",_xlfn.MAXIFS('9_3nf_customer_history'!$B$2:$B$500,'9_3nf_customer_history'!$A$2:$A$500,AD258,'9_3nf_customer_history'!$B$2:$B$500,"&lt;="&amp;L258))</f>
        <v/>
      </c>
      <c r="AJ258" s="2">
        <f>IF(AI258="NOT FOUND","NOT FOUND",INDEX('9_3nf_customer_history'!$C:$C,SUMPRODUCT(('9_3nf_customer_history'!$A$2:$A$500=AD258)*('9_3nf_customer_history'!$B$2:$B$500=AI258)*ROW('9_3nf_customer_history'!$A$2:$A$500))))</f>
        <v/>
      </c>
      <c r="AK258" s="2">
        <f>IF(AI258="NOT FOUND","NOT FOUND",INDEX('9_3nf_customer_history'!$D:$D,SUMPRODUCT(('9_3nf_customer_history'!$A$2:$A$500=AD258)*('9_3nf_customer_history'!$B$2:$B$500=AI258)*ROW('9_3nf_customer_history'!$A$2:$A$500))))</f>
        <v/>
      </c>
      <c r="AL258" s="2">
        <f>UPPER(TRIM(H258))</f>
        <v/>
      </c>
      <c r="AM258" s="30">
        <f>IF(_xlfn.MAXIFS('10_ref_fx_rate'!$B$2:$B$2000,'10_ref_fx_rate'!$A$2:$A$2000,AL258,'10_ref_fx_rate'!$B$2:$B$2000,"&lt;="&amp;L258)=0,"NOT FOUND",_xlfn.MAXIFS('10_ref_fx_rate'!$B$2:$B$2000,'10_ref_fx_rate'!$A$2:$A$2000,AL258,'10_ref_fx_rate'!$B$2:$B$2000,"&lt;="&amp;L258))</f>
        <v/>
      </c>
      <c r="AN258" s="8">
        <f>IF(AM258="NOT FOUND","NOT FOUND",SUMIFS('10_ref_fx_rate'!$D$2:$D$2000,'10_ref_fx_rate'!$A$2:$A$2000,AL258,'10_ref_fx_rate'!$B$2:$B$2000,AM258))</f>
        <v/>
      </c>
      <c r="AO258" s="37">
        <f>IF(ISNUMBER(AN258),I258*AN258,"NOT FOUND")</f>
        <v/>
      </c>
      <c r="AP258" s="2">
        <f>UPPER(TRIM(J258))</f>
        <v/>
      </c>
      <c r="AQ258" s="2">
        <f>IF(AP258="","SELF-DIRECTED",IF(ISNUMBER(MATCH(AP258,'11_3nf_sales_person'!$A:$A,0)),IF(EXACT(AP258,J258),"OK","OK (auto-fixed)"),IF(ISNA(MATCH($A258,'12_sales_person_confirmation'!$A:$A,0)),"CONFIRM (not logged)",IF(INDEX('12_sales_person_confirmation'!$I:$I,MATCH($A258,'12_sales_person_confirmation'!$A:$A,0))="CONFIRMED","CONFIRMED ("&amp;LOWER(INDEX('12_sales_person_confirmation'!$E:$E,MATCH($A258,'12_sales_person_confirmation'!$A:$A,0)))&amp;")","PENDING CONFIRM"))))</f>
        <v/>
      </c>
      <c r="AR258" s="2">
        <f>IF(OR(AQ258="OK",AQ258="OK (auto-fixed)"),AP258,IF(LEFT(AQ258,9)="CONFIRMED",INDEX('12_sales_person_confirmation'!$F:$F,MATCH($A258,'12_sales_person_confirmation'!$A:$A,0)),""))</f>
        <v/>
      </c>
      <c r="AS258" s="2">
        <f>IF(AR258="","",INDEX('11_3nf_sales_person'!$B:$B,MATCH(AR258,'11_3nf_sales_person'!$A:$A,0)))</f>
        <v/>
      </c>
    </row>
    <row r="259">
      <c r="A259" s="2">
        <f>IF(ISBLANK('1_raw_log'!A259),"",'1_raw_log'!A259)</f>
        <v/>
      </c>
      <c r="B259" s="3">
        <f>IF(ISBLANK('1_raw_log'!B259),"",'1_raw_log'!B259)</f>
        <v/>
      </c>
      <c r="C259" s="2">
        <f>IF(ISBLANK('1_raw_log'!C259),"",'1_raw_log'!C259)</f>
        <v/>
      </c>
      <c r="D259" s="2">
        <f>IF(ISBLANK('1_raw_log'!D259),"",'1_raw_log'!D259)</f>
        <v/>
      </c>
      <c r="E259" s="4">
        <f>IF(ISBLANK('1_raw_log'!E259),"",'1_raw_log'!E259)</f>
        <v/>
      </c>
      <c r="F259" s="2">
        <f>IF(ISBLANK('1_raw_log'!F259),"",'1_raw_log'!F259)</f>
        <v/>
      </c>
      <c r="G259" s="2">
        <f>IF(ISBLANK('1_raw_log'!G259),"",'1_raw_log'!G259)</f>
        <v/>
      </c>
      <c r="H259" s="2">
        <f>IF(ISBLANK('1_raw_log'!H259),"",'1_raw_log'!H259)</f>
        <v/>
      </c>
      <c r="I259" s="7">
        <f>IF(ISBLANK('1_raw_log'!I259),"",'1_raw_log'!I259)</f>
        <v/>
      </c>
      <c r="J259" s="2">
        <f>IF(ISBLANK('1_raw_log'!J259),"",'1_raw_log'!J259)</f>
        <v/>
      </c>
      <c r="K259" s="2">
        <f>IF(ISBLANK('1_raw_log'!K259),"",'1_raw_log'!K259)</f>
        <v/>
      </c>
      <c r="L259" s="30">
        <f>INT(B259)</f>
        <v/>
      </c>
      <c r="M259" s="20">
        <f>ROUND(MOD(B259,1)*1440,0)/1440</f>
        <v/>
      </c>
      <c r="N259" s="4">
        <f>IFERROR(INDEX('3_ref_date'!$B:$B,MATCH(L259,'3_ref_date'!$A:$A,0)),"NOT FOUND")</f>
        <v/>
      </c>
      <c r="O259" s="2">
        <f>IFERROR(INDEX('3_ref_date'!$C:$C,MATCH(L259,'3_ref_date'!$A:$A,0)),"NOT FOUND")</f>
        <v/>
      </c>
      <c r="P259" s="4">
        <f>IFERROR(INDEX('3_ref_date'!$D:$D,MATCH(L259,'3_ref_date'!$A:$A,0)),"NOT FOUND")</f>
        <v/>
      </c>
      <c r="Q259" s="4">
        <f>IFERROR(INDEX('3_ref_date'!$E:$E,MATCH(L259,'3_ref_date'!$A:$A,0)),"NOT FOUND")</f>
        <v/>
      </c>
      <c r="R259" s="2">
        <f>IFERROR(INDEX('3_ref_date'!$F:$F,MATCH(L259,'3_ref_date'!$A:$A,0)),"NOT FOUND")</f>
        <v/>
      </c>
      <c r="S259" s="2">
        <f>IFERROR(INDEX('4_ref_time'!$D:$D,MATCH(ROUND(M259*1440,0),'4_ref_time'!$A:$A,0)),"NOT FOUND")</f>
        <v/>
      </c>
      <c r="T259" s="2">
        <f>UPPER(TRIM(C259))</f>
        <v/>
      </c>
      <c r="U259" s="30">
        <f>IF(_xlfn.MAXIFS('6_3nf_branch_history'!$B$2:$B$50,'6_3nf_branch_history'!$A$2:$A$50,T259,'6_3nf_branch_history'!$B$2:$B$50,"&lt;="&amp;L259)=0,"NOT FOUND",_xlfn.MAXIFS('6_3nf_branch_history'!$B$2:$B$50,'6_3nf_branch_history'!$A$2:$A$50,T259,'6_3nf_branch_history'!$B$2:$B$50,"&lt;="&amp;L259))</f>
        <v/>
      </c>
      <c r="V259" s="2">
        <f>IF(U259="NOT FOUND","NOT FOUND",INDEX('6_3nf_branch_history'!$C:$C,SUMPRODUCT(('6_3nf_branch_history'!$A$2:$A$50=T259)*('6_3nf_branch_history'!$B$2:$B$50=U259)*ROW('6_3nf_branch_history'!$A$2:$A$50))))</f>
        <v/>
      </c>
      <c r="W259" s="2">
        <f>IF(U259="NOT FOUND","NOT FOUND",INDEX('6_3nf_branch_history'!$D:$D,SUMPRODUCT(('6_3nf_branch_history'!$A$2:$A$50=T259)*('6_3nf_branch_history'!$B$2:$B$50=U259)*ROW('6_3nf_branch_history'!$A$2:$A$50))))</f>
        <v/>
      </c>
      <c r="X259" s="2">
        <f>IF(U259="NOT FOUND","NOT FOUND",INDEX('6_3nf_branch_history'!$E:$E,SUMPRODUCT(('6_3nf_branch_history'!$A$2:$A$50=T259)*('6_3nf_branch_history'!$B$2:$B$50=U259)*ROW('6_3nf_branch_history'!$A$2:$A$50))))</f>
        <v/>
      </c>
      <c r="Y259" s="2">
        <f>UPPER(TRIM(D259))</f>
        <v/>
      </c>
      <c r="Z259" s="2">
        <f>IFERROR(INDEX('7_3nf_product'!$B:$B,MATCH(Y259,'7_3nf_product'!$A:$A,0)),"NOT FOUND")</f>
        <v/>
      </c>
      <c r="AA259" s="2">
        <f>IFERROR(INDEX('7_3nf_product'!$C:$C,MATCH(Y259,'7_3nf_product'!$A:$A,0)),"NOT FOUND")</f>
        <v/>
      </c>
      <c r="AB259" s="2">
        <f>IFERROR(INDEX('7_3nf_product'!$D:$D,MATCH(Y259,'7_3nf_product'!$A:$A,0)),"NOT FOUND")</f>
        <v/>
      </c>
      <c r="AC259" s="6">
        <f>IFERROR(INDEX('7_3nf_product'!$E:$E,MATCH(Y259,'7_3nf_product'!$A:$A,0)),"NOT FOUND")</f>
        <v/>
      </c>
      <c r="AD259" s="33">
        <f>IF(LEN(TRIM(E259))=10,TRIM(E259),IF(LEN(TRIM(E259))=8,"00"&amp;TRIM(E259),"CHECK"))</f>
        <v/>
      </c>
      <c r="AE259" s="2">
        <f>IFERROR(INDEX('8_3nf_customer'!$C:$C,MATCH(AD259,'8_3nf_customer'!$B:$B,0)),"NOT FOUND")</f>
        <v/>
      </c>
      <c r="AF259" s="30">
        <f>IFERROR(INDEX('8_3nf_customer'!$D:$D,MATCH(AD259,'8_3nf_customer'!$B:$B,0)),"NOT FOUND")</f>
        <v/>
      </c>
      <c r="AG259" s="4">
        <f>IF(ISNUMBER(AF259),DATEDIF(AF259,L259,"y"),"NOT FOUND")</f>
        <v/>
      </c>
      <c r="AH259" s="2">
        <f>IFERROR(INDEX('8_3nf_customer'!$E:$E,MATCH(AD259,'8_3nf_customer'!$B:$B,0)),"NOT FOUND")</f>
        <v/>
      </c>
      <c r="AI259" s="30">
        <f>IF(_xlfn.MAXIFS('9_3nf_customer_history'!$B$2:$B$500,'9_3nf_customer_history'!$A$2:$A$500,AD259,'9_3nf_customer_history'!$B$2:$B$500,"&lt;="&amp;L259)=0,"NOT FOUND",_xlfn.MAXIFS('9_3nf_customer_history'!$B$2:$B$500,'9_3nf_customer_history'!$A$2:$A$500,AD259,'9_3nf_customer_history'!$B$2:$B$500,"&lt;="&amp;L259))</f>
        <v/>
      </c>
      <c r="AJ259" s="2">
        <f>IF(AI259="NOT FOUND","NOT FOUND",INDEX('9_3nf_customer_history'!$C:$C,SUMPRODUCT(('9_3nf_customer_history'!$A$2:$A$500=AD259)*('9_3nf_customer_history'!$B$2:$B$500=AI259)*ROW('9_3nf_customer_history'!$A$2:$A$500))))</f>
        <v/>
      </c>
      <c r="AK259" s="2">
        <f>IF(AI259="NOT FOUND","NOT FOUND",INDEX('9_3nf_customer_history'!$D:$D,SUMPRODUCT(('9_3nf_customer_history'!$A$2:$A$500=AD259)*('9_3nf_customer_history'!$B$2:$B$500=AI259)*ROW('9_3nf_customer_history'!$A$2:$A$500))))</f>
        <v/>
      </c>
      <c r="AL259" s="2">
        <f>UPPER(TRIM(H259))</f>
        <v/>
      </c>
      <c r="AM259" s="30">
        <f>IF(_xlfn.MAXIFS('10_ref_fx_rate'!$B$2:$B$2000,'10_ref_fx_rate'!$A$2:$A$2000,AL259,'10_ref_fx_rate'!$B$2:$B$2000,"&lt;="&amp;L259)=0,"NOT FOUND",_xlfn.MAXIFS('10_ref_fx_rate'!$B$2:$B$2000,'10_ref_fx_rate'!$A$2:$A$2000,AL259,'10_ref_fx_rate'!$B$2:$B$2000,"&lt;="&amp;L259))</f>
        <v/>
      </c>
      <c r="AN259" s="8">
        <f>IF(AM259="NOT FOUND","NOT FOUND",SUMIFS('10_ref_fx_rate'!$D$2:$D$2000,'10_ref_fx_rate'!$A$2:$A$2000,AL259,'10_ref_fx_rate'!$B$2:$B$2000,AM259))</f>
        <v/>
      </c>
      <c r="AO259" s="37">
        <f>IF(ISNUMBER(AN259),I259*AN259,"NOT FOUND")</f>
        <v/>
      </c>
      <c r="AP259" s="2">
        <f>UPPER(TRIM(J259))</f>
        <v/>
      </c>
      <c r="AQ259" s="2">
        <f>IF(AP259="","SELF-DIRECTED",IF(ISNUMBER(MATCH(AP259,'11_3nf_sales_person'!$A:$A,0)),IF(EXACT(AP259,J259),"OK","OK (auto-fixed)"),IF(ISNA(MATCH($A259,'12_sales_person_confirmation'!$A:$A,0)),"CONFIRM (not logged)",IF(INDEX('12_sales_person_confirmation'!$I:$I,MATCH($A259,'12_sales_person_confirmation'!$A:$A,0))="CONFIRMED","CONFIRMED ("&amp;LOWER(INDEX('12_sales_person_confirmation'!$E:$E,MATCH($A259,'12_sales_person_confirmation'!$A:$A,0)))&amp;")","PENDING CONFIRM"))))</f>
        <v/>
      </c>
      <c r="AR259" s="2">
        <f>IF(OR(AQ259="OK",AQ259="OK (auto-fixed)"),AP259,IF(LEFT(AQ259,9)="CONFIRMED",INDEX('12_sales_person_confirmation'!$F:$F,MATCH($A259,'12_sales_person_confirmation'!$A:$A,0)),""))</f>
        <v/>
      </c>
      <c r="AS259" s="2">
        <f>IF(AR259="","",INDEX('11_3nf_sales_person'!$B:$B,MATCH(AR259,'11_3nf_sales_person'!$A:$A,0)))</f>
        <v/>
      </c>
    </row>
    <row r="260">
      <c r="A260" s="2">
        <f>IF(ISBLANK('1_raw_log'!A260),"",'1_raw_log'!A260)</f>
        <v/>
      </c>
      <c r="B260" s="3">
        <f>IF(ISBLANK('1_raw_log'!B260),"",'1_raw_log'!B260)</f>
        <v/>
      </c>
      <c r="C260" s="2">
        <f>IF(ISBLANK('1_raw_log'!C260),"",'1_raw_log'!C260)</f>
        <v/>
      </c>
      <c r="D260" s="2">
        <f>IF(ISBLANK('1_raw_log'!D260),"",'1_raw_log'!D260)</f>
        <v/>
      </c>
      <c r="E260" s="4">
        <f>IF(ISBLANK('1_raw_log'!E260),"",'1_raw_log'!E260)</f>
        <v/>
      </c>
      <c r="F260" s="2">
        <f>IF(ISBLANK('1_raw_log'!F260),"",'1_raw_log'!F260)</f>
        <v/>
      </c>
      <c r="G260" s="2">
        <f>IF(ISBLANK('1_raw_log'!G260),"",'1_raw_log'!G260)</f>
        <v/>
      </c>
      <c r="H260" s="2">
        <f>IF(ISBLANK('1_raw_log'!H260),"",'1_raw_log'!H260)</f>
        <v/>
      </c>
      <c r="I260" s="7">
        <f>IF(ISBLANK('1_raw_log'!I260),"",'1_raw_log'!I260)</f>
        <v/>
      </c>
      <c r="J260" s="2">
        <f>IF(ISBLANK('1_raw_log'!J260),"",'1_raw_log'!J260)</f>
        <v/>
      </c>
      <c r="K260" s="2">
        <f>IF(ISBLANK('1_raw_log'!K260),"",'1_raw_log'!K260)</f>
        <v/>
      </c>
      <c r="L260" s="30">
        <f>INT(B260)</f>
        <v/>
      </c>
      <c r="M260" s="20">
        <f>ROUND(MOD(B260,1)*1440,0)/1440</f>
        <v/>
      </c>
      <c r="N260" s="4">
        <f>IFERROR(INDEX('3_ref_date'!$B:$B,MATCH(L260,'3_ref_date'!$A:$A,0)),"NOT FOUND")</f>
        <v/>
      </c>
      <c r="O260" s="2">
        <f>IFERROR(INDEX('3_ref_date'!$C:$C,MATCH(L260,'3_ref_date'!$A:$A,0)),"NOT FOUND")</f>
        <v/>
      </c>
      <c r="P260" s="4">
        <f>IFERROR(INDEX('3_ref_date'!$D:$D,MATCH(L260,'3_ref_date'!$A:$A,0)),"NOT FOUND")</f>
        <v/>
      </c>
      <c r="Q260" s="4">
        <f>IFERROR(INDEX('3_ref_date'!$E:$E,MATCH(L260,'3_ref_date'!$A:$A,0)),"NOT FOUND")</f>
        <v/>
      </c>
      <c r="R260" s="2">
        <f>IFERROR(INDEX('3_ref_date'!$F:$F,MATCH(L260,'3_ref_date'!$A:$A,0)),"NOT FOUND")</f>
        <v/>
      </c>
      <c r="S260" s="2">
        <f>IFERROR(INDEX('4_ref_time'!$D:$D,MATCH(ROUND(M260*1440,0),'4_ref_time'!$A:$A,0)),"NOT FOUND")</f>
        <v/>
      </c>
      <c r="T260" s="2">
        <f>UPPER(TRIM(C260))</f>
        <v/>
      </c>
      <c r="U260" s="30">
        <f>IF(_xlfn.MAXIFS('6_3nf_branch_history'!$B$2:$B$50,'6_3nf_branch_history'!$A$2:$A$50,T260,'6_3nf_branch_history'!$B$2:$B$50,"&lt;="&amp;L260)=0,"NOT FOUND",_xlfn.MAXIFS('6_3nf_branch_history'!$B$2:$B$50,'6_3nf_branch_history'!$A$2:$A$50,T260,'6_3nf_branch_history'!$B$2:$B$50,"&lt;="&amp;L260))</f>
        <v/>
      </c>
      <c r="V260" s="2">
        <f>IF(U260="NOT FOUND","NOT FOUND",INDEX('6_3nf_branch_history'!$C:$C,SUMPRODUCT(('6_3nf_branch_history'!$A$2:$A$50=T260)*('6_3nf_branch_history'!$B$2:$B$50=U260)*ROW('6_3nf_branch_history'!$A$2:$A$50))))</f>
        <v/>
      </c>
      <c r="W260" s="2">
        <f>IF(U260="NOT FOUND","NOT FOUND",INDEX('6_3nf_branch_history'!$D:$D,SUMPRODUCT(('6_3nf_branch_history'!$A$2:$A$50=T260)*('6_3nf_branch_history'!$B$2:$B$50=U260)*ROW('6_3nf_branch_history'!$A$2:$A$50))))</f>
        <v/>
      </c>
      <c r="X260" s="2">
        <f>IF(U260="NOT FOUND","NOT FOUND",INDEX('6_3nf_branch_history'!$E:$E,SUMPRODUCT(('6_3nf_branch_history'!$A$2:$A$50=T260)*('6_3nf_branch_history'!$B$2:$B$50=U260)*ROW('6_3nf_branch_history'!$A$2:$A$50))))</f>
        <v/>
      </c>
      <c r="Y260" s="2">
        <f>UPPER(TRIM(D260))</f>
        <v/>
      </c>
      <c r="Z260" s="2">
        <f>IFERROR(INDEX('7_3nf_product'!$B:$B,MATCH(Y260,'7_3nf_product'!$A:$A,0)),"NOT FOUND")</f>
        <v/>
      </c>
      <c r="AA260" s="2">
        <f>IFERROR(INDEX('7_3nf_product'!$C:$C,MATCH(Y260,'7_3nf_product'!$A:$A,0)),"NOT FOUND")</f>
        <v/>
      </c>
      <c r="AB260" s="2">
        <f>IFERROR(INDEX('7_3nf_product'!$D:$D,MATCH(Y260,'7_3nf_product'!$A:$A,0)),"NOT FOUND")</f>
        <v/>
      </c>
      <c r="AC260" s="6">
        <f>IFERROR(INDEX('7_3nf_product'!$E:$E,MATCH(Y260,'7_3nf_product'!$A:$A,0)),"NOT FOUND")</f>
        <v/>
      </c>
      <c r="AD260" s="33">
        <f>IF(LEN(TRIM(E260))=10,TRIM(E260),IF(LEN(TRIM(E260))=8,"00"&amp;TRIM(E260),"CHECK"))</f>
        <v/>
      </c>
      <c r="AE260" s="2">
        <f>IFERROR(INDEX('8_3nf_customer'!$C:$C,MATCH(AD260,'8_3nf_customer'!$B:$B,0)),"NOT FOUND")</f>
        <v/>
      </c>
      <c r="AF260" s="30">
        <f>IFERROR(INDEX('8_3nf_customer'!$D:$D,MATCH(AD260,'8_3nf_customer'!$B:$B,0)),"NOT FOUND")</f>
        <v/>
      </c>
      <c r="AG260" s="4">
        <f>IF(ISNUMBER(AF260),DATEDIF(AF260,L260,"y"),"NOT FOUND")</f>
        <v/>
      </c>
      <c r="AH260" s="2">
        <f>IFERROR(INDEX('8_3nf_customer'!$E:$E,MATCH(AD260,'8_3nf_customer'!$B:$B,0)),"NOT FOUND")</f>
        <v/>
      </c>
      <c r="AI260" s="30">
        <f>IF(_xlfn.MAXIFS('9_3nf_customer_history'!$B$2:$B$500,'9_3nf_customer_history'!$A$2:$A$500,AD260,'9_3nf_customer_history'!$B$2:$B$500,"&lt;="&amp;L260)=0,"NOT FOUND",_xlfn.MAXIFS('9_3nf_customer_history'!$B$2:$B$500,'9_3nf_customer_history'!$A$2:$A$500,AD260,'9_3nf_customer_history'!$B$2:$B$500,"&lt;="&amp;L260))</f>
        <v/>
      </c>
      <c r="AJ260" s="2">
        <f>IF(AI260="NOT FOUND","NOT FOUND",INDEX('9_3nf_customer_history'!$C:$C,SUMPRODUCT(('9_3nf_customer_history'!$A$2:$A$500=AD260)*('9_3nf_customer_history'!$B$2:$B$500=AI260)*ROW('9_3nf_customer_history'!$A$2:$A$500))))</f>
        <v/>
      </c>
      <c r="AK260" s="2">
        <f>IF(AI260="NOT FOUND","NOT FOUND",INDEX('9_3nf_customer_history'!$D:$D,SUMPRODUCT(('9_3nf_customer_history'!$A$2:$A$500=AD260)*('9_3nf_customer_history'!$B$2:$B$500=AI260)*ROW('9_3nf_customer_history'!$A$2:$A$500))))</f>
        <v/>
      </c>
      <c r="AL260" s="2">
        <f>UPPER(TRIM(H260))</f>
        <v/>
      </c>
      <c r="AM260" s="30">
        <f>IF(_xlfn.MAXIFS('10_ref_fx_rate'!$B$2:$B$2000,'10_ref_fx_rate'!$A$2:$A$2000,AL260,'10_ref_fx_rate'!$B$2:$B$2000,"&lt;="&amp;L260)=0,"NOT FOUND",_xlfn.MAXIFS('10_ref_fx_rate'!$B$2:$B$2000,'10_ref_fx_rate'!$A$2:$A$2000,AL260,'10_ref_fx_rate'!$B$2:$B$2000,"&lt;="&amp;L260))</f>
        <v/>
      </c>
      <c r="AN260" s="8">
        <f>IF(AM260="NOT FOUND","NOT FOUND",SUMIFS('10_ref_fx_rate'!$D$2:$D$2000,'10_ref_fx_rate'!$A$2:$A$2000,AL260,'10_ref_fx_rate'!$B$2:$B$2000,AM260))</f>
        <v/>
      </c>
      <c r="AO260" s="37">
        <f>IF(ISNUMBER(AN260),I260*AN260,"NOT FOUND")</f>
        <v/>
      </c>
      <c r="AP260" s="2">
        <f>UPPER(TRIM(J260))</f>
        <v/>
      </c>
      <c r="AQ260" s="2">
        <f>IF(AP260="","SELF-DIRECTED",IF(ISNUMBER(MATCH(AP260,'11_3nf_sales_person'!$A:$A,0)),IF(EXACT(AP260,J260),"OK","OK (auto-fixed)"),IF(ISNA(MATCH($A260,'12_sales_person_confirmation'!$A:$A,0)),"CONFIRM (not logged)",IF(INDEX('12_sales_person_confirmation'!$I:$I,MATCH($A260,'12_sales_person_confirmation'!$A:$A,0))="CONFIRMED","CONFIRMED ("&amp;LOWER(INDEX('12_sales_person_confirmation'!$E:$E,MATCH($A260,'12_sales_person_confirmation'!$A:$A,0)))&amp;")","PENDING CONFIRM"))))</f>
        <v/>
      </c>
      <c r="AR260" s="2">
        <f>IF(OR(AQ260="OK",AQ260="OK (auto-fixed)"),AP260,IF(LEFT(AQ260,9)="CONFIRMED",INDEX('12_sales_person_confirmation'!$F:$F,MATCH($A260,'12_sales_person_confirmation'!$A:$A,0)),""))</f>
        <v/>
      </c>
      <c r="AS260" s="2">
        <f>IF(AR260="","",INDEX('11_3nf_sales_person'!$B:$B,MATCH(AR260,'11_3nf_sales_person'!$A:$A,0)))</f>
        <v/>
      </c>
    </row>
    <row r="261">
      <c r="A261" s="2">
        <f>IF(ISBLANK('1_raw_log'!A261),"",'1_raw_log'!A261)</f>
        <v/>
      </c>
      <c r="B261" s="3">
        <f>IF(ISBLANK('1_raw_log'!B261),"",'1_raw_log'!B261)</f>
        <v/>
      </c>
      <c r="C261" s="2">
        <f>IF(ISBLANK('1_raw_log'!C261),"",'1_raw_log'!C261)</f>
        <v/>
      </c>
      <c r="D261" s="2">
        <f>IF(ISBLANK('1_raw_log'!D261),"",'1_raw_log'!D261)</f>
        <v/>
      </c>
      <c r="E261" s="4">
        <f>IF(ISBLANK('1_raw_log'!E261),"",'1_raw_log'!E261)</f>
        <v/>
      </c>
      <c r="F261" s="2">
        <f>IF(ISBLANK('1_raw_log'!F261),"",'1_raw_log'!F261)</f>
        <v/>
      </c>
      <c r="G261" s="2">
        <f>IF(ISBLANK('1_raw_log'!G261),"",'1_raw_log'!G261)</f>
        <v/>
      </c>
      <c r="H261" s="2">
        <f>IF(ISBLANK('1_raw_log'!H261),"",'1_raw_log'!H261)</f>
        <v/>
      </c>
      <c r="I261" s="7">
        <f>IF(ISBLANK('1_raw_log'!I261),"",'1_raw_log'!I261)</f>
        <v/>
      </c>
      <c r="J261" s="2">
        <f>IF(ISBLANK('1_raw_log'!J261),"",'1_raw_log'!J261)</f>
        <v/>
      </c>
      <c r="K261" s="2">
        <f>IF(ISBLANK('1_raw_log'!K261),"",'1_raw_log'!K261)</f>
        <v/>
      </c>
      <c r="L261" s="30">
        <f>INT(B261)</f>
        <v/>
      </c>
      <c r="M261" s="20">
        <f>ROUND(MOD(B261,1)*1440,0)/1440</f>
        <v/>
      </c>
      <c r="N261" s="4">
        <f>IFERROR(INDEX('3_ref_date'!$B:$B,MATCH(L261,'3_ref_date'!$A:$A,0)),"NOT FOUND")</f>
        <v/>
      </c>
      <c r="O261" s="2">
        <f>IFERROR(INDEX('3_ref_date'!$C:$C,MATCH(L261,'3_ref_date'!$A:$A,0)),"NOT FOUND")</f>
        <v/>
      </c>
      <c r="P261" s="4">
        <f>IFERROR(INDEX('3_ref_date'!$D:$D,MATCH(L261,'3_ref_date'!$A:$A,0)),"NOT FOUND")</f>
        <v/>
      </c>
      <c r="Q261" s="4">
        <f>IFERROR(INDEX('3_ref_date'!$E:$E,MATCH(L261,'3_ref_date'!$A:$A,0)),"NOT FOUND")</f>
        <v/>
      </c>
      <c r="R261" s="2">
        <f>IFERROR(INDEX('3_ref_date'!$F:$F,MATCH(L261,'3_ref_date'!$A:$A,0)),"NOT FOUND")</f>
        <v/>
      </c>
      <c r="S261" s="2">
        <f>IFERROR(INDEX('4_ref_time'!$D:$D,MATCH(ROUND(M261*1440,0),'4_ref_time'!$A:$A,0)),"NOT FOUND")</f>
        <v/>
      </c>
      <c r="T261" s="2">
        <f>UPPER(TRIM(C261))</f>
        <v/>
      </c>
      <c r="U261" s="30">
        <f>IF(_xlfn.MAXIFS('6_3nf_branch_history'!$B$2:$B$50,'6_3nf_branch_history'!$A$2:$A$50,T261,'6_3nf_branch_history'!$B$2:$B$50,"&lt;="&amp;L261)=0,"NOT FOUND",_xlfn.MAXIFS('6_3nf_branch_history'!$B$2:$B$50,'6_3nf_branch_history'!$A$2:$A$50,T261,'6_3nf_branch_history'!$B$2:$B$50,"&lt;="&amp;L261))</f>
        <v/>
      </c>
      <c r="V261" s="2">
        <f>IF(U261="NOT FOUND","NOT FOUND",INDEX('6_3nf_branch_history'!$C:$C,SUMPRODUCT(('6_3nf_branch_history'!$A$2:$A$50=T261)*('6_3nf_branch_history'!$B$2:$B$50=U261)*ROW('6_3nf_branch_history'!$A$2:$A$50))))</f>
        <v/>
      </c>
      <c r="W261" s="2">
        <f>IF(U261="NOT FOUND","NOT FOUND",INDEX('6_3nf_branch_history'!$D:$D,SUMPRODUCT(('6_3nf_branch_history'!$A$2:$A$50=T261)*('6_3nf_branch_history'!$B$2:$B$50=U261)*ROW('6_3nf_branch_history'!$A$2:$A$50))))</f>
        <v/>
      </c>
      <c r="X261" s="2">
        <f>IF(U261="NOT FOUND","NOT FOUND",INDEX('6_3nf_branch_history'!$E:$E,SUMPRODUCT(('6_3nf_branch_history'!$A$2:$A$50=T261)*('6_3nf_branch_history'!$B$2:$B$50=U261)*ROW('6_3nf_branch_history'!$A$2:$A$50))))</f>
        <v/>
      </c>
      <c r="Y261" s="2">
        <f>UPPER(TRIM(D261))</f>
        <v/>
      </c>
      <c r="Z261" s="2">
        <f>IFERROR(INDEX('7_3nf_product'!$B:$B,MATCH(Y261,'7_3nf_product'!$A:$A,0)),"NOT FOUND")</f>
        <v/>
      </c>
      <c r="AA261" s="2">
        <f>IFERROR(INDEX('7_3nf_product'!$C:$C,MATCH(Y261,'7_3nf_product'!$A:$A,0)),"NOT FOUND")</f>
        <v/>
      </c>
      <c r="AB261" s="2">
        <f>IFERROR(INDEX('7_3nf_product'!$D:$D,MATCH(Y261,'7_3nf_product'!$A:$A,0)),"NOT FOUND")</f>
        <v/>
      </c>
      <c r="AC261" s="6">
        <f>IFERROR(INDEX('7_3nf_product'!$E:$E,MATCH(Y261,'7_3nf_product'!$A:$A,0)),"NOT FOUND")</f>
        <v/>
      </c>
      <c r="AD261" s="33">
        <f>IF(LEN(TRIM(E261))=10,TRIM(E261),IF(LEN(TRIM(E261))=8,"00"&amp;TRIM(E261),"CHECK"))</f>
        <v/>
      </c>
      <c r="AE261" s="2">
        <f>IFERROR(INDEX('8_3nf_customer'!$C:$C,MATCH(AD261,'8_3nf_customer'!$B:$B,0)),"NOT FOUND")</f>
        <v/>
      </c>
      <c r="AF261" s="30">
        <f>IFERROR(INDEX('8_3nf_customer'!$D:$D,MATCH(AD261,'8_3nf_customer'!$B:$B,0)),"NOT FOUND")</f>
        <v/>
      </c>
      <c r="AG261" s="4">
        <f>IF(ISNUMBER(AF261),DATEDIF(AF261,L261,"y"),"NOT FOUND")</f>
        <v/>
      </c>
      <c r="AH261" s="2">
        <f>IFERROR(INDEX('8_3nf_customer'!$E:$E,MATCH(AD261,'8_3nf_customer'!$B:$B,0)),"NOT FOUND")</f>
        <v/>
      </c>
      <c r="AI261" s="30">
        <f>IF(_xlfn.MAXIFS('9_3nf_customer_history'!$B$2:$B$500,'9_3nf_customer_history'!$A$2:$A$500,AD261,'9_3nf_customer_history'!$B$2:$B$500,"&lt;="&amp;L261)=0,"NOT FOUND",_xlfn.MAXIFS('9_3nf_customer_history'!$B$2:$B$500,'9_3nf_customer_history'!$A$2:$A$500,AD261,'9_3nf_customer_history'!$B$2:$B$500,"&lt;="&amp;L261))</f>
        <v/>
      </c>
      <c r="AJ261" s="2">
        <f>IF(AI261="NOT FOUND","NOT FOUND",INDEX('9_3nf_customer_history'!$C:$C,SUMPRODUCT(('9_3nf_customer_history'!$A$2:$A$500=AD261)*('9_3nf_customer_history'!$B$2:$B$500=AI261)*ROW('9_3nf_customer_history'!$A$2:$A$500))))</f>
        <v/>
      </c>
      <c r="AK261" s="2">
        <f>IF(AI261="NOT FOUND","NOT FOUND",INDEX('9_3nf_customer_history'!$D:$D,SUMPRODUCT(('9_3nf_customer_history'!$A$2:$A$500=AD261)*('9_3nf_customer_history'!$B$2:$B$500=AI261)*ROW('9_3nf_customer_history'!$A$2:$A$500))))</f>
        <v/>
      </c>
      <c r="AL261" s="2">
        <f>UPPER(TRIM(H261))</f>
        <v/>
      </c>
      <c r="AM261" s="30">
        <f>IF(_xlfn.MAXIFS('10_ref_fx_rate'!$B$2:$B$2000,'10_ref_fx_rate'!$A$2:$A$2000,AL261,'10_ref_fx_rate'!$B$2:$B$2000,"&lt;="&amp;L261)=0,"NOT FOUND",_xlfn.MAXIFS('10_ref_fx_rate'!$B$2:$B$2000,'10_ref_fx_rate'!$A$2:$A$2000,AL261,'10_ref_fx_rate'!$B$2:$B$2000,"&lt;="&amp;L261))</f>
        <v/>
      </c>
      <c r="AN261" s="8">
        <f>IF(AM261="NOT FOUND","NOT FOUND",SUMIFS('10_ref_fx_rate'!$D$2:$D$2000,'10_ref_fx_rate'!$A$2:$A$2000,AL261,'10_ref_fx_rate'!$B$2:$B$2000,AM261))</f>
        <v/>
      </c>
      <c r="AO261" s="37">
        <f>IF(ISNUMBER(AN261),I261*AN261,"NOT FOUND")</f>
        <v/>
      </c>
      <c r="AP261" s="2">
        <f>UPPER(TRIM(J261))</f>
        <v/>
      </c>
      <c r="AQ261" s="2">
        <f>IF(AP261="","SELF-DIRECTED",IF(ISNUMBER(MATCH(AP261,'11_3nf_sales_person'!$A:$A,0)),IF(EXACT(AP261,J261),"OK","OK (auto-fixed)"),IF(ISNA(MATCH($A261,'12_sales_person_confirmation'!$A:$A,0)),"CONFIRM (not logged)",IF(INDEX('12_sales_person_confirmation'!$I:$I,MATCH($A261,'12_sales_person_confirmation'!$A:$A,0))="CONFIRMED","CONFIRMED ("&amp;LOWER(INDEX('12_sales_person_confirmation'!$E:$E,MATCH($A261,'12_sales_person_confirmation'!$A:$A,0)))&amp;")","PENDING CONFIRM"))))</f>
        <v/>
      </c>
      <c r="AR261" s="2">
        <f>IF(OR(AQ261="OK",AQ261="OK (auto-fixed)"),AP261,IF(LEFT(AQ261,9)="CONFIRMED",INDEX('12_sales_person_confirmation'!$F:$F,MATCH($A261,'12_sales_person_confirmation'!$A:$A,0)),""))</f>
        <v/>
      </c>
      <c r="AS261" s="2">
        <f>IF(AR261="","",INDEX('11_3nf_sales_person'!$B:$B,MATCH(AR261,'11_3nf_sales_person'!$A:$A,0)))</f>
        <v/>
      </c>
    </row>
    <row r="262">
      <c r="A262" s="2">
        <f>IF(ISBLANK('1_raw_log'!A262),"",'1_raw_log'!A262)</f>
        <v/>
      </c>
      <c r="B262" s="3">
        <f>IF(ISBLANK('1_raw_log'!B262),"",'1_raw_log'!B262)</f>
        <v/>
      </c>
      <c r="C262" s="2">
        <f>IF(ISBLANK('1_raw_log'!C262),"",'1_raw_log'!C262)</f>
        <v/>
      </c>
      <c r="D262" s="2">
        <f>IF(ISBLANK('1_raw_log'!D262),"",'1_raw_log'!D262)</f>
        <v/>
      </c>
      <c r="E262" s="4">
        <f>IF(ISBLANK('1_raw_log'!E262),"",'1_raw_log'!E262)</f>
        <v/>
      </c>
      <c r="F262" s="2">
        <f>IF(ISBLANK('1_raw_log'!F262),"",'1_raw_log'!F262)</f>
        <v/>
      </c>
      <c r="G262" s="2">
        <f>IF(ISBLANK('1_raw_log'!G262),"",'1_raw_log'!G262)</f>
        <v/>
      </c>
      <c r="H262" s="2">
        <f>IF(ISBLANK('1_raw_log'!H262),"",'1_raw_log'!H262)</f>
        <v/>
      </c>
      <c r="I262" s="7">
        <f>IF(ISBLANK('1_raw_log'!I262),"",'1_raw_log'!I262)</f>
        <v/>
      </c>
      <c r="J262" s="2">
        <f>IF(ISBLANK('1_raw_log'!J262),"",'1_raw_log'!J262)</f>
        <v/>
      </c>
      <c r="K262" s="2">
        <f>IF(ISBLANK('1_raw_log'!K262),"",'1_raw_log'!K262)</f>
        <v/>
      </c>
      <c r="L262" s="30">
        <f>INT(B262)</f>
        <v/>
      </c>
      <c r="M262" s="20">
        <f>ROUND(MOD(B262,1)*1440,0)/1440</f>
        <v/>
      </c>
      <c r="N262" s="4">
        <f>IFERROR(INDEX('3_ref_date'!$B:$B,MATCH(L262,'3_ref_date'!$A:$A,0)),"NOT FOUND")</f>
        <v/>
      </c>
      <c r="O262" s="2">
        <f>IFERROR(INDEX('3_ref_date'!$C:$C,MATCH(L262,'3_ref_date'!$A:$A,0)),"NOT FOUND")</f>
        <v/>
      </c>
      <c r="P262" s="4">
        <f>IFERROR(INDEX('3_ref_date'!$D:$D,MATCH(L262,'3_ref_date'!$A:$A,0)),"NOT FOUND")</f>
        <v/>
      </c>
      <c r="Q262" s="4">
        <f>IFERROR(INDEX('3_ref_date'!$E:$E,MATCH(L262,'3_ref_date'!$A:$A,0)),"NOT FOUND")</f>
        <v/>
      </c>
      <c r="R262" s="2">
        <f>IFERROR(INDEX('3_ref_date'!$F:$F,MATCH(L262,'3_ref_date'!$A:$A,0)),"NOT FOUND")</f>
        <v/>
      </c>
      <c r="S262" s="2">
        <f>IFERROR(INDEX('4_ref_time'!$D:$D,MATCH(ROUND(M262*1440,0),'4_ref_time'!$A:$A,0)),"NOT FOUND")</f>
        <v/>
      </c>
      <c r="T262" s="2">
        <f>UPPER(TRIM(C262))</f>
        <v/>
      </c>
      <c r="U262" s="30">
        <f>IF(_xlfn.MAXIFS('6_3nf_branch_history'!$B$2:$B$50,'6_3nf_branch_history'!$A$2:$A$50,T262,'6_3nf_branch_history'!$B$2:$B$50,"&lt;="&amp;L262)=0,"NOT FOUND",_xlfn.MAXIFS('6_3nf_branch_history'!$B$2:$B$50,'6_3nf_branch_history'!$A$2:$A$50,T262,'6_3nf_branch_history'!$B$2:$B$50,"&lt;="&amp;L262))</f>
        <v/>
      </c>
      <c r="V262" s="2">
        <f>IF(U262="NOT FOUND","NOT FOUND",INDEX('6_3nf_branch_history'!$C:$C,SUMPRODUCT(('6_3nf_branch_history'!$A$2:$A$50=T262)*('6_3nf_branch_history'!$B$2:$B$50=U262)*ROW('6_3nf_branch_history'!$A$2:$A$50))))</f>
        <v/>
      </c>
      <c r="W262" s="2">
        <f>IF(U262="NOT FOUND","NOT FOUND",INDEX('6_3nf_branch_history'!$D:$D,SUMPRODUCT(('6_3nf_branch_history'!$A$2:$A$50=T262)*('6_3nf_branch_history'!$B$2:$B$50=U262)*ROW('6_3nf_branch_history'!$A$2:$A$50))))</f>
        <v/>
      </c>
      <c r="X262" s="2">
        <f>IF(U262="NOT FOUND","NOT FOUND",INDEX('6_3nf_branch_history'!$E:$E,SUMPRODUCT(('6_3nf_branch_history'!$A$2:$A$50=T262)*('6_3nf_branch_history'!$B$2:$B$50=U262)*ROW('6_3nf_branch_history'!$A$2:$A$50))))</f>
        <v/>
      </c>
      <c r="Y262" s="2">
        <f>UPPER(TRIM(D262))</f>
        <v/>
      </c>
      <c r="Z262" s="2">
        <f>IFERROR(INDEX('7_3nf_product'!$B:$B,MATCH(Y262,'7_3nf_product'!$A:$A,0)),"NOT FOUND")</f>
        <v/>
      </c>
      <c r="AA262" s="2">
        <f>IFERROR(INDEX('7_3nf_product'!$C:$C,MATCH(Y262,'7_3nf_product'!$A:$A,0)),"NOT FOUND")</f>
        <v/>
      </c>
      <c r="AB262" s="2">
        <f>IFERROR(INDEX('7_3nf_product'!$D:$D,MATCH(Y262,'7_3nf_product'!$A:$A,0)),"NOT FOUND")</f>
        <v/>
      </c>
      <c r="AC262" s="6">
        <f>IFERROR(INDEX('7_3nf_product'!$E:$E,MATCH(Y262,'7_3nf_product'!$A:$A,0)),"NOT FOUND")</f>
        <v/>
      </c>
      <c r="AD262" s="33">
        <f>IF(LEN(TRIM(E262))=10,TRIM(E262),IF(LEN(TRIM(E262))=8,"00"&amp;TRIM(E262),"CHECK"))</f>
        <v/>
      </c>
      <c r="AE262" s="2">
        <f>IFERROR(INDEX('8_3nf_customer'!$C:$C,MATCH(AD262,'8_3nf_customer'!$B:$B,0)),"NOT FOUND")</f>
        <v/>
      </c>
      <c r="AF262" s="30">
        <f>IFERROR(INDEX('8_3nf_customer'!$D:$D,MATCH(AD262,'8_3nf_customer'!$B:$B,0)),"NOT FOUND")</f>
        <v/>
      </c>
      <c r="AG262" s="4">
        <f>IF(ISNUMBER(AF262),DATEDIF(AF262,L262,"y"),"NOT FOUND")</f>
        <v/>
      </c>
      <c r="AH262" s="2">
        <f>IFERROR(INDEX('8_3nf_customer'!$E:$E,MATCH(AD262,'8_3nf_customer'!$B:$B,0)),"NOT FOUND")</f>
        <v/>
      </c>
      <c r="AI262" s="30">
        <f>IF(_xlfn.MAXIFS('9_3nf_customer_history'!$B$2:$B$500,'9_3nf_customer_history'!$A$2:$A$500,AD262,'9_3nf_customer_history'!$B$2:$B$500,"&lt;="&amp;L262)=0,"NOT FOUND",_xlfn.MAXIFS('9_3nf_customer_history'!$B$2:$B$500,'9_3nf_customer_history'!$A$2:$A$500,AD262,'9_3nf_customer_history'!$B$2:$B$500,"&lt;="&amp;L262))</f>
        <v/>
      </c>
      <c r="AJ262" s="2">
        <f>IF(AI262="NOT FOUND","NOT FOUND",INDEX('9_3nf_customer_history'!$C:$C,SUMPRODUCT(('9_3nf_customer_history'!$A$2:$A$500=AD262)*('9_3nf_customer_history'!$B$2:$B$500=AI262)*ROW('9_3nf_customer_history'!$A$2:$A$500))))</f>
        <v/>
      </c>
      <c r="AK262" s="2">
        <f>IF(AI262="NOT FOUND","NOT FOUND",INDEX('9_3nf_customer_history'!$D:$D,SUMPRODUCT(('9_3nf_customer_history'!$A$2:$A$500=AD262)*('9_3nf_customer_history'!$B$2:$B$500=AI262)*ROW('9_3nf_customer_history'!$A$2:$A$500))))</f>
        <v/>
      </c>
      <c r="AL262" s="2">
        <f>UPPER(TRIM(H262))</f>
        <v/>
      </c>
      <c r="AM262" s="30">
        <f>IF(_xlfn.MAXIFS('10_ref_fx_rate'!$B$2:$B$2000,'10_ref_fx_rate'!$A$2:$A$2000,AL262,'10_ref_fx_rate'!$B$2:$B$2000,"&lt;="&amp;L262)=0,"NOT FOUND",_xlfn.MAXIFS('10_ref_fx_rate'!$B$2:$B$2000,'10_ref_fx_rate'!$A$2:$A$2000,AL262,'10_ref_fx_rate'!$B$2:$B$2000,"&lt;="&amp;L262))</f>
        <v/>
      </c>
      <c r="AN262" s="8">
        <f>IF(AM262="NOT FOUND","NOT FOUND",SUMIFS('10_ref_fx_rate'!$D$2:$D$2000,'10_ref_fx_rate'!$A$2:$A$2000,AL262,'10_ref_fx_rate'!$B$2:$B$2000,AM262))</f>
        <v/>
      </c>
      <c r="AO262" s="37">
        <f>IF(ISNUMBER(AN262),I262*AN262,"NOT FOUND")</f>
        <v/>
      </c>
      <c r="AP262" s="2">
        <f>UPPER(TRIM(J262))</f>
        <v/>
      </c>
      <c r="AQ262" s="2">
        <f>IF(AP262="","SELF-DIRECTED",IF(ISNUMBER(MATCH(AP262,'11_3nf_sales_person'!$A:$A,0)),IF(EXACT(AP262,J262),"OK","OK (auto-fixed)"),IF(ISNA(MATCH($A262,'12_sales_person_confirmation'!$A:$A,0)),"CONFIRM (not logged)",IF(INDEX('12_sales_person_confirmation'!$I:$I,MATCH($A262,'12_sales_person_confirmation'!$A:$A,0))="CONFIRMED","CONFIRMED ("&amp;LOWER(INDEX('12_sales_person_confirmation'!$E:$E,MATCH($A262,'12_sales_person_confirmation'!$A:$A,0)))&amp;")","PENDING CONFIRM"))))</f>
        <v/>
      </c>
      <c r="AR262" s="2">
        <f>IF(OR(AQ262="OK",AQ262="OK (auto-fixed)"),AP262,IF(LEFT(AQ262,9)="CONFIRMED",INDEX('12_sales_person_confirmation'!$F:$F,MATCH($A262,'12_sales_person_confirmation'!$A:$A,0)),""))</f>
        <v/>
      </c>
      <c r="AS262" s="2">
        <f>IF(AR262="","",INDEX('11_3nf_sales_person'!$B:$B,MATCH(AR262,'11_3nf_sales_person'!$A:$A,0)))</f>
        <v/>
      </c>
    </row>
    <row r="263">
      <c r="A263" s="2">
        <f>IF(ISBLANK('1_raw_log'!A263),"",'1_raw_log'!A263)</f>
        <v/>
      </c>
      <c r="B263" s="3">
        <f>IF(ISBLANK('1_raw_log'!B263),"",'1_raw_log'!B263)</f>
        <v/>
      </c>
      <c r="C263" s="2">
        <f>IF(ISBLANK('1_raw_log'!C263),"",'1_raw_log'!C263)</f>
        <v/>
      </c>
      <c r="D263" s="2">
        <f>IF(ISBLANK('1_raw_log'!D263),"",'1_raw_log'!D263)</f>
        <v/>
      </c>
      <c r="E263" s="4">
        <f>IF(ISBLANK('1_raw_log'!E263),"",'1_raw_log'!E263)</f>
        <v/>
      </c>
      <c r="F263" s="2">
        <f>IF(ISBLANK('1_raw_log'!F263),"",'1_raw_log'!F263)</f>
        <v/>
      </c>
      <c r="G263" s="2">
        <f>IF(ISBLANK('1_raw_log'!G263),"",'1_raw_log'!G263)</f>
        <v/>
      </c>
      <c r="H263" s="2">
        <f>IF(ISBLANK('1_raw_log'!H263),"",'1_raw_log'!H263)</f>
        <v/>
      </c>
      <c r="I263" s="7">
        <f>IF(ISBLANK('1_raw_log'!I263),"",'1_raw_log'!I263)</f>
        <v/>
      </c>
      <c r="J263" s="2">
        <f>IF(ISBLANK('1_raw_log'!J263),"",'1_raw_log'!J263)</f>
        <v/>
      </c>
      <c r="K263" s="2">
        <f>IF(ISBLANK('1_raw_log'!K263),"",'1_raw_log'!K263)</f>
        <v/>
      </c>
      <c r="L263" s="30">
        <f>INT(B263)</f>
        <v/>
      </c>
      <c r="M263" s="20">
        <f>ROUND(MOD(B263,1)*1440,0)/1440</f>
        <v/>
      </c>
      <c r="N263" s="4">
        <f>IFERROR(INDEX('3_ref_date'!$B:$B,MATCH(L263,'3_ref_date'!$A:$A,0)),"NOT FOUND")</f>
        <v/>
      </c>
      <c r="O263" s="2">
        <f>IFERROR(INDEX('3_ref_date'!$C:$C,MATCH(L263,'3_ref_date'!$A:$A,0)),"NOT FOUND")</f>
        <v/>
      </c>
      <c r="P263" s="4">
        <f>IFERROR(INDEX('3_ref_date'!$D:$D,MATCH(L263,'3_ref_date'!$A:$A,0)),"NOT FOUND")</f>
        <v/>
      </c>
      <c r="Q263" s="4">
        <f>IFERROR(INDEX('3_ref_date'!$E:$E,MATCH(L263,'3_ref_date'!$A:$A,0)),"NOT FOUND")</f>
        <v/>
      </c>
      <c r="R263" s="2">
        <f>IFERROR(INDEX('3_ref_date'!$F:$F,MATCH(L263,'3_ref_date'!$A:$A,0)),"NOT FOUND")</f>
        <v/>
      </c>
      <c r="S263" s="2">
        <f>IFERROR(INDEX('4_ref_time'!$D:$D,MATCH(ROUND(M263*1440,0),'4_ref_time'!$A:$A,0)),"NOT FOUND")</f>
        <v/>
      </c>
      <c r="T263" s="2">
        <f>UPPER(TRIM(C263))</f>
        <v/>
      </c>
      <c r="U263" s="30">
        <f>IF(_xlfn.MAXIFS('6_3nf_branch_history'!$B$2:$B$50,'6_3nf_branch_history'!$A$2:$A$50,T263,'6_3nf_branch_history'!$B$2:$B$50,"&lt;="&amp;L263)=0,"NOT FOUND",_xlfn.MAXIFS('6_3nf_branch_history'!$B$2:$B$50,'6_3nf_branch_history'!$A$2:$A$50,T263,'6_3nf_branch_history'!$B$2:$B$50,"&lt;="&amp;L263))</f>
        <v/>
      </c>
      <c r="V263" s="2">
        <f>IF(U263="NOT FOUND","NOT FOUND",INDEX('6_3nf_branch_history'!$C:$C,SUMPRODUCT(('6_3nf_branch_history'!$A$2:$A$50=T263)*('6_3nf_branch_history'!$B$2:$B$50=U263)*ROW('6_3nf_branch_history'!$A$2:$A$50))))</f>
        <v/>
      </c>
      <c r="W263" s="2">
        <f>IF(U263="NOT FOUND","NOT FOUND",INDEX('6_3nf_branch_history'!$D:$D,SUMPRODUCT(('6_3nf_branch_history'!$A$2:$A$50=T263)*('6_3nf_branch_history'!$B$2:$B$50=U263)*ROW('6_3nf_branch_history'!$A$2:$A$50))))</f>
        <v/>
      </c>
      <c r="X263" s="2">
        <f>IF(U263="NOT FOUND","NOT FOUND",INDEX('6_3nf_branch_history'!$E:$E,SUMPRODUCT(('6_3nf_branch_history'!$A$2:$A$50=T263)*('6_3nf_branch_history'!$B$2:$B$50=U263)*ROW('6_3nf_branch_history'!$A$2:$A$50))))</f>
        <v/>
      </c>
      <c r="Y263" s="2">
        <f>UPPER(TRIM(D263))</f>
        <v/>
      </c>
      <c r="Z263" s="2">
        <f>IFERROR(INDEX('7_3nf_product'!$B:$B,MATCH(Y263,'7_3nf_product'!$A:$A,0)),"NOT FOUND")</f>
        <v/>
      </c>
      <c r="AA263" s="2">
        <f>IFERROR(INDEX('7_3nf_product'!$C:$C,MATCH(Y263,'7_3nf_product'!$A:$A,0)),"NOT FOUND")</f>
        <v/>
      </c>
      <c r="AB263" s="2">
        <f>IFERROR(INDEX('7_3nf_product'!$D:$D,MATCH(Y263,'7_3nf_product'!$A:$A,0)),"NOT FOUND")</f>
        <v/>
      </c>
      <c r="AC263" s="6">
        <f>IFERROR(INDEX('7_3nf_product'!$E:$E,MATCH(Y263,'7_3nf_product'!$A:$A,0)),"NOT FOUND")</f>
        <v/>
      </c>
      <c r="AD263" s="33">
        <f>IF(LEN(TRIM(E263))=10,TRIM(E263),IF(LEN(TRIM(E263))=8,"00"&amp;TRIM(E263),"CHECK"))</f>
        <v/>
      </c>
      <c r="AE263" s="2">
        <f>IFERROR(INDEX('8_3nf_customer'!$C:$C,MATCH(AD263,'8_3nf_customer'!$B:$B,0)),"NOT FOUND")</f>
        <v/>
      </c>
      <c r="AF263" s="30">
        <f>IFERROR(INDEX('8_3nf_customer'!$D:$D,MATCH(AD263,'8_3nf_customer'!$B:$B,0)),"NOT FOUND")</f>
        <v/>
      </c>
      <c r="AG263" s="4">
        <f>IF(ISNUMBER(AF263),DATEDIF(AF263,L263,"y"),"NOT FOUND")</f>
        <v/>
      </c>
      <c r="AH263" s="2">
        <f>IFERROR(INDEX('8_3nf_customer'!$E:$E,MATCH(AD263,'8_3nf_customer'!$B:$B,0)),"NOT FOUND")</f>
        <v/>
      </c>
      <c r="AI263" s="30">
        <f>IF(_xlfn.MAXIFS('9_3nf_customer_history'!$B$2:$B$500,'9_3nf_customer_history'!$A$2:$A$500,AD263,'9_3nf_customer_history'!$B$2:$B$500,"&lt;="&amp;L263)=0,"NOT FOUND",_xlfn.MAXIFS('9_3nf_customer_history'!$B$2:$B$500,'9_3nf_customer_history'!$A$2:$A$500,AD263,'9_3nf_customer_history'!$B$2:$B$500,"&lt;="&amp;L263))</f>
        <v/>
      </c>
      <c r="AJ263" s="2">
        <f>IF(AI263="NOT FOUND","NOT FOUND",INDEX('9_3nf_customer_history'!$C:$C,SUMPRODUCT(('9_3nf_customer_history'!$A$2:$A$500=AD263)*('9_3nf_customer_history'!$B$2:$B$500=AI263)*ROW('9_3nf_customer_history'!$A$2:$A$500))))</f>
        <v/>
      </c>
      <c r="AK263" s="2">
        <f>IF(AI263="NOT FOUND","NOT FOUND",INDEX('9_3nf_customer_history'!$D:$D,SUMPRODUCT(('9_3nf_customer_history'!$A$2:$A$500=AD263)*('9_3nf_customer_history'!$B$2:$B$500=AI263)*ROW('9_3nf_customer_history'!$A$2:$A$500))))</f>
        <v/>
      </c>
      <c r="AL263" s="2">
        <f>UPPER(TRIM(H263))</f>
        <v/>
      </c>
      <c r="AM263" s="30">
        <f>IF(_xlfn.MAXIFS('10_ref_fx_rate'!$B$2:$B$2000,'10_ref_fx_rate'!$A$2:$A$2000,AL263,'10_ref_fx_rate'!$B$2:$B$2000,"&lt;="&amp;L263)=0,"NOT FOUND",_xlfn.MAXIFS('10_ref_fx_rate'!$B$2:$B$2000,'10_ref_fx_rate'!$A$2:$A$2000,AL263,'10_ref_fx_rate'!$B$2:$B$2000,"&lt;="&amp;L263))</f>
        <v/>
      </c>
      <c r="AN263" s="8">
        <f>IF(AM263="NOT FOUND","NOT FOUND",SUMIFS('10_ref_fx_rate'!$D$2:$D$2000,'10_ref_fx_rate'!$A$2:$A$2000,AL263,'10_ref_fx_rate'!$B$2:$B$2000,AM263))</f>
        <v/>
      </c>
      <c r="AO263" s="37">
        <f>IF(ISNUMBER(AN263),I263*AN263,"NOT FOUND")</f>
        <v/>
      </c>
      <c r="AP263" s="2">
        <f>UPPER(TRIM(J263))</f>
        <v/>
      </c>
      <c r="AQ263" s="2">
        <f>IF(AP263="","SELF-DIRECTED",IF(ISNUMBER(MATCH(AP263,'11_3nf_sales_person'!$A:$A,0)),IF(EXACT(AP263,J263),"OK","OK (auto-fixed)"),IF(ISNA(MATCH($A263,'12_sales_person_confirmation'!$A:$A,0)),"CONFIRM (not logged)",IF(INDEX('12_sales_person_confirmation'!$I:$I,MATCH($A263,'12_sales_person_confirmation'!$A:$A,0))="CONFIRMED","CONFIRMED ("&amp;LOWER(INDEX('12_sales_person_confirmation'!$E:$E,MATCH($A263,'12_sales_person_confirmation'!$A:$A,0)))&amp;")","PENDING CONFIRM"))))</f>
        <v/>
      </c>
      <c r="AR263" s="2">
        <f>IF(OR(AQ263="OK",AQ263="OK (auto-fixed)"),AP263,IF(LEFT(AQ263,9)="CONFIRMED",INDEX('12_sales_person_confirmation'!$F:$F,MATCH($A263,'12_sales_person_confirmation'!$A:$A,0)),""))</f>
        <v/>
      </c>
      <c r="AS263" s="2">
        <f>IF(AR263="","",INDEX('11_3nf_sales_person'!$B:$B,MATCH(AR263,'11_3nf_sales_person'!$A:$A,0)))</f>
        <v/>
      </c>
    </row>
    <row r="264">
      <c r="A264" s="2">
        <f>IF(ISBLANK('1_raw_log'!A264),"",'1_raw_log'!A264)</f>
        <v/>
      </c>
      <c r="B264" s="3">
        <f>IF(ISBLANK('1_raw_log'!B264),"",'1_raw_log'!B264)</f>
        <v/>
      </c>
      <c r="C264" s="2">
        <f>IF(ISBLANK('1_raw_log'!C264),"",'1_raw_log'!C264)</f>
        <v/>
      </c>
      <c r="D264" s="2">
        <f>IF(ISBLANK('1_raw_log'!D264),"",'1_raw_log'!D264)</f>
        <v/>
      </c>
      <c r="E264" s="4">
        <f>IF(ISBLANK('1_raw_log'!E264),"",'1_raw_log'!E264)</f>
        <v/>
      </c>
      <c r="F264" s="2">
        <f>IF(ISBLANK('1_raw_log'!F264),"",'1_raw_log'!F264)</f>
        <v/>
      </c>
      <c r="G264" s="2">
        <f>IF(ISBLANK('1_raw_log'!G264),"",'1_raw_log'!G264)</f>
        <v/>
      </c>
      <c r="H264" s="2">
        <f>IF(ISBLANK('1_raw_log'!H264),"",'1_raw_log'!H264)</f>
        <v/>
      </c>
      <c r="I264" s="7">
        <f>IF(ISBLANK('1_raw_log'!I264),"",'1_raw_log'!I264)</f>
        <v/>
      </c>
      <c r="J264" s="2">
        <f>IF(ISBLANK('1_raw_log'!J264),"",'1_raw_log'!J264)</f>
        <v/>
      </c>
      <c r="K264" s="2">
        <f>IF(ISBLANK('1_raw_log'!K264),"",'1_raw_log'!K264)</f>
        <v/>
      </c>
      <c r="L264" s="30">
        <f>INT(B264)</f>
        <v/>
      </c>
      <c r="M264" s="20">
        <f>ROUND(MOD(B264,1)*1440,0)/1440</f>
        <v/>
      </c>
      <c r="N264" s="4">
        <f>IFERROR(INDEX('3_ref_date'!$B:$B,MATCH(L264,'3_ref_date'!$A:$A,0)),"NOT FOUND")</f>
        <v/>
      </c>
      <c r="O264" s="2">
        <f>IFERROR(INDEX('3_ref_date'!$C:$C,MATCH(L264,'3_ref_date'!$A:$A,0)),"NOT FOUND")</f>
        <v/>
      </c>
      <c r="P264" s="4">
        <f>IFERROR(INDEX('3_ref_date'!$D:$D,MATCH(L264,'3_ref_date'!$A:$A,0)),"NOT FOUND")</f>
        <v/>
      </c>
      <c r="Q264" s="4">
        <f>IFERROR(INDEX('3_ref_date'!$E:$E,MATCH(L264,'3_ref_date'!$A:$A,0)),"NOT FOUND")</f>
        <v/>
      </c>
      <c r="R264" s="2">
        <f>IFERROR(INDEX('3_ref_date'!$F:$F,MATCH(L264,'3_ref_date'!$A:$A,0)),"NOT FOUND")</f>
        <v/>
      </c>
      <c r="S264" s="2">
        <f>IFERROR(INDEX('4_ref_time'!$D:$D,MATCH(ROUND(M264*1440,0),'4_ref_time'!$A:$A,0)),"NOT FOUND")</f>
        <v/>
      </c>
      <c r="T264" s="2">
        <f>UPPER(TRIM(C264))</f>
        <v/>
      </c>
      <c r="U264" s="30">
        <f>IF(_xlfn.MAXIFS('6_3nf_branch_history'!$B$2:$B$50,'6_3nf_branch_history'!$A$2:$A$50,T264,'6_3nf_branch_history'!$B$2:$B$50,"&lt;="&amp;L264)=0,"NOT FOUND",_xlfn.MAXIFS('6_3nf_branch_history'!$B$2:$B$50,'6_3nf_branch_history'!$A$2:$A$50,T264,'6_3nf_branch_history'!$B$2:$B$50,"&lt;="&amp;L264))</f>
        <v/>
      </c>
      <c r="V264" s="2">
        <f>IF(U264="NOT FOUND","NOT FOUND",INDEX('6_3nf_branch_history'!$C:$C,SUMPRODUCT(('6_3nf_branch_history'!$A$2:$A$50=T264)*('6_3nf_branch_history'!$B$2:$B$50=U264)*ROW('6_3nf_branch_history'!$A$2:$A$50))))</f>
        <v/>
      </c>
      <c r="W264" s="2">
        <f>IF(U264="NOT FOUND","NOT FOUND",INDEX('6_3nf_branch_history'!$D:$D,SUMPRODUCT(('6_3nf_branch_history'!$A$2:$A$50=T264)*('6_3nf_branch_history'!$B$2:$B$50=U264)*ROW('6_3nf_branch_history'!$A$2:$A$50))))</f>
        <v/>
      </c>
      <c r="X264" s="2">
        <f>IF(U264="NOT FOUND","NOT FOUND",INDEX('6_3nf_branch_history'!$E:$E,SUMPRODUCT(('6_3nf_branch_history'!$A$2:$A$50=T264)*('6_3nf_branch_history'!$B$2:$B$50=U264)*ROW('6_3nf_branch_history'!$A$2:$A$50))))</f>
        <v/>
      </c>
      <c r="Y264" s="2">
        <f>UPPER(TRIM(D264))</f>
        <v/>
      </c>
      <c r="Z264" s="2">
        <f>IFERROR(INDEX('7_3nf_product'!$B:$B,MATCH(Y264,'7_3nf_product'!$A:$A,0)),"NOT FOUND")</f>
        <v/>
      </c>
      <c r="AA264" s="2">
        <f>IFERROR(INDEX('7_3nf_product'!$C:$C,MATCH(Y264,'7_3nf_product'!$A:$A,0)),"NOT FOUND")</f>
        <v/>
      </c>
      <c r="AB264" s="2">
        <f>IFERROR(INDEX('7_3nf_product'!$D:$D,MATCH(Y264,'7_3nf_product'!$A:$A,0)),"NOT FOUND")</f>
        <v/>
      </c>
      <c r="AC264" s="6">
        <f>IFERROR(INDEX('7_3nf_product'!$E:$E,MATCH(Y264,'7_3nf_product'!$A:$A,0)),"NOT FOUND")</f>
        <v/>
      </c>
      <c r="AD264" s="33">
        <f>IF(LEN(TRIM(E264))=10,TRIM(E264),IF(LEN(TRIM(E264))=8,"00"&amp;TRIM(E264),"CHECK"))</f>
        <v/>
      </c>
      <c r="AE264" s="2">
        <f>IFERROR(INDEX('8_3nf_customer'!$C:$C,MATCH(AD264,'8_3nf_customer'!$B:$B,0)),"NOT FOUND")</f>
        <v/>
      </c>
      <c r="AF264" s="30">
        <f>IFERROR(INDEX('8_3nf_customer'!$D:$D,MATCH(AD264,'8_3nf_customer'!$B:$B,0)),"NOT FOUND")</f>
        <v/>
      </c>
      <c r="AG264" s="4">
        <f>IF(ISNUMBER(AF264),DATEDIF(AF264,L264,"y"),"NOT FOUND")</f>
        <v/>
      </c>
      <c r="AH264" s="2">
        <f>IFERROR(INDEX('8_3nf_customer'!$E:$E,MATCH(AD264,'8_3nf_customer'!$B:$B,0)),"NOT FOUND")</f>
        <v/>
      </c>
      <c r="AI264" s="30">
        <f>IF(_xlfn.MAXIFS('9_3nf_customer_history'!$B$2:$B$500,'9_3nf_customer_history'!$A$2:$A$500,AD264,'9_3nf_customer_history'!$B$2:$B$500,"&lt;="&amp;L264)=0,"NOT FOUND",_xlfn.MAXIFS('9_3nf_customer_history'!$B$2:$B$500,'9_3nf_customer_history'!$A$2:$A$500,AD264,'9_3nf_customer_history'!$B$2:$B$500,"&lt;="&amp;L264))</f>
        <v/>
      </c>
      <c r="AJ264" s="2">
        <f>IF(AI264="NOT FOUND","NOT FOUND",INDEX('9_3nf_customer_history'!$C:$C,SUMPRODUCT(('9_3nf_customer_history'!$A$2:$A$500=AD264)*('9_3nf_customer_history'!$B$2:$B$500=AI264)*ROW('9_3nf_customer_history'!$A$2:$A$500))))</f>
        <v/>
      </c>
      <c r="AK264" s="2">
        <f>IF(AI264="NOT FOUND","NOT FOUND",INDEX('9_3nf_customer_history'!$D:$D,SUMPRODUCT(('9_3nf_customer_history'!$A$2:$A$500=AD264)*('9_3nf_customer_history'!$B$2:$B$500=AI264)*ROW('9_3nf_customer_history'!$A$2:$A$500))))</f>
        <v/>
      </c>
      <c r="AL264" s="2">
        <f>UPPER(TRIM(H264))</f>
        <v/>
      </c>
      <c r="AM264" s="30">
        <f>IF(_xlfn.MAXIFS('10_ref_fx_rate'!$B$2:$B$2000,'10_ref_fx_rate'!$A$2:$A$2000,AL264,'10_ref_fx_rate'!$B$2:$B$2000,"&lt;="&amp;L264)=0,"NOT FOUND",_xlfn.MAXIFS('10_ref_fx_rate'!$B$2:$B$2000,'10_ref_fx_rate'!$A$2:$A$2000,AL264,'10_ref_fx_rate'!$B$2:$B$2000,"&lt;="&amp;L264))</f>
        <v/>
      </c>
      <c r="AN264" s="8">
        <f>IF(AM264="NOT FOUND","NOT FOUND",SUMIFS('10_ref_fx_rate'!$D$2:$D$2000,'10_ref_fx_rate'!$A$2:$A$2000,AL264,'10_ref_fx_rate'!$B$2:$B$2000,AM264))</f>
        <v/>
      </c>
      <c r="AO264" s="37">
        <f>IF(ISNUMBER(AN264),I264*AN264,"NOT FOUND")</f>
        <v/>
      </c>
      <c r="AP264" s="2">
        <f>UPPER(TRIM(J264))</f>
        <v/>
      </c>
      <c r="AQ264" s="2">
        <f>IF(AP264="","SELF-DIRECTED",IF(ISNUMBER(MATCH(AP264,'11_3nf_sales_person'!$A:$A,0)),IF(EXACT(AP264,J264),"OK","OK (auto-fixed)"),IF(ISNA(MATCH($A264,'12_sales_person_confirmation'!$A:$A,0)),"CONFIRM (not logged)",IF(INDEX('12_sales_person_confirmation'!$I:$I,MATCH($A264,'12_sales_person_confirmation'!$A:$A,0))="CONFIRMED","CONFIRMED ("&amp;LOWER(INDEX('12_sales_person_confirmation'!$E:$E,MATCH($A264,'12_sales_person_confirmation'!$A:$A,0)))&amp;")","PENDING CONFIRM"))))</f>
        <v/>
      </c>
      <c r="AR264" s="2">
        <f>IF(OR(AQ264="OK",AQ264="OK (auto-fixed)"),AP264,IF(LEFT(AQ264,9)="CONFIRMED",INDEX('12_sales_person_confirmation'!$F:$F,MATCH($A264,'12_sales_person_confirmation'!$A:$A,0)),""))</f>
        <v/>
      </c>
      <c r="AS264" s="2">
        <f>IF(AR264="","",INDEX('11_3nf_sales_person'!$B:$B,MATCH(AR264,'11_3nf_sales_person'!$A:$A,0)))</f>
        <v/>
      </c>
    </row>
    <row r="265">
      <c r="A265" s="2">
        <f>IF(ISBLANK('1_raw_log'!A265),"",'1_raw_log'!A265)</f>
        <v/>
      </c>
      <c r="B265" s="3">
        <f>IF(ISBLANK('1_raw_log'!B265),"",'1_raw_log'!B265)</f>
        <v/>
      </c>
      <c r="C265" s="2">
        <f>IF(ISBLANK('1_raw_log'!C265),"",'1_raw_log'!C265)</f>
        <v/>
      </c>
      <c r="D265" s="2">
        <f>IF(ISBLANK('1_raw_log'!D265),"",'1_raw_log'!D265)</f>
        <v/>
      </c>
      <c r="E265" s="4">
        <f>IF(ISBLANK('1_raw_log'!E265),"",'1_raw_log'!E265)</f>
        <v/>
      </c>
      <c r="F265" s="2">
        <f>IF(ISBLANK('1_raw_log'!F265),"",'1_raw_log'!F265)</f>
        <v/>
      </c>
      <c r="G265" s="2">
        <f>IF(ISBLANK('1_raw_log'!G265),"",'1_raw_log'!G265)</f>
        <v/>
      </c>
      <c r="H265" s="2">
        <f>IF(ISBLANK('1_raw_log'!H265),"",'1_raw_log'!H265)</f>
        <v/>
      </c>
      <c r="I265" s="7">
        <f>IF(ISBLANK('1_raw_log'!I265),"",'1_raw_log'!I265)</f>
        <v/>
      </c>
      <c r="J265" s="2">
        <f>IF(ISBLANK('1_raw_log'!J265),"",'1_raw_log'!J265)</f>
        <v/>
      </c>
      <c r="K265" s="2">
        <f>IF(ISBLANK('1_raw_log'!K265),"",'1_raw_log'!K265)</f>
        <v/>
      </c>
      <c r="L265" s="30">
        <f>INT(B265)</f>
        <v/>
      </c>
      <c r="M265" s="20">
        <f>ROUND(MOD(B265,1)*1440,0)/1440</f>
        <v/>
      </c>
      <c r="N265" s="4">
        <f>IFERROR(INDEX('3_ref_date'!$B:$B,MATCH(L265,'3_ref_date'!$A:$A,0)),"NOT FOUND")</f>
        <v/>
      </c>
      <c r="O265" s="2">
        <f>IFERROR(INDEX('3_ref_date'!$C:$C,MATCH(L265,'3_ref_date'!$A:$A,0)),"NOT FOUND")</f>
        <v/>
      </c>
      <c r="P265" s="4">
        <f>IFERROR(INDEX('3_ref_date'!$D:$D,MATCH(L265,'3_ref_date'!$A:$A,0)),"NOT FOUND")</f>
        <v/>
      </c>
      <c r="Q265" s="4">
        <f>IFERROR(INDEX('3_ref_date'!$E:$E,MATCH(L265,'3_ref_date'!$A:$A,0)),"NOT FOUND")</f>
        <v/>
      </c>
      <c r="R265" s="2">
        <f>IFERROR(INDEX('3_ref_date'!$F:$F,MATCH(L265,'3_ref_date'!$A:$A,0)),"NOT FOUND")</f>
        <v/>
      </c>
      <c r="S265" s="2">
        <f>IFERROR(INDEX('4_ref_time'!$D:$D,MATCH(ROUND(M265*1440,0),'4_ref_time'!$A:$A,0)),"NOT FOUND")</f>
        <v/>
      </c>
      <c r="T265" s="2">
        <f>UPPER(TRIM(C265))</f>
        <v/>
      </c>
      <c r="U265" s="30">
        <f>IF(_xlfn.MAXIFS('6_3nf_branch_history'!$B$2:$B$50,'6_3nf_branch_history'!$A$2:$A$50,T265,'6_3nf_branch_history'!$B$2:$B$50,"&lt;="&amp;L265)=0,"NOT FOUND",_xlfn.MAXIFS('6_3nf_branch_history'!$B$2:$B$50,'6_3nf_branch_history'!$A$2:$A$50,T265,'6_3nf_branch_history'!$B$2:$B$50,"&lt;="&amp;L265))</f>
        <v/>
      </c>
      <c r="V265" s="2">
        <f>IF(U265="NOT FOUND","NOT FOUND",INDEX('6_3nf_branch_history'!$C:$C,SUMPRODUCT(('6_3nf_branch_history'!$A$2:$A$50=T265)*('6_3nf_branch_history'!$B$2:$B$50=U265)*ROW('6_3nf_branch_history'!$A$2:$A$50))))</f>
        <v/>
      </c>
      <c r="W265" s="2">
        <f>IF(U265="NOT FOUND","NOT FOUND",INDEX('6_3nf_branch_history'!$D:$D,SUMPRODUCT(('6_3nf_branch_history'!$A$2:$A$50=T265)*('6_3nf_branch_history'!$B$2:$B$50=U265)*ROW('6_3nf_branch_history'!$A$2:$A$50))))</f>
        <v/>
      </c>
      <c r="X265" s="2">
        <f>IF(U265="NOT FOUND","NOT FOUND",INDEX('6_3nf_branch_history'!$E:$E,SUMPRODUCT(('6_3nf_branch_history'!$A$2:$A$50=T265)*('6_3nf_branch_history'!$B$2:$B$50=U265)*ROW('6_3nf_branch_history'!$A$2:$A$50))))</f>
        <v/>
      </c>
      <c r="Y265" s="2">
        <f>UPPER(TRIM(D265))</f>
        <v/>
      </c>
      <c r="Z265" s="2">
        <f>IFERROR(INDEX('7_3nf_product'!$B:$B,MATCH(Y265,'7_3nf_product'!$A:$A,0)),"NOT FOUND")</f>
        <v/>
      </c>
      <c r="AA265" s="2">
        <f>IFERROR(INDEX('7_3nf_product'!$C:$C,MATCH(Y265,'7_3nf_product'!$A:$A,0)),"NOT FOUND")</f>
        <v/>
      </c>
      <c r="AB265" s="2">
        <f>IFERROR(INDEX('7_3nf_product'!$D:$D,MATCH(Y265,'7_3nf_product'!$A:$A,0)),"NOT FOUND")</f>
        <v/>
      </c>
      <c r="AC265" s="6">
        <f>IFERROR(INDEX('7_3nf_product'!$E:$E,MATCH(Y265,'7_3nf_product'!$A:$A,0)),"NOT FOUND")</f>
        <v/>
      </c>
      <c r="AD265" s="33">
        <f>IF(LEN(TRIM(E265))=10,TRIM(E265),IF(LEN(TRIM(E265))=8,"00"&amp;TRIM(E265),"CHECK"))</f>
        <v/>
      </c>
      <c r="AE265" s="2">
        <f>IFERROR(INDEX('8_3nf_customer'!$C:$C,MATCH(AD265,'8_3nf_customer'!$B:$B,0)),"NOT FOUND")</f>
        <v/>
      </c>
      <c r="AF265" s="30">
        <f>IFERROR(INDEX('8_3nf_customer'!$D:$D,MATCH(AD265,'8_3nf_customer'!$B:$B,0)),"NOT FOUND")</f>
        <v/>
      </c>
      <c r="AG265" s="4">
        <f>IF(ISNUMBER(AF265),DATEDIF(AF265,L265,"y"),"NOT FOUND")</f>
        <v/>
      </c>
      <c r="AH265" s="2">
        <f>IFERROR(INDEX('8_3nf_customer'!$E:$E,MATCH(AD265,'8_3nf_customer'!$B:$B,0)),"NOT FOUND")</f>
        <v/>
      </c>
      <c r="AI265" s="30">
        <f>IF(_xlfn.MAXIFS('9_3nf_customer_history'!$B$2:$B$500,'9_3nf_customer_history'!$A$2:$A$500,AD265,'9_3nf_customer_history'!$B$2:$B$500,"&lt;="&amp;L265)=0,"NOT FOUND",_xlfn.MAXIFS('9_3nf_customer_history'!$B$2:$B$500,'9_3nf_customer_history'!$A$2:$A$500,AD265,'9_3nf_customer_history'!$B$2:$B$500,"&lt;="&amp;L265))</f>
        <v/>
      </c>
      <c r="AJ265" s="2">
        <f>IF(AI265="NOT FOUND","NOT FOUND",INDEX('9_3nf_customer_history'!$C:$C,SUMPRODUCT(('9_3nf_customer_history'!$A$2:$A$500=AD265)*('9_3nf_customer_history'!$B$2:$B$500=AI265)*ROW('9_3nf_customer_history'!$A$2:$A$500))))</f>
        <v/>
      </c>
      <c r="AK265" s="2">
        <f>IF(AI265="NOT FOUND","NOT FOUND",INDEX('9_3nf_customer_history'!$D:$D,SUMPRODUCT(('9_3nf_customer_history'!$A$2:$A$500=AD265)*('9_3nf_customer_history'!$B$2:$B$500=AI265)*ROW('9_3nf_customer_history'!$A$2:$A$500))))</f>
        <v/>
      </c>
      <c r="AL265" s="2">
        <f>UPPER(TRIM(H265))</f>
        <v/>
      </c>
      <c r="AM265" s="30">
        <f>IF(_xlfn.MAXIFS('10_ref_fx_rate'!$B$2:$B$2000,'10_ref_fx_rate'!$A$2:$A$2000,AL265,'10_ref_fx_rate'!$B$2:$B$2000,"&lt;="&amp;L265)=0,"NOT FOUND",_xlfn.MAXIFS('10_ref_fx_rate'!$B$2:$B$2000,'10_ref_fx_rate'!$A$2:$A$2000,AL265,'10_ref_fx_rate'!$B$2:$B$2000,"&lt;="&amp;L265))</f>
        <v/>
      </c>
      <c r="AN265" s="8">
        <f>IF(AM265="NOT FOUND","NOT FOUND",SUMIFS('10_ref_fx_rate'!$D$2:$D$2000,'10_ref_fx_rate'!$A$2:$A$2000,AL265,'10_ref_fx_rate'!$B$2:$B$2000,AM265))</f>
        <v/>
      </c>
      <c r="AO265" s="37">
        <f>IF(ISNUMBER(AN265),I265*AN265,"NOT FOUND")</f>
        <v/>
      </c>
      <c r="AP265" s="2">
        <f>UPPER(TRIM(J265))</f>
        <v/>
      </c>
      <c r="AQ265" s="2">
        <f>IF(AP265="","SELF-DIRECTED",IF(ISNUMBER(MATCH(AP265,'11_3nf_sales_person'!$A:$A,0)),IF(EXACT(AP265,J265),"OK","OK (auto-fixed)"),IF(ISNA(MATCH($A265,'12_sales_person_confirmation'!$A:$A,0)),"CONFIRM (not logged)",IF(INDEX('12_sales_person_confirmation'!$I:$I,MATCH($A265,'12_sales_person_confirmation'!$A:$A,0))="CONFIRMED","CONFIRMED ("&amp;LOWER(INDEX('12_sales_person_confirmation'!$E:$E,MATCH($A265,'12_sales_person_confirmation'!$A:$A,0)))&amp;")","PENDING CONFIRM"))))</f>
        <v/>
      </c>
      <c r="AR265" s="2">
        <f>IF(OR(AQ265="OK",AQ265="OK (auto-fixed)"),AP265,IF(LEFT(AQ265,9)="CONFIRMED",INDEX('12_sales_person_confirmation'!$F:$F,MATCH($A265,'12_sales_person_confirmation'!$A:$A,0)),""))</f>
        <v/>
      </c>
      <c r="AS265" s="2">
        <f>IF(AR265="","",INDEX('11_3nf_sales_person'!$B:$B,MATCH(AR265,'11_3nf_sales_person'!$A:$A,0)))</f>
        <v/>
      </c>
    </row>
    <row r="266">
      <c r="A266" s="2">
        <f>IF(ISBLANK('1_raw_log'!A266),"",'1_raw_log'!A266)</f>
        <v/>
      </c>
      <c r="B266" s="3">
        <f>IF(ISBLANK('1_raw_log'!B266),"",'1_raw_log'!B266)</f>
        <v/>
      </c>
      <c r="C266" s="2">
        <f>IF(ISBLANK('1_raw_log'!C266),"",'1_raw_log'!C266)</f>
        <v/>
      </c>
      <c r="D266" s="2">
        <f>IF(ISBLANK('1_raw_log'!D266),"",'1_raw_log'!D266)</f>
        <v/>
      </c>
      <c r="E266" s="4">
        <f>IF(ISBLANK('1_raw_log'!E266),"",'1_raw_log'!E266)</f>
        <v/>
      </c>
      <c r="F266" s="2">
        <f>IF(ISBLANK('1_raw_log'!F266),"",'1_raw_log'!F266)</f>
        <v/>
      </c>
      <c r="G266" s="2">
        <f>IF(ISBLANK('1_raw_log'!G266),"",'1_raw_log'!G266)</f>
        <v/>
      </c>
      <c r="H266" s="2">
        <f>IF(ISBLANK('1_raw_log'!H266),"",'1_raw_log'!H266)</f>
        <v/>
      </c>
      <c r="I266" s="7">
        <f>IF(ISBLANK('1_raw_log'!I266),"",'1_raw_log'!I266)</f>
        <v/>
      </c>
      <c r="J266" s="2">
        <f>IF(ISBLANK('1_raw_log'!J266),"",'1_raw_log'!J266)</f>
        <v/>
      </c>
      <c r="K266" s="2">
        <f>IF(ISBLANK('1_raw_log'!K266),"",'1_raw_log'!K266)</f>
        <v/>
      </c>
      <c r="L266" s="30">
        <f>INT(B266)</f>
        <v/>
      </c>
      <c r="M266" s="20">
        <f>ROUND(MOD(B266,1)*1440,0)/1440</f>
        <v/>
      </c>
      <c r="N266" s="4">
        <f>IFERROR(INDEX('3_ref_date'!$B:$B,MATCH(L266,'3_ref_date'!$A:$A,0)),"NOT FOUND")</f>
        <v/>
      </c>
      <c r="O266" s="2">
        <f>IFERROR(INDEX('3_ref_date'!$C:$C,MATCH(L266,'3_ref_date'!$A:$A,0)),"NOT FOUND")</f>
        <v/>
      </c>
      <c r="P266" s="4">
        <f>IFERROR(INDEX('3_ref_date'!$D:$D,MATCH(L266,'3_ref_date'!$A:$A,0)),"NOT FOUND")</f>
        <v/>
      </c>
      <c r="Q266" s="4">
        <f>IFERROR(INDEX('3_ref_date'!$E:$E,MATCH(L266,'3_ref_date'!$A:$A,0)),"NOT FOUND")</f>
        <v/>
      </c>
      <c r="R266" s="2">
        <f>IFERROR(INDEX('3_ref_date'!$F:$F,MATCH(L266,'3_ref_date'!$A:$A,0)),"NOT FOUND")</f>
        <v/>
      </c>
      <c r="S266" s="2">
        <f>IFERROR(INDEX('4_ref_time'!$D:$D,MATCH(ROUND(M266*1440,0),'4_ref_time'!$A:$A,0)),"NOT FOUND")</f>
        <v/>
      </c>
      <c r="T266" s="2">
        <f>UPPER(TRIM(C266))</f>
        <v/>
      </c>
      <c r="U266" s="30">
        <f>IF(_xlfn.MAXIFS('6_3nf_branch_history'!$B$2:$B$50,'6_3nf_branch_history'!$A$2:$A$50,T266,'6_3nf_branch_history'!$B$2:$B$50,"&lt;="&amp;L266)=0,"NOT FOUND",_xlfn.MAXIFS('6_3nf_branch_history'!$B$2:$B$50,'6_3nf_branch_history'!$A$2:$A$50,T266,'6_3nf_branch_history'!$B$2:$B$50,"&lt;="&amp;L266))</f>
        <v/>
      </c>
      <c r="V266" s="2">
        <f>IF(U266="NOT FOUND","NOT FOUND",INDEX('6_3nf_branch_history'!$C:$C,SUMPRODUCT(('6_3nf_branch_history'!$A$2:$A$50=T266)*('6_3nf_branch_history'!$B$2:$B$50=U266)*ROW('6_3nf_branch_history'!$A$2:$A$50))))</f>
        <v/>
      </c>
      <c r="W266" s="2">
        <f>IF(U266="NOT FOUND","NOT FOUND",INDEX('6_3nf_branch_history'!$D:$D,SUMPRODUCT(('6_3nf_branch_history'!$A$2:$A$50=T266)*('6_3nf_branch_history'!$B$2:$B$50=U266)*ROW('6_3nf_branch_history'!$A$2:$A$50))))</f>
        <v/>
      </c>
      <c r="X266" s="2">
        <f>IF(U266="NOT FOUND","NOT FOUND",INDEX('6_3nf_branch_history'!$E:$E,SUMPRODUCT(('6_3nf_branch_history'!$A$2:$A$50=T266)*('6_3nf_branch_history'!$B$2:$B$50=U266)*ROW('6_3nf_branch_history'!$A$2:$A$50))))</f>
        <v/>
      </c>
      <c r="Y266" s="2">
        <f>UPPER(TRIM(D266))</f>
        <v/>
      </c>
      <c r="Z266" s="2">
        <f>IFERROR(INDEX('7_3nf_product'!$B:$B,MATCH(Y266,'7_3nf_product'!$A:$A,0)),"NOT FOUND")</f>
        <v/>
      </c>
      <c r="AA266" s="2">
        <f>IFERROR(INDEX('7_3nf_product'!$C:$C,MATCH(Y266,'7_3nf_product'!$A:$A,0)),"NOT FOUND")</f>
        <v/>
      </c>
      <c r="AB266" s="2">
        <f>IFERROR(INDEX('7_3nf_product'!$D:$D,MATCH(Y266,'7_3nf_product'!$A:$A,0)),"NOT FOUND")</f>
        <v/>
      </c>
      <c r="AC266" s="6">
        <f>IFERROR(INDEX('7_3nf_product'!$E:$E,MATCH(Y266,'7_3nf_product'!$A:$A,0)),"NOT FOUND")</f>
        <v/>
      </c>
      <c r="AD266" s="33">
        <f>IF(LEN(TRIM(E266))=10,TRIM(E266),IF(LEN(TRIM(E266))=8,"00"&amp;TRIM(E266),"CHECK"))</f>
        <v/>
      </c>
      <c r="AE266" s="2">
        <f>IFERROR(INDEX('8_3nf_customer'!$C:$C,MATCH(AD266,'8_3nf_customer'!$B:$B,0)),"NOT FOUND")</f>
        <v/>
      </c>
      <c r="AF266" s="30">
        <f>IFERROR(INDEX('8_3nf_customer'!$D:$D,MATCH(AD266,'8_3nf_customer'!$B:$B,0)),"NOT FOUND")</f>
        <v/>
      </c>
      <c r="AG266" s="4">
        <f>IF(ISNUMBER(AF266),DATEDIF(AF266,L266,"y"),"NOT FOUND")</f>
        <v/>
      </c>
      <c r="AH266" s="2">
        <f>IFERROR(INDEX('8_3nf_customer'!$E:$E,MATCH(AD266,'8_3nf_customer'!$B:$B,0)),"NOT FOUND")</f>
        <v/>
      </c>
      <c r="AI266" s="30">
        <f>IF(_xlfn.MAXIFS('9_3nf_customer_history'!$B$2:$B$500,'9_3nf_customer_history'!$A$2:$A$500,AD266,'9_3nf_customer_history'!$B$2:$B$500,"&lt;="&amp;L266)=0,"NOT FOUND",_xlfn.MAXIFS('9_3nf_customer_history'!$B$2:$B$500,'9_3nf_customer_history'!$A$2:$A$500,AD266,'9_3nf_customer_history'!$B$2:$B$500,"&lt;="&amp;L266))</f>
        <v/>
      </c>
      <c r="AJ266" s="2">
        <f>IF(AI266="NOT FOUND","NOT FOUND",INDEX('9_3nf_customer_history'!$C:$C,SUMPRODUCT(('9_3nf_customer_history'!$A$2:$A$500=AD266)*('9_3nf_customer_history'!$B$2:$B$500=AI266)*ROW('9_3nf_customer_history'!$A$2:$A$500))))</f>
        <v/>
      </c>
      <c r="AK266" s="2">
        <f>IF(AI266="NOT FOUND","NOT FOUND",INDEX('9_3nf_customer_history'!$D:$D,SUMPRODUCT(('9_3nf_customer_history'!$A$2:$A$500=AD266)*('9_3nf_customer_history'!$B$2:$B$500=AI266)*ROW('9_3nf_customer_history'!$A$2:$A$500))))</f>
        <v/>
      </c>
      <c r="AL266" s="2">
        <f>UPPER(TRIM(H266))</f>
        <v/>
      </c>
      <c r="AM266" s="30">
        <f>IF(_xlfn.MAXIFS('10_ref_fx_rate'!$B$2:$B$2000,'10_ref_fx_rate'!$A$2:$A$2000,AL266,'10_ref_fx_rate'!$B$2:$B$2000,"&lt;="&amp;L266)=0,"NOT FOUND",_xlfn.MAXIFS('10_ref_fx_rate'!$B$2:$B$2000,'10_ref_fx_rate'!$A$2:$A$2000,AL266,'10_ref_fx_rate'!$B$2:$B$2000,"&lt;="&amp;L266))</f>
        <v/>
      </c>
      <c r="AN266" s="8">
        <f>IF(AM266="NOT FOUND","NOT FOUND",SUMIFS('10_ref_fx_rate'!$D$2:$D$2000,'10_ref_fx_rate'!$A$2:$A$2000,AL266,'10_ref_fx_rate'!$B$2:$B$2000,AM266))</f>
        <v/>
      </c>
      <c r="AO266" s="37">
        <f>IF(ISNUMBER(AN266),I266*AN266,"NOT FOUND")</f>
        <v/>
      </c>
      <c r="AP266" s="2">
        <f>UPPER(TRIM(J266))</f>
        <v/>
      </c>
      <c r="AQ266" s="2">
        <f>IF(AP266="","SELF-DIRECTED",IF(ISNUMBER(MATCH(AP266,'11_3nf_sales_person'!$A:$A,0)),IF(EXACT(AP266,J266),"OK","OK (auto-fixed)"),IF(ISNA(MATCH($A266,'12_sales_person_confirmation'!$A:$A,0)),"CONFIRM (not logged)",IF(INDEX('12_sales_person_confirmation'!$I:$I,MATCH($A266,'12_sales_person_confirmation'!$A:$A,0))="CONFIRMED","CONFIRMED ("&amp;LOWER(INDEX('12_sales_person_confirmation'!$E:$E,MATCH($A266,'12_sales_person_confirmation'!$A:$A,0)))&amp;")","PENDING CONFIRM"))))</f>
        <v/>
      </c>
      <c r="AR266" s="2">
        <f>IF(OR(AQ266="OK",AQ266="OK (auto-fixed)"),AP266,IF(LEFT(AQ266,9)="CONFIRMED",INDEX('12_sales_person_confirmation'!$F:$F,MATCH($A266,'12_sales_person_confirmation'!$A:$A,0)),""))</f>
        <v/>
      </c>
      <c r="AS266" s="2">
        <f>IF(AR266="","",INDEX('11_3nf_sales_person'!$B:$B,MATCH(AR266,'11_3nf_sales_person'!$A:$A,0)))</f>
        <v/>
      </c>
    </row>
    <row r="267">
      <c r="A267" s="2">
        <f>IF(ISBLANK('1_raw_log'!A267),"",'1_raw_log'!A267)</f>
        <v/>
      </c>
      <c r="B267" s="3">
        <f>IF(ISBLANK('1_raw_log'!B267),"",'1_raw_log'!B267)</f>
        <v/>
      </c>
      <c r="C267" s="2">
        <f>IF(ISBLANK('1_raw_log'!C267),"",'1_raw_log'!C267)</f>
        <v/>
      </c>
      <c r="D267" s="2">
        <f>IF(ISBLANK('1_raw_log'!D267),"",'1_raw_log'!D267)</f>
        <v/>
      </c>
      <c r="E267" s="4">
        <f>IF(ISBLANK('1_raw_log'!E267),"",'1_raw_log'!E267)</f>
        <v/>
      </c>
      <c r="F267" s="2">
        <f>IF(ISBLANK('1_raw_log'!F267),"",'1_raw_log'!F267)</f>
        <v/>
      </c>
      <c r="G267" s="2">
        <f>IF(ISBLANK('1_raw_log'!G267),"",'1_raw_log'!G267)</f>
        <v/>
      </c>
      <c r="H267" s="2">
        <f>IF(ISBLANK('1_raw_log'!H267),"",'1_raw_log'!H267)</f>
        <v/>
      </c>
      <c r="I267" s="7">
        <f>IF(ISBLANK('1_raw_log'!I267),"",'1_raw_log'!I267)</f>
        <v/>
      </c>
      <c r="J267" s="2">
        <f>IF(ISBLANK('1_raw_log'!J267),"",'1_raw_log'!J267)</f>
        <v/>
      </c>
      <c r="K267" s="2">
        <f>IF(ISBLANK('1_raw_log'!K267),"",'1_raw_log'!K267)</f>
        <v/>
      </c>
      <c r="L267" s="30">
        <f>INT(B267)</f>
        <v/>
      </c>
      <c r="M267" s="20">
        <f>ROUND(MOD(B267,1)*1440,0)/1440</f>
        <v/>
      </c>
      <c r="N267" s="4">
        <f>IFERROR(INDEX('3_ref_date'!$B:$B,MATCH(L267,'3_ref_date'!$A:$A,0)),"NOT FOUND")</f>
        <v/>
      </c>
      <c r="O267" s="2">
        <f>IFERROR(INDEX('3_ref_date'!$C:$C,MATCH(L267,'3_ref_date'!$A:$A,0)),"NOT FOUND")</f>
        <v/>
      </c>
      <c r="P267" s="4">
        <f>IFERROR(INDEX('3_ref_date'!$D:$D,MATCH(L267,'3_ref_date'!$A:$A,0)),"NOT FOUND")</f>
        <v/>
      </c>
      <c r="Q267" s="4">
        <f>IFERROR(INDEX('3_ref_date'!$E:$E,MATCH(L267,'3_ref_date'!$A:$A,0)),"NOT FOUND")</f>
        <v/>
      </c>
      <c r="R267" s="2">
        <f>IFERROR(INDEX('3_ref_date'!$F:$F,MATCH(L267,'3_ref_date'!$A:$A,0)),"NOT FOUND")</f>
        <v/>
      </c>
      <c r="S267" s="2">
        <f>IFERROR(INDEX('4_ref_time'!$D:$D,MATCH(ROUND(M267*1440,0),'4_ref_time'!$A:$A,0)),"NOT FOUND")</f>
        <v/>
      </c>
      <c r="T267" s="2">
        <f>UPPER(TRIM(C267))</f>
        <v/>
      </c>
      <c r="U267" s="30">
        <f>IF(_xlfn.MAXIFS('6_3nf_branch_history'!$B$2:$B$50,'6_3nf_branch_history'!$A$2:$A$50,T267,'6_3nf_branch_history'!$B$2:$B$50,"&lt;="&amp;L267)=0,"NOT FOUND",_xlfn.MAXIFS('6_3nf_branch_history'!$B$2:$B$50,'6_3nf_branch_history'!$A$2:$A$50,T267,'6_3nf_branch_history'!$B$2:$B$50,"&lt;="&amp;L267))</f>
        <v/>
      </c>
      <c r="V267" s="2">
        <f>IF(U267="NOT FOUND","NOT FOUND",INDEX('6_3nf_branch_history'!$C:$C,SUMPRODUCT(('6_3nf_branch_history'!$A$2:$A$50=T267)*('6_3nf_branch_history'!$B$2:$B$50=U267)*ROW('6_3nf_branch_history'!$A$2:$A$50))))</f>
        <v/>
      </c>
      <c r="W267" s="2">
        <f>IF(U267="NOT FOUND","NOT FOUND",INDEX('6_3nf_branch_history'!$D:$D,SUMPRODUCT(('6_3nf_branch_history'!$A$2:$A$50=T267)*('6_3nf_branch_history'!$B$2:$B$50=U267)*ROW('6_3nf_branch_history'!$A$2:$A$50))))</f>
        <v/>
      </c>
      <c r="X267" s="2">
        <f>IF(U267="NOT FOUND","NOT FOUND",INDEX('6_3nf_branch_history'!$E:$E,SUMPRODUCT(('6_3nf_branch_history'!$A$2:$A$50=T267)*('6_3nf_branch_history'!$B$2:$B$50=U267)*ROW('6_3nf_branch_history'!$A$2:$A$50))))</f>
        <v/>
      </c>
      <c r="Y267" s="2">
        <f>UPPER(TRIM(D267))</f>
        <v/>
      </c>
      <c r="Z267" s="2">
        <f>IFERROR(INDEX('7_3nf_product'!$B:$B,MATCH(Y267,'7_3nf_product'!$A:$A,0)),"NOT FOUND")</f>
        <v/>
      </c>
      <c r="AA267" s="2">
        <f>IFERROR(INDEX('7_3nf_product'!$C:$C,MATCH(Y267,'7_3nf_product'!$A:$A,0)),"NOT FOUND")</f>
        <v/>
      </c>
      <c r="AB267" s="2">
        <f>IFERROR(INDEX('7_3nf_product'!$D:$D,MATCH(Y267,'7_3nf_product'!$A:$A,0)),"NOT FOUND")</f>
        <v/>
      </c>
      <c r="AC267" s="6">
        <f>IFERROR(INDEX('7_3nf_product'!$E:$E,MATCH(Y267,'7_3nf_product'!$A:$A,0)),"NOT FOUND")</f>
        <v/>
      </c>
      <c r="AD267" s="33">
        <f>IF(LEN(TRIM(E267))=10,TRIM(E267),IF(LEN(TRIM(E267))=8,"00"&amp;TRIM(E267),"CHECK"))</f>
        <v/>
      </c>
      <c r="AE267" s="2">
        <f>IFERROR(INDEX('8_3nf_customer'!$C:$C,MATCH(AD267,'8_3nf_customer'!$B:$B,0)),"NOT FOUND")</f>
        <v/>
      </c>
      <c r="AF267" s="30">
        <f>IFERROR(INDEX('8_3nf_customer'!$D:$D,MATCH(AD267,'8_3nf_customer'!$B:$B,0)),"NOT FOUND")</f>
        <v/>
      </c>
      <c r="AG267" s="4">
        <f>IF(ISNUMBER(AF267),DATEDIF(AF267,L267,"y"),"NOT FOUND")</f>
        <v/>
      </c>
      <c r="AH267" s="2">
        <f>IFERROR(INDEX('8_3nf_customer'!$E:$E,MATCH(AD267,'8_3nf_customer'!$B:$B,0)),"NOT FOUND")</f>
        <v/>
      </c>
      <c r="AI267" s="30">
        <f>IF(_xlfn.MAXIFS('9_3nf_customer_history'!$B$2:$B$500,'9_3nf_customer_history'!$A$2:$A$500,AD267,'9_3nf_customer_history'!$B$2:$B$500,"&lt;="&amp;L267)=0,"NOT FOUND",_xlfn.MAXIFS('9_3nf_customer_history'!$B$2:$B$500,'9_3nf_customer_history'!$A$2:$A$500,AD267,'9_3nf_customer_history'!$B$2:$B$500,"&lt;="&amp;L267))</f>
        <v/>
      </c>
      <c r="AJ267" s="2">
        <f>IF(AI267="NOT FOUND","NOT FOUND",INDEX('9_3nf_customer_history'!$C:$C,SUMPRODUCT(('9_3nf_customer_history'!$A$2:$A$500=AD267)*('9_3nf_customer_history'!$B$2:$B$500=AI267)*ROW('9_3nf_customer_history'!$A$2:$A$500))))</f>
        <v/>
      </c>
      <c r="AK267" s="2">
        <f>IF(AI267="NOT FOUND","NOT FOUND",INDEX('9_3nf_customer_history'!$D:$D,SUMPRODUCT(('9_3nf_customer_history'!$A$2:$A$500=AD267)*('9_3nf_customer_history'!$B$2:$B$500=AI267)*ROW('9_3nf_customer_history'!$A$2:$A$500))))</f>
        <v/>
      </c>
      <c r="AL267" s="2">
        <f>UPPER(TRIM(H267))</f>
        <v/>
      </c>
      <c r="AM267" s="30">
        <f>IF(_xlfn.MAXIFS('10_ref_fx_rate'!$B$2:$B$2000,'10_ref_fx_rate'!$A$2:$A$2000,AL267,'10_ref_fx_rate'!$B$2:$B$2000,"&lt;="&amp;L267)=0,"NOT FOUND",_xlfn.MAXIFS('10_ref_fx_rate'!$B$2:$B$2000,'10_ref_fx_rate'!$A$2:$A$2000,AL267,'10_ref_fx_rate'!$B$2:$B$2000,"&lt;="&amp;L267))</f>
        <v/>
      </c>
      <c r="AN267" s="8">
        <f>IF(AM267="NOT FOUND","NOT FOUND",SUMIFS('10_ref_fx_rate'!$D$2:$D$2000,'10_ref_fx_rate'!$A$2:$A$2000,AL267,'10_ref_fx_rate'!$B$2:$B$2000,AM267))</f>
        <v/>
      </c>
      <c r="AO267" s="37">
        <f>IF(ISNUMBER(AN267),I267*AN267,"NOT FOUND")</f>
        <v/>
      </c>
      <c r="AP267" s="2">
        <f>UPPER(TRIM(J267))</f>
        <v/>
      </c>
      <c r="AQ267" s="2">
        <f>IF(AP267="","SELF-DIRECTED",IF(ISNUMBER(MATCH(AP267,'11_3nf_sales_person'!$A:$A,0)),IF(EXACT(AP267,J267),"OK","OK (auto-fixed)"),IF(ISNA(MATCH($A267,'12_sales_person_confirmation'!$A:$A,0)),"CONFIRM (not logged)",IF(INDEX('12_sales_person_confirmation'!$I:$I,MATCH($A267,'12_sales_person_confirmation'!$A:$A,0))="CONFIRMED","CONFIRMED ("&amp;LOWER(INDEX('12_sales_person_confirmation'!$E:$E,MATCH($A267,'12_sales_person_confirmation'!$A:$A,0)))&amp;")","PENDING CONFIRM"))))</f>
        <v/>
      </c>
      <c r="AR267" s="2">
        <f>IF(OR(AQ267="OK",AQ267="OK (auto-fixed)"),AP267,IF(LEFT(AQ267,9)="CONFIRMED",INDEX('12_sales_person_confirmation'!$F:$F,MATCH($A267,'12_sales_person_confirmation'!$A:$A,0)),""))</f>
        <v/>
      </c>
      <c r="AS267" s="2">
        <f>IF(AR267="","",INDEX('11_3nf_sales_person'!$B:$B,MATCH(AR267,'11_3nf_sales_person'!$A:$A,0)))</f>
        <v/>
      </c>
    </row>
    <row r="268">
      <c r="A268" s="2">
        <f>IF(ISBLANK('1_raw_log'!A268),"",'1_raw_log'!A268)</f>
        <v/>
      </c>
      <c r="B268" s="3">
        <f>IF(ISBLANK('1_raw_log'!B268),"",'1_raw_log'!B268)</f>
        <v/>
      </c>
      <c r="C268" s="2">
        <f>IF(ISBLANK('1_raw_log'!C268),"",'1_raw_log'!C268)</f>
        <v/>
      </c>
      <c r="D268" s="2">
        <f>IF(ISBLANK('1_raw_log'!D268),"",'1_raw_log'!D268)</f>
        <v/>
      </c>
      <c r="E268" s="4">
        <f>IF(ISBLANK('1_raw_log'!E268),"",'1_raw_log'!E268)</f>
        <v/>
      </c>
      <c r="F268" s="2">
        <f>IF(ISBLANK('1_raw_log'!F268),"",'1_raw_log'!F268)</f>
        <v/>
      </c>
      <c r="G268" s="2">
        <f>IF(ISBLANK('1_raw_log'!G268),"",'1_raw_log'!G268)</f>
        <v/>
      </c>
      <c r="H268" s="2">
        <f>IF(ISBLANK('1_raw_log'!H268),"",'1_raw_log'!H268)</f>
        <v/>
      </c>
      <c r="I268" s="7">
        <f>IF(ISBLANK('1_raw_log'!I268),"",'1_raw_log'!I268)</f>
        <v/>
      </c>
      <c r="J268" s="2">
        <f>IF(ISBLANK('1_raw_log'!J268),"",'1_raw_log'!J268)</f>
        <v/>
      </c>
      <c r="K268" s="2">
        <f>IF(ISBLANK('1_raw_log'!K268),"",'1_raw_log'!K268)</f>
        <v/>
      </c>
      <c r="L268" s="30">
        <f>INT(B268)</f>
        <v/>
      </c>
      <c r="M268" s="20">
        <f>ROUND(MOD(B268,1)*1440,0)/1440</f>
        <v/>
      </c>
      <c r="N268" s="4">
        <f>IFERROR(INDEX('3_ref_date'!$B:$B,MATCH(L268,'3_ref_date'!$A:$A,0)),"NOT FOUND")</f>
        <v/>
      </c>
      <c r="O268" s="2">
        <f>IFERROR(INDEX('3_ref_date'!$C:$C,MATCH(L268,'3_ref_date'!$A:$A,0)),"NOT FOUND")</f>
        <v/>
      </c>
      <c r="P268" s="4">
        <f>IFERROR(INDEX('3_ref_date'!$D:$D,MATCH(L268,'3_ref_date'!$A:$A,0)),"NOT FOUND")</f>
        <v/>
      </c>
      <c r="Q268" s="4">
        <f>IFERROR(INDEX('3_ref_date'!$E:$E,MATCH(L268,'3_ref_date'!$A:$A,0)),"NOT FOUND")</f>
        <v/>
      </c>
      <c r="R268" s="2">
        <f>IFERROR(INDEX('3_ref_date'!$F:$F,MATCH(L268,'3_ref_date'!$A:$A,0)),"NOT FOUND")</f>
        <v/>
      </c>
      <c r="S268" s="2">
        <f>IFERROR(INDEX('4_ref_time'!$D:$D,MATCH(ROUND(M268*1440,0),'4_ref_time'!$A:$A,0)),"NOT FOUND")</f>
        <v/>
      </c>
      <c r="T268" s="2">
        <f>UPPER(TRIM(C268))</f>
        <v/>
      </c>
      <c r="U268" s="30">
        <f>IF(_xlfn.MAXIFS('6_3nf_branch_history'!$B$2:$B$50,'6_3nf_branch_history'!$A$2:$A$50,T268,'6_3nf_branch_history'!$B$2:$B$50,"&lt;="&amp;L268)=0,"NOT FOUND",_xlfn.MAXIFS('6_3nf_branch_history'!$B$2:$B$50,'6_3nf_branch_history'!$A$2:$A$50,T268,'6_3nf_branch_history'!$B$2:$B$50,"&lt;="&amp;L268))</f>
        <v/>
      </c>
      <c r="V268" s="2">
        <f>IF(U268="NOT FOUND","NOT FOUND",INDEX('6_3nf_branch_history'!$C:$C,SUMPRODUCT(('6_3nf_branch_history'!$A$2:$A$50=T268)*('6_3nf_branch_history'!$B$2:$B$50=U268)*ROW('6_3nf_branch_history'!$A$2:$A$50))))</f>
        <v/>
      </c>
      <c r="W268" s="2">
        <f>IF(U268="NOT FOUND","NOT FOUND",INDEX('6_3nf_branch_history'!$D:$D,SUMPRODUCT(('6_3nf_branch_history'!$A$2:$A$50=T268)*('6_3nf_branch_history'!$B$2:$B$50=U268)*ROW('6_3nf_branch_history'!$A$2:$A$50))))</f>
        <v/>
      </c>
      <c r="X268" s="2">
        <f>IF(U268="NOT FOUND","NOT FOUND",INDEX('6_3nf_branch_history'!$E:$E,SUMPRODUCT(('6_3nf_branch_history'!$A$2:$A$50=T268)*('6_3nf_branch_history'!$B$2:$B$50=U268)*ROW('6_3nf_branch_history'!$A$2:$A$50))))</f>
        <v/>
      </c>
      <c r="Y268" s="2">
        <f>UPPER(TRIM(D268))</f>
        <v/>
      </c>
      <c r="Z268" s="2">
        <f>IFERROR(INDEX('7_3nf_product'!$B:$B,MATCH(Y268,'7_3nf_product'!$A:$A,0)),"NOT FOUND")</f>
        <v/>
      </c>
      <c r="AA268" s="2">
        <f>IFERROR(INDEX('7_3nf_product'!$C:$C,MATCH(Y268,'7_3nf_product'!$A:$A,0)),"NOT FOUND")</f>
        <v/>
      </c>
      <c r="AB268" s="2">
        <f>IFERROR(INDEX('7_3nf_product'!$D:$D,MATCH(Y268,'7_3nf_product'!$A:$A,0)),"NOT FOUND")</f>
        <v/>
      </c>
      <c r="AC268" s="6">
        <f>IFERROR(INDEX('7_3nf_product'!$E:$E,MATCH(Y268,'7_3nf_product'!$A:$A,0)),"NOT FOUND")</f>
        <v/>
      </c>
      <c r="AD268" s="33">
        <f>IF(LEN(TRIM(E268))=10,TRIM(E268),IF(LEN(TRIM(E268))=8,"00"&amp;TRIM(E268),"CHECK"))</f>
        <v/>
      </c>
      <c r="AE268" s="2">
        <f>IFERROR(INDEX('8_3nf_customer'!$C:$C,MATCH(AD268,'8_3nf_customer'!$B:$B,0)),"NOT FOUND")</f>
        <v/>
      </c>
      <c r="AF268" s="30">
        <f>IFERROR(INDEX('8_3nf_customer'!$D:$D,MATCH(AD268,'8_3nf_customer'!$B:$B,0)),"NOT FOUND")</f>
        <v/>
      </c>
      <c r="AG268" s="4">
        <f>IF(ISNUMBER(AF268),DATEDIF(AF268,L268,"y"),"NOT FOUND")</f>
        <v/>
      </c>
      <c r="AH268" s="2">
        <f>IFERROR(INDEX('8_3nf_customer'!$E:$E,MATCH(AD268,'8_3nf_customer'!$B:$B,0)),"NOT FOUND")</f>
        <v/>
      </c>
      <c r="AI268" s="30">
        <f>IF(_xlfn.MAXIFS('9_3nf_customer_history'!$B$2:$B$500,'9_3nf_customer_history'!$A$2:$A$500,AD268,'9_3nf_customer_history'!$B$2:$B$500,"&lt;="&amp;L268)=0,"NOT FOUND",_xlfn.MAXIFS('9_3nf_customer_history'!$B$2:$B$500,'9_3nf_customer_history'!$A$2:$A$500,AD268,'9_3nf_customer_history'!$B$2:$B$500,"&lt;="&amp;L268))</f>
        <v/>
      </c>
      <c r="AJ268" s="2">
        <f>IF(AI268="NOT FOUND","NOT FOUND",INDEX('9_3nf_customer_history'!$C:$C,SUMPRODUCT(('9_3nf_customer_history'!$A$2:$A$500=AD268)*('9_3nf_customer_history'!$B$2:$B$500=AI268)*ROW('9_3nf_customer_history'!$A$2:$A$500))))</f>
        <v/>
      </c>
      <c r="AK268" s="2">
        <f>IF(AI268="NOT FOUND","NOT FOUND",INDEX('9_3nf_customer_history'!$D:$D,SUMPRODUCT(('9_3nf_customer_history'!$A$2:$A$500=AD268)*('9_3nf_customer_history'!$B$2:$B$500=AI268)*ROW('9_3nf_customer_history'!$A$2:$A$500))))</f>
        <v/>
      </c>
      <c r="AL268" s="2">
        <f>UPPER(TRIM(H268))</f>
        <v/>
      </c>
      <c r="AM268" s="30">
        <f>IF(_xlfn.MAXIFS('10_ref_fx_rate'!$B$2:$B$2000,'10_ref_fx_rate'!$A$2:$A$2000,AL268,'10_ref_fx_rate'!$B$2:$B$2000,"&lt;="&amp;L268)=0,"NOT FOUND",_xlfn.MAXIFS('10_ref_fx_rate'!$B$2:$B$2000,'10_ref_fx_rate'!$A$2:$A$2000,AL268,'10_ref_fx_rate'!$B$2:$B$2000,"&lt;="&amp;L268))</f>
        <v/>
      </c>
      <c r="AN268" s="8">
        <f>IF(AM268="NOT FOUND","NOT FOUND",SUMIFS('10_ref_fx_rate'!$D$2:$D$2000,'10_ref_fx_rate'!$A$2:$A$2000,AL268,'10_ref_fx_rate'!$B$2:$B$2000,AM268))</f>
        <v/>
      </c>
      <c r="AO268" s="37">
        <f>IF(ISNUMBER(AN268),I268*AN268,"NOT FOUND")</f>
        <v/>
      </c>
      <c r="AP268" s="2">
        <f>UPPER(TRIM(J268))</f>
        <v/>
      </c>
      <c r="AQ268" s="2">
        <f>IF(AP268="","SELF-DIRECTED",IF(ISNUMBER(MATCH(AP268,'11_3nf_sales_person'!$A:$A,0)),IF(EXACT(AP268,J268),"OK","OK (auto-fixed)"),IF(ISNA(MATCH($A268,'12_sales_person_confirmation'!$A:$A,0)),"CONFIRM (not logged)",IF(INDEX('12_sales_person_confirmation'!$I:$I,MATCH($A268,'12_sales_person_confirmation'!$A:$A,0))="CONFIRMED","CONFIRMED ("&amp;LOWER(INDEX('12_sales_person_confirmation'!$E:$E,MATCH($A268,'12_sales_person_confirmation'!$A:$A,0)))&amp;")","PENDING CONFIRM"))))</f>
        <v/>
      </c>
      <c r="AR268" s="2">
        <f>IF(OR(AQ268="OK",AQ268="OK (auto-fixed)"),AP268,IF(LEFT(AQ268,9)="CONFIRMED",INDEX('12_sales_person_confirmation'!$F:$F,MATCH($A268,'12_sales_person_confirmation'!$A:$A,0)),""))</f>
        <v/>
      </c>
      <c r="AS268" s="2">
        <f>IF(AR268="","",INDEX('11_3nf_sales_person'!$B:$B,MATCH(AR268,'11_3nf_sales_person'!$A:$A,0)))</f>
        <v/>
      </c>
    </row>
    <row r="269">
      <c r="A269" s="2">
        <f>IF(ISBLANK('1_raw_log'!A269),"",'1_raw_log'!A269)</f>
        <v/>
      </c>
      <c r="B269" s="3">
        <f>IF(ISBLANK('1_raw_log'!B269),"",'1_raw_log'!B269)</f>
        <v/>
      </c>
      <c r="C269" s="2">
        <f>IF(ISBLANK('1_raw_log'!C269),"",'1_raw_log'!C269)</f>
        <v/>
      </c>
      <c r="D269" s="2">
        <f>IF(ISBLANK('1_raw_log'!D269),"",'1_raw_log'!D269)</f>
        <v/>
      </c>
      <c r="E269" s="4">
        <f>IF(ISBLANK('1_raw_log'!E269),"",'1_raw_log'!E269)</f>
        <v/>
      </c>
      <c r="F269" s="2">
        <f>IF(ISBLANK('1_raw_log'!F269),"",'1_raw_log'!F269)</f>
        <v/>
      </c>
      <c r="G269" s="2">
        <f>IF(ISBLANK('1_raw_log'!G269),"",'1_raw_log'!G269)</f>
        <v/>
      </c>
      <c r="H269" s="2">
        <f>IF(ISBLANK('1_raw_log'!H269),"",'1_raw_log'!H269)</f>
        <v/>
      </c>
      <c r="I269" s="7">
        <f>IF(ISBLANK('1_raw_log'!I269),"",'1_raw_log'!I269)</f>
        <v/>
      </c>
      <c r="J269" s="2">
        <f>IF(ISBLANK('1_raw_log'!J269),"",'1_raw_log'!J269)</f>
        <v/>
      </c>
      <c r="K269" s="2">
        <f>IF(ISBLANK('1_raw_log'!K269),"",'1_raw_log'!K269)</f>
        <v/>
      </c>
      <c r="L269" s="30">
        <f>INT(B269)</f>
        <v/>
      </c>
      <c r="M269" s="20">
        <f>ROUND(MOD(B269,1)*1440,0)/1440</f>
        <v/>
      </c>
      <c r="N269" s="4">
        <f>IFERROR(INDEX('3_ref_date'!$B:$B,MATCH(L269,'3_ref_date'!$A:$A,0)),"NOT FOUND")</f>
        <v/>
      </c>
      <c r="O269" s="2">
        <f>IFERROR(INDEX('3_ref_date'!$C:$C,MATCH(L269,'3_ref_date'!$A:$A,0)),"NOT FOUND")</f>
        <v/>
      </c>
      <c r="P269" s="4">
        <f>IFERROR(INDEX('3_ref_date'!$D:$D,MATCH(L269,'3_ref_date'!$A:$A,0)),"NOT FOUND")</f>
        <v/>
      </c>
      <c r="Q269" s="4">
        <f>IFERROR(INDEX('3_ref_date'!$E:$E,MATCH(L269,'3_ref_date'!$A:$A,0)),"NOT FOUND")</f>
        <v/>
      </c>
      <c r="R269" s="2">
        <f>IFERROR(INDEX('3_ref_date'!$F:$F,MATCH(L269,'3_ref_date'!$A:$A,0)),"NOT FOUND")</f>
        <v/>
      </c>
      <c r="S269" s="2">
        <f>IFERROR(INDEX('4_ref_time'!$D:$D,MATCH(ROUND(M269*1440,0),'4_ref_time'!$A:$A,0)),"NOT FOUND")</f>
        <v/>
      </c>
      <c r="T269" s="2">
        <f>UPPER(TRIM(C269))</f>
        <v/>
      </c>
      <c r="U269" s="30">
        <f>IF(_xlfn.MAXIFS('6_3nf_branch_history'!$B$2:$B$50,'6_3nf_branch_history'!$A$2:$A$50,T269,'6_3nf_branch_history'!$B$2:$B$50,"&lt;="&amp;L269)=0,"NOT FOUND",_xlfn.MAXIFS('6_3nf_branch_history'!$B$2:$B$50,'6_3nf_branch_history'!$A$2:$A$50,T269,'6_3nf_branch_history'!$B$2:$B$50,"&lt;="&amp;L269))</f>
        <v/>
      </c>
      <c r="V269" s="2">
        <f>IF(U269="NOT FOUND","NOT FOUND",INDEX('6_3nf_branch_history'!$C:$C,SUMPRODUCT(('6_3nf_branch_history'!$A$2:$A$50=T269)*('6_3nf_branch_history'!$B$2:$B$50=U269)*ROW('6_3nf_branch_history'!$A$2:$A$50))))</f>
        <v/>
      </c>
      <c r="W269" s="2">
        <f>IF(U269="NOT FOUND","NOT FOUND",INDEX('6_3nf_branch_history'!$D:$D,SUMPRODUCT(('6_3nf_branch_history'!$A$2:$A$50=T269)*('6_3nf_branch_history'!$B$2:$B$50=U269)*ROW('6_3nf_branch_history'!$A$2:$A$50))))</f>
        <v/>
      </c>
      <c r="X269" s="2">
        <f>IF(U269="NOT FOUND","NOT FOUND",INDEX('6_3nf_branch_history'!$E:$E,SUMPRODUCT(('6_3nf_branch_history'!$A$2:$A$50=T269)*('6_3nf_branch_history'!$B$2:$B$50=U269)*ROW('6_3nf_branch_history'!$A$2:$A$50))))</f>
        <v/>
      </c>
      <c r="Y269" s="2">
        <f>UPPER(TRIM(D269))</f>
        <v/>
      </c>
      <c r="Z269" s="2">
        <f>IFERROR(INDEX('7_3nf_product'!$B:$B,MATCH(Y269,'7_3nf_product'!$A:$A,0)),"NOT FOUND")</f>
        <v/>
      </c>
      <c r="AA269" s="2">
        <f>IFERROR(INDEX('7_3nf_product'!$C:$C,MATCH(Y269,'7_3nf_product'!$A:$A,0)),"NOT FOUND")</f>
        <v/>
      </c>
      <c r="AB269" s="2">
        <f>IFERROR(INDEX('7_3nf_product'!$D:$D,MATCH(Y269,'7_3nf_product'!$A:$A,0)),"NOT FOUND")</f>
        <v/>
      </c>
      <c r="AC269" s="6">
        <f>IFERROR(INDEX('7_3nf_product'!$E:$E,MATCH(Y269,'7_3nf_product'!$A:$A,0)),"NOT FOUND")</f>
        <v/>
      </c>
      <c r="AD269" s="33">
        <f>IF(LEN(TRIM(E269))=10,TRIM(E269),IF(LEN(TRIM(E269))=8,"00"&amp;TRIM(E269),"CHECK"))</f>
        <v/>
      </c>
      <c r="AE269" s="2">
        <f>IFERROR(INDEX('8_3nf_customer'!$C:$C,MATCH(AD269,'8_3nf_customer'!$B:$B,0)),"NOT FOUND")</f>
        <v/>
      </c>
      <c r="AF269" s="30">
        <f>IFERROR(INDEX('8_3nf_customer'!$D:$D,MATCH(AD269,'8_3nf_customer'!$B:$B,0)),"NOT FOUND")</f>
        <v/>
      </c>
      <c r="AG269" s="4">
        <f>IF(ISNUMBER(AF269),DATEDIF(AF269,L269,"y"),"NOT FOUND")</f>
        <v/>
      </c>
      <c r="AH269" s="2">
        <f>IFERROR(INDEX('8_3nf_customer'!$E:$E,MATCH(AD269,'8_3nf_customer'!$B:$B,0)),"NOT FOUND")</f>
        <v/>
      </c>
      <c r="AI269" s="30">
        <f>IF(_xlfn.MAXIFS('9_3nf_customer_history'!$B$2:$B$500,'9_3nf_customer_history'!$A$2:$A$500,AD269,'9_3nf_customer_history'!$B$2:$B$500,"&lt;="&amp;L269)=0,"NOT FOUND",_xlfn.MAXIFS('9_3nf_customer_history'!$B$2:$B$500,'9_3nf_customer_history'!$A$2:$A$500,AD269,'9_3nf_customer_history'!$B$2:$B$500,"&lt;="&amp;L269))</f>
        <v/>
      </c>
      <c r="AJ269" s="2">
        <f>IF(AI269="NOT FOUND","NOT FOUND",INDEX('9_3nf_customer_history'!$C:$C,SUMPRODUCT(('9_3nf_customer_history'!$A$2:$A$500=AD269)*('9_3nf_customer_history'!$B$2:$B$500=AI269)*ROW('9_3nf_customer_history'!$A$2:$A$500))))</f>
        <v/>
      </c>
      <c r="AK269" s="2">
        <f>IF(AI269="NOT FOUND","NOT FOUND",INDEX('9_3nf_customer_history'!$D:$D,SUMPRODUCT(('9_3nf_customer_history'!$A$2:$A$500=AD269)*('9_3nf_customer_history'!$B$2:$B$500=AI269)*ROW('9_3nf_customer_history'!$A$2:$A$500))))</f>
        <v/>
      </c>
      <c r="AL269" s="2">
        <f>UPPER(TRIM(H269))</f>
        <v/>
      </c>
      <c r="AM269" s="30">
        <f>IF(_xlfn.MAXIFS('10_ref_fx_rate'!$B$2:$B$2000,'10_ref_fx_rate'!$A$2:$A$2000,AL269,'10_ref_fx_rate'!$B$2:$B$2000,"&lt;="&amp;L269)=0,"NOT FOUND",_xlfn.MAXIFS('10_ref_fx_rate'!$B$2:$B$2000,'10_ref_fx_rate'!$A$2:$A$2000,AL269,'10_ref_fx_rate'!$B$2:$B$2000,"&lt;="&amp;L269))</f>
        <v/>
      </c>
      <c r="AN269" s="8">
        <f>IF(AM269="NOT FOUND","NOT FOUND",SUMIFS('10_ref_fx_rate'!$D$2:$D$2000,'10_ref_fx_rate'!$A$2:$A$2000,AL269,'10_ref_fx_rate'!$B$2:$B$2000,AM269))</f>
        <v/>
      </c>
      <c r="AO269" s="37">
        <f>IF(ISNUMBER(AN269),I269*AN269,"NOT FOUND")</f>
        <v/>
      </c>
      <c r="AP269" s="2">
        <f>UPPER(TRIM(J269))</f>
        <v/>
      </c>
      <c r="AQ269" s="2">
        <f>IF(AP269="","SELF-DIRECTED",IF(ISNUMBER(MATCH(AP269,'11_3nf_sales_person'!$A:$A,0)),IF(EXACT(AP269,J269),"OK","OK (auto-fixed)"),IF(ISNA(MATCH($A269,'12_sales_person_confirmation'!$A:$A,0)),"CONFIRM (not logged)",IF(INDEX('12_sales_person_confirmation'!$I:$I,MATCH($A269,'12_sales_person_confirmation'!$A:$A,0))="CONFIRMED","CONFIRMED ("&amp;LOWER(INDEX('12_sales_person_confirmation'!$E:$E,MATCH($A269,'12_sales_person_confirmation'!$A:$A,0)))&amp;")","PENDING CONFIRM"))))</f>
        <v/>
      </c>
      <c r="AR269" s="2">
        <f>IF(OR(AQ269="OK",AQ269="OK (auto-fixed)"),AP269,IF(LEFT(AQ269,9)="CONFIRMED",INDEX('12_sales_person_confirmation'!$F:$F,MATCH($A269,'12_sales_person_confirmation'!$A:$A,0)),""))</f>
        <v/>
      </c>
      <c r="AS269" s="2">
        <f>IF(AR269="","",INDEX('11_3nf_sales_person'!$B:$B,MATCH(AR269,'11_3nf_sales_person'!$A:$A,0)))</f>
        <v/>
      </c>
    </row>
    <row r="270">
      <c r="A270" s="2">
        <f>IF(ISBLANK('1_raw_log'!A270),"",'1_raw_log'!A270)</f>
        <v/>
      </c>
      <c r="B270" s="3">
        <f>IF(ISBLANK('1_raw_log'!B270),"",'1_raw_log'!B270)</f>
        <v/>
      </c>
      <c r="C270" s="2">
        <f>IF(ISBLANK('1_raw_log'!C270),"",'1_raw_log'!C270)</f>
        <v/>
      </c>
      <c r="D270" s="2">
        <f>IF(ISBLANK('1_raw_log'!D270),"",'1_raw_log'!D270)</f>
        <v/>
      </c>
      <c r="E270" s="4">
        <f>IF(ISBLANK('1_raw_log'!E270),"",'1_raw_log'!E270)</f>
        <v/>
      </c>
      <c r="F270" s="2">
        <f>IF(ISBLANK('1_raw_log'!F270),"",'1_raw_log'!F270)</f>
        <v/>
      </c>
      <c r="G270" s="2">
        <f>IF(ISBLANK('1_raw_log'!G270),"",'1_raw_log'!G270)</f>
        <v/>
      </c>
      <c r="H270" s="2">
        <f>IF(ISBLANK('1_raw_log'!H270),"",'1_raw_log'!H270)</f>
        <v/>
      </c>
      <c r="I270" s="7">
        <f>IF(ISBLANK('1_raw_log'!I270),"",'1_raw_log'!I270)</f>
        <v/>
      </c>
      <c r="J270" s="2">
        <f>IF(ISBLANK('1_raw_log'!J270),"",'1_raw_log'!J270)</f>
        <v/>
      </c>
      <c r="K270" s="2">
        <f>IF(ISBLANK('1_raw_log'!K270),"",'1_raw_log'!K270)</f>
        <v/>
      </c>
      <c r="L270" s="30">
        <f>INT(B270)</f>
        <v/>
      </c>
      <c r="M270" s="20">
        <f>ROUND(MOD(B270,1)*1440,0)/1440</f>
        <v/>
      </c>
      <c r="N270" s="4">
        <f>IFERROR(INDEX('3_ref_date'!$B:$B,MATCH(L270,'3_ref_date'!$A:$A,0)),"NOT FOUND")</f>
        <v/>
      </c>
      <c r="O270" s="2">
        <f>IFERROR(INDEX('3_ref_date'!$C:$C,MATCH(L270,'3_ref_date'!$A:$A,0)),"NOT FOUND")</f>
        <v/>
      </c>
      <c r="P270" s="4">
        <f>IFERROR(INDEX('3_ref_date'!$D:$D,MATCH(L270,'3_ref_date'!$A:$A,0)),"NOT FOUND")</f>
        <v/>
      </c>
      <c r="Q270" s="4">
        <f>IFERROR(INDEX('3_ref_date'!$E:$E,MATCH(L270,'3_ref_date'!$A:$A,0)),"NOT FOUND")</f>
        <v/>
      </c>
      <c r="R270" s="2">
        <f>IFERROR(INDEX('3_ref_date'!$F:$F,MATCH(L270,'3_ref_date'!$A:$A,0)),"NOT FOUND")</f>
        <v/>
      </c>
      <c r="S270" s="2">
        <f>IFERROR(INDEX('4_ref_time'!$D:$D,MATCH(ROUND(M270*1440,0),'4_ref_time'!$A:$A,0)),"NOT FOUND")</f>
        <v/>
      </c>
      <c r="T270" s="2">
        <f>UPPER(TRIM(C270))</f>
        <v/>
      </c>
      <c r="U270" s="30">
        <f>IF(_xlfn.MAXIFS('6_3nf_branch_history'!$B$2:$B$50,'6_3nf_branch_history'!$A$2:$A$50,T270,'6_3nf_branch_history'!$B$2:$B$50,"&lt;="&amp;L270)=0,"NOT FOUND",_xlfn.MAXIFS('6_3nf_branch_history'!$B$2:$B$50,'6_3nf_branch_history'!$A$2:$A$50,T270,'6_3nf_branch_history'!$B$2:$B$50,"&lt;="&amp;L270))</f>
        <v/>
      </c>
      <c r="V270" s="2">
        <f>IF(U270="NOT FOUND","NOT FOUND",INDEX('6_3nf_branch_history'!$C:$C,SUMPRODUCT(('6_3nf_branch_history'!$A$2:$A$50=T270)*('6_3nf_branch_history'!$B$2:$B$50=U270)*ROW('6_3nf_branch_history'!$A$2:$A$50))))</f>
        <v/>
      </c>
      <c r="W270" s="2">
        <f>IF(U270="NOT FOUND","NOT FOUND",INDEX('6_3nf_branch_history'!$D:$D,SUMPRODUCT(('6_3nf_branch_history'!$A$2:$A$50=T270)*('6_3nf_branch_history'!$B$2:$B$50=U270)*ROW('6_3nf_branch_history'!$A$2:$A$50))))</f>
        <v/>
      </c>
      <c r="X270" s="2">
        <f>IF(U270="NOT FOUND","NOT FOUND",INDEX('6_3nf_branch_history'!$E:$E,SUMPRODUCT(('6_3nf_branch_history'!$A$2:$A$50=T270)*('6_3nf_branch_history'!$B$2:$B$50=U270)*ROW('6_3nf_branch_history'!$A$2:$A$50))))</f>
        <v/>
      </c>
      <c r="Y270" s="2">
        <f>UPPER(TRIM(D270))</f>
        <v/>
      </c>
      <c r="Z270" s="2">
        <f>IFERROR(INDEX('7_3nf_product'!$B:$B,MATCH(Y270,'7_3nf_product'!$A:$A,0)),"NOT FOUND")</f>
        <v/>
      </c>
      <c r="AA270" s="2">
        <f>IFERROR(INDEX('7_3nf_product'!$C:$C,MATCH(Y270,'7_3nf_product'!$A:$A,0)),"NOT FOUND")</f>
        <v/>
      </c>
      <c r="AB270" s="2">
        <f>IFERROR(INDEX('7_3nf_product'!$D:$D,MATCH(Y270,'7_3nf_product'!$A:$A,0)),"NOT FOUND")</f>
        <v/>
      </c>
      <c r="AC270" s="6">
        <f>IFERROR(INDEX('7_3nf_product'!$E:$E,MATCH(Y270,'7_3nf_product'!$A:$A,0)),"NOT FOUND")</f>
        <v/>
      </c>
      <c r="AD270" s="33">
        <f>IF(LEN(TRIM(E270))=10,TRIM(E270),IF(LEN(TRIM(E270))=8,"00"&amp;TRIM(E270),"CHECK"))</f>
        <v/>
      </c>
      <c r="AE270" s="2">
        <f>IFERROR(INDEX('8_3nf_customer'!$C:$C,MATCH(AD270,'8_3nf_customer'!$B:$B,0)),"NOT FOUND")</f>
        <v/>
      </c>
      <c r="AF270" s="30">
        <f>IFERROR(INDEX('8_3nf_customer'!$D:$D,MATCH(AD270,'8_3nf_customer'!$B:$B,0)),"NOT FOUND")</f>
        <v/>
      </c>
      <c r="AG270" s="4">
        <f>IF(ISNUMBER(AF270),DATEDIF(AF270,L270,"y"),"NOT FOUND")</f>
        <v/>
      </c>
      <c r="AH270" s="2">
        <f>IFERROR(INDEX('8_3nf_customer'!$E:$E,MATCH(AD270,'8_3nf_customer'!$B:$B,0)),"NOT FOUND")</f>
        <v/>
      </c>
      <c r="AI270" s="30">
        <f>IF(_xlfn.MAXIFS('9_3nf_customer_history'!$B$2:$B$500,'9_3nf_customer_history'!$A$2:$A$500,AD270,'9_3nf_customer_history'!$B$2:$B$500,"&lt;="&amp;L270)=0,"NOT FOUND",_xlfn.MAXIFS('9_3nf_customer_history'!$B$2:$B$500,'9_3nf_customer_history'!$A$2:$A$500,AD270,'9_3nf_customer_history'!$B$2:$B$500,"&lt;="&amp;L270))</f>
        <v/>
      </c>
      <c r="AJ270" s="2">
        <f>IF(AI270="NOT FOUND","NOT FOUND",INDEX('9_3nf_customer_history'!$C:$C,SUMPRODUCT(('9_3nf_customer_history'!$A$2:$A$500=AD270)*('9_3nf_customer_history'!$B$2:$B$500=AI270)*ROW('9_3nf_customer_history'!$A$2:$A$500))))</f>
        <v/>
      </c>
      <c r="AK270" s="2">
        <f>IF(AI270="NOT FOUND","NOT FOUND",INDEX('9_3nf_customer_history'!$D:$D,SUMPRODUCT(('9_3nf_customer_history'!$A$2:$A$500=AD270)*('9_3nf_customer_history'!$B$2:$B$500=AI270)*ROW('9_3nf_customer_history'!$A$2:$A$500))))</f>
        <v/>
      </c>
      <c r="AL270" s="2">
        <f>UPPER(TRIM(H270))</f>
        <v/>
      </c>
      <c r="AM270" s="30">
        <f>IF(_xlfn.MAXIFS('10_ref_fx_rate'!$B$2:$B$2000,'10_ref_fx_rate'!$A$2:$A$2000,AL270,'10_ref_fx_rate'!$B$2:$B$2000,"&lt;="&amp;L270)=0,"NOT FOUND",_xlfn.MAXIFS('10_ref_fx_rate'!$B$2:$B$2000,'10_ref_fx_rate'!$A$2:$A$2000,AL270,'10_ref_fx_rate'!$B$2:$B$2000,"&lt;="&amp;L270))</f>
        <v/>
      </c>
      <c r="AN270" s="8">
        <f>IF(AM270="NOT FOUND","NOT FOUND",SUMIFS('10_ref_fx_rate'!$D$2:$D$2000,'10_ref_fx_rate'!$A$2:$A$2000,AL270,'10_ref_fx_rate'!$B$2:$B$2000,AM270))</f>
        <v/>
      </c>
      <c r="AO270" s="37">
        <f>IF(ISNUMBER(AN270),I270*AN270,"NOT FOUND")</f>
        <v/>
      </c>
      <c r="AP270" s="2">
        <f>UPPER(TRIM(J270))</f>
        <v/>
      </c>
      <c r="AQ270" s="2">
        <f>IF(AP270="","SELF-DIRECTED",IF(ISNUMBER(MATCH(AP270,'11_3nf_sales_person'!$A:$A,0)),IF(EXACT(AP270,J270),"OK","OK (auto-fixed)"),IF(ISNA(MATCH($A270,'12_sales_person_confirmation'!$A:$A,0)),"CONFIRM (not logged)",IF(INDEX('12_sales_person_confirmation'!$I:$I,MATCH($A270,'12_sales_person_confirmation'!$A:$A,0))="CONFIRMED","CONFIRMED ("&amp;LOWER(INDEX('12_sales_person_confirmation'!$E:$E,MATCH($A270,'12_sales_person_confirmation'!$A:$A,0)))&amp;")","PENDING CONFIRM"))))</f>
        <v/>
      </c>
      <c r="AR270" s="2">
        <f>IF(OR(AQ270="OK",AQ270="OK (auto-fixed)"),AP270,IF(LEFT(AQ270,9)="CONFIRMED",INDEX('12_sales_person_confirmation'!$F:$F,MATCH($A270,'12_sales_person_confirmation'!$A:$A,0)),""))</f>
        <v/>
      </c>
      <c r="AS270" s="2">
        <f>IF(AR270="","",INDEX('11_3nf_sales_person'!$B:$B,MATCH(AR270,'11_3nf_sales_person'!$A:$A,0)))</f>
        <v/>
      </c>
    </row>
    <row r="271">
      <c r="A271" s="2">
        <f>IF(ISBLANK('1_raw_log'!A271),"",'1_raw_log'!A271)</f>
        <v/>
      </c>
      <c r="B271" s="3">
        <f>IF(ISBLANK('1_raw_log'!B271),"",'1_raw_log'!B271)</f>
        <v/>
      </c>
      <c r="C271" s="2">
        <f>IF(ISBLANK('1_raw_log'!C271),"",'1_raw_log'!C271)</f>
        <v/>
      </c>
      <c r="D271" s="2">
        <f>IF(ISBLANK('1_raw_log'!D271),"",'1_raw_log'!D271)</f>
        <v/>
      </c>
      <c r="E271" s="4">
        <f>IF(ISBLANK('1_raw_log'!E271),"",'1_raw_log'!E271)</f>
        <v/>
      </c>
      <c r="F271" s="2">
        <f>IF(ISBLANK('1_raw_log'!F271),"",'1_raw_log'!F271)</f>
        <v/>
      </c>
      <c r="G271" s="2">
        <f>IF(ISBLANK('1_raw_log'!G271),"",'1_raw_log'!G271)</f>
        <v/>
      </c>
      <c r="H271" s="2">
        <f>IF(ISBLANK('1_raw_log'!H271),"",'1_raw_log'!H271)</f>
        <v/>
      </c>
      <c r="I271" s="7">
        <f>IF(ISBLANK('1_raw_log'!I271),"",'1_raw_log'!I271)</f>
        <v/>
      </c>
      <c r="J271" s="2">
        <f>IF(ISBLANK('1_raw_log'!J271),"",'1_raw_log'!J271)</f>
        <v/>
      </c>
      <c r="K271" s="2">
        <f>IF(ISBLANK('1_raw_log'!K271),"",'1_raw_log'!K271)</f>
        <v/>
      </c>
      <c r="L271" s="30">
        <f>INT(B271)</f>
        <v/>
      </c>
      <c r="M271" s="20">
        <f>ROUND(MOD(B271,1)*1440,0)/1440</f>
        <v/>
      </c>
      <c r="N271" s="4">
        <f>IFERROR(INDEX('3_ref_date'!$B:$B,MATCH(L271,'3_ref_date'!$A:$A,0)),"NOT FOUND")</f>
        <v/>
      </c>
      <c r="O271" s="2">
        <f>IFERROR(INDEX('3_ref_date'!$C:$C,MATCH(L271,'3_ref_date'!$A:$A,0)),"NOT FOUND")</f>
        <v/>
      </c>
      <c r="P271" s="4">
        <f>IFERROR(INDEX('3_ref_date'!$D:$D,MATCH(L271,'3_ref_date'!$A:$A,0)),"NOT FOUND")</f>
        <v/>
      </c>
      <c r="Q271" s="4">
        <f>IFERROR(INDEX('3_ref_date'!$E:$E,MATCH(L271,'3_ref_date'!$A:$A,0)),"NOT FOUND")</f>
        <v/>
      </c>
      <c r="R271" s="2">
        <f>IFERROR(INDEX('3_ref_date'!$F:$F,MATCH(L271,'3_ref_date'!$A:$A,0)),"NOT FOUND")</f>
        <v/>
      </c>
      <c r="S271" s="2">
        <f>IFERROR(INDEX('4_ref_time'!$D:$D,MATCH(ROUND(M271*1440,0),'4_ref_time'!$A:$A,0)),"NOT FOUND")</f>
        <v/>
      </c>
      <c r="T271" s="2">
        <f>UPPER(TRIM(C271))</f>
        <v/>
      </c>
      <c r="U271" s="30">
        <f>IF(_xlfn.MAXIFS('6_3nf_branch_history'!$B$2:$B$50,'6_3nf_branch_history'!$A$2:$A$50,T271,'6_3nf_branch_history'!$B$2:$B$50,"&lt;="&amp;L271)=0,"NOT FOUND",_xlfn.MAXIFS('6_3nf_branch_history'!$B$2:$B$50,'6_3nf_branch_history'!$A$2:$A$50,T271,'6_3nf_branch_history'!$B$2:$B$50,"&lt;="&amp;L271))</f>
        <v/>
      </c>
      <c r="V271" s="2">
        <f>IF(U271="NOT FOUND","NOT FOUND",INDEX('6_3nf_branch_history'!$C:$C,SUMPRODUCT(('6_3nf_branch_history'!$A$2:$A$50=T271)*('6_3nf_branch_history'!$B$2:$B$50=U271)*ROW('6_3nf_branch_history'!$A$2:$A$50))))</f>
        <v/>
      </c>
      <c r="W271" s="2">
        <f>IF(U271="NOT FOUND","NOT FOUND",INDEX('6_3nf_branch_history'!$D:$D,SUMPRODUCT(('6_3nf_branch_history'!$A$2:$A$50=T271)*('6_3nf_branch_history'!$B$2:$B$50=U271)*ROW('6_3nf_branch_history'!$A$2:$A$50))))</f>
        <v/>
      </c>
      <c r="X271" s="2">
        <f>IF(U271="NOT FOUND","NOT FOUND",INDEX('6_3nf_branch_history'!$E:$E,SUMPRODUCT(('6_3nf_branch_history'!$A$2:$A$50=T271)*('6_3nf_branch_history'!$B$2:$B$50=U271)*ROW('6_3nf_branch_history'!$A$2:$A$50))))</f>
        <v/>
      </c>
      <c r="Y271" s="2">
        <f>UPPER(TRIM(D271))</f>
        <v/>
      </c>
      <c r="Z271" s="2">
        <f>IFERROR(INDEX('7_3nf_product'!$B:$B,MATCH(Y271,'7_3nf_product'!$A:$A,0)),"NOT FOUND")</f>
        <v/>
      </c>
      <c r="AA271" s="2">
        <f>IFERROR(INDEX('7_3nf_product'!$C:$C,MATCH(Y271,'7_3nf_product'!$A:$A,0)),"NOT FOUND")</f>
        <v/>
      </c>
      <c r="AB271" s="2">
        <f>IFERROR(INDEX('7_3nf_product'!$D:$D,MATCH(Y271,'7_3nf_product'!$A:$A,0)),"NOT FOUND")</f>
        <v/>
      </c>
      <c r="AC271" s="6">
        <f>IFERROR(INDEX('7_3nf_product'!$E:$E,MATCH(Y271,'7_3nf_product'!$A:$A,0)),"NOT FOUND")</f>
        <v/>
      </c>
      <c r="AD271" s="33">
        <f>IF(LEN(TRIM(E271))=10,TRIM(E271),IF(LEN(TRIM(E271))=8,"00"&amp;TRIM(E271),"CHECK"))</f>
        <v/>
      </c>
      <c r="AE271" s="2">
        <f>IFERROR(INDEX('8_3nf_customer'!$C:$C,MATCH(AD271,'8_3nf_customer'!$B:$B,0)),"NOT FOUND")</f>
        <v/>
      </c>
      <c r="AF271" s="30">
        <f>IFERROR(INDEX('8_3nf_customer'!$D:$D,MATCH(AD271,'8_3nf_customer'!$B:$B,0)),"NOT FOUND")</f>
        <v/>
      </c>
      <c r="AG271" s="4">
        <f>IF(ISNUMBER(AF271),DATEDIF(AF271,L271,"y"),"NOT FOUND")</f>
        <v/>
      </c>
      <c r="AH271" s="2">
        <f>IFERROR(INDEX('8_3nf_customer'!$E:$E,MATCH(AD271,'8_3nf_customer'!$B:$B,0)),"NOT FOUND")</f>
        <v/>
      </c>
      <c r="AI271" s="30">
        <f>IF(_xlfn.MAXIFS('9_3nf_customer_history'!$B$2:$B$500,'9_3nf_customer_history'!$A$2:$A$500,AD271,'9_3nf_customer_history'!$B$2:$B$500,"&lt;="&amp;L271)=0,"NOT FOUND",_xlfn.MAXIFS('9_3nf_customer_history'!$B$2:$B$500,'9_3nf_customer_history'!$A$2:$A$500,AD271,'9_3nf_customer_history'!$B$2:$B$500,"&lt;="&amp;L271))</f>
        <v/>
      </c>
      <c r="AJ271" s="2">
        <f>IF(AI271="NOT FOUND","NOT FOUND",INDEX('9_3nf_customer_history'!$C:$C,SUMPRODUCT(('9_3nf_customer_history'!$A$2:$A$500=AD271)*('9_3nf_customer_history'!$B$2:$B$500=AI271)*ROW('9_3nf_customer_history'!$A$2:$A$500))))</f>
        <v/>
      </c>
      <c r="AK271" s="2">
        <f>IF(AI271="NOT FOUND","NOT FOUND",INDEX('9_3nf_customer_history'!$D:$D,SUMPRODUCT(('9_3nf_customer_history'!$A$2:$A$500=AD271)*('9_3nf_customer_history'!$B$2:$B$500=AI271)*ROW('9_3nf_customer_history'!$A$2:$A$500))))</f>
        <v/>
      </c>
      <c r="AL271" s="2">
        <f>UPPER(TRIM(H271))</f>
        <v/>
      </c>
      <c r="AM271" s="30">
        <f>IF(_xlfn.MAXIFS('10_ref_fx_rate'!$B$2:$B$2000,'10_ref_fx_rate'!$A$2:$A$2000,AL271,'10_ref_fx_rate'!$B$2:$B$2000,"&lt;="&amp;L271)=0,"NOT FOUND",_xlfn.MAXIFS('10_ref_fx_rate'!$B$2:$B$2000,'10_ref_fx_rate'!$A$2:$A$2000,AL271,'10_ref_fx_rate'!$B$2:$B$2000,"&lt;="&amp;L271))</f>
        <v/>
      </c>
      <c r="AN271" s="8">
        <f>IF(AM271="NOT FOUND","NOT FOUND",SUMIFS('10_ref_fx_rate'!$D$2:$D$2000,'10_ref_fx_rate'!$A$2:$A$2000,AL271,'10_ref_fx_rate'!$B$2:$B$2000,AM271))</f>
        <v/>
      </c>
      <c r="AO271" s="37">
        <f>IF(ISNUMBER(AN271),I271*AN271,"NOT FOUND")</f>
        <v/>
      </c>
      <c r="AP271" s="2">
        <f>UPPER(TRIM(J271))</f>
        <v/>
      </c>
      <c r="AQ271" s="2">
        <f>IF(AP271="","SELF-DIRECTED",IF(ISNUMBER(MATCH(AP271,'11_3nf_sales_person'!$A:$A,0)),IF(EXACT(AP271,J271),"OK","OK (auto-fixed)"),IF(ISNA(MATCH($A271,'12_sales_person_confirmation'!$A:$A,0)),"CONFIRM (not logged)",IF(INDEX('12_sales_person_confirmation'!$I:$I,MATCH($A271,'12_sales_person_confirmation'!$A:$A,0))="CONFIRMED","CONFIRMED ("&amp;LOWER(INDEX('12_sales_person_confirmation'!$E:$E,MATCH($A271,'12_sales_person_confirmation'!$A:$A,0)))&amp;")","PENDING CONFIRM"))))</f>
        <v/>
      </c>
      <c r="AR271" s="2">
        <f>IF(OR(AQ271="OK",AQ271="OK (auto-fixed)"),AP271,IF(LEFT(AQ271,9)="CONFIRMED",INDEX('12_sales_person_confirmation'!$F:$F,MATCH($A271,'12_sales_person_confirmation'!$A:$A,0)),""))</f>
        <v/>
      </c>
      <c r="AS271" s="2">
        <f>IF(AR271="","",INDEX('11_3nf_sales_person'!$B:$B,MATCH(AR271,'11_3nf_sales_person'!$A:$A,0)))</f>
        <v/>
      </c>
    </row>
    <row r="272">
      <c r="A272" s="2">
        <f>IF(ISBLANK('1_raw_log'!A272),"",'1_raw_log'!A272)</f>
        <v/>
      </c>
      <c r="B272" s="3">
        <f>IF(ISBLANK('1_raw_log'!B272),"",'1_raw_log'!B272)</f>
        <v/>
      </c>
      <c r="C272" s="2">
        <f>IF(ISBLANK('1_raw_log'!C272),"",'1_raw_log'!C272)</f>
        <v/>
      </c>
      <c r="D272" s="2">
        <f>IF(ISBLANK('1_raw_log'!D272),"",'1_raw_log'!D272)</f>
        <v/>
      </c>
      <c r="E272" s="4">
        <f>IF(ISBLANK('1_raw_log'!E272),"",'1_raw_log'!E272)</f>
        <v/>
      </c>
      <c r="F272" s="2">
        <f>IF(ISBLANK('1_raw_log'!F272),"",'1_raw_log'!F272)</f>
        <v/>
      </c>
      <c r="G272" s="2">
        <f>IF(ISBLANK('1_raw_log'!G272),"",'1_raw_log'!G272)</f>
        <v/>
      </c>
      <c r="H272" s="2">
        <f>IF(ISBLANK('1_raw_log'!H272),"",'1_raw_log'!H272)</f>
        <v/>
      </c>
      <c r="I272" s="7">
        <f>IF(ISBLANK('1_raw_log'!I272),"",'1_raw_log'!I272)</f>
        <v/>
      </c>
      <c r="J272" s="2">
        <f>IF(ISBLANK('1_raw_log'!J272),"",'1_raw_log'!J272)</f>
        <v/>
      </c>
      <c r="K272" s="2">
        <f>IF(ISBLANK('1_raw_log'!K272),"",'1_raw_log'!K272)</f>
        <v/>
      </c>
      <c r="L272" s="30">
        <f>INT(B272)</f>
        <v/>
      </c>
      <c r="M272" s="20">
        <f>ROUND(MOD(B272,1)*1440,0)/1440</f>
        <v/>
      </c>
      <c r="N272" s="4">
        <f>IFERROR(INDEX('3_ref_date'!$B:$B,MATCH(L272,'3_ref_date'!$A:$A,0)),"NOT FOUND")</f>
        <v/>
      </c>
      <c r="O272" s="2">
        <f>IFERROR(INDEX('3_ref_date'!$C:$C,MATCH(L272,'3_ref_date'!$A:$A,0)),"NOT FOUND")</f>
        <v/>
      </c>
      <c r="P272" s="4">
        <f>IFERROR(INDEX('3_ref_date'!$D:$D,MATCH(L272,'3_ref_date'!$A:$A,0)),"NOT FOUND")</f>
        <v/>
      </c>
      <c r="Q272" s="4">
        <f>IFERROR(INDEX('3_ref_date'!$E:$E,MATCH(L272,'3_ref_date'!$A:$A,0)),"NOT FOUND")</f>
        <v/>
      </c>
      <c r="R272" s="2">
        <f>IFERROR(INDEX('3_ref_date'!$F:$F,MATCH(L272,'3_ref_date'!$A:$A,0)),"NOT FOUND")</f>
        <v/>
      </c>
      <c r="S272" s="2">
        <f>IFERROR(INDEX('4_ref_time'!$D:$D,MATCH(ROUND(M272*1440,0),'4_ref_time'!$A:$A,0)),"NOT FOUND")</f>
        <v/>
      </c>
      <c r="T272" s="2">
        <f>UPPER(TRIM(C272))</f>
        <v/>
      </c>
      <c r="U272" s="30">
        <f>IF(_xlfn.MAXIFS('6_3nf_branch_history'!$B$2:$B$50,'6_3nf_branch_history'!$A$2:$A$50,T272,'6_3nf_branch_history'!$B$2:$B$50,"&lt;="&amp;L272)=0,"NOT FOUND",_xlfn.MAXIFS('6_3nf_branch_history'!$B$2:$B$50,'6_3nf_branch_history'!$A$2:$A$50,T272,'6_3nf_branch_history'!$B$2:$B$50,"&lt;="&amp;L272))</f>
        <v/>
      </c>
      <c r="V272" s="2">
        <f>IF(U272="NOT FOUND","NOT FOUND",INDEX('6_3nf_branch_history'!$C:$C,SUMPRODUCT(('6_3nf_branch_history'!$A$2:$A$50=T272)*('6_3nf_branch_history'!$B$2:$B$50=U272)*ROW('6_3nf_branch_history'!$A$2:$A$50))))</f>
        <v/>
      </c>
      <c r="W272" s="2">
        <f>IF(U272="NOT FOUND","NOT FOUND",INDEX('6_3nf_branch_history'!$D:$D,SUMPRODUCT(('6_3nf_branch_history'!$A$2:$A$50=T272)*('6_3nf_branch_history'!$B$2:$B$50=U272)*ROW('6_3nf_branch_history'!$A$2:$A$50))))</f>
        <v/>
      </c>
      <c r="X272" s="2">
        <f>IF(U272="NOT FOUND","NOT FOUND",INDEX('6_3nf_branch_history'!$E:$E,SUMPRODUCT(('6_3nf_branch_history'!$A$2:$A$50=T272)*('6_3nf_branch_history'!$B$2:$B$50=U272)*ROW('6_3nf_branch_history'!$A$2:$A$50))))</f>
        <v/>
      </c>
      <c r="Y272" s="2">
        <f>UPPER(TRIM(D272))</f>
        <v/>
      </c>
      <c r="Z272" s="2">
        <f>IFERROR(INDEX('7_3nf_product'!$B:$B,MATCH(Y272,'7_3nf_product'!$A:$A,0)),"NOT FOUND")</f>
        <v/>
      </c>
      <c r="AA272" s="2">
        <f>IFERROR(INDEX('7_3nf_product'!$C:$C,MATCH(Y272,'7_3nf_product'!$A:$A,0)),"NOT FOUND")</f>
        <v/>
      </c>
      <c r="AB272" s="2">
        <f>IFERROR(INDEX('7_3nf_product'!$D:$D,MATCH(Y272,'7_3nf_product'!$A:$A,0)),"NOT FOUND")</f>
        <v/>
      </c>
      <c r="AC272" s="6">
        <f>IFERROR(INDEX('7_3nf_product'!$E:$E,MATCH(Y272,'7_3nf_product'!$A:$A,0)),"NOT FOUND")</f>
        <v/>
      </c>
      <c r="AD272" s="33">
        <f>IF(LEN(TRIM(E272))=10,TRIM(E272),IF(LEN(TRIM(E272))=8,"00"&amp;TRIM(E272),"CHECK"))</f>
        <v/>
      </c>
      <c r="AE272" s="2">
        <f>IFERROR(INDEX('8_3nf_customer'!$C:$C,MATCH(AD272,'8_3nf_customer'!$B:$B,0)),"NOT FOUND")</f>
        <v/>
      </c>
      <c r="AF272" s="30">
        <f>IFERROR(INDEX('8_3nf_customer'!$D:$D,MATCH(AD272,'8_3nf_customer'!$B:$B,0)),"NOT FOUND")</f>
        <v/>
      </c>
      <c r="AG272" s="4">
        <f>IF(ISNUMBER(AF272),DATEDIF(AF272,L272,"y"),"NOT FOUND")</f>
        <v/>
      </c>
      <c r="AH272" s="2">
        <f>IFERROR(INDEX('8_3nf_customer'!$E:$E,MATCH(AD272,'8_3nf_customer'!$B:$B,0)),"NOT FOUND")</f>
        <v/>
      </c>
      <c r="AI272" s="30">
        <f>IF(_xlfn.MAXIFS('9_3nf_customer_history'!$B$2:$B$500,'9_3nf_customer_history'!$A$2:$A$500,AD272,'9_3nf_customer_history'!$B$2:$B$500,"&lt;="&amp;L272)=0,"NOT FOUND",_xlfn.MAXIFS('9_3nf_customer_history'!$B$2:$B$500,'9_3nf_customer_history'!$A$2:$A$500,AD272,'9_3nf_customer_history'!$B$2:$B$500,"&lt;="&amp;L272))</f>
        <v/>
      </c>
      <c r="AJ272" s="2">
        <f>IF(AI272="NOT FOUND","NOT FOUND",INDEX('9_3nf_customer_history'!$C:$C,SUMPRODUCT(('9_3nf_customer_history'!$A$2:$A$500=AD272)*('9_3nf_customer_history'!$B$2:$B$500=AI272)*ROW('9_3nf_customer_history'!$A$2:$A$500))))</f>
        <v/>
      </c>
      <c r="AK272" s="2">
        <f>IF(AI272="NOT FOUND","NOT FOUND",INDEX('9_3nf_customer_history'!$D:$D,SUMPRODUCT(('9_3nf_customer_history'!$A$2:$A$500=AD272)*('9_3nf_customer_history'!$B$2:$B$500=AI272)*ROW('9_3nf_customer_history'!$A$2:$A$500))))</f>
        <v/>
      </c>
      <c r="AL272" s="2">
        <f>UPPER(TRIM(H272))</f>
        <v/>
      </c>
      <c r="AM272" s="30">
        <f>IF(_xlfn.MAXIFS('10_ref_fx_rate'!$B$2:$B$2000,'10_ref_fx_rate'!$A$2:$A$2000,AL272,'10_ref_fx_rate'!$B$2:$B$2000,"&lt;="&amp;L272)=0,"NOT FOUND",_xlfn.MAXIFS('10_ref_fx_rate'!$B$2:$B$2000,'10_ref_fx_rate'!$A$2:$A$2000,AL272,'10_ref_fx_rate'!$B$2:$B$2000,"&lt;="&amp;L272))</f>
        <v/>
      </c>
      <c r="AN272" s="8">
        <f>IF(AM272="NOT FOUND","NOT FOUND",SUMIFS('10_ref_fx_rate'!$D$2:$D$2000,'10_ref_fx_rate'!$A$2:$A$2000,AL272,'10_ref_fx_rate'!$B$2:$B$2000,AM272))</f>
        <v/>
      </c>
      <c r="AO272" s="37">
        <f>IF(ISNUMBER(AN272),I272*AN272,"NOT FOUND")</f>
        <v/>
      </c>
      <c r="AP272" s="2">
        <f>UPPER(TRIM(J272))</f>
        <v/>
      </c>
      <c r="AQ272" s="2">
        <f>IF(AP272="","SELF-DIRECTED",IF(ISNUMBER(MATCH(AP272,'11_3nf_sales_person'!$A:$A,0)),IF(EXACT(AP272,J272),"OK","OK (auto-fixed)"),IF(ISNA(MATCH($A272,'12_sales_person_confirmation'!$A:$A,0)),"CONFIRM (not logged)",IF(INDEX('12_sales_person_confirmation'!$I:$I,MATCH($A272,'12_sales_person_confirmation'!$A:$A,0))="CONFIRMED","CONFIRMED ("&amp;LOWER(INDEX('12_sales_person_confirmation'!$E:$E,MATCH($A272,'12_sales_person_confirmation'!$A:$A,0)))&amp;")","PENDING CONFIRM"))))</f>
        <v/>
      </c>
      <c r="AR272" s="2">
        <f>IF(OR(AQ272="OK",AQ272="OK (auto-fixed)"),AP272,IF(LEFT(AQ272,9)="CONFIRMED",INDEX('12_sales_person_confirmation'!$F:$F,MATCH($A272,'12_sales_person_confirmation'!$A:$A,0)),""))</f>
        <v/>
      </c>
      <c r="AS272" s="2">
        <f>IF(AR272="","",INDEX('11_3nf_sales_person'!$B:$B,MATCH(AR272,'11_3nf_sales_person'!$A:$A,0)))</f>
        <v/>
      </c>
    </row>
    <row r="273">
      <c r="A273" s="2">
        <f>IF(ISBLANK('1_raw_log'!A273),"",'1_raw_log'!A273)</f>
        <v/>
      </c>
      <c r="B273" s="3">
        <f>IF(ISBLANK('1_raw_log'!B273),"",'1_raw_log'!B273)</f>
        <v/>
      </c>
      <c r="C273" s="2">
        <f>IF(ISBLANK('1_raw_log'!C273),"",'1_raw_log'!C273)</f>
        <v/>
      </c>
      <c r="D273" s="2">
        <f>IF(ISBLANK('1_raw_log'!D273),"",'1_raw_log'!D273)</f>
        <v/>
      </c>
      <c r="E273" s="4">
        <f>IF(ISBLANK('1_raw_log'!E273),"",'1_raw_log'!E273)</f>
        <v/>
      </c>
      <c r="F273" s="2">
        <f>IF(ISBLANK('1_raw_log'!F273),"",'1_raw_log'!F273)</f>
        <v/>
      </c>
      <c r="G273" s="2">
        <f>IF(ISBLANK('1_raw_log'!G273),"",'1_raw_log'!G273)</f>
        <v/>
      </c>
      <c r="H273" s="2">
        <f>IF(ISBLANK('1_raw_log'!H273),"",'1_raw_log'!H273)</f>
        <v/>
      </c>
      <c r="I273" s="7">
        <f>IF(ISBLANK('1_raw_log'!I273),"",'1_raw_log'!I273)</f>
        <v/>
      </c>
      <c r="J273" s="2">
        <f>IF(ISBLANK('1_raw_log'!J273),"",'1_raw_log'!J273)</f>
        <v/>
      </c>
      <c r="K273" s="2">
        <f>IF(ISBLANK('1_raw_log'!K273),"",'1_raw_log'!K273)</f>
        <v/>
      </c>
      <c r="L273" s="30">
        <f>INT(B273)</f>
        <v/>
      </c>
      <c r="M273" s="20">
        <f>ROUND(MOD(B273,1)*1440,0)/1440</f>
        <v/>
      </c>
      <c r="N273" s="4">
        <f>IFERROR(INDEX('3_ref_date'!$B:$B,MATCH(L273,'3_ref_date'!$A:$A,0)),"NOT FOUND")</f>
        <v/>
      </c>
      <c r="O273" s="2">
        <f>IFERROR(INDEX('3_ref_date'!$C:$C,MATCH(L273,'3_ref_date'!$A:$A,0)),"NOT FOUND")</f>
        <v/>
      </c>
      <c r="P273" s="4">
        <f>IFERROR(INDEX('3_ref_date'!$D:$D,MATCH(L273,'3_ref_date'!$A:$A,0)),"NOT FOUND")</f>
        <v/>
      </c>
      <c r="Q273" s="4">
        <f>IFERROR(INDEX('3_ref_date'!$E:$E,MATCH(L273,'3_ref_date'!$A:$A,0)),"NOT FOUND")</f>
        <v/>
      </c>
      <c r="R273" s="2">
        <f>IFERROR(INDEX('3_ref_date'!$F:$F,MATCH(L273,'3_ref_date'!$A:$A,0)),"NOT FOUND")</f>
        <v/>
      </c>
      <c r="S273" s="2">
        <f>IFERROR(INDEX('4_ref_time'!$D:$D,MATCH(ROUND(M273*1440,0),'4_ref_time'!$A:$A,0)),"NOT FOUND")</f>
        <v/>
      </c>
      <c r="T273" s="2">
        <f>UPPER(TRIM(C273))</f>
        <v/>
      </c>
      <c r="U273" s="30">
        <f>IF(_xlfn.MAXIFS('6_3nf_branch_history'!$B$2:$B$50,'6_3nf_branch_history'!$A$2:$A$50,T273,'6_3nf_branch_history'!$B$2:$B$50,"&lt;="&amp;L273)=0,"NOT FOUND",_xlfn.MAXIFS('6_3nf_branch_history'!$B$2:$B$50,'6_3nf_branch_history'!$A$2:$A$50,T273,'6_3nf_branch_history'!$B$2:$B$50,"&lt;="&amp;L273))</f>
        <v/>
      </c>
      <c r="V273" s="2">
        <f>IF(U273="NOT FOUND","NOT FOUND",INDEX('6_3nf_branch_history'!$C:$C,SUMPRODUCT(('6_3nf_branch_history'!$A$2:$A$50=T273)*('6_3nf_branch_history'!$B$2:$B$50=U273)*ROW('6_3nf_branch_history'!$A$2:$A$50))))</f>
        <v/>
      </c>
      <c r="W273" s="2">
        <f>IF(U273="NOT FOUND","NOT FOUND",INDEX('6_3nf_branch_history'!$D:$D,SUMPRODUCT(('6_3nf_branch_history'!$A$2:$A$50=T273)*('6_3nf_branch_history'!$B$2:$B$50=U273)*ROW('6_3nf_branch_history'!$A$2:$A$50))))</f>
        <v/>
      </c>
      <c r="X273" s="2">
        <f>IF(U273="NOT FOUND","NOT FOUND",INDEX('6_3nf_branch_history'!$E:$E,SUMPRODUCT(('6_3nf_branch_history'!$A$2:$A$50=T273)*('6_3nf_branch_history'!$B$2:$B$50=U273)*ROW('6_3nf_branch_history'!$A$2:$A$50))))</f>
        <v/>
      </c>
      <c r="Y273" s="2">
        <f>UPPER(TRIM(D273))</f>
        <v/>
      </c>
      <c r="Z273" s="2">
        <f>IFERROR(INDEX('7_3nf_product'!$B:$B,MATCH(Y273,'7_3nf_product'!$A:$A,0)),"NOT FOUND")</f>
        <v/>
      </c>
      <c r="AA273" s="2">
        <f>IFERROR(INDEX('7_3nf_product'!$C:$C,MATCH(Y273,'7_3nf_product'!$A:$A,0)),"NOT FOUND")</f>
        <v/>
      </c>
      <c r="AB273" s="2">
        <f>IFERROR(INDEX('7_3nf_product'!$D:$D,MATCH(Y273,'7_3nf_product'!$A:$A,0)),"NOT FOUND")</f>
        <v/>
      </c>
      <c r="AC273" s="6">
        <f>IFERROR(INDEX('7_3nf_product'!$E:$E,MATCH(Y273,'7_3nf_product'!$A:$A,0)),"NOT FOUND")</f>
        <v/>
      </c>
      <c r="AD273" s="33">
        <f>IF(LEN(TRIM(E273))=10,TRIM(E273),IF(LEN(TRIM(E273))=8,"00"&amp;TRIM(E273),"CHECK"))</f>
        <v/>
      </c>
      <c r="AE273" s="2">
        <f>IFERROR(INDEX('8_3nf_customer'!$C:$C,MATCH(AD273,'8_3nf_customer'!$B:$B,0)),"NOT FOUND")</f>
        <v/>
      </c>
      <c r="AF273" s="30">
        <f>IFERROR(INDEX('8_3nf_customer'!$D:$D,MATCH(AD273,'8_3nf_customer'!$B:$B,0)),"NOT FOUND")</f>
        <v/>
      </c>
      <c r="AG273" s="4">
        <f>IF(ISNUMBER(AF273),DATEDIF(AF273,L273,"y"),"NOT FOUND")</f>
        <v/>
      </c>
      <c r="AH273" s="2">
        <f>IFERROR(INDEX('8_3nf_customer'!$E:$E,MATCH(AD273,'8_3nf_customer'!$B:$B,0)),"NOT FOUND")</f>
        <v/>
      </c>
      <c r="AI273" s="30">
        <f>IF(_xlfn.MAXIFS('9_3nf_customer_history'!$B$2:$B$500,'9_3nf_customer_history'!$A$2:$A$500,AD273,'9_3nf_customer_history'!$B$2:$B$500,"&lt;="&amp;L273)=0,"NOT FOUND",_xlfn.MAXIFS('9_3nf_customer_history'!$B$2:$B$500,'9_3nf_customer_history'!$A$2:$A$500,AD273,'9_3nf_customer_history'!$B$2:$B$500,"&lt;="&amp;L273))</f>
        <v/>
      </c>
      <c r="AJ273" s="2">
        <f>IF(AI273="NOT FOUND","NOT FOUND",INDEX('9_3nf_customer_history'!$C:$C,SUMPRODUCT(('9_3nf_customer_history'!$A$2:$A$500=AD273)*('9_3nf_customer_history'!$B$2:$B$500=AI273)*ROW('9_3nf_customer_history'!$A$2:$A$500))))</f>
        <v/>
      </c>
      <c r="AK273" s="2">
        <f>IF(AI273="NOT FOUND","NOT FOUND",INDEX('9_3nf_customer_history'!$D:$D,SUMPRODUCT(('9_3nf_customer_history'!$A$2:$A$500=AD273)*('9_3nf_customer_history'!$B$2:$B$500=AI273)*ROW('9_3nf_customer_history'!$A$2:$A$500))))</f>
        <v/>
      </c>
      <c r="AL273" s="2">
        <f>UPPER(TRIM(H273))</f>
        <v/>
      </c>
      <c r="AM273" s="30">
        <f>IF(_xlfn.MAXIFS('10_ref_fx_rate'!$B$2:$B$2000,'10_ref_fx_rate'!$A$2:$A$2000,AL273,'10_ref_fx_rate'!$B$2:$B$2000,"&lt;="&amp;L273)=0,"NOT FOUND",_xlfn.MAXIFS('10_ref_fx_rate'!$B$2:$B$2000,'10_ref_fx_rate'!$A$2:$A$2000,AL273,'10_ref_fx_rate'!$B$2:$B$2000,"&lt;="&amp;L273))</f>
        <v/>
      </c>
      <c r="AN273" s="8">
        <f>IF(AM273="NOT FOUND","NOT FOUND",SUMIFS('10_ref_fx_rate'!$D$2:$D$2000,'10_ref_fx_rate'!$A$2:$A$2000,AL273,'10_ref_fx_rate'!$B$2:$B$2000,AM273))</f>
        <v/>
      </c>
      <c r="AO273" s="37">
        <f>IF(ISNUMBER(AN273),I273*AN273,"NOT FOUND")</f>
        <v/>
      </c>
      <c r="AP273" s="2">
        <f>UPPER(TRIM(J273))</f>
        <v/>
      </c>
      <c r="AQ273" s="2">
        <f>IF(AP273="","SELF-DIRECTED",IF(ISNUMBER(MATCH(AP273,'11_3nf_sales_person'!$A:$A,0)),IF(EXACT(AP273,J273),"OK","OK (auto-fixed)"),IF(ISNA(MATCH($A273,'12_sales_person_confirmation'!$A:$A,0)),"CONFIRM (not logged)",IF(INDEX('12_sales_person_confirmation'!$I:$I,MATCH($A273,'12_sales_person_confirmation'!$A:$A,0))="CONFIRMED","CONFIRMED ("&amp;LOWER(INDEX('12_sales_person_confirmation'!$E:$E,MATCH($A273,'12_sales_person_confirmation'!$A:$A,0)))&amp;")","PENDING CONFIRM"))))</f>
        <v/>
      </c>
      <c r="AR273" s="2">
        <f>IF(OR(AQ273="OK",AQ273="OK (auto-fixed)"),AP273,IF(LEFT(AQ273,9)="CONFIRMED",INDEX('12_sales_person_confirmation'!$F:$F,MATCH($A273,'12_sales_person_confirmation'!$A:$A,0)),""))</f>
        <v/>
      </c>
      <c r="AS273" s="2">
        <f>IF(AR273="","",INDEX('11_3nf_sales_person'!$B:$B,MATCH(AR273,'11_3nf_sales_person'!$A:$A,0)))</f>
        <v/>
      </c>
    </row>
    <row r="274">
      <c r="A274" s="2">
        <f>IF(ISBLANK('1_raw_log'!A274),"",'1_raw_log'!A274)</f>
        <v/>
      </c>
      <c r="B274" s="3">
        <f>IF(ISBLANK('1_raw_log'!B274),"",'1_raw_log'!B274)</f>
        <v/>
      </c>
      <c r="C274" s="2">
        <f>IF(ISBLANK('1_raw_log'!C274),"",'1_raw_log'!C274)</f>
        <v/>
      </c>
      <c r="D274" s="2">
        <f>IF(ISBLANK('1_raw_log'!D274),"",'1_raw_log'!D274)</f>
        <v/>
      </c>
      <c r="E274" s="4">
        <f>IF(ISBLANK('1_raw_log'!E274),"",'1_raw_log'!E274)</f>
        <v/>
      </c>
      <c r="F274" s="2">
        <f>IF(ISBLANK('1_raw_log'!F274),"",'1_raw_log'!F274)</f>
        <v/>
      </c>
      <c r="G274" s="2">
        <f>IF(ISBLANK('1_raw_log'!G274),"",'1_raw_log'!G274)</f>
        <v/>
      </c>
      <c r="H274" s="2">
        <f>IF(ISBLANK('1_raw_log'!H274),"",'1_raw_log'!H274)</f>
        <v/>
      </c>
      <c r="I274" s="7">
        <f>IF(ISBLANK('1_raw_log'!I274),"",'1_raw_log'!I274)</f>
        <v/>
      </c>
      <c r="J274" s="2">
        <f>IF(ISBLANK('1_raw_log'!J274),"",'1_raw_log'!J274)</f>
        <v/>
      </c>
      <c r="K274" s="2">
        <f>IF(ISBLANK('1_raw_log'!K274),"",'1_raw_log'!K274)</f>
        <v/>
      </c>
      <c r="L274" s="30">
        <f>INT(B274)</f>
        <v/>
      </c>
      <c r="M274" s="20">
        <f>ROUND(MOD(B274,1)*1440,0)/1440</f>
        <v/>
      </c>
      <c r="N274" s="4">
        <f>IFERROR(INDEX('3_ref_date'!$B:$B,MATCH(L274,'3_ref_date'!$A:$A,0)),"NOT FOUND")</f>
        <v/>
      </c>
      <c r="O274" s="2">
        <f>IFERROR(INDEX('3_ref_date'!$C:$C,MATCH(L274,'3_ref_date'!$A:$A,0)),"NOT FOUND")</f>
        <v/>
      </c>
      <c r="P274" s="4">
        <f>IFERROR(INDEX('3_ref_date'!$D:$D,MATCH(L274,'3_ref_date'!$A:$A,0)),"NOT FOUND")</f>
        <v/>
      </c>
      <c r="Q274" s="4">
        <f>IFERROR(INDEX('3_ref_date'!$E:$E,MATCH(L274,'3_ref_date'!$A:$A,0)),"NOT FOUND")</f>
        <v/>
      </c>
      <c r="R274" s="2">
        <f>IFERROR(INDEX('3_ref_date'!$F:$F,MATCH(L274,'3_ref_date'!$A:$A,0)),"NOT FOUND")</f>
        <v/>
      </c>
      <c r="S274" s="2">
        <f>IFERROR(INDEX('4_ref_time'!$D:$D,MATCH(ROUND(M274*1440,0),'4_ref_time'!$A:$A,0)),"NOT FOUND")</f>
        <v/>
      </c>
      <c r="T274" s="2">
        <f>UPPER(TRIM(C274))</f>
        <v/>
      </c>
      <c r="U274" s="30">
        <f>IF(_xlfn.MAXIFS('6_3nf_branch_history'!$B$2:$B$50,'6_3nf_branch_history'!$A$2:$A$50,T274,'6_3nf_branch_history'!$B$2:$B$50,"&lt;="&amp;L274)=0,"NOT FOUND",_xlfn.MAXIFS('6_3nf_branch_history'!$B$2:$B$50,'6_3nf_branch_history'!$A$2:$A$50,T274,'6_3nf_branch_history'!$B$2:$B$50,"&lt;="&amp;L274))</f>
        <v/>
      </c>
      <c r="V274" s="2">
        <f>IF(U274="NOT FOUND","NOT FOUND",INDEX('6_3nf_branch_history'!$C:$C,SUMPRODUCT(('6_3nf_branch_history'!$A$2:$A$50=T274)*('6_3nf_branch_history'!$B$2:$B$50=U274)*ROW('6_3nf_branch_history'!$A$2:$A$50))))</f>
        <v/>
      </c>
      <c r="W274" s="2">
        <f>IF(U274="NOT FOUND","NOT FOUND",INDEX('6_3nf_branch_history'!$D:$D,SUMPRODUCT(('6_3nf_branch_history'!$A$2:$A$50=T274)*('6_3nf_branch_history'!$B$2:$B$50=U274)*ROW('6_3nf_branch_history'!$A$2:$A$50))))</f>
        <v/>
      </c>
      <c r="X274" s="2">
        <f>IF(U274="NOT FOUND","NOT FOUND",INDEX('6_3nf_branch_history'!$E:$E,SUMPRODUCT(('6_3nf_branch_history'!$A$2:$A$50=T274)*('6_3nf_branch_history'!$B$2:$B$50=U274)*ROW('6_3nf_branch_history'!$A$2:$A$50))))</f>
        <v/>
      </c>
      <c r="Y274" s="2">
        <f>UPPER(TRIM(D274))</f>
        <v/>
      </c>
      <c r="Z274" s="2">
        <f>IFERROR(INDEX('7_3nf_product'!$B:$B,MATCH(Y274,'7_3nf_product'!$A:$A,0)),"NOT FOUND")</f>
        <v/>
      </c>
      <c r="AA274" s="2">
        <f>IFERROR(INDEX('7_3nf_product'!$C:$C,MATCH(Y274,'7_3nf_product'!$A:$A,0)),"NOT FOUND")</f>
        <v/>
      </c>
      <c r="AB274" s="2">
        <f>IFERROR(INDEX('7_3nf_product'!$D:$D,MATCH(Y274,'7_3nf_product'!$A:$A,0)),"NOT FOUND")</f>
        <v/>
      </c>
      <c r="AC274" s="6">
        <f>IFERROR(INDEX('7_3nf_product'!$E:$E,MATCH(Y274,'7_3nf_product'!$A:$A,0)),"NOT FOUND")</f>
        <v/>
      </c>
      <c r="AD274" s="33">
        <f>IF(LEN(TRIM(E274))=10,TRIM(E274),IF(LEN(TRIM(E274))=8,"00"&amp;TRIM(E274),"CHECK"))</f>
        <v/>
      </c>
      <c r="AE274" s="2">
        <f>IFERROR(INDEX('8_3nf_customer'!$C:$C,MATCH(AD274,'8_3nf_customer'!$B:$B,0)),"NOT FOUND")</f>
        <v/>
      </c>
      <c r="AF274" s="30">
        <f>IFERROR(INDEX('8_3nf_customer'!$D:$D,MATCH(AD274,'8_3nf_customer'!$B:$B,0)),"NOT FOUND")</f>
        <v/>
      </c>
      <c r="AG274" s="4">
        <f>IF(ISNUMBER(AF274),DATEDIF(AF274,L274,"y"),"NOT FOUND")</f>
        <v/>
      </c>
      <c r="AH274" s="2">
        <f>IFERROR(INDEX('8_3nf_customer'!$E:$E,MATCH(AD274,'8_3nf_customer'!$B:$B,0)),"NOT FOUND")</f>
        <v/>
      </c>
      <c r="AI274" s="30">
        <f>IF(_xlfn.MAXIFS('9_3nf_customer_history'!$B$2:$B$500,'9_3nf_customer_history'!$A$2:$A$500,AD274,'9_3nf_customer_history'!$B$2:$B$500,"&lt;="&amp;L274)=0,"NOT FOUND",_xlfn.MAXIFS('9_3nf_customer_history'!$B$2:$B$500,'9_3nf_customer_history'!$A$2:$A$500,AD274,'9_3nf_customer_history'!$B$2:$B$500,"&lt;="&amp;L274))</f>
        <v/>
      </c>
      <c r="AJ274" s="2">
        <f>IF(AI274="NOT FOUND","NOT FOUND",INDEX('9_3nf_customer_history'!$C:$C,SUMPRODUCT(('9_3nf_customer_history'!$A$2:$A$500=AD274)*('9_3nf_customer_history'!$B$2:$B$500=AI274)*ROW('9_3nf_customer_history'!$A$2:$A$500))))</f>
        <v/>
      </c>
      <c r="AK274" s="2">
        <f>IF(AI274="NOT FOUND","NOT FOUND",INDEX('9_3nf_customer_history'!$D:$D,SUMPRODUCT(('9_3nf_customer_history'!$A$2:$A$500=AD274)*('9_3nf_customer_history'!$B$2:$B$500=AI274)*ROW('9_3nf_customer_history'!$A$2:$A$500))))</f>
        <v/>
      </c>
      <c r="AL274" s="2">
        <f>UPPER(TRIM(H274))</f>
        <v/>
      </c>
      <c r="AM274" s="30">
        <f>IF(_xlfn.MAXIFS('10_ref_fx_rate'!$B$2:$B$2000,'10_ref_fx_rate'!$A$2:$A$2000,AL274,'10_ref_fx_rate'!$B$2:$B$2000,"&lt;="&amp;L274)=0,"NOT FOUND",_xlfn.MAXIFS('10_ref_fx_rate'!$B$2:$B$2000,'10_ref_fx_rate'!$A$2:$A$2000,AL274,'10_ref_fx_rate'!$B$2:$B$2000,"&lt;="&amp;L274))</f>
        <v/>
      </c>
      <c r="AN274" s="8">
        <f>IF(AM274="NOT FOUND","NOT FOUND",SUMIFS('10_ref_fx_rate'!$D$2:$D$2000,'10_ref_fx_rate'!$A$2:$A$2000,AL274,'10_ref_fx_rate'!$B$2:$B$2000,AM274))</f>
        <v/>
      </c>
      <c r="AO274" s="37">
        <f>IF(ISNUMBER(AN274),I274*AN274,"NOT FOUND")</f>
        <v/>
      </c>
      <c r="AP274" s="2">
        <f>UPPER(TRIM(J274))</f>
        <v/>
      </c>
      <c r="AQ274" s="2">
        <f>IF(AP274="","SELF-DIRECTED",IF(ISNUMBER(MATCH(AP274,'11_3nf_sales_person'!$A:$A,0)),IF(EXACT(AP274,J274),"OK","OK (auto-fixed)"),IF(ISNA(MATCH($A274,'12_sales_person_confirmation'!$A:$A,0)),"CONFIRM (not logged)",IF(INDEX('12_sales_person_confirmation'!$I:$I,MATCH($A274,'12_sales_person_confirmation'!$A:$A,0))="CONFIRMED","CONFIRMED ("&amp;LOWER(INDEX('12_sales_person_confirmation'!$E:$E,MATCH($A274,'12_sales_person_confirmation'!$A:$A,0)))&amp;")","PENDING CONFIRM"))))</f>
        <v/>
      </c>
      <c r="AR274" s="2">
        <f>IF(OR(AQ274="OK",AQ274="OK (auto-fixed)"),AP274,IF(LEFT(AQ274,9)="CONFIRMED",INDEX('12_sales_person_confirmation'!$F:$F,MATCH($A274,'12_sales_person_confirmation'!$A:$A,0)),""))</f>
        <v/>
      </c>
      <c r="AS274" s="2">
        <f>IF(AR274="","",INDEX('11_3nf_sales_person'!$B:$B,MATCH(AR274,'11_3nf_sales_person'!$A:$A,0)))</f>
        <v/>
      </c>
    </row>
    <row r="275">
      <c r="A275" s="2">
        <f>IF(ISBLANK('1_raw_log'!A275),"",'1_raw_log'!A275)</f>
        <v/>
      </c>
      <c r="B275" s="3">
        <f>IF(ISBLANK('1_raw_log'!B275),"",'1_raw_log'!B275)</f>
        <v/>
      </c>
      <c r="C275" s="2">
        <f>IF(ISBLANK('1_raw_log'!C275),"",'1_raw_log'!C275)</f>
        <v/>
      </c>
      <c r="D275" s="2">
        <f>IF(ISBLANK('1_raw_log'!D275),"",'1_raw_log'!D275)</f>
        <v/>
      </c>
      <c r="E275" s="4">
        <f>IF(ISBLANK('1_raw_log'!E275),"",'1_raw_log'!E275)</f>
        <v/>
      </c>
      <c r="F275" s="2">
        <f>IF(ISBLANK('1_raw_log'!F275),"",'1_raw_log'!F275)</f>
        <v/>
      </c>
      <c r="G275" s="2">
        <f>IF(ISBLANK('1_raw_log'!G275),"",'1_raw_log'!G275)</f>
        <v/>
      </c>
      <c r="H275" s="2">
        <f>IF(ISBLANK('1_raw_log'!H275),"",'1_raw_log'!H275)</f>
        <v/>
      </c>
      <c r="I275" s="7">
        <f>IF(ISBLANK('1_raw_log'!I275),"",'1_raw_log'!I275)</f>
        <v/>
      </c>
      <c r="J275" s="2">
        <f>IF(ISBLANK('1_raw_log'!J275),"",'1_raw_log'!J275)</f>
        <v/>
      </c>
      <c r="K275" s="2">
        <f>IF(ISBLANK('1_raw_log'!K275),"",'1_raw_log'!K275)</f>
        <v/>
      </c>
      <c r="L275" s="30">
        <f>INT(B275)</f>
        <v/>
      </c>
      <c r="M275" s="20">
        <f>ROUND(MOD(B275,1)*1440,0)/1440</f>
        <v/>
      </c>
      <c r="N275" s="4">
        <f>IFERROR(INDEX('3_ref_date'!$B:$B,MATCH(L275,'3_ref_date'!$A:$A,0)),"NOT FOUND")</f>
        <v/>
      </c>
      <c r="O275" s="2">
        <f>IFERROR(INDEX('3_ref_date'!$C:$C,MATCH(L275,'3_ref_date'!$A:$A,0)),"NOT FOUND")</f>
        <v/>
      </c>
      <c r="P275" s="4">
        <f>IFERROR(INDEX('3_ref_date'!$D:$D,MATCH(L275,'3_ref_date'!$A:$A,0)),"NOT FOUND")</f>
        <v/>
      </c>
      <c r="Q275" s="4">
        <f>IFERROR(INDEX('3_ref_date'!$E:$E,MATCH(L275,'3_ref_date'!$A:$A,0)),"NOT FOUND")</f>
        <v/>
      </c>
      <c r="R275" s="2">
        <f>IFERROR(INDEX('3_ref_date'!$F:$F,MATCH(L275,'3_ref_date'!$A:$A,0)),"NOT FOUND")</f>
        <v/>
      </c>
      <c r="S275" s="2">
        <f>IFERROR(INDEX('4_ref_time'!$D:$D,MATCH(ROUND(M275*1440,0),'4_ref_time'!$A:$A,0)),"NOT FOUND")</f>
        <v/>
      </c>
      <c r="T275" s="2">
        <f>UPPER(TRIM(C275))</f>
        <v/>
      </c>
      <c r="U275" s="30">
        <f>IF(_xlfn.MAXIFS('6_3nf_branch_history'!$B$2:$B$50,'6_3nf_branch_history'!$A$2:$A$50,T275,'6_3nf_branch_history'!$B$2:$B$50,"&lt;="&amp;L275)=0,"NOT FOUND",_xlfn.MAXIFS('6_3nf_branch_history'!$B$2:$B$50,'6_3nf_branch_history'!$A$2:$A$50,T275,'6_3nf_branch_history'!$B$2:$B$50,"&lt;="&amp;L275))</f>
        <v/>
      </c>
      <c r="V275" s="2">
        <f>IF(U275="NOT FOUND","NOT FOUND",INDEX('6_3nf_branch_history'!$C:$C,SUMPRODUCT(('6_3nf_branch_history'!$A$2:$A$50=T275)*('6_3nf_branch_history'!$B$2:$B$50=U275)*ROW('6_3nf_branch_history'!$A$2:$A$50))))</f>
        <v/>
      </c>
      <c r="W275" s="2">
        <f>IF(U275="NOT FOUND","NOT FOUND",INDEX('6_3nf_branch_history'!$D:$D,SUMPRODUCT(('6_3nf_branch_history'!$A$2:$A$50=T275)*('6_3nf_branch_history'!$B$2:$B$50=U275)*ROW('6_3nf_branch_history'!$A$2:$A$50))))</f>
        <v/>
      </c>
      <c r="X275" s="2">
        <f>IF(U275="NOT FOUND","NOT FOUND",INDEX('6_3nf_branch_history'!$E:$E,SUMPRODUCT(('6_3nf_branch_history'!$A$2:$A$50=T275)*('6_3nf_branch_history'!$B$2:$B$50=U275)*ROW('6_3nf_branch_history'!$A$2:$A$50))))</f>
        <v/>
      </c>
      <c r="Y275" s="2">
        <f>UPPER(TRIM(D275))</f>
        <v/>
      </c>
      <c r="Z275" s="2">
        <f>IFERROR(INDEX('7_3nf_product'!$B:$B,MATCH(Y275,'7_3nf_product'!$A:$A,0)),"NOT FOUND")</f>
        <v/>
      </c>
      <c r="AA275" s="2">
        <f>IFERROR(INDEX('7_3nf_product'!$C:$C,MATCH(Y275,'7_3nf_product'!$A:$A,0)),"NOT FOUND")</f>
        <v/>
      </c>
      <c r="AB275" s="2">
        <f>IFERROR(INDEX('7_3nf_product'!$D:$D,MATCH(Y275,'7_3nf_product'!$A:$A,0)),"NOT FOUND")</f>
        <v/>
      </c>
      <c r="AC275" s="6">
        <f>IFERROR(INDEX('7_3nf_product'!$E:$E,MATCH(Y275,'7_3nf_product'!$A:$A,0)),"NOT FOUND")</f>
        <v/>
      </c>
      <c r="AD275" s="33">
        <f>IF(LEN(TRIM(E275))=10,TRIM(E275),IF(LEN(TRIM(E275))=8,"00"&amp;TRIM(E275),"CHECK"))</f>
        <v/>
      </c>
      <c r="AE275" s="2">
        <f>IFERROR(INDEX('8_3nf_customer'!$C:$C,MATCH(AD275,'8_3nf_customer'!$B:$B,0)),"NOT FOUND")</f>
        <v/>
      </c>
      <c r="AF275" s="30">
        <f>IFERROR(INDEX('8_3nf_customer'!$D:$D,MATCH(AD275,'8_3nf_customer'!$B:$B,0)),"NOT FOUND")</f>
        <v/>
      </c>
      <c r="AG275" s="4">
        <f>IF(ISNUMBER(AF275),DATEDIF(AF275,L275,"y"),"NOT FOUND")</f>
        <v/>
      </c>
      <c r="AH275" s="2">
        <f>IFERROR(INDEX('8_3nf_customer'!$E:$E,MATCH(AD275,'8_3nf_customer'!$B:$B,0)),"NOT FOUND")</f>
        <v/>
      </c>
      <c r="AI275" s="30">
        <f>IF(_xlfn.MAXIFS('9_3nf_customer_history'!$B$2:$B$500,'9_3nf_customer_history'!$A$2:$A$500,AD275,'9_3nf_customer_history'!$B$2:$B$500,"&lt;="&amp;L275)=0,"NOT FOUND",_xlfn.MAXIFS('9_3nf_customer_history'!$B$2:$B$500,'9_3nf_customer_history'!$A$2:$A$500,AD275,'9_3nf_customer_history'!$B$2:$B$500,"&lt;="&amp;L275))</f>
        <v/>
      </c>
      <c r="AJ275" s="2">
        <f>IF(AI275="NOT FOUND","NOT FOUND",INDEX('9_3nf_customer_history'!$C:$C,SUMPRODUCT(('9_3nf_customer_history'!$A$2:$A$500=AD275)*('9_3nf_customer_history'!$B$2:$B$500=AI275)*ROW('9_3nf_customer_history'!$A$2:$A$500))))</f>
        <v/>
      </c>
      <c r="AK275" s="2">
        <f>IF(AI275="NOT FOUND","NOT FOUND",INDEX('9_3nf_customer_history'!$D:$D,SUMPRODUCT(('9_3nf_customer_history'!$A$2:$A$500=AD275)*('9_3nf_customer_history'!$B$2:$B$500=AI275)*ROW('9_3nf_customer_history'!$A$2:$A$500))))</f>
        <v/>
      </c>
      <c r="AL275" s="2">
        <f>UPPER(TRIM(H275))</f>
        <v/>
      </c>
      <c r="AM275" s="30">
        <f>IF(_xlfn.MAXIFS('10_ref_fx_rate'!$B$2:$B$2000,'10_ref_fx_rate'!$A$2:$A$2000,AL275,'10_ref_fx_rate'!$B$2:$B$2000,"&lt;="&amp;L275)=0,"NOT FOUND",_xlfn.MAXIFS('10_ref_fx_rate'!$B$2:$B$2000,'10_ref_fx_rate'!$A$2:$A$2000,AL275,'10_ref_fx_rate'!$B$2:$B$2000,"&lt;="&amp;L275))</f>
        <v/>
      </c>
      <c r="AN275" s="8">
        <f>IF(AM275="NOT FOUND","NOT FOUND",SUMIFS('10_ref_fx_rate'!$D$2:$D$2000,'10_ref_fx_rate'!$A$2:$A$2000,AL275,'10_ref_fx_rate'!$B$2:$B$2000,AM275))</f>
        <v/>
      </c>
      <c r="AO275" s="37">
        <f>IF(ISNUMBER(AN275),I275*AN275,"NOT FOUND")</f>
        <v/>
      </c>
      <c r="AP275" s="2">
        <f>UPPER(TRIM(J275))</f>
        <v/>
      </c>
      <c r="AQ275" s="2">
        <f>IF(AP275="","SELF-DIRECTED",IF(ISNUMBER(MATCH(AP275,'11_3nf_sales_person'!$A:$A,0)),IF(EXACT(AP275,J275),"OK","OK (auto-fixed)"),IF(ISNA(MATCH($A275,'12_sales_person_confirmation'!$A:$A,0)),"CONFIRM (not logged)",IF(INDEX('12_sales_person_confirmation'!$I:$I,MATCH($A275,'12_sales_person_confirmation'!$A:$A,0))="CONFIRMED","CONFIRMED ("&amp;LOWER(INDEX('12_sales_person_confirmation'!$E:$E,MATCH($A275,'12_sales_person_confirmation'!$A:$A,0)))&amp;")","PENDING CONFIRM"))))</f>
        <v/>
      </c>
      <c r="AR275" s="2">
        <f>IF(OR(AQ275="OK",AQ275="OK (auto-fixed)"),AP275,IF(LEFT(AQ275,9)="CONFIRMED",INDEX('12_sales_person_confirmation'!$F:$F,MATCH($A275,'12_sales_person_confirmation'!$A:$A,0)),""))</f>
        <v/>
      </c>
      <c r="AS275" s="2">
        <f>IF(AR275="","",INDEX('11_3nf_sales_person'!$B:$B,MATCH(AR275,'11_3nf_sales_person'!$A:$A,0)))</f>
        <v/>
      </c>
    </row>
    <row r="276">
      <c r="A276" s="2">
        <f>IF(ISBLANK('1_raw_log'!A276),"",'1_raw_log'!A276)</f>
        <v/>
      </c>
      <c r="B276" s="3">
        <f>IF(ISBLANK('1_raw_log'!B276),"",'1_raw_log'!B276)</f>
        <v/>
      </c>
      <c r="C276" s="2">
        <f>IF(ISBLANK('1_raw_log'!C276),"",'1_raw_log'!C276)</f>
        <v/>
      </c>
      <c r="D276" s="2">
        <f>IF(ISBLANK('1_raw_log'!D276),"",'1_raw_log'!D276)</f>
        <v/>
      </c>
      <c r="E276" s="4">
        <f>IF(ISBLANK('1_raw_log'!E276),"",'1_raw_log'!E276)</f>
        <v/>
      </c>
      <c r="F276" s="2">
        <f>IF(ISBLANK('1_raw_log'!F276),"",'1_raw_log'!F276)</f>
        <v/>
      </c>
      <c r="G276" s="2">
        <f>IF(ISBLANK('1_raw_log'!G276),"",'1_raw_log'!G276)</f>
        <v/>
      </c>
      <c r="H276" s="2">
        <f>IF(ISBLANK('1_raw_log'!H276),"",'1_raw_log'!H276)</f>
        <v/>
      </c>
      <c r="I276" s="7">
        <f>IF(ISBLANK('1_raw_log'!I276),"",'1_raw_log'!I276)</f>
        <v/>
      </c>
      <c r="J276" s="2">
        <f>IF(ISBLANK('1_raw_log'!J276),"",'1_raw_log'!J276)</f>
        <v/>
      </c>
      <c r="K276" s="2">
        <f>IF(ISBLANK('1_raw_log'!K276),"",'1_raw_log'!K276)</f>
        <v/>
      </c>
      <c r="L276" s="30">
        <f>INT(B276)</f>
        <v/>
      </c>
      <c r="M276" s="20">
        <f>ROUND(MOD(B276,1)*1440,0)/1440</f>
        <v/>
      </c>
      <c r="N276" s="4">
        <f>IFERROR(INDEX('3_ref_date'!$B:$B,MATCH(L276,'3_ref_date'!$A:$A,0)),"NOT FOUND")</f>
        <v/>
      </c>
      <c r="O276" s="2">
        <f>IFERROR(INDEX('3_ref_date'!$C:$C,MATCH(L276,'3_ref_date'!$A:$A,0)),"NOT FOUND")</f>
        <v/>
      </c>
      <c r="P276" s="4">
        <f>IFERROR(INDEX('3_ref_date'!$D:$D,MATCH(L276,'3_ref_date'!$A:$A,0)),"NOT FOUND")</f>
        <v/>
      </c>
      <c r="Q276" s="4">
        <f>IFERROR(INDEX('3_ref_date'!$E:$E,MATCH(L276,'3_ref_date'!$A:$A,0)),"NOT FOUND")</f>
        <v/>
      </c>
      <c r="R276" s="2">
        <f>IFERROR(INDEX('3_ref_date'!$F:$F,MATCH(L276,'3_ref_date'!$A:$A,0)),"NOT FOUND")</f>
        <v/>
      </c>
      <c r="S276" s="2">
        <f>IFERROR(INDEX('4_ref_time'!$D:$D,MATCH(ROUND(M276*1440,0),'4_ref_time'!$A:$A,0)),"NOT FOUND")</f>
        <v/>
      </c>
      <c r="T276" s="2">
        <f>UPPER(TRIM(C276))</f>
        <v/>
      </c>
      <c r="U276" s="30">
        <f>IF(_xlfn.MAXIFS('6_3nf_branch_history'!$B$2:$B$50,'6_3nf_branch_history'!$A$2:$A$50,T276,'6_3nf_branch_history'!$B$2:$B$50,"&lt;="&amp;L276)=0,"NOT FOUND",_xlfn.MAXIFS('6_3nf_branch_history'!$B$2:$B$50,'6_3nf_branch_history'!$A$2:$A$50,T276,'6_3nf_branch_history'!$B$2:$B$50,"&lt;="&amp;L276))</f>
        <v/>
      </c>
      <c r="V276" s="2">
        <f>IF(U276="NOT FOUND","NOT FOUND",INDEX('6_3nf_branch_history'!$C:$C,SUMPRODUCT(('6_3nf_branch_history'!$A$2:$A$50=T276)*('6_3nf_branch_history'!$B$2:$B$50=U276)*ROW('6_3nf_branch_history'!$A$2:$A$50))))</f>
        <v/>
      </c>
      <c r="W276" s="2">
        <f>IF(U276="NOT FOUND","NOT FOUND",INDEX('6_3nf_branch_history'!$D:$D,SUMPRODUCT(('6_3nf_branch_history'!$A$2:$A$50=T276)*('6_3nf_branch_history'!$B$2:$B$50=U276)*ROW('6_3nf_branch_history'!$A$2:$A$50))))</f>
        <v/>
      </c>
      <c r="X276" s="2">
        <f>IF(U276="NOT FOUND","NOT FOUND",INDEX('6_3nf_branch_history'!$E:$E,SUMPRODUCT(('6_3nf_branch_history'!$A$2:$A$50=T276)*('6_3nf_branch_history'!$B$2:$B$50=U276)*ROW('6_3nf_branch_history'!$A$2:$A$50))))</f>
        <v/>
      </c>
      <c r="Y276" s="2">
        <f>UPPER(TRIM(D276))</f>
        <v/>
      </c>
      <c r="Z276" s="2">
        <f>IFERROR(INDEX('7_3nf_product'!$B:$B,MATCH(Y276,'7_3nf_product'!$A:$A,0)),"NOT FOUND")</f>
        <v/>
      </c>
      <c r="AA276" s="2">
        <f>IFERROR(INDEX('7_3nf_product'!$C:$C,MATCH(Y276,'7_3nf_product'!$A:$A,0)),"NOT FOUND")</f>
        <v/>
      </c>
      <c r="AB276" s="2">
        <f>IFERROR(INDEX('7_3nf_product'!$D:$D,MATCH(Y276,'7_3nf_product'!$A:$A,0)),"NOT FOUND")</f>
        <v/>
      </c>
      <c r="AC276" s="6">
        <f>IFERROR(INDEX('7_3nf_product'!$E:$E,MATCH(Y276,'7_3nf_product'!$A:$A,0)),"NOT FOUND")</f>
        <v/>
      </c>
      <c r="AD276" s="33">
        <f>IF(LEN(TRIM(E276))=10,TRIM(E276),IF(LEN(TRIM(E276))=8,"00"&amp;TRIM(E276),"CHECK"))</f>
        <v/>
      </c>
      <c r="AE276" s="2">
        <f>IFERROR(INDEX('8_3nf_customer'!$C:$C,MATCH(AD276,'8_3nf_customer'!$B:$B,0)),"NOT FOUND")</f>
        <v/>
      </c>
      <c r="AF276" s="30">
        <f>IFERROR(INDEX('8_3nf_customer'!$D:$D,MATCH(AD276,'8_3nf_customer'!$B:$B,0)),"NOT FOUND")</f>
        <v/>
      </c>
      <c r="AG276" s="4">
        <f>IF(ISNUMBER(AF276),DATEDIF(AF276,L276,"y"),"NOT FOUND")</f>
        <v/>
      </c>
      <c r="AH276" s="2">
        <f>IFERROR(INDEX('8_3nf_customer'!$E:$E,MATCH(AD276,'8_3nf_customer'!$B:$B,0)),"NOT FOUND")</f>
        <v/>
      </c>
      <c r="AI276" s="30">
        <f>IF(_xlfn.MAXIFS('9_3nf_customer_history'!$B$2:$B$500,'9_3nf_customer_history'!$A$2:$A$500,AD276,'9_3nf_customer_history'!$B$2:$B$500,"&lt;="&amp;L276)=0,"NOT FOUND",_xlfn.MAXIFS('9_3nf_customer_history'!$B$2:$B$500,'9_3nf_customer_history'!$A$2:$A$500,AD276,'9_3nf_customer_history'!$B$2:$B$500,"&lt;="&amp;L276))</f>
        <v/>
      </c>
      <c r="AJ276" s="2">
        <f>IF(AI276="NOT FOUND","NOT FOUND",INDEX('9_3nf_customer_history'!$C:$C,SUMPRODUCT(('9_3nf_customer_history'!$A$2:$A$500=AD276)*('9_3nf_customer_history'!$B$2:$B$500=AI276)*ROW('9_3nf_customer_history'!$A$2:$A$500))))</f>
        <v/>
      </c>
      <c r="AK276" s="2">
        <f>IF(AI276="NOT FOUND","NOT FOUND",INDEX('9_3nf_customer_history'!$D:$D,SUMPRODUCT(('9_3nf_customer_history'!$A$2:$A$500=AD276)*('9_3nf_customer_history'!$B$2:$B$500=AI276)*ROW('9_3nf_customer_history'!$A$2:$A$500))))</f>
        <v/>
      </c>
      <c r="AL276" s="2">
        <f>UPPER(TRIM(H276))</f>
        <v/>
      </c>
      <c r="AM276" s="30">
        <f>IF(_xlfn.MAXIFS('10_ref_fx_rate'!$B$2:$B$2000,'10_ref_fx_rate'!$A$2:$A$2000,AL276,'10_ref_fx_rate'!$B$2:$B$2000,"&lt;="&amp;L276)=0,"NOT FOUND",_xlfn.MAXIFS('10_ref_fx_rate'!$B$2:$B$2000,'10_ref_fx_rate'!$A$2:$A$2000,AL276,'10_ref_fx_rate'!$B$2:$B$2000,"&lt;="&amp;L276))</f>
        <v/>
      </c>
      <c r="AN276" s="8">
        <f>IF(AM276="NOT FOUND","NOT FOUND",SUMIFS('10_ref_fx_rate'!$D$2:$D$2000,'10_ref_fx_rate'!$A$2:$A$2000,AL276,'10_ref_fx_rate'!$B$2:$B$2000,AM276))</f>
        <v/>
      </c>
      <c r="AO276" s="37">
        <f>IF(ISNUMBER(AN276),I276*AN276,"NOT FOUND")</f>
        <v/>
      </c>
      <c r="AP276" s="2">
        <f>UPPER(TRIM(J276))</f>
        <v/>
      </c>
      <c r="AQ276" s="2">
        <f>IF(AP276="","SELF-DIRECTED",IF(ISNUMBER(MATCH(AP276,'11_3nf_sales_person'!$A:$A,0)),IF(EXACT(AP276,J276),"OK","OK (auto-fixed)"),IF(ISNA(MATCH($A276,'12_sales_person_confirmation'!$A:$A,0)),"CONFIRM (not logged)",IF(INDEX('12_sales_person_confirmation'!$I:$I,MATCH($A276,'12_sales_person_confirmation'!$A:$A,0))="CONFIRMED","CONFIRMED ("&amp;LOWER(INDEX('12_sales_person_confirmation'!$E:$E,MATCH($A276,'12_sales_person_confirmation'!$A:$A,0)))&amp;")","PENDING CONFIRM"))))</f>
        <v/>
      </c>
      <c r="AR276" s="2">
        <f>IF(OR(AQ276="OK",AQ276="OK (auto-fixed)"),AP276,IF(LEFT(AQ276,9)="CONFIRMED",INDEX('12_sales_person_confirmation'!$F:$F,MATCH($A276,'12_sales_person_confirmation'!$A:$A,0)),""))</f>
        <v/>
      </c>
      <c r="AS276" s="2">
        <f>IF(AR276="","",INDEX('11_3nf_sales_person'!$B:$B,MATCH(AR276,'11_3nf_sales_person'!$A:$A,0)))</f>
        <v/>
      </c>
    </row>
    <row r="277">
      <c r="A277" s="2">
        <f>IF(ISBLANK('1_raw_log'!A277),"",'1_raw_log'!A277)</f>
        <v/>
      </c>
      <c r="B277" s="3">
        <f>IF(ISBLANK('1_raw_log'!B277),"",'1_raw_log'!B277)</f>
        <v/>
      </c>
      <c r="C277" s="2">
        <f>IF(ISBLANK('1_raw_log'!C277),"",'1_raw_log'!C277)</f>
        <v/>
      </c>
      <c r="D277" s="2">
        <f>IF(ISBLANK('1_raw_log'!D277),"",'1_raw_log'!D277)</f>
        <v/>
      </c>
      <c r="E277" s="4">
        <f>IF(ISBLANK('1_raw_log'!E277),"",'1_raw_log'!E277)</f>
        <v/>
      </c>
      <c r="F277" s="2">
        <f>IF(ISBLANK('1_raw_log'!F277),"",'1_raw_log'!F277)</f>
        <v/>
      </c>
      <c r="G277" s="2">
        <f>IF(ISBLANK('1_raw_log'!G277),"",'1_raw_log'!G277)</f>
        <v/>
      </c>
      <c r="H277" s="2">
        <f>IF(ISBLANK('1_raw_log'!H277),"",'1_raw_log'!H277)</f>
        <v/>
      </c>
      <c r="I277" s="7">
        <f>IF(ISBLANK('1_raw_log'!I277),"",'1_raw_log'!I277)</f>
        <v/>
      </c>
      <c r="J277" s="2">
        <f>IF(ISBLANK('1_raw_log'!J277),"",'1_raw_log'!J277)</f>
        <v/>
      </c>
      <c r="K277" s="2">
        <f>IF(ISBLANK('1_raw_log'!K277),"",'1_raw_log'!K277)</f>
        <v/>
      </c>
      <c r="L277" s="30">
        <f>INT(B277)</f>
        <v/>
      </c>
      <c r="M277" s="20">
        <f>ROUND(MOD(B277,1)*1440,0)/1440</f>
        <v/>
      </c>
      <c r="N277" s="4">
        <f>IFERROR(INDEX('3_ref_date'!$B:$B,MATCH(L277,'3_ref_date'!$A:$A,0)),"NOT FOUND")</f>
        <v/>
      </c>
      <c r="O277" s="2">
        <f>IFERROR(INDEX('3_ref_date'!$C:$C,MATCH(L277,'3_ref_date'!$A:$A,0)),"NOT FOUND")</f>
        <v/>
      </c>
      <c r="P277" s="4">
        <f>IFERROR(INDEX('3_ref_date'!$D:$D,MATCH(L277,'3_ref_date'!$A:$A,0)),"NOT FOUND")</f>
        <v/>
      </c>
      <c r="Q277" s="4">
        <f>IFERROR(INDEX('3_ref_date'!$E:$E,MATCH(L277,'3_ref_date'!$A:$A,0)),"NOT FOUND")</f>
        <v/>
      </c>
      <c r="R277" s="2">
        <f>IFERROR(INDEX('3_ref_date'!$F:$F,MATCH(L277,'3_ref_date'!$A:$A,0)),"NOT FOUND")</f>
        <v/>
      </c>
      <c r="S277" s="2">
        <f>IFERROR(INDEX('4_ref_time'!$D:$D,MATCH(ROUND(M277*1440,0),'4_ref_time'!$A:$A,0)),"NOT FOUND")</f>
        <v/>
      </c>
      <c r="T277" s="2">
        <f>UPPER(TRIM(C277))</f>
        <v/>
      </c>
      <c r="U277" s="30">
        <f>IF(_xlfn.MAXIFS('6_3nf_branch_history'!$B$2:$B$50,'6_3nf_branch_history'!$A$2:$A$50,T277,'6_3nf_branch_history'!$B$2:$B$50,"&lt;="&amp;L277)=0,"NOT FOUND",_xlfn.MAXIFS('6_3nf_branch_history'!$B$2:$B$50,'6_3nf_branch_history'!$A$2:$A$50,T277,'6_3nf_branch_history'!$B$2:$B$50,"&lt;="&amp;L277))</f>
        <v/>
      </c>
      <c r="V277" s="2">
        <f>IF(U277="NOT FOUND","NOT FOUND",INDEX('6_3nf_branch_history'!$C:$C,SUMPRODUCT(('6_3nf_branch_history'!$A$2:$A$50=T277)*('6_3nf_branch_history'!$B$2:$B$50=U277)*ROW('6_3nf_branch_history'!$A$2:$A$50))))</f>
        <v/>
      </c>
      <c r="W277" s="2">
        <f>IF(U277="NOT FOUND","NOT FOUND",INDEX('6_3nf_branch_history'!$D:$D,SUMPRODUCT(('6_3nf_branch_history'!$A$2:$A$50=T277)*('6_3nf_branch_history'!$B$2:$B$50=U277)*ROW('6_3nf_branch_history'!$A$2:$A$50))))</f>
        <v/>
      </c>
      <c r="X277" s="2">
        <f>IF(U277="NOT FOUND","NOT FOUND",INDEX('6_3nf_branch_history'!$E:$E,SUMPRODUCT(('6_3nf_branch_history'!$A$2:$A$50=T277)*('6_3nf_branch_history'!$B$2:$B$50=U277)*ROW('6_3nf_branch_history'!$A$2:$A$50))))</f>
        <v/>
      </c>
      <c r="Y277" s="2">
        <f>UPPER(TRIM(D277))</f>
        <v/>
      </c>
      <c r="Z277" s="2">
        <f>IFERROR(INDEX('7_3nf_product'!$B:$B,MATCH(Y277,'7_3nf_product'!$A:$A,0)),"NOT FOUND")</f>
        <v/>
      </c>
      <c r="AA277" s="2">
        <f>IFERROR(INDEX('7_3nf_product'!$C:$C,MATCH(Y277,'7_3nf_product'!$A:$A,0)),"NOT FOUND")</f>
        <v/>
      </c>
      <c r="AB277" s="2">
        <f>IFERROR(INDEX('7_3nf_product'!$D:$D,MATCH(Y277,'7_3nf_product'!$A:$A,0)),"NOT FOUND")</f>
        <v/>
      </c>
      <c r="AC277" s="6">
        <f>IFERROR(INDEX('7_3nf_product'!$E:$E,MATCH(Y277,'7_3nf_product'!$A:$A,0)),"NOT FOUND")</f>
        <v/>
      </c>
      <c r="AD277" s="33">
        <f>IF(LEN(TRIM(E277))=10,TRIM(E277),IF(LEN(TRIM(E277))=8,"00"&amp;TRIM(E277),"CHECK"))</f>
        <v/>
      </c>
      <c r="AE277" s="2">
        <f>IFERROR(INDEX('8_3nf_customer'!$C:$C,MATCH(AD277,'8_3nf_customer'!$B:$B,0)),"NOT FOUND")</f>
        <v/>
      </c>
      <c r="AF277" s="30">
        <f>IFERROR(INDEX('8_3nf_customer'!$D:$D,MATCH(AD277,'8_3nf_customer'!$B:$B,0)),"NOT FOUND")</f>
        <v/>
      </c>
      <c r="AG277" s="4">
        <f>IF(ISNUMBER(AF277),DATEDIF(AF277,L277,"y"),"NOT FOUND")</f>
        <v/>
      </c>
      <c r="AH277" s="2">
        <f>IFERROR(INDEX('8_3nf_customer'!$E:$E,MATCH(AD277,'8_3nf_customer'!$B:$B,0)),"NOT FOUND")</f>
        <v/>
      </c>
      <c r="AI277" s="30">
        <f>IF(_xlfn.MAXIFS('9_3nf_customer_history'!$B$2:$B$500,'9_3nf_customer_history'!$A$2:$A$500,AD277,'9_3nf_customer_history'!$B$2:$B$500,"&lt;="&amp;L277)=0,"NOT FOUND",_xlfn.MAXIFS('9_3nf_customer_history'!$B$2:$B$500,'9_3nf_customer_history'!$A$2:$A$500,AD277,'9_3nf_customer_history'!$B$2:$B$500,"&lt;="&amp;L277))</f>
        <v/>
      </c>
      <c r="AJ277" s="2">
        <f>IF(AI277="NOT FOUND","NOT FOUND",INDEX('9_3nf_customer_history'!$C:$C,SUMPRODUCT(('9_3nf_customer_history'!$A$2:$A$500=AD277)*('9_3nf_customer_history'!$B$2:$B$500=AI277)*ROW('9_3nf_customer_history'!$A$2:$A$500))))</f>
        <v/>
      </c>
      <c r="AK277" s="2">
        <f>IF(AI277="NOT FOUND","NOT FOUND",INDEX('9_3nf_customer_history'!$D:$D,SUMPRODUCT(('9_3nf_customer_history'!$A$2:$A$500=AD277)*('9_3nf_customer_history'!$B$2:$B$500=AI277)*ROW('9_3nf_customer_history'!$A$2:$A$500))))</f>
        <v/>
      </c>
      <c r="AL277" s="2">
        <f>UPPER(TRIM(H277))</f>
        <v/>
      </c>
      <c r="AM277" s="30">
        <f>IF(_xlfn.MAXIFS('10_ref_fx_rate'!$B$2:$B$2000,'10_ref_fx_rate'!$A$2:$A$2000,AL277,'10_ref_fx_rate'!$B$2:$B$2000,"&lt;="&amp;L277)=0,"NOT FOUND",_xlfn.MAXIFS('10_ref_fx_rate'!$B$2:$B$2000,'10_ref_fx_rate'!$A$2:$A$2000,AL277,'10_ref_fx_rate'!$B$2:$B$2000,"&lt;="&amp;L277))</f>
        <v/>
      </c>
      <c r="AN277" s="8">
        <f>IF(AM277="NOT FOUND","NOT FOUND",SUMIFS('10_ref_fx_rate'!$D$2:$D$2000,'10_ref_fx_rate'!$A$2:$A$2000,AL277,'10_ref_fx_rate'!$B$2:$B$2000,AM277))</f>
        <v/>
      </c>
      <c r="AO277" s="37">
        <f>IF(ISNUMBER(AN277),I277*AN277,"NOT FOUND")</f>
        <v/>
      </c>
      <c r="AP277" s="2">
        <f>UPPER(TRIM(J277))</f>
        <v/>
      </c>
      <c r="AQ277" s="2">
        <f>IF(AP277="","SELF-DIRECTED",IF(ISNUMBER(MATCH(AP277,'11_3nf_sales_person'!$A:$A,0)),IF(EXACT(AP277,J277),"OK","OK (auto-fixed)"),IF(ISNA(MATCH($A277,'12_sales_person_confirmation'!$A:$A,0)),"CONFIRM (not logged)",IF(INDEX('12_sales_person_confirmation'!$I:$I,MATCH($A277,'12_sales_person_confirmation'!$A:$A,0))="CONFIRMED","CONFIRMED ("&amp;LOWER(INDEX('12_sales_person_confirmation'!$E:$E,MATCH($A277,'12_sales_person_confirmation'!$A:$A,0)))&amp;")","PENDING CONFIRM"))))</f>
        <v/>
      </c>
      <c r="AR277" s="2">
        <f>IF(OR(AQ277="OK",AQ277="OK (auto-fixed)"),AP277,IF(LEFT(AQ277,9)="CONFIRMED",INDEX('12_sales_person_confirmation'!$F:$F,MATCH($A277,'12_sales_person_confirmation'!$A:$A,0)),""))</f>
        <v/>
      </c>
      <c r="AS277" s="2">
        <f>IF(AR277="","",INDEX('11_3nf_sales_person'!$B:$B,MATCH(AR277,'11_3nf_sales_person'!$A:$A,0)))</f>
        <v/>
      </c>
    </row>
    <row r="278">
      <c r="A278" s="2">
        <f>IF(ISBLANK('1_raw_log'!A278),"",'1_raw_log'!A278)</f>
        <v/>
      </c>
      <c r="B278" s="3">
        <f>IF(ISBLANK('1_raw_log'!B278),"",'1_raw_log'!B278)</f>
        <v/>
      </c>
      <c r="C278" s="2">
        <f>IF(ISBLANK('1_raw_log'!C278),"",'1_raw_log'!C278)</f>
        <v/>
      </c>
      <c r="D278" s="2">
        <f>IF(ISBLANK('1_raw_log'!D278),"",'1_raw_log'!D278)</f>
        <v/>
      </c>
      <c r="E278" s="4">
        <f>IF(ISBLANK('1_raw_log'!E278),"",'1_raw_log'!E278)</f>
        <v/>
      </c>
      <c r="F278" s="2">
        <f>IF(ISBLANK('1_raw_log'!F278),"",'1_raw_log'!F278)</f>
        <v/>
      </c>
      <c r="G278" s="2">
        <f>IF(ISBLANK('1_raw_log'!G278),"",'1_raw_log'!G278)</f>
        <v/>
      </c>
      <c r="H278" s="2">
        <f>IF(ISBLANK('1_raw_log'!H278),"",'1_raw_log'!H278)</f>
        <v/>
      </c>
      <c r="I278" s="7">
        <f>IF(ISBLANK('1_raw_log'!I278),"",'1_raw_log'!I278)</f>
        <v/>
      </c>
      <c r="J278" s="2">
        <f>IF(ISBLANK('1_raw_log'!J278),"",'1_raw_log'!J278)</f>
        <v/>
      </c>
      <c r="K278" s="2">
        <f>IF(ISBLANK('1_raw_log'!K278),"",'1_raw_log'!K278)</f>
        <v/>
      </c>
      <c r="L278" s="30">
        <f>INT(B278)</f>
        <v/>
      </c>
      <c r="M278" s="20">
        <f>ROUND(MOD(B278,1)*1440,0)/1440</f>
        <v/>
      </c>
      <c r="N278" s="4">
        <f>IFERROR(INDEX('3_ref_date'!$B:$B,MATCH(L278,'3_ref_date'!$A:$A,0)),"NOT FOUND")</f>
        <v/>
      </c>
      <c r="O278" s="2">
        <f>IFERROR(INDEX('3_ref_date'!$C:$C,MATCH(L278,'3_ref_date'!$A:$A,0)),"NOT FOUND")</f>
        <v/>
      </c>
      <c r="P278" s="4">
        <f>IFERROR(INDEX('3_ref_date'!$D:$D,MATCH(L278,'3_ref_date'!$A:$A,0)),"NOT FOUND")</f>
        <v/>
      </c>
      <c r="Q278" s="4">
        <f>IFERROR(INDEX('3_ref_date'!$E:$E,MATCH(L278,'3_ref_date'!$A:$A,0)),"NOT FOUND")</f>
        <v/>
      </c>
      <c r="R278" s="2">
        <f>IFERROR(INDEX('3_ref_date'!$F:$F,MATCH(L278,'3_ref_date'!$A:$A,0)),"NOT FOUND")</f>
        <v/>
      </c>
      <c r="S278" s="2">
        <f>IFERROR(INDEX('4_ref_time'!$D:$D,MATCH(ROUND(M278*1440,0),'4_ref_time'!$A:$A,0)),"NOT FOUND")</f>
        <v/>
      </c>
      <c r="T278" s="2">
        <f>UPPER(TRIM(C278))</f>
        <v/>
      </c>
      <c r="U278" s="30">
        <f>IF(_xlfn.MAXIFS('6_3nf_branch_history'!$B$2:$B$50,'6_3nf_branch_history'!$A$2:$A$50,T278,'6_3nf_branch_history'!$B$2:$B$50,"&lt;="&amp;L278)=0,"NOT FOUND",_xlfn.MAXIFS('6_3nf_branch_history'!$B$2:$B$50,'6_3nf_branch_history'!$A$2:$A$50,T278,'6_3nf_branch_history'!$B$2:$B$50,"&lt;="&amp;L278))</f>
        <v/>
      </c>
      <c r="V278" s="2">
        <f>IF(U278="NOT FOUND","NOT FOUND",INDEX('6_3nf_branch_history'!$C:$C,SUMPRODUCT(('6_3nf_branch_history'!$A$2:$A$50=T278)*('6_3nf_branch_history'!$B$2:$B$50=U278)*ROW('6_3nf_branch_history'!$A$2:$A$50))))</f>
        <v/>
      </c>
      <c r="W278" s="2">
        <f>IF(U278="NOT FOUND","NOT FOUND",INDEX('6_3nf_branch_history'!$D:$D,SUMPRODUCT(('6_3nf_branch_history'!$A$2:$A$50=T278)*('6_3nf_branch_history'!$B$2:$B$50=U278)*ROW('6_3nf_branch_history'!$A$2:$A$50))))</f>
        <v/>
      </c>
      <c r="X278" s="2">
        <f>IF(U278="NOT FOUND","NOT FOUND",INDEX('6_3nf_branch_history'!$E:$E,SUMPRODUCT(('6_3nf_branch_history'!$A$2:$A$50=T278)*('6_3nf_branch_history'!$B$2:$B$50=U278)*ROW('6_3nf_branch_history'!$A$2:$A$50))))</f>
        <v/>
      </c>
      <c r="Y278" s="2">
        <f>UPPER(TRIM(D278))</f>
        <v/>
      </c>
      <c r="Z278" s="2">
        <f>IFERROR(INDEX('7_3nf_product'!$B:$B,MATCH(Y278,'7_3nf_product'!$A:$A,0)),"NOT FOUND")</f>
        <v/>
      </c>
      <c r="AA278" s="2">
        <f>IFERROR(INDEX('7_3nf_product'!$C:$C,MATCH(Y278,'7_3nf_product'!$A:$A,0)),"NOT FOUND")</f>
        <v/>
      </c>
      <c r="AB278" s="2">
        <f>IFERROR(INDEX('7_3nf_product'!$D:$D,MATCH(Y278,'7_3nf_product'!$A:$A,0)),"NOT FOUND")</f>
        <v/>
      </c>
      <c r="AC278" s="6">
        <f>IFERROR(INDEX('7_3nf_product'!$E:$E,MATCH(Y278,'7_3nf_product'!$A:$A,0)),"NOT FOUND")</f>
        <v/>
      </c>
      <c r="AD278" s="33">
        <f>IF(LEN(TRIM(E278))=10,TRIM(E278),IF(LEN(TRIM(E278))=8,"00"&amp;TRIM(E278),"CHECK"))</f>
        <v/>
      </c>
      <c r="AE278" s="2">
        <f>IFERROR(INDEX('8_3nf_customer'!$C:$C,MATCH(AD278,'8_3nf_customer'!$B:$B,0)),"NOT FOUND")</f>
        <v/>
      </c>
      <c r="AF278" s="30">
        <f>IFERROR(INDEX('8_3nf_customer'!$D:$D,MATCH(AD278,'8_3nf_customer'!$B:$B,0)),"NOT FOUND")</f>
        <v/>
      </c>
      <c r="AG278" s="4">
        <f>IF(ISNUMBER(AF278),DATEDIF(AF278,L278,"y"),"NOT FOUND")</f>
        <v/>
      </c>
      <c r="AH278" s="2">
        <f>IFERROR(INDEX('8_3nf_customer'!$E:$E,MATCH(AD278,'8_3nf_customer'!$B:$B,0)),"NOT FOUND")</f>
        <v/>
      </c>
      <c r="AI278" s="30">
        <f>IF(_xlfn.MAXIFS('9_3nf_customer_history'!$B$2:$B$500,'9_3nf_customer_history'!$A$2:$A$500,AD278,'9_3nf_customer_history'!$B$2:$B$500,"&lt;="&amp;L278)=0,"NOT FOUND",_xlfn.MAXIFS('9_3nf_customer_history'!$B$2:$B$500,'9_3nf_customer_history'!$A$2:$A$500,AD278,'9_3nf_customer_history'!$B$2:$B$500,"&lt;="&amp;L278))</f>
        <v/>
      </c>
      <c r="AJ278" s="2">
        <f>IF(AI278="NOT FOUND","NOT FOUND",INDEX('9_3nf_customer_history'!$C:$C,SUMPRODUCT(('9_3nf_customer_history'!$A$2:$A$500=AD278)*('9_3nf_customer_history'!$B$2:$B$500=AI278)*ROW('9_3nf_customer_history'!$A$2:$A$500))))</f>
        <v/>
      </c>
      <c r="AK278" s="2">
        <f>IF(AI278="NOT FOUND","NOT FOUND",INDEX('9_3nf_customer_history'!$D:$D,SUMPRODUCT(('9_3nf_customer_history'!$A$2:$A$500=AD278)*('9_3nf_customer_history'!$B$2:$B$500=AI278)*ROW('9_3nf_customer_history'!$A$2:$A$500))))</f>
        <v/>
      </c>
      <c r="AL278" s="2">
        <f>UPPER(TRIM(H278))</f>
        <v/>
      </c>
      <c r="AM278" s="30">
        <f>IF(_xlfn.MAXIFS('10_ref_fx_rate'!$B$2:$B$2000,'10_ref_fx_rate'!$A$2:$A$2000,AL278,'10_ref_fx_rate'!$B$2:$B$2000,"&lt;="&amp;L278)=0,"NOT FOUND",_xlfn.MAXIFS('10_ref_fx_rate'!$B$2:$B$2000,'10_ref_fx_rate'!$A$2:$A$2000,AL278,'10_ref_fx_rate'!$B$2:$B$2000,"&lt;="&amp;L278))</f>
        <v/>
      </c>
      <c r="AN278" s="8">
        <f>IF(AM278="NOT FOUND","NOT FOUND",SUMIFS('10_ref_fx_rate'!$D$2:$D$2000,'10_ref_fx_rate'!$A$2:$A$2000,AL278,'10_ref_fx_rate'!$B$2:$B$2000,AM278))</f>
        <v/>
      </c>
      <c r="AO278" s="37">
        <f>IF(ISNUMBER(AN278),I278*AN278,"NOT FOUND")</f>
        <v/>
      </c>
      <c r="AP278" s="2">
        <f>UPPER(TRIM(J278))</f>
        <v/>
      </c>
      <c r="AQ278" s="2">
        <f>IF(AP278="","SELF-DIRECTED",IF(ISNUMBER(MATCH(AP278,'11_3nf_sales_person'!$A:$A,0)),IF(EXACT(AP278,J278),"OK","OK (auto-fixed)"),IF(ISNA(MATCH($A278,'12_sales_person_confirmation'!$A:$A,0)),"CONFIRM (not logged)",IF(INDEX('12_sales_person_confirmation'!$I:$I,MATCH($A278,'12_sales_person_confirmation'!$A:$A,0))="CONFIRMED","CONFIRMED ("&amp;LOWER(INDEX('12_sales_person_confirmation'!$E:$E,MATCH($A278,'12_sales_person_confirmation'!$A:$A,0)))&amp;")","PENDING CONFIRM"))))</f>
        <v/>
      </c>
      <c r="AR278" s="2">
        <f>IF(OR(AQ278="OK",AQ278="OK (auto-fixed)"),AP278,IF(LEFT(AQ278,9)="CONFIRMED",INDEX('12_sales_person_confirmation'!$F:$F,MATCH($A278,'12_sales_person_confirmation'!$A:$A,0)),""))</f>
        <v/>
      </c>
      <c r="AS278" s="2">
        <f>IF(AR278="","",INDEX('11_3nf_sales_person'!$B:$B,MATCH(AR278,'11_3nf_sales_person'!$A:$A,0)))</f>
        <v/>
      </c>
    </row>
    <row r="279">
      <c r="A279" s="2">
        <f>IF(ISBLANK('1_raw_log'!A279),"",'1_raw_log'!A279)</f>
        <v/>
      </c>
      <c r="B279" s="3">
        <f>IF(ISBLANK('1_raw_log'!B279),"",'1_raw_log'!B279)</f>
        <v/>
      </c>
      <c r="C279" s="2">
        <f>IF(ISBLANK('1_raw_log'!C279),"",'1_raw_log'!C279)</f>
        <v/>
      </c>
      <c r="D279" s="2">
        <f>IF(ISBLANK('1_raw_log'!D279),"",'1_raw_log'!D279)</f>
        <v/>
      </c>
      <c r="E279" s="4">
        <f>IF(ISBLANK('1_raw_log'!E279),"",'1_raw_log'!E279)</f>
        <v/>
      </c>
      <c r="F279" s="2">
        <f>IF(ISBLANK('1_raw_log'!F279),"",'1_raw_log'!F279)</f>
        <v/>
      </c>
      <c r="G279" s="2">
        <f>IF(ISBLANK('1_raw_log'!G279),"",'1_raw_log'!G279)</f>
        <v/>
      </c>
      <c r="H279" s="2">
        <f>IF(ISBLANK('1_raw_log'!H279),"",'1_raw_log'!H279)</f>
        <v/>
      </c>
      <c r="I279" s="7">
        <f>IF(ISBLANK('1_raw_log'!I279),"",'1_raw_log'!I279)</f>
        <v/>
      </c>
      <c r="J279" s="2">
        <f>IF(ISBLANK('1_raw_log'!J279),"",'1_raw_log'!J279)</f>
        <v/>
      </c>
      <c r="K279" s="2">
        <f>IF(ISBLANK('1_raw_log'!K279),"",'1_raw_log'!K279)</f>
        <v/>
      </c>
      <c r="L279" s="30">
        <f>INT(B279)</f>
        <v/>
      </c>
      <c r="M279" s="20">
        <f>ROUND(MOD(B279,1)*1440,0)/1440</f>
        <v/>
      </c>
      <c r="N279" s="4">
        <f>IFERROR(INDEX('3_ref_date'!$B:$B,MATCH(L279,'3_ref_date'!$A:$A,0)),"NOT FOUND")</f>
        <v/>
      </c>
      <c r="O279" s="2">
        <f>IFERROR(INDEX('3_ref_date'!$C:$C,MATCH(L279,'3_ref_date'!$A:$A,0)),"NOT FOUND")</f>
        <v/>
      </c>
      <c r="P279" s="4">
        <f>IFERROR(INDEX('3_ref_date'!$D:$D,MATCH(L279,'3_ref_date'!$A:$A,0)),"NOT FOUND")</f>
        <v/>
      </c>
      <c r="Q279" s="4">
        <f>IFERROR(INDEX('3_ref_date'!$E:$E,MATCH(L279,'3_ref_date'!$A:$A,0)),"NOT FOUND")</f>
        <v/>
      </c>
      <c r="R279" s="2">
        <f>IFERROR(INDEX('3_ref_date'!$F:$F,MATCH(L279,'3_ref_date'!$A:$A,0)),"NOT FOUND")</f>
        <v/>
      </c>
      <c r="S279" s="2">
        <f>IFERROR(INDEX('4_ref_time'!$D:$D,MATCH(ROUND(M279*1440,0),'4_ref_time'!$A:$A,0)),"NOT FOUND")</f>
        <v/>
      </c>
      <c r="T279" s="2">
        <f>UPPER(TRIM(C279))</f>
        <v/>
      </c>
      <c r="U279" s="30">
        <f>IF(_xlfn.MAXIFS('6_3nf_branch_history'!$B$2:$B$50,'6_3nf_branch_history'!$A$2:$A$50,T279,'6_3nf_branch_history'!$B$2:$B$50,"&lt;="&amp;L279)=0,"NOT FOUND",_xlfn.MAXIFS('6_3nf_branch_history'!$B$2:$B$50,'6_3nf_branch_history'!$A$2:$A$50,T279,'6_3nf_branch_history'!$B$2:$B$50,"&lt;="&amp;L279))</f>
        <v/>
      </c>
      <c r="V279" s="2">
        <f>IF(U279="NOT FOUND","NOT FOUND",INDEX('6_3nf_branch_history'!$C:$C,SUMPRODUCT(('6_3nf_branch_history'!$A$2:$A$50=T279)*('6_3nf_branch_history'!$B$2:$B$50=U279)*ROW('6_3nf_branch_history'!$A$2:$A$50))))</f>
        <v/>
      </c>
      <c r="W279" s="2">
        <f>IF(U279="NOT FOUND","NOT FOUND",INDEX('6_3nf_branch_history'!$D:$D,SUMPRODUCT(('6_3nf_branch_history'!$A$2:$A$50=T279)*('6_3nf_branch_history'!$B$2:$B$50=U279)*ROW('6_3nf_branch_history'!$A$2:$A$50))))</f>
        <v/>
      </c>
      <c r="X279" s="2">
        <f>IF(U279="NOT FOUND","NOT FOUND",INDEX('6_3nf_branch_history'!$E:$E,SUMPRODUCT(('6_3nf_branch_history'!$A$2:$A$50=T279)*('6_3nf_branch_history'!$B$2:$B$50=U279)*ROW('6_3nf_branch_history'!$A$2:$A$50))))</f>
        <v/>
      </c>
      <c r="Y279" s="2">
        <f>UPPER(TRIM(D279))</f>
        <v/>
      </c>
      <c r="Z279" s="2">
        <f>IFERROR(INDEX('7_3nf_product'!$B:$B,MATCH(Y279,'7_3nf_product'!$A:$A,0)),"NOT FOUND")</f>
        <v/>
      </c>
      <c r="AA279" s="2">
        <f>IFERROR(INDEX('7_3nf_product'!$C:$C,MATCH(Y279,'7_3nf_product'!$A:$A,0)),"NOT FOUND")</f>
        <v/>
      </c>
      <c r="AB279" s="2">
        <f>IFERROR(INDEX('7_3nf_product'!$D:$D,MATCH(Y279,'7_3nf_product'!$A:$A,0)),"NOT FOUND")</f>
        <v/>
      </c>
      <c r="AC279" s="6">
        <f>IFERROR(INDEX('7_3nf_product'!$E:$E,MATCH(Y279,'7_3nf_product'!$A:$A,0)),"NOT FOUND")</f>
        <v/>
      </c>
      <c r="AD279" s="33">
        <f>IF(LEN(TRIM(E279))=10,TRIM(E279),IF(LEN(TRIM(E279))=8,"00"&amp;TRIM(E279),"CHECK"))</f>
        <v/>
      </c>
      <c r="AE279" s="2">
        <f>IFERROR(INDEX('8_3nf_customer'!$C:$C,MATCH(AD279,'8_3nf_customer'!$B:$B,0)),"NOT FOUND")</f>
        <v/>
      </c>
      <c r="AF279" s="30">
        <f>IFERROR(INDEX('8_3nf_customer'!$D:$D,MATCH(AD279,'8_3nf_customer'!$B:$B,0)),"NOT FOUND")</f>
        <v/>
      </c>
      <c r="AG279" s="4">
        <f>IF(ISNUMBER(AF279),DATEDIF(AF279,L279,"y"),"NOT FOUND")</f>
        <v/>
      </c>
      <c r="AH279" s="2">
        <f>IFERROR(INDEX('8_3nf_customer'!$E:$E,MATCH(AD279,'8_3nf_customer'!$B:$B,0)),"NOT FOUND")</f>
        <v/>
      </c>
      <c r="AI279" s="30">
        <f>IF(_xlfn.MAXIFS('9_3nf_customer_history'!$B$2:$B$500,'9_3nf_customer_history'!$A$2:$A$500,AD279,'9_3nf_customer_history'!$B$2:$B$500,"&lt;="&amp;L279)=0,"NOT FOUND",_xlfn.MAXIFS('9_3nf_customer_history'!$B$2:$B$500,'9_3nf_customer_history'!$A$2:$A$500,AD279,'9_3nf_customer_history'!$B$2:$B$500,"&lt;="&amp;L279))</f>
        <v/>
      </c>
      <c r="AJ279" s="2">
        <f>IF(AI279="NOT FOUND","NOT FOUND",INDEX('9_3nf_customer_history'!$C:$C,SUMPRODUCT(('9_3nf_customer_history'!$A$2:$A$500=AD279)*('9_3nf_customer_history'!$B$2:$B$500=AI279)*ROW('9_3nf_customer_history'!$A$2:$A$500))))</f>
        <v/>
      </c>
      <c r="AK279" s="2">
        <f>IF(AI279="NOT FOUND","NOT FOUND",INDEX('9_3nf_customer_history'!$D:$D,SUMPRODUCT(('9_3nf_customer_history'!$A$2:$A$500=AD279)*('9_3nf_customer_history'!$B$2:$B$500=AI279)*ROW('9_3nf_customer_history'!$A$2:$A$500))))</f>
        <v/>
      </c>
      <c r="AL279" s="2">
        <f>UPPER(TRIM(H279))</f>
        <v/>
      </c>
      <c r="AM279" s="30">
        <f>IF(_xlfn.MAXIFS('10_ref_fx_rate'!$B$2:$B$2000,'10_ref_fx_rate'!$A$2:$A$2000,AL279,'10_ref_fx_rate'!$B$2:$B$2000,"&lt;="&amp;L279)=0,"NOT FOUND",_xlfn.MAXIFS('10_ref_fx_rate'!$B$2:$B$2000,'10_ref_fx_rate'!$A$2:$A$2000,AL279,'10_ref_fx_rate'!$B$2:$B$2000,"&lt;="&amp;L279))</f>
        <v/>
      </c>
      <c r="AN279" s="8">
        <f>IF(AM279="NOT FOUND","NOT FOUND",SUMIFS('10_ref_fx_rate'!$D$2:$D$2000,'10_ref_fx_rate'!$A$2:$A$2000,AL279,'10_ref_fx_rate'!$B$2:$B$2000,AM279))</f>
        <v/>
      </c>
      <c r="AO279" s="37">
        <f>IF(ISNUMBER(AN279),I279*AN279,"NOT FOUND")</f>
        <v/>
      </c>
      <c r="AP279" s="2">
        <f>UPPER(TRIM(J279))</f>
        <v/>
      </c>
      <c r="AQ279" s="2">
        <f>IF(AP279="","SELF-DIRECTED",IF(ISNUMBER(MATCH(AP279,'11_3nf_sales_person'!$A:$A,0)),IF(EXACT(AP279,J279),"OK","OK (auto-fixed)"),IF(ISNA(MATCH($A279,'12_sales_person_confirmation'!$A:$A,0)),"CONFIRM (not logged)",IF(INDEX('12_sales_person_confirmation'!$I:$I,MATCH($A279,'12_sales_person_confirmation'!$A:$A,0))="CONFIRMED","CONFIRMED ("&amp;LOWER(INDEX('12_sales_person_confirmation'!$E:$E,MATCH($A279,'12_sales_person_confirmation'!$A:$A,0)))&amp;")","PENDING CONFIRM"))))</f>
        <v/>
      </c>
      <c r="AR279" s="2">
        <f>IF(OR(AQ279="OK",AQ279="OK (auto-fixed)"),AP279,IF(LEFT(AQ279,9)="CONFIRMED",INDEX('12_sales_person_confirmation'!$F:$F,MATCH($A279,'12_sales_person_confirmation'!$A:$A,0)),""))</f>
        <v/>
      </c>
      <c r="AS279" s="2">
        <f>IF(AR279="","",INDEX('11_3nf_sales_person'!$B:$B,MATCH(AR279,'11_3nf_sales_person'!$A:$A,0)))</f>
        <v/>
      </c>
    </row>
    <row r="280">
      <c r="A280" s="2">
        <f>IF(ISBLANK('1_raw_log'!A280),"",'1_raw_log'!A280)</f>
        <v/>
      </c>
      <c r="B280" s="3">
        <f>IF(ISBLANK('1_raw_log'!B280),"",'1_raw_log'!B280)</f>
        <v/>
      </c>
      <c r="C280" s="2">
        <f>IF(ISBLANK('1_raw_log'!C280),"",'1_raw_log'!C280)</f>
        <v/>
      </c>
      <c r="D280" s="2">
        <f>IF(ISBLANK('1_raw_log'!D280),"",'1_raw_log'!D280)</f>
        <v/>
      </c>
      <c r="E280" s="4">
        <f>IF(ISBLANK('1_raw_log'!E280),"",'1_raw_log'!E280)</f>
        <v/>
      </c>
      <c r="F280" s="2">
        <f>IF(ISBLANK('1_raw_log'!F280),"",'1_raw_log'!F280)</f>
        <v/>
      </c>
      <c r="G280" s="2">
        <f>IF(ISBLANK('1_raw_log'!G280),"",'1_raw_log'!G280)</f>
        <v/>
      </c>
      <c r="H280" s="2">
        <f>IF(ISBLANK('1_raw_log'!H280),"",'1_raw_log'!H280)</f>
        <v/>
      </c>
      <c r="I280" s="7">
        <f>IF(ISBLANK('1_raw_log'!I280),"",'1_raw_log'!I280)</f>
        <v/>
      </c>
      <c r="J280" s="2">
        <f>IF(ISBLANK('1_raw_log'!J280),"",'1_raw_log'!J280)</f>
        <v/>
      </c>
      <c r="K280" s="2">
        <f>IF(ISBLANK('1_raw_log'!K280),"",'1_raw_log'!K280)</f>
        <v/>
      </c>
      <c r="L280" s="30">
        <f>INT(B280)</f>
        <v/>
      </c>
      <c r="M280" s="20">
        <f>ROUND(MOD(B280,1)*1440,0)/1440</f>
        <v/>
      </c>
      <c r="N280" s="4">
        <f>IFERROR(INDEX('3_ref_date'!$B:$B,MATCH(L280,'3_ref_date'!$A:$A,0)),"NOT FOUND")</f>
        <v/>
      </c>
      <c r="O280" s="2">
        <f>IFERROR(INDEX('3_ref_date'!$C:$C,MATCH(L280,'3_ref_date'!$A:$A,0)),"NOT FOUND")</f>
        <v/>
      </c>
      <c r="P280" s="4">
        <f>IFERROR(INDEX('3_ref_date'!$D:$D,MATCH(L280,'3_ref_date'!$A:$A,0)),"NOT FOUND")</f>
        <v/>
      </c>
      <c r="Q280" s="4">
        <f>IFERROR(INDEX('3_ref_date'!$E:$E,MATCH(L280,'3_ref_date'!$A:$A,0)),"NOT FOUND")</f>
        <v/>
      </c>
      <c r="R280" s="2">
        <f>IFERROR(INDEX('3_ref_date'!$F:$F,MATCH(L280,'3_ref_date'!$A:$A,0)),"NOT FOUND")</f>
        <v/>
      </c>
      <c r="S280" s="2">
        <f>IFERROR(INDEX('4_ref_time'!$D:$D,MATCH(ROUND(M280*1440,0),'4_ref_time'!$A:$A,0)),"NOT FOUND")</f>
        <v/>
      </c>
      <c r="T280" s="2">
        <f>UPPER(TRIM(C280))</f>
        <v/>
      </c>
      <c r="U280" s="30">
        <f>IF(_xlfn.MAXIFS('6_3nf_branch_history'!$B$2:$B$50,'6_3nf_branch_history'!$A$2:$A$50,T280,'6_3nf_branch_history'!$B$2:$B$50,"&lt;="&amp;L280)=0,"NOT FOUND",_xlfn.MAXIFS('6_3nf_branch_history'!$B$2:$B$50,'6_3nf_branch_history'!$A$2:$A$50,T280,'6_3nf_branch_history'!$B$2:$B$50,"&lt;="&amp;L280))</f>
        <v/>
      </c>
      <c r="V280" s="2">
        <f>IF(U280="NOT FOUND","NOT FOUND",INDEX('6_3nf_branch_history'!$C:$C,SUMPRODUCT(('6_3nf_branch_history'!$A$2:$A$50=T280)*('6_3nf_branch_history'!$B$2:$B$50=U280)*ROW('6_3nf_branch_history'!$A$2:$A$50))))</f>
        <v/>
      </c>
      <c r="W280" s="2">
        <f>IF(U280="NOT FOUND","NOT FOUND",INDEX('6_3nf_branch_history'!$D:$D,SUMPRODUCT(('6_3nf_branch_history'!$A$2:$A$50=T280)*('6_3nf_branch_history'!$B$2:$B$50=U280)*ROW('6_3nf_branch_history'!$A$2:$A$50))))</f>
        <v/>
      </c>
      <c r="X280" s="2">
        <f>IF(U280="NOT FOUND","NOT FOUND",INDEX('6_3nf_branch_history'!$E:$E,SUMPRODUCT(('6_3nf_branch_history'!$A$2:$A$50=T280)*('6_3nf_branch_history'!$B$2:$B$50=U280)*ROW('6_3nf_branch_history'!$A$2:$A$50))))</f>
        <v/>
      </c>
      <c r="Y280" s="2">
        <f>UPPER(TRIM(D280))</f>
        <v/>
      </c>
      <c r="Z280" s="2">
        <f>IFERROR(INDEX('7_3nf_product'!$B:$B,MATCH(Y280,'7_3nf_product'!$A:$A,0)),"NOT FOUND")</f>
        <v/>
      </c>
      <c r="AA280" s="2">
        <f>IFERROR(INDEX('7_3nf_product'!$C:$C,MATCH(Y280,'7_3nf_product'!$A:$A,0)),"NOT FOUND")</f>
        <v/>
      </c>
      <c r="AB280" s="2">
        <f>IFERROR(INDEX('7_3nf_product'!$D:$D,MATCH(Y280,'7_3nf_product'!$A:$A,0)),"NOT FOUND")</f>
        <v/>
      </c>
      <c r="AC280" s="6">
        <f>IFERROR(INDEX('7_3nf_product'!$E:$E,MATCH(Y280,'7_3nf_product'!$A:$A,0)),"NOT FOUND")</f>
        <v/>
      </c>
      <c r="AD280" s="33">
        <f>IF(LEN(TRIM(E280))=10,TRIM(E280),IF(LEN(TRIM(E280))=8,"00"&amp;TRIM(E280),"CHECK"))</f>
        <v/>
      </c>
      <c r="AE280" s="2">
        <f>IFERROR(INDEX('8_3nf_customer'!$C:$C,MATCH(AD280,'8_3nf_customer'!$B:$B,0)),"NOT FOUND")</f>
        <v/>
      </c>
      <c r="AF280" s="30">
        <f>IFERROR(INDEX('8_3nf_customer'!$D:$D,MATCH(AD280,'8_3nf_customer'!$B:$B,0)),"NOT FOUND")</f>
        <v/>
      </c>
      <c r="AG280" s="4">
        <f>IF(ISNUMBER(AF280),DATEDIF(AF280,L280,"y"),"NOT FOUND")</f>
        <v/>
      </c>
      <c r="AH280" s="2">
        <f>IFERROR(INDEX('8_3nf_customer'!$E:$E,MATCH(AD280,'8_3nf_customer'!$B:$B,0)),"NOT FOUND")</f>
        <v/>
      </c>
      <c r="AI280" s="30">
        <f>IF(_xlfn.MAXIFS('9_3nf_customer_history'!$B$2:$B$500,'9_3nf_customer_history'!$A$2:$A$500,AD280,'9_3nf_customer_history'!$B$2:$B$500,"&lt;="&amp;L280)=0,"NOT FOUND",_xlfn.MAXIFS('9_3nf_customer_history'!$B$2:$B$500,'9_3nf_customer_history'!$A$2:$A$500,AD280,'9_3nf_customer_history'!$B$2:$B$500,"&lt;="&amp;L280))</f>
        <v/>
      </c>
      <c r="AJ280" s="2">
        <f>IF(AI280="NOT FOUND","NOT FOUND",INDEX('9_3nf_customer_history'!$C:$C,SUMPRODUCT(('9_3nf_customer_history'!$A$2:$A$500=AD280)*('9_3nf_customer_history'!$B$2:$B$500=AI280)*ROW('9_3nf_customer_history'!$A$2:$A$500))))</f>
        <v/>
      </c>
      <c r="AK280" s="2">
        <f>IF(AI280="NOT FOUND","NOT FOUND",INDEX('9_3nf_customer_history'!$D:$D,SUMPRODUCT(('9_3nf_customer_history'!$A$2:$A$500=AD280)*('9_3nf_customer_history'!$B$2:$B$500=AI280)*ROW('9_3nf_customer_history'!$A$2:$A$500))))</f>
        <v/>
      </c>
      <c r="AL280" s="2">
        <f>UPPER(TRIM(H280))</f>
        <v/>
      </c>
      <c r="AM280" s="30">
        <f>IF(_xlfn.MAXIFS('10_ref_fx_rate'!$B$2:$B$2000,'10_ref_fx_rate'!$A$2:$A$2000,AL280,'10_ref_fx_rate'!$B$2:$B$2000,"&lt;="&amp;L280)=0,"NOT FOUND",_xlfn.MAXIFS('10_ref_fx_rate'!$B$2:$B$2000,'10_ref_fx_rate'!$A$2:$A$2000,AL280,'10_ref_fx_rate'!$B$2:$B$2000,"&lt;="&amp;L280))</f>
        <v/>
      </c>
      <c r="AN280" s="8">
        <f>IF(AM280="NOT FOUND","NOT FOUND",SUMIFS('10_ref_fx_rate'!$D$2:$D$2000,'10_ref_fx_rate'!$A$2:$A$2000,AL280,'10_ref_fx_rate'!$B$2:$B$2000,AM280))</f>
        <v/>
      </c>
      <c r="AO280" s="37">
        <f>IF(ISNUMBER(AN280),I280*AN280,"NOT FOUND")</f>
        <v/>
      </c>
      <c r="AP280" s="2">
        <f>UPPER(TRIM(J280))</f>
        <v/>
      </c>
      <c r="AQ280" s="2">
        <f>IF(AP280="","SELF-DIRECTED",IF(ISNUMBER(MATCH(AP280,'11_3nf_sales_person'!$A:$A,0)),IF(EXACT(AP280,J280),"OK","OK (auto-fixed)"),IF(ISNA(MATCH($A280,'12_sales_person_confirmation'!$A:$A,0)),"CONFIRM (not logged)",IF(INDEX('12_sales_person_confirmation'!$I:$I,MATCH($A280,'12_sales_person_confirmation'!$A:$A,0))="CONFIRMED","CONFIRMED ("&amp;LOWER(INDEX('12_sales_person_confirmation'!$E:$E,MATCH($A280,'12_sales_person_confirmation'!$A:$A,0)))&amp;")","PENDING CONFIRM"))))</f>
        <v/>
      </c>
      <c r="AR280" s="2">
        <f>IF(OR(AQ280="OK",AQ280="OK (auto-fixed)"),AP280,IF(LEFT(AQ280,9)="CONFIRMED",INDEX('12_sales_person_confirmation'!$F:$F,MATCH($A280,'12_sales_person_confirmation'!$A:$A,0)),""))</f>
        <v/>
      </c>
      <c r="AS280" s="2">
        <f>IF(AR280="","",INDEX('11_3nf_sales_person'!$B:$B,MATCH(AR280,'11_3nf_sales_person'!$A:$A,0)))</f>
        <v/>
      </c>
    </row>
    <row r="281">
      <c r="A281" s="2">
        <f>IF(ISBLANK('1_raw_log'!A281),"",'1_raw_log'!A281)</f>
        <v/>
      </c>
      <c r="B281" s="3">
        <f>IF(ISBLANK('1_raw_log'!B281),"",'1_raw_log'!B281)</f>
        <v/>
      </c>
      <c r="C281" s="2">
        <f>IF(ISBLANK('1_raw_log'!C281),"",'1_raw_log'!C281)</f>
        <v/>
      </c>
      <c r="D281" s="2">
        <f>IF(ISBLANK('1_raw_log'!D281),"",'1_raw_log'!D281)</f>
        <v/>
      </c>
      <c r="E281" s="4">
        <f>IF(ISBLANK('1_raw_log'!E281),"",'1_raw_log'!E281)</f>
        <v/>
      </c>
      <c r="F281" s="2">
        <f>IF(ISBLANK('1_raw_log'!F281),"",'1_raw_log'!F281)</f>
        <v/>
      </c>
      <c r="G281" s="2">
        <f>IF(ISBLANK('1_raw_log'!G281),"",'1_raw_log'!G281)</f>
        <v/>
      </c>
      <c r="H281" s="2">
        <f>IF(ISBLANK('1_raw_log'!H281),"",'1_raw_log'!H281)</f>
        <v/>
      </c>
      <c r="I281" s="7">
        <f>IF(ISBLANK('1_raw_log'!I281),"",'1_raw_log'!I281)</f>
        <v/>
      </c>
      <c r="J281" s="2">
        <f>IF(ISBLANK('1_raw_log'!J281),"",'1_raw_log'!J281)</f>
        <v/>
      </c>
      <c r="K281" s="2">
        <f>IF(ISBLANK('1_raw_log'!K281),"",'1_raw_log'!K281)</f>
        <v/>
      </c>
      <c r="L281" s="30">
        <f>INT(B281)</f>
        <v/>
      </c>
      <c r="M281" s="20">
        <f>ROUND(MOD(B281,1)*1440,0)/1440</f>
        <v/>
      </c>
      <c r="N281" s="4">
        <f>IFERROR(INDEX('3_ref_date'!$B:$B,MATCH(L281,'3_ref_date'!$A:$A,0)),"NOT FOUND")</f>
        <v/>
      </c>
      <c r="O281" s="2">
        <f>IFERROR(INDEX('3_ref_date'!$C:$C,MATCH(L281,'3_ref_date'!$A:$A,0)),"NOT FOUND")</f>
        <v/>
      </c>
      <c r="P281" s="4">
        <f>IFERROR(INDEX('3_ref_date'!$D:$D,MATCH(L281,'3_ref_date'!$A:$A,0)),"NOT FOUND")</f>
        <v/>
      </c>
      <c r="Q281" s="4">
        <f>IFERROR(INDEX('3_ref_date'!$E:$E,MATCH(L281,'3_ref_date'!$A:$A,0)),"NOT FOUND")</f>
        <v/>
      </c>
      <c r="R281" s="2">
        <f>IFERROR(INDEX('3_ref_date'!$F:$F,MATCH(L281,'3_ref_date'!$A:$A,0)),"NOT FOUND")</f>
        <v/>
      </c>
      <c r="S281" s="2">
        <f>IFERROR(INDEX('4_ref_time'!$D:$D,MATCH(ROUND(M281*1440,0),'4_ref_time'!$A:$A,0)),"NOT FOUND")</f>
        <v/>
      </c>
      <c r="T281" s="2">
        <f>UPPER(TRIM(C281))</f>
        <v/>
      </c>
      <c r="U281" s="30">
        <f>IF(_xlfn.MAXIFS('6_3nf_branch_history'!$B$2:$B$50,'6_3nf_branch_history'!$A$2:$A$50,T281,'6_3nf_branch_history'!$B$2:$B$50,"&lt;="&amp;L281)=0,"NOT FOUND",_xlfn.MAXIFS('6_3nf_branch_history'!$B$2:$B$50,'6_3nf_branch_history'!$A$2:$A$50,T281,'6_3nf_branch_history'!$B$2:$B$50,"&lt;="&amp;L281))</f>
        <v/>
      </c>
      <c r="V281" s="2">
        <f>IF(U281="NOT FOUND","NOT FOUND",INDEX('6_3nf_branch_history'!$C:$C,SUMPRODUCT(('6_3nf_branch_history'!$A$2:$A$50=T281)*('6_3nf_branch_history'!$B$2:$B$50=U281)*ROW('6_3nf_branch_history'!$A$2:$A$50))))</f>
        <v/>
      </c>
      <c r="W281" s="2">
        <f>IF(U281="NOT FOUND","NOT FOUND",INDEX('6_3nf_branch_history'!$D:$D,SUMPRODUCT(('6_3nf_branch_history'!$A$2:$A$50=T281)*('6_3nf_branch_history'!$B$2:$B$50=U281)*ROW('6_3nf_branch_history'!$A$2:$A$50))))</f>
        <v/>
      </c>
      <c r="X281" s="2">
        <f>IF(U281="NOT FOUND","NOT FOUND",INDEX('6_3nf_branch_history'!$E:$E,SUMPRODUCT(('6_3nf_branch_history'!$A$2:$A$50=T281)*('6_3nf_branch_history'!$B$2:$B$50=U281)*ROW('6_3nf_branch_history'!$A$2:$A$50))))</f>
        <v/>
      </c>
      <c r="Y281" s="2">
        <f>UPPER(TRIM(D281))</f>
        <v/>
      </c>
      <c r="Z281" s="2">
        <f>IFERROR(INDEX('7_3nf_product'!$B:$B,MATCH(Y281,'7_3nf_product'!$A:$A,0)),"NOT FOUND")</f>
        <v/>
      </c>
      <c r="AA281" s="2">
        <f>IFERROR(INDEX('7_3nf_product'!$C:$C,MATCH(Y281,'7_3nf_product'!$A:$A,0)),"NOT FOUND")</f>
        <v/>
      </c>
      <c r="AB281" s="2">
        <f>IFERROR(INDEX('7_3nf_product'!$D:$D,MATCH(Y281,'7_3nf_product'!$A:$A,0)),"NOT FOUND")</f>
        <v/>
      </c>
      <c r="AC281" s="6">
        <f>IFERROR(INDEX('7_3nf_product'!$E:$E,MATCH(Y281,'7_3nf_product'!$A:$A,0)),"NOT FOUND")</f>
        <v/>
      </c>
      <c r="AD281" s="33">
        <f>IF(LEN(TRIM(E281))=10,TRIM(E281),IF(LEN(TRIM(E281))=8,"00"&amp;TRIM(E281),"CHECK"))</f>
        <v/>
      </c>
      <c r="AE281" s="2">
        <f>IFERROR(INDEX('8_3nf_customer'!$C:$C,MATCH(AD281,'8_3nf_customer'!$B:$B,0)),"NOT FOUND")</f>
        <v/>
      </c>
      <c r="AF281" s="30">
        <f>IFERROR(INDEX('8_3nf_customer'!$D:$D,MATCH(AD281,'8_3nf_customer'!$B:$B,0)),"NOT FOUND")</f>
        <v/>
      </c>
      <c r="AG281" s="4">
        <f>IF(ISNUMBER(AF281),DATEDIF(AF281,L281,"y"),"NOT FOUND")</f>
        <v/>
      </c>
      <c r="AH281" s="2">
        <f>IFERROR(INDEX('8_3nf_customer'!$E:$E,MATCH(AD281,'8_3nf_customer'!$B:$B,0)),"NOT FOUND")</f>
        <v/>
      </c>
      <c r="AI281" s="30">
        <f>IF(_xlfn.MAXIFS('9_3nf_customer_history'!$B$2:$B$500,'9_3nf_customer_history'!$A$2:$A$500,AD281,'9_3nf_customer_history'!$B$2:$B$500,"&lt;="&amp;L281)=0,"NOT FOUND",_xlfn.MAXIFS('9_3nf_customer_history'!$B$2:$B$500,'9_3nf_customer_history'!$A$2:$A$500,AD281,'9_3nf_customer_history'!$B$2:$B$500,"&lt;="&amp;L281))</f>
        <v/>
      </c>
      <c r="AJ281" s="2">
        <f>IF(AI281="NOT FOUND","NOT FOUND",INDEX('9_3nf_customer_history'!$C:$C,SUMPRODUCT(('9_3nf_customer_history'!$A$2:$A$500=AD281)*('9_3nf_customer_history'!$B$2:$B$500=AI281)*ROW('9_3nf_customer_history'!$A$2:$A$500))))</f>
        <v/>
      </c>
      <c r="AK281" s="2">
        <f>IF(AI281="NOT FOUND","NOT FOUND",INDEX('9_3nf_customer_history'!$D:$D,SUMPRODUCT(('9_3nf_customer_history'!$A$2:$A$500=AD281)*('9_3nf_customer_history'!$B$2:$B$500=AI281)*ROW('9_3nf_customer_history'!$A$2:$A$500))))</f>
        <v/>
      </c>
      <c r="AL281" s="2">
        <f>UPPER(TRIM(H281))</f>
        <v/>
      </c>
      <c r="AM281" s="30">
        <f>IF(_xlfn.MAXIFS('10_ref_fx_rate'!$B$2:$B$2000,'10_ref_fx_rate'!$A$2:$A$2000,AL281,'10_ref_fx_rate'!$B$2:$B$2000,"&lt;="&amp;L281)=0,"NOT FOUND",_xlfn.MAXIFS('10_ref_fx_rate'!$B$2:$B$2000,'10_ref_fx_rate'!$A$2:$A$2000,AL281,'10_ref_fx_rate'!$B$2:$B$2000,"&lt;="&amp;L281))</f>
        <v/>
      </c>
      <c r="AN281" s="8">
        <f>IF(AM281="NOT FOUND","NOT FOUND",SUMIFS('10_ref_fx_rate'!$D$2:$D$2000,'10_ref_fx_rate'!$A$2:$A$2000,AL281,'10_ref_fx_rate'!$B$2:$B$2000,AM281))</f>
        <v/>
      </c>
      <c r="AO281" s="37">
        <f>IF(ISNUMBER(AN281),I281*AN281,"NOT FOUND")</f>
        <v/>
      </c>
      <c r="AP281" s="2">
        <f>UPPER(TRIM(J281))</f>
        <v/>
      </c>
      <c r="AQ281" s="2">
        <f>IF(AP281="","SELF-DIRECTED",IF(ISNUMBER(MATCH(AP281,'11_3nf_sales_person'!$A:$A,0)),IF(EXACT(AP281,J281),"OK","OK (auto-fixed)"),IF(ISNA(MATCH($A281,'12_sales_person_confirmation'!$A:$A,0)),"CONFIRM (not logged)",IF(INDEX('12_sales_person_confirmation'!$I:$I,MATCH($A281,'12_sales_person_confirmation'!$A:$A,0))="CONFIRMED","CONFIRMED ("&amp;LOWER(INDEX('12_sales_person_confirmation'!$E:$E,MATCH($A281,'12_sales_person_confirmation'!$A:$A,0)))&amp;")","PENDING CONFIRM"))))</f>
        <v/>
      </c>
      <c r="AR281" s="2">
        <f>IF(OR(AQ281="OK",AQ281="OK (auto-fixed)"),AP281,IF(LEFT(AQ281,9)="CONFIRMED",INDEX('12_sales_person_confirmation'!$F:$F,MATCH($A281,'12_sales_person_confirmation'!$A:$A,0)),""))</f>
        <v/>
      </c>
      <c r="AS281" s="2">
        <f>IF(AR281="","",INDEX('11_3nf_sales_person'!$B:$B,MATCH(AR281,'11_3nf_sales_person'!$A:$A,0)))</f>
        <v/>
      </c>
    </row>
    <row r="282">
      <c r="A282" s="2">
        <f>IF(ISBLANK('1_raw_log'!A282),"",'1_raw_log'!A282)</f>
        <v/>
      </c>
      <c r="B282" s="3">
        <f>IF(ISBLANK('1_raw_log'!B282),"",'1_raw_log'!B282)</f>
        <v/>
      </c>
      <c r="C282" s="2">
        <f>IF(ISBLANK('1_raw_log'!C282),"",'1_raw_log'!C282)</f>
        <v/>
      </c>
      <c r="D282" s="2">
        <f>IF(ISBLANK('1_raw_log'!D282),"",'1_raw_log'!D282)</f>
        <v/>
      </c>
      <c r="E282" s="4">
        <f>IF(ISBLANK('1_raw_log'!E282),"",'1_raw_log'!E282)</f>
        <v/>
      </c>
      <c r="F282" s="2">
        <f>IF(ISBLANK('1_raw_log'!F282),"",'1_raw_log'!F282)</f>
        <v/>
      </c>
      <c r="G282" s="2">
        <f>IF(ISBLANK('1_raw_log'!G282),"",'1_raw_log'!G282)</f>
        <v/>
      </c>
      <c r="H282" s="2">
        <f>IF(ISBLANK('1_raw_log'!H282),"",'1_raw_log'!H282)</f>
        <v/>
      </c>
      <c r="I282" s="7">
        <f>IF(ISBLANK('1_raw_log'!I282),"",'1_raw_log'!I282)</f>
        <v/>
      </c>
      <c r="J282" s="2">
        <f>IF(ISBLANK('1_raw_log'!J282),"",'1_raw_log'!J282)</f>
        <v/>
      </c>
      <c r="K282" s="2">
        <f>IF(ISBLANK('1_raw_log'!K282),"",'1_raw_log'!K282)</f>
        <v/>
      </c>
      <c r="L282" s="30">
        <f>INT(B282)</f>
        <v/>
      </c>
      <c r="M282" s="20">
        <f>ROUND(MOD(B282,1)*1440,0)/1440</f>
        <v/>
      </c>
      <c r="N282" s="4">
        <f>IFERROR(INDEX('3_ref_date'!$B:$B,MATCH(L282,'3_ref_date'!$A:$A,0)),"NOT FOUND")</f>
        <v/>
      </c>
      <c r="O282" s="2">
        <f>IFERROR(INDEX('3_ref_date'!$C:$C,MATCH(L282,'3_ref_date'!$A:$A,0)),"NOT FOUND")</f>
        <v/>
      </c>
      <c r="P282" s="4">
        <f>IFERROR(INDEX('3_ref_date'!$D:$D,MATCH(L282,'3_ref_date'!$A:$A,0)),"NOT FOUND")</f>
        <v/>
      </c>
      <c r="Q282" s="4">
        <f>IFERROR(INDEX('3_ref_date'!$E:$E,MATCH(L282,'3_ref_date'!$A:$A,0)),"NOT FOUND")</f>
        <v/>
      </c>
      <c r="R282" s="2">
        <f>IFERROR(INDEX('3_ref_date'!$F:$F,MATCH(L282,'3_ref_date'!$A:$A,0)),"NOT FOUND")</f>
        <v/>
      </c>
      <c r="S282" s="2">
        <f>IFERROR(INDEX('4_ref_time'!$D:$D,MATCH(ROUND(M282*1440,0),'4_ref_time'!$A:$A,0)),"NOT FOUND")</f>
        <v/>
      </c>
      <c r="T282" s="2">
        <f>UPPER(TRIM(C282))</f>
        <v/>
      </c>
      <c r="U282" s="30">
        <f>IF(_xlfn.MAXIFS('6_3nf_branch_history'!$B$2:$B$50,'6_3nf_branch_history'!$A$2:$A$50,T282,'6_3nf_branch_history'!$B$2:$B$50,"&lt;="&amp;L282)=0,"NOT FOUND",_xlfn.MAXIFS('6_3nf_branch_history'!$B$2:$B$50,'6_3nf_branch_history'!$A$2:$A$50,T282,'6_3nf_branch_history'!$B$2:$B$50,"&lt;="&amp;L282))</f>
        <v/>
      </c>
      <c r="V282" s="2">
        <f>IF(U282="NOT FOUND","NOT FOUND",INDEX('6_3nf_branch_history'!$C:$C,SUMPRODUCT(('6_3nf_branch_history'!$A$2:$A$50=T282)*('6_3nf_branch_history'!$B$2:$B$50=U282)*ROW('6_3nf_branch_history'!$A$2:$A$50))))</f>
        <v/>
      </c>
      <c r="W282" s="2">
        <f>IF(U282="NOT FOUND","NOT FOUND",INDEX('6_3nf_branch_history'!$D:$D,SUMPRODUCT(('6_3nf_branch_history'!$A$2:$A$50=T282)*('6_3nf_branch_history'!$B$2:$B$50=U282)*ROW('6_3nf_branch_history'!$A$2:$A$50))))</f>
        <v/>
      </c>
      <c r="X282" s="2">
        <f>IF(U282="NOT FOUND","NOT FOUND",INDEX('6_3nf_branch_history'!$E:$E,SUMPRODUCT(('6_3nf_branch_history'!$A$2:$A$50=T282)*('6_3nf_branch_history'!$B$2:$B$50=U282)*ROW('6_3nf_branch_history'!$A$2:$A$50))))</f>
        <v/>
      </c>
      <c r="Y282" s="2">
        <f>UPPER(TRIM(D282))</f>
        <v/>
      </c>
      <c r="Z282" s="2">
        <f>IFERROR(INDEX('7_3nf_product'!$B:$B,MATCH(Y282,'7_3nf_product'!$A:$A,0)),"NOT FOUND")</f>
        <v/>
      </c>
      <c r="AA282" s="2">
        <f>IFERROR(INDEX('7_3nf_product'!$C:$C,MATCH(Y282,'7_3nf_product'!$A:$A,0)),"NOT FOUND")</f>
        <v/>
      </c>
      <c r="AB282" s="2">
        <f>IFERROR(INDEX('7_3nf_product'!$D:$D,MATCH(Y282,'7_3nf_product'!$A:$A,0)),"NOT FOUND")</f>
        <v/>
      </c>
      <c r="AC282" s="6">
        <f>IFERROR(INDEX('7_3nf_product'!$E:$E,MATCH(Y282,'7_3nf_product'!$A:$A,0)),"NOT FOUND")</f>
        <v/>
      </c>
      <c r="AD282" s="33">
        <f>IF(LEN(TRIM(E282))=10,TRIM(E282),IF(LEN(TRIM(E282))=8,"00"&amp;TRIM(E282),"CHECK"))</f>
        <v/>
      </c>
      <c r="AE282" s="2">
        <f>IFERROR(INDEX('8_3nf_customer'!$C:$C,MATCH(AD282,'8_3nf_customer'!$B:$B,0)),"NOT FOUND")</f>
        <v/>
      </c>
      <c r="AF282" s="30">
        <f>IFERROR(INDEX('8_3nf_customer'!$D:$D,MATCH(AD282,'8_3nf_customer'!$B:$B,0)),"NOT FOUND")</f>
        <v/>
      </c>
      <c r="AG282" s="4">
        <f>IF(ISNUMBER(AF282),DATEDIF(AF282,L282,"y"),"NOT FOUND")</f>
        <v/>
      </c>
      <c r="AH282" s="2">
        <f>IFERROR(INDEX('8_3nf_customer'!$E:$E,MATCH(AD282,'8_3nf_customer'!$B:$B,0)),"NOT FOUND")</f>
        <v/>
      </c>
      <c r="AI282" s="30">
        <f>IF(_xlfn.MAXIFS('9_3nf_customer_history'!$B$2:$B$500,'9_3nf_customer_history'!$A$2:$A$500,AD282,'9_3nf_customer_history'!$B$2:$B$500,"&lt;="&amp;L282)=0,"NOT FOUND",_xlfn.MAXIFS('9_3nf_customer_history'!$B$2:$B$500,'9_3nf_customer_history'!$A$2:$A$500,AD282,'9_3nf_customer_history'!$B$2:$B$500,"&lt;="&amp;L282))</f>
        <v/>
      </c>
      <c r="AJ282" s="2">
        <f>IF(AI282="NOT FOUND","NOT FOUND",INDEX('9_3nf_customer_history'!$C:$C,SUMPRODUCT(('9_3nf_customer_history'!$A$2:$A$500=AD282)*('9_3nf_customer_history'!$B$2:$B$500=AI282)*ROW('9_3nf_customer_history'!$A$2:$A$500))))</f>
        <v/>
      </c>
      <c r="AK282" s="2">
        <f>IF(AI282="NOT FOUND","NOT FOUND",INDEX('9_3nf_customer_history'!$D:$D,SUMPRODUCT(('9_3nf_customer_history'!$A$2:$A$500=AD282)*('9_3nf_customer_history'!$B$2:$B$500=AI282)*ROW('9_3nf_customer_history'!$A$2:$A$500))))</f>
        <v/>
      </c>
      <c r="AL282" s="2">
        <f>UPPER(TRIM(H282))</f>
        <v/>
      </c>
      <c r="AM282" s="30">
        <f>IF(_xlfn.MAXIFS('10_ref_fx_rate'!$B$2:$B$2000,'10_ref_fx_rate'!$A$2:$A$2000,AL282,'10_ref_fx_rate'!$B$2:$B$2000,"&lt;="&amp;L282)=0,"NOT FOUND",_xlfn.MAXIFS('10_ref_fx_rate'!$B$2:$B$2000,'10_ref_fx_rate'!$A$2:$A$2000,AL282,'10_ref_fx_rate'!$B$2:$B$2000,"&lt;="&amp;L282))</f>
        <v/>
      </c>
      <c r="AN282" s="8">
        <f>IF(AM282="NOT FOUND","NOT FOUND",SUMIFS('10_ref_fx_rate'!$D$2:$D$2000,'10_ref_fx_rate'!$A$2:$A$2000,AL282,'10_ref_fx_rate'!$B$2:$B$2000,AM282))</f>
        <v/>
      </c>
      <c r="AO282" s="37">
        <f>IF(ISNUMBER(AN282),I282*AN282,"NOT FOUND")</f>
        <v/>
      </c>
      <c r="AP282" s="2">
        <f>UPPER(TRIM(J282))</f>
        <v/>
      </c>
      <c r="AQ282" s="2">
        <f>IF(AP282="","SELF-DIRECTED",IF(ISNUMBER(MATCH(AP282,'11_3nf_sales_person'!$A:$A,0)),IF(EXACT(AP282,J282),"OK","OK (auto-fixed)"),IF(ISNA(MATCH($A282,'12_sales_person_confirmation'!$A:$A,0)),"CONFIRM (not logged)",IF(INDEX('12_sales_person_confirmation'!$I:$I,MATCH($A282,'12_sales_person_confirmation'!$A:$A,0))="CONFIRMED","CONFIRMED ("&amp;LOWER(INDEX('12_sales_person_confirmation'!$E:$E,MATCH($A282,'12_sales_person_confirmation'!$A:$A,0)))&amp;")","PENDING CONFIRM"))))</f>
        <v/>
      </c>
      <c r="AR282" s="2">
        <f>IF(OR(AQ282="OK",AQ282="OK (auto-fixed)"),AP282,IF(LEFT(AQ282,9)="CONFIRMED",INDEX('12_sales_person_confirmation'!$F:$F,MATCH($A282,'12_sales_person_confirmation'!$A:$A,0)),""))</f>
        <v/>
      </c>
      <c r="AS282" s="2">
        <f>IF(AR282="","",INDEX('11_3nf_sales_person'!$B:$B,MATCH(AR282,'11_3nf_sales_person'!$A:$A,0)))</f>
        <v/>
      </c>
    </row>
    <row r="283">
      <c r="A283" s="2">
        <f>IF(ISBLANK('1_raw_log'!A283),"",'1_raw_log'!A283)</f>
        <v/>
      </c>
      <c r="B283" s="3">
        <f>IF(ISBLANK('1_raw_log'!B283),"",'1_raw_log'!B283)</f>
        <v/>
      </c>
      <c r="C283" s="2">
        <f>IF(ISBLANK('1_raw_log'!C283),"",'1_raw_log'!C283)</f>
        <v/>
      </c>
      <c r="D283" s="2">
        <f>IF(ISBLANK('1_raw_log'!D283),"",'1_raw_log'!D283)</f>
        <v/>
      </c>
      <c r="E283" s="4">
        <f>IF(ISBLANK('1_raw_log'!E283),"",'1_raw_log'!E283)</f>
        <v/>
      </c>
      <c r="F283" s="2">
        <f>IF(ISBLANK('1_raw_log'!F283),"",'1_raw_log'!F283)</f>
        <v/>
      </c>
      <c r="G283" s="2">
        <f>IF(ISBLANK('1_raw_log'!G283),"",'1_raw_log'!G283)</f>
        <v/>
      </c>
      <c r="H283" s="2">
        <f>IF(ISBLANK('1_raw_log'!H283),"",'1_raw_log'!H283)</f>
        <v/>
      </c>
      <c r="I283" s="7">
        <f>IF(ISBLANK('1_raw_log'!I283),"",'1_raw_log'!I283)</f>
        <v/>
      </c>
      <c r="J283" s="2">
        <f>IF(ISBLANK('1_raw_log'!J283),"",'1_raw_log'!J283)</f>
        <v/>
      </c>
      <c r="K283" s="2">
        <f>IF(ISBLANK('1_raw_log'!K283),"",'1_raw_log'!K283)</f>
        <v/>
      </c>
      <c r="L283" s="30">
        <f>INT(B283)</f>
        <v/>
      </c>
      <c r="M283" s="20">
        <f>ROUND(MOD(B283,1)*1440,0)/1440</f>
        <v/>
      </c>
      <c r="N283" s="4">
        <f>IFERROR(INDEX('3_ref_date'!$B:$B,MATCH(L283,'3_ref_date'!$A:$A,0)),"NOT FOUND")</f>
        <v/>
      </c>
      <c r="O283" s="2">
        <f>IFERROR(INDEX('3_ref_date'!$C:$C,MATCH(L283,'3_ref_date'!$A:$A,0)),"NOT FOUND")</f>
        <v/>
      </c>
      <c r="P283" s="4">
        <f>IFERROR(INDEX('3_ref_date'!$D:$D,MATCH(L283,'3_ref_date'!$A:$A,0)),"NOT FOUND")</f>
        <v/>
      </c>
      <c r="Q283" s="4">
        <f>IFERROR(INDEX('3_ref_date'!$E:$E,MATCH(L283,'3_ref_date'!$A:$A,0)),"NOT FOUND")</f>
        <v/>
      </c>
      <c r="R283" s="2">
        <f>IFERROR(INDEX('3_ref_date'!$F:$F,MATCH(L283,'3_ref_date'!$A:$A,0)),"NOT FOUND")</f>
        <v/>
      </c>
      <c r="S283" s="2">
        <f>IFERROR(INDEX('4_ref_time'!$D:$D,MATCH(ROUND(M283*1440,0),'4_ref_time'!$A:$A,0)),"NOT FOUND")</f>
        <v/>
      </c>
      <c r="T283" s="2">
        <f>UPPER(TRIM(C283))</f>
        <v/>
      </c>
      <c r="U283" s="30">
        <f>IF(_xlfn.MAXIFS('6_3nf_branch_history'!$B$2:$B$50,'6_3nf_branch_history'!$A$2:$A$50,T283,'6_3nf_branch_history'!$B$2:$B$50,"&lt;="&amp;L283)=0,"NOT FOUND",_xlfn.MAXIFS('6_3nf_branch_history'!$B$2:$B$50,'6_3nf_branch_history'!$A$2:$A$50,T283,'6_3nf_branch_history'!$B$2:$B$50,"&lt;="&amp;L283))</f>
        <v/>
      </c>
      <c r="V283" s="2">
        <f>IF(U283="NOT FOUND","NOT FOUND",INDEX('6_3nf_branch_history'!$C:$C,SUMPRODUCT(('6_3nf_branch_history'!$A$2:$A$50=T283)*('6_3nf_branch_history'!$B$2:$B$50=U283)*ROW('6_3nf_branch_history'!$A$2:$A$50))))</f>
        <v/>
      </c>
      <c r="W283" s="2">
        <f>IF(U283="NOT FOUND","NOT FOUND",INDEX('6_3nf_branch_history'!$D:$D,SUMPRODUCT(('6_3nf_branch_history'!$A$2:$A$50=T283)*('6_3nf_branch_history'!$B$2:$B$50=U283)*ROW('6_3nf_branch_history'!$A$2:$A$50))))</f>
        <v/>
      </c>
      <c r="X283" s="2">
        <f>IF(U283="NOT FOUND","NOT FOUND",INDEX('6_3nf_branch_history'!$E:$E,SUMPRODUCT(('6_3nf_branch_history'!$A$2:$A$50=T283)*('6_3nf_branch_history'!$B$2:$B$50=U283)*ROW('6_3nf_branch_history'!$A$2:$A$50))))</f>
        <v/>
      </c>
      <c r="Y283" s="2">
        <f>UPPER(TRIM(D283))</f>
        <v/>
      </c>
      <c r="Z283" s="2">
        <f>IFERROR(INDEX('7_3nf_product'!$B:$B,MATCH(Y283,'7_3nf_product'!$A:$A,0)),"NOT FOUND")</f>
        <v/>
      </c>
      <c r="AA283" s="2">
        <f>IFERROR(INDEX('7_3nf_product'!$C:$C,MATCH(Y283,'7_3nf_product'!$A:$A,0)),"NOT FOUND")</f>
        <v/>
      </c>
      <c r="AB283" s="2">
        <f>IFERROR(INDEX('7_3nf_product'!$D:$D,MATCH(Y283,'7_3nf_product'!$A:$A,0)),"NOT FOUND")</f>
        <v/>
      </c>
      <c r="AC283" s="6">
        <f>IFERROR(INDEX('7_3nf_product'!$E:$E,MATCH(Y283,'7_3nf_product'!$A:$A,0)),"NOT FOUND")</f>
        <v/>
      </c>
      <c r="AD283" s="33">
        <f>IF(LEN(TRIM(E283))=10,TRIM(E283),IF(LEN(TRIM(E283))=8,"00"&amp;TRIM(E283),"CHECK"))</f>
        <v/>
      </c>
      <c r="AE283" s="2">
        <f>IFERROR(INDEX('8_3nf_customer'!$C:$C,MATCH(AD283,'8_3nf_customer'!$B:$B,0)),"NOT FOUND")</f>
        <v/>
      </c>
      <c r="AF283" s="30">
        <f>IFERROR(INDEX('8_3nf_customer'!$D:$D,MATCH(AD283,'8_3nf_customer'!$B:$B,0)),"NOT FOUND")</f>
        <v/>
      </c>
      <c r="AG283" s="4">
        <f>IF(ISNUMBER(AF283),DATEDIF(AF283,L283,"y"),"NOT FOUND")</f>
        <v/>
      </c>
      <c r="AH283" s="2">
        <f>IFERROR(INDEX('8_3nf_customer'!$E:$E,MATCH(AD283,'8_3nf_customer'!$B:$B,0)),"NOT FOUND")</f>
        <v/>
      </c>
      <c r="AI283" s="30">
        <f>IF(_xlfn.MAXIFS('9_3nf_customer_history'!$B$2:$B$500,'9_3nf_customer_history'!$A$2:$A$500,AD283,'9_3nf_customer_history'!$B$2:$B$500,"&lt;="&amp;L283)=0,"NOT FOUND",_xlfn.MAXIFS('9_3nf_customer_history'!$B$2:$B$500,'9_3nf_customer_history'!$A$2:$A$500,AD283,'9_3nf_customer_history'!$B$2:$B$500,"&lt;="&amp;L283))</f>
        <v/>
      </c>
      <c r="AJ283" s="2">
        <f>IF(AI283="NOT FOUND","NOT FOUND",INDEX('9_3nf_customer_history'!$C:$C,SUMPRODUCT(('9_3nf_customer_history'!$A$2:$A$500=AD283)*('9_3nf_customer_history'!$B$2:$B$500=AI283)*ROW('9_3nf_customer_history'!$A$2:$A$500))))</f>
        <v/>
      </c>
      <c r="AK283" s="2">
        <f>IF(AI283="NOT FOUND","NOT FOUND",INDEX('9_3nf_customer_history'!$D:$D,SUMPRODUCT(('9_3nf_customer_history'!$A$2:$A$500=AD283)*('9_3nf_customer_history'!$B$2:$B$500=AI283)*ROW('9_3nf_customer_history'!$A$2:$A$500))))</f>
        <v/>
      </c>
      <c r="AL283" s="2">
        <f>UPPER(TRIM(H283))</f>
        <v/>
      </c>
      <c r="AM283" s="30">
        <f>IF(_xlfn.MAXIFS('10_ref_fx_rate'!$B$2:$B$2000,'10_ref_fx_rate'!$A$2:$A$2000,AL283,'10_ref_fx_rate'!$B$2:$B$2000,"&lt;="&amp;L283)=0,"NOT FOUND",_xlfn.MAXIFS('10_ref_fx_rate'!$B$2:$B$2000,'10_ref_fx_rate'!$A$2:$A$2000,AL283,'10_ref_fx_rate'!$B$2:$B$2000,"&lt;="&amp;L283))</f>
        <v/>
      </c>
      <c r="AN283" s="8">
        <f>IF(AM283="NOT FOUND","NOT FOUND",SUMIFS('10_ref_fx_rate'!$D$2:$D$2000,'10_ref_fx_rate'!$A$2:$A$2000,AL283,'10_ref_fx_rate'!$B$2:$B$2000,AM283))</f>
        <v/>
      </c>
      <c r="AO283" s="37">
        <f>IF(ISNUMBER(AN283),I283*AN283,"NOT FOUND")</f>
        <v/>
      </c>
      <c r="AP283" s="2">
        <f>UPPER(TRIM(J283))</f>
        <v/>
      </c>
      <c r="AQ283" s="2">
        <f>IF(AP283="","SELF-DIRECTED",IF(ISNUMBER(MATCH(AP283,'11_3nf_sales_person'!$A:$A,0)),IF(EXACT(AP283,J283),"OK","OK (auto-fixed)"),IF(ISNA(MATCH($A283,'12_sales_person_confirmation'!$A:$A,0)),"CONFIRM (not logged)",IF(INDEX('12_sales_person_confirmation'!$I:$I,MATCH($A283,'12_sales_person_confirmation'!$A:$A,0))="CONFIRMED","CONFIRMED ("&amp;LOWER(INDEX('12_sales_person_confirmation'!$E:$E,MATCH($A283,'12_sales_person_confirmation'!$A:$A,0)))&amp;")","PENDING CONFIRM"))))</f>
        <v/>
      </c>
      <c r="AR283" s="2">
        <f>IF(OR(AQ283="OK",AQ283="OK (auto-fixed)"),AP283,IF(LEFT(AQ283,9)="CONFIRMED",INDEX('12_sales_person_confirmation'!$F:$F,MATCH($A283,'12_sales_person_confirmation'!$A:$A,0)),""))</f>
        <v/>
      </c>
      <c r="AS283" s="2">
        <f>IF(AR283="","",INDEX('11_3nf_sales_person'!$B:$B,MATCH(AR283,'11_3nf_sales_person'!$A:$A,0)))</f>
        <v/>
      </c>
    </row>
    <row r="284">
      <c r="A284" s="2">
        <f>IF(ISBLANK('1_raw_log'!A284),"",'1_raw_log'!A284)</f>
        <v/>
      </c>
      <c r="B284" s="3">
        <f>IF(ISBLANK('1_raw_log'!B284),"",'1_raw_log'!B284)</f>
        <v/>
      </c>
      <c r="C284" s="2">
        <f>IF(ISBLANK('1_raw_log'!C284),"",'1_raw_log'!C284)</f>
        <v/>
      </c>
      <c r="D284" s="2">
        <f>IF(ISBLANK('1_raw_log'!D284),"",'1_raw_log'!D284)</f>
        <v/>
      </c>
      <c r="E284" s="4">
        <f>IF(ISBLANK('1_raw_log'!E284),"",'1_raw_log'!E284)</f>
        <v/>
      </c>
      <c r="F284" s="2">
        <f>IF(ISBLANK('1_raw_log'!F284),"",'1_raw_log'!F284)</f>
        <v/>
      </c>
      <c r="G284" s="2">
        <f>IF(ISBLANK('1_raw_log'!G284),"",'1_raw_log'!G284)</f>
        <v/>
      </c>
      <c r="H284" s="2">
        <f>IF(ISBLANK('1_raw_log'!H284),"",'1_raw_log'!H284)</f>
        <v/>
      </c>
      <c r="I284" s="7">
        <f>IF(ISBLANK('1_raw_log'!I284),"",'1_raw_log'!I284)</f>
        <v/>
      </c>
      <c r="J284" s="2">
        <f>IF(ISBLANK('1_raw_log'!J284),"",'1_raw_log'!J284)</f>
        <v/>
      </c>
      <c r="K284" s="2">
        <f>IF(ISBLANK('1_raw_log'!K284),"",'1_raw_log'!K284)</f>
        <v/>
      </c>
      <c r="L284" s="30">
        <f>INT(B284)</f>
        <v/>
      </c>
      <c r="M284" s="20">
        <f>ROUND(MOD(B284,1)*1440,0)/1440</f>
        <v/>
      </c>
      <c r="N284" s="4">
        <f>IFERROR(INDEX('3_ref_date'!$B:$B,MATCH(L284,'3_ref_date'!$A:$A,0)),"NOT FOUND")</f>
        <v/>
      </c>
      <c r="O284" s="2">
        <f>IFERROR(INDEX('3_ref_date'!$C:$C,MATCH(L284,'3_ref_date'!$A:$A,0)),"NOT FOUND")</f>
        <v/>
      </c>
      <c r="P284" s="4">
        <f>IFERROR(INDEX('3_ref_date'!$D:$D,MATCH(L284,'3_ref_date'!$A:$A,0)),"NOT FOUND")</f>
        <v/>
      </c>
      <c r="Q284" s="4">
        <f>IFERROR(INDEX('3_ref_date'!$E:$E,MATCH(L284,'3_ref_date'!$A:$A,0)),"NOT FOUND")</f>
        <v/>
      </c>
      <c r="R284" s="2">
        <f>IFERROR(INDEX('3_ref_date'!$F:$F,MATCH(L284,'3_ref_date'!$A:$A,0)),"NOT FOUND")</f>
        <v/>
      </c>
      <c r="S284" s="2">
        <f>IFERROR(INDEX('4_ref_time'!$D:$D,MATCH(ROUND(M284*1440,0),'4_ref_time'!$A:$A,0)),"NOT FOUND")</f>
        <v/>
      </c>
      <c r="T284" s="2">
        <f>UPPER(TRIM(C284))</f>
        <v/>
      </c>
      <c r="U284" s="30">
        <f>IF(_xlfn.MAXIFS('6_3nf_branch_history'!$B$2:$B$50,'6_3nf_branch_history'!$A$2:$A$50,T284,'6_3nf_branch_history'!$B$2:$B$50,"&lt;="&amp;L284)=0,"NOT FOUND",_xlfn.MAXIFS('6_3nf_branch_history'!$B$2:$B$50,'6_3nf_branch_history'!$A$2:$A$50,T284,'6_3nf_branch_history'!$B$2:$B$50,"&lt;="&amp;L284))</f>
        <v/>
      </c>
      <c r="V284" s="2">
        <f>IF(U284="NOT FOUND","NOT FOUND",INDEX('6_3nf_branch_history'!$C:$C,SUMPRODUCT(('6_3nf_branch_history'!$A$2:$A$50=T284)*('6_3nf_branch_history'!$B$2:$B$50=U284)*ROW('6_3nf_branch_history'!$A$2:$A$50))))</f>
        <v/>
      </c>
      <c r="W284" s="2">
        <f>IF(U284="NOT FOUND","NOT FOUND",INDEX('6_3nf_branch_history'!$D:$D,SUMPRODUCT(('6_3nf_branch_history'!$A$2:$A$50=T284)*('6_3nf_branch_history'!$B$2:$B$50=U284)*ROW('6_3nf_branch_history'!$A$2:$A$50))))</f>
        <v/>
      </c>
      <c r="X284" s="2">
        <f>IF(U284="NOT FOUND","NOT FOUND",INDEX('6_3nf_branch_history'!$E:$E,SUMPRODUCT(('6_3nf_branch_history'!$A$2:$A$50=T284)*('6_3nf_branch_history'!$B$2:$B$50=U284)*ROW('6_3nf_branch_history'!$A$2:$A$50))))</f>
        <v/>
      </c>
      <c r="Y284" s="2">
        <f>UPPER(TRIM(D284))</f>
        <v/>
      </c>
      <c r="Z284" s="2">
        <f>IFERROR(INDEX('7_3nf_product'!$B:$B,MATCH(Y284,'7_3nf_product'!$A:$A,0)),"NOT FOUND")</f>
        <v/>
      </c>
      <c r="AA284" s="2">
        <f>IFERROR(INDEX('7_3nf_product'!$C:$C,MATCH(Y284,'7_3nf_product'!$A:$A,0)),"NOT FOUND")</f>
        <v/>
      </c>
      <c r="AB284" s="2">
        <f>IFERROR(INDEX('7_3nf_product'!$D:$D,MATCH(Y284,'7_3nf_product'!$A:$A,0)),"NOT FOUND")</f>
        <v/>
      </c>
      <c r="AC284" s="6">
        <f>IFERROR(INDEX('7_3nf_product'!$E:$E,MATCH(Y284,'7_3nf_product'!$A:$A,0)),"NOT FOUND")</f>
        <v/>
      </c>
      <c r="AD284" s="33">
        <f>IF(LEN(TRIM(E284))=10,TRIM(E284),IF(LEN(TRIM(E284))=8,"00"&amp;TRIM(E284),"CHECK"))</f>
        <v/>
      </c>
      <c r="AE284" s="2">
        <f>IFERROR(INDEX('8_3nf_customer'!$C:$C,MATCH(AD284,'8_3nf_customer'!$B:$B,0)),"NOT FOUND")</f>
        <v/>
      </c>
      <c r="AF284" s="30">
        <f>IFERROR(INDEX('8_3nf_customer'!$D:$D,MATCH(AD284,'8_3nf_customer'!$B:$B,0)),"NOT FOUND")</f>
        <v/>
      </c>
      <c r="AG284" s="4">
        <f>IF(ISNUMBER(AF284),DATEDIF(AF284,L284,"y"),"NOT FOUND")</f>
        <v/>
      </c>
      <c r="AH284" s="2">
        <f>IFERROR(INDEX('8_3nf_customer'!$E:$E,MATCH(AD284,'8_3nf_customer'!$B:$B,0)),"NOT FOUND")</f>
        <v/>
      </c>
      <c r="AI284" s="30">
        <f>IF(_xlfn.MAXIFS('9_3nf_customer_history'!$B$2:$B$500,'9_3nf_customer_history'!$A$2:$A$500,AD284,'9_3nf_customer_history'!$B$2:$B$500,"&lt;="&amp;L284)=0,"NOT FOUND",_xlfn.MAXIFS('9_3nf_customer_history'!$B$2:$B$500,'9_3nf_customer_history'!$A$2:$A$500,AD284,'9_3nf_customer_history'!$B$2:$B$500,"&lt;="&amp;L284))</f>
        <v/>
      </c>
      <c r="AJ284" s="2">
        <f>IF(AI284="NOT FOUND","NOT FOUND",INDEX('9_3nf_customer_history'!$C:$C,SUMPRODUCT(('9_3nf_customer_history'!$A$2:$A$500=AD284)*('9_3nf_customer_history'!$B$2:$B$500=AI284)*ROW('9_3nf_customer_history'!$A$2:$A$500))))</f>
        <v/>
      </c>
      <c r="AK284" s="2">
        <f>IF(AI284="NOT FOUND","NOT FOUND",INDEX('9_3nf_customer_history'!$D:$D,SUMPRODUCT(('9_3nf_customer_history'!$A$2:$A$500=AD284)*('9_3nf_customer_history'!$B$2:$B$500=AI284)*ROW('9_3nf_customer_history'!$A$2:$A$500))))</f>
        <v/>
      </c>
      <c r="AL284" s="2">
        <f>UPPER(TRIM(H284))</f>
        <v/>
      </c>
      <c r="AM284" s="30">
        <f>IF(_xlfn.MAXIFS('10_ref_fx_rate'!$B$2:$B$2000,'10_ref_fx_rate'!$A$2:$A$2000,AL284,'10_ref_fx_rate'!$B$2:$B$2000,"&lt;="&amp;L284)=0,"NOT FOUND",_xlfn.MAXIFS('10_ref_fx_rate'!$B$2:$B$2000,'10_ref_fx_rate'!$A$2:$A$2000,AL284,'10_ref_fx_rate'!$B$2:$B$2000,"&lt;="&amp;L284))</f>
        <v/>
      </c>
      <c r="AN284" s="8">
        <f>IF(AM284="NOT FOUND","NOT FOUND",SUMIFS('10_ref_fx_rate'!$D$2:$D$2000,'10_ref_fx_rate'!$A$2:$A$2000,AL284,'10_ref_fx_rate'!$B$2:$B$2000,AM284))</f>
        <v/>
      </c>
      <c r="AO284" s="37">
        <f>IF(ISNUMBER(AN284),I284*AN284,"NOT FOUND")</f>
        <v/>
      </c>
      <c r="AP284" s="2">
        <f>UPPER(TRIM(J284))</f>
        <v/>
      </c>
      <c r="AQ284" s="2">
        <f>IF(AP284="","SELF-DIRECTED",IF(ISNUMBER(MATCH(AP284,'11_3nf_sales_person'!$A:$A,0)),IF(EXACT(AP284,J284),"OK","OK (auto-fixed)"),IF(ISNA(MATCH($A284,'12_sales_person_confirmation'!$A:$A,0)),"CONFIRM (not logged)",IF(INDEX('12_sales_person_confirmation'!$I:$I,MATCH($A284,'12_sales_person_confirmation'!$A:$A,0))="CONFIRMED","CONFIRMED ("&amp;LOWER(INDEX('12_sales_person_confirmation'!$E:$E,MATCH($A284,'12_sales_person_confirmation'!$A:$A,0)))&amp;")","PENDING CONFIRM"))))</f>
        <v/>
      </c>
      <c r="AR284" s="2">
        <f>IF(OR(AQ284="OK",AQ284="OK (auto-fixed)"),AP284,IF(LEFT(AQ284,9)="CONFIRMED",INDEX('12_sales_person_confirmation'!$F:$F,MATCH($A284,'12_sales_person_confirmation'!$A:$A,0)),""))</f>
        <v/>
      </c>
      <c r="AS284" s="2">
        <f>IF(AR284="","",INDEX('11_3nf_sales_person'!$B:$B,MATCH(AR284,'11_3nf_sales_person'!$A:$A,0)))</f>
        <v/>
      </c>
    </row>
    <row r="285">
      <c r="A285" s="2">
        <f>IF(ISBLANK('1_raw_log'!A285),"",'1_raw_log'!A285)</f>
        <v/>
      </c>
      <c r="B285" s="3">
        <f>IF(ISBLANK('1_raw_log'!B285),"",'1_raw_log'!B285)</f>
        <v/>
      </c>
      <c r="C285" s="2">
        <f>IF(ISBLANK('1_raw_log'!C285),"",'1_raw_log'!C285)</f>
        <v/>
      </c>
      <c r="D285" s="2">
        <f>IF(ISBLANK('1_raw_log'!D285),"",'1_raw_log'!D285)</f>
        <v/>
      </c>
      <c r="E285" s="4">
        <f>IF(ISBLANK('1_raw_log'!E285),"",'1_raw_log'!E285)</f>
        <v/>
      </c>
      <c r="F285" s="2">
        <f>IF(ISBLANK('1_raw_log'!F285),"",'1_raw_log'!F285)</f>
        <v/>
      </c>
      <c r="G285" s="2">
        <f>IF(ISBLANK('1_raw_log'!G285),"",'1_raw_log'!G285)</f>
        <v/>
      </c>
      <c r="H285" s="2">
        <f>IF(ISBLANK('1_raw_log'!H285),"",'1_raw_log'!H285)</f>
        <v/>
      </c>
      <c r="I285" s="7">
        <f>IF(ISBLANK('1_raw_log'!I285),"",'1_raw_log'!I285)</f>
        <v/>
      </c>
      <c r="J285" s="2">
        <f>IF(ISBLANK('1_raw_log'!J285),"",'1_raw_log'!J285)</f>
        <v/>
      </c>
      <c r="K285" s="2">
        <f>IF(ISBLANK('1_raw_log'!K285),"",'1_raw_log'!K285)</f>
        <v/>
      </c>
      <c r="L285" s="30">
        <f>INT(B285)</f>
        <v/>
      </c>
      <c r="M285" s="20">
        <f>ROUND(MOD(B285,1)*1440,0)/1440</f>
        <v/>
      </c>
      <c r="N285" s="4">
        <f>IFERROR(INDEX('3_ref_date'!$B:$B,MATCH(L285,'3_ref_date'!$A:$A,0)),"NOT FOUND")</f>
        <v/>
      </c>
      <c r="O285" s="2">
        <f>IFERROR(INDEX('3_ref_date'!$C:$C,MATCH(L285,'3_ref_date'!$A:$A,0)),"NOT FOUND")</f>
        <v/>
      </c>
      <c r="P285" s="4">
        <f>IFERROR(INDEX('3_ref_date'!$D:$D,MATCH(L285,'3_ref_date'!$A:$A,0)),"NOT FOUND")</f>
        <v/>
      </c>
      <c r="Q285" s="4">
        <f>IFERROR(INDEX('3_ref_date'!$E:$E,MATCH(L285,'3_ref_date'!$A:$A,0)),"NOT FOUND")</f>
        <v/>
      </c>
      <c r="R285" s="2">
        <f>IFERROR(INDEX('3_ref_date'!$F:$F,MATCH(L285,'3_ref_date'!$A:$A,0)),"NOT FOUND")</f>
        <v/>
      </c>
      <c r="S285" s="2">
        <f>IFERROR(INDEX('4_ref_time'!$D:$D,MATCH(ROUND(M285*1440,0),'4_ref_time'!$A:$A,0)),"NOT FOUND")</f>
        <v/>
      </c>
      <c r="T285" s="2">
        <f>UPPER(TRIM(C285))</f>
        <v/>
      </c>
      <c r="U285" s="30">
        <f>IF(_xlfn.MAXIFS('6_3nf_branch_history'!$B$2:$B$50,'6_3nf_branch_history'!$A$2:$A$50,T285,'6_3nf_branch_history'!$B$2:$B$50,"&lt;="&amp;L285)=0,"NOT FOUND",_xlfn.MAXIFS('6_3nf_branch_history'!$B$2:$B$50,'6_3nf_branch_history'!$A$2:$A$50,T285,'6_3nf_branch_history'!$B$2:$B$50,"&lt;="&amp;L285))</f>
        <v/>
      </c>
      <c r="V285" s="2">
        <f>IF(U285="NOT FOUND","NOT FOUND",INDEX('6_3nf_branch_history'!$C:$C,SUMPRODUCT(('6_3nf_branch_history'!$A$2:$A$50=T285)*('6_3nf_branch_history'!$B$2:$B$50=U285)*ROW('6_3nf_branch_history'!$A$2:$A$50))))</f>
        <v/>
      </c>
      <c r="W285" s="2">
        <f>IF(U285="NOT FOUND","NOT FOUND",INDEX('6_3nf_branch_history'!$D:$D,SUMPRODUCT(('6_3nf_branch_history'!$A$2:$A$50=T285)*('6_3nf_branch_history'!$B$2:$B$50=U285)*ROW('6_3nf_branch_history'!$A$2:$A$50))))</f>
        <v/>
      </c>
      <c r="X285" s="2">
        <f>IF(U285="NOT FOUND","NOT FOUND",INDEX('6_3nf_branch_history'!$E:$E,SUMPRODUCT(('6_3nf_branch_history'!$A$2:$A$50=T285)*('6_3nf_branch_history'!$B$2:$B$50=U285)*ROW('6_3nf_branch_history'!$A$2:$A$50))))</f>
        <v/>
      </c>
      <c r="Y285" s="2">
        <f>UPPER(TRIM(D285))</f>
        <v/>
      </c>
      <c r="Z285" s="2">
        <f>IFERROR(INDEX('7_3nf_product'!$B:$B,MATCH(Y285,'7_3nf_product'!$A:$A,0)),"NOT FOUND")</f>
        <v/>
      </c>
      <c r="AA285" s="2">
        <f>IFERROR(INDEX('7_3nf_product'!$C:$C,MATCH(Y285,'7_3nf_product'!$A:$A,0)),"NOT FOUND")</f>
        <v/>
      </c>
      <c r="AB285" s="2">
        <f>IFERROR(INDEX('7_3nf_product'!$D:$D,MATCH(Y285,'7_3nf_product'!$A:$A,0)),"NOT FOUND")</f>
        <v/>
      </c>
      <c r="AC285" s="6">
        <f>IFERROR(INDEX('7_3nf_product'!$E:$E,MATCH(Y285,'7_3nf_product'!$A:$A,0)),"NOT FOUND")</f>
        <v/>
      </c>
      <c r="AD285" s="33">
        <f>IF(LEN(TRIM(E285))=10,TRIM(E285),IF(LEN(TRIM(E285))=8,"00"&amp;TRIM(E285),"CHECK"))</f>
        <v/>
      </c>
      <c r="AE285" s="2">
        <f>IFERROR(INDEX('8_3nf_customer'!$C:$C,MATCH(AD285,'8_3nf_customer'!$B:$B,0)),"NOT FOUND")</f>
        <v/>
      </c>
      <c r="AF285" s="30">
        <f>IFERROR(INDEX('8_3nf_customer'!$D:$D,MATCH(AD285,'8_3nf_customer'!$B:$B,0)),"NOT FOUND")</f>
        <v/>
      </c>
      <c r="AG285" s="4">
        <f>IF(ISNUMBER(AF285),DATEDIF(AF285,L285,"y"),"NOT FOUND")</f>
        <v/>
      </c>
      <c r="AH285" s="2">
        <f>IFERROR(INDEX('8_3nf_customer'!$E:$E,MATCH(AD285,'8_3nf_customer'!$B:$B,0)),"NOT FOUND")</f>
        <v/>
      </c>
      <c r="AI285" s="30">
        <f>IF(_xlfn.MAXIFS('9_3nf_customer_history'!$B$2:$B$500,'9_3nf_customer_history'!$A$2:$A$500,AD285,'9_3nf_customer_history'!$B$2:$B$500,"&lt;="&amp;L285)=0,"NOT FOUND",_xlfn.MAXIFS('9_3nf_customer_history'!$B$2:$B$500,'9_3nf_customer_history'!$A$2:$A$500,AD285,'9_3nf_customer_history'!$B$2:$B$500,"&lt;="&amp;L285))</f>
        <v/>
      </c>
      <c r="AJ285" s="2">
        <f>IF(AI285="NOT FOUND","NOT FOUND",INDEX('9_3nf_customer_history'!$C:$C,SUMPRODUCT(('9_3nf_customer_history'!$A$2:$A$500=AD285)*('9_3nf_customer_history'!$B$2:$B$500=AI285)*ROW('9_3nf_customer_history'!$A$2:$A$500))))</f>
        <v/>
      </c>
      <c r="AK285" s="2">
        <f>IF(AI285="NOT FOUND","NOT FOUND",INDEX('9_3nf_customer_history'!$D:$D,SUMPRODUCT(('9_3nf_customer_history'!$A$2:$A$500=AD285)*('9_3nf_customer_history'!$B$2:$B$500=AI285)*ROW('9_3nf_customer_history'!$A$2:$A$500))))</f>
        <v/>
      </c>
      <c r="AL285" s="2">
        <f>UPPER(TRIM(H285))</f>
        <v/>
      </c>
      <c r="AM285" s="30">
        <f>IF(_xlfn.MAXIFS('10_ref_fx_rate'!$B$2:$B$2000,'10_ref_fx_rate'!$A$2:$A$2000,AL285,'10_ref_fx_rate'!$B$2:$B$2000,"&lt;="&amp;L285)=0,"NOT FOUND",_xlfn.MAXIFS('10_ref_fx_rate'!$B$2:$B$2000,'10_ref_fx_rate'!$A$2:$A$2000,AL285,'10_ref_fx_rate'!$B$2:$B$2000,"&lt;="&amp;L285))</f>
        <v/>
      </c>
      <c r="AN285" s="8">
        <f>IF(AM285="NOT FOUND","NOT FOUND",SUMIFS('10_ref_fx_rate'!$D$2:$D$2000,'10_ref_fx_rate'!$A$2:$A$2000,AL285,'10_ref_fx_rate'!$B$2:$B$2000,AM285))</f>
        <v/>
      </c>
      <c r="AO285" s="37">
        <f>IF(ISNUMBER(AN285),I285*AN285,"NOT FOUND")</f>
        <v/>
      </c>
      <c r="AP285" s="2">
        <f>UPPER(TRIM(J285))</f>
        <v/>
      </c>
      <c r="AQ285" s="2">
        <f>IF(AP285="","SELF-DIRECTED",IF(ISNUMBER(MATCH(AP285,'11_3nf_sales_person'!$A:$A,0)),IF(EXACT(AP285,J285),"OK","OK (auto-fixed)"),IF(ISNA(MATCH($A285,'12_sales_person_confirmation'!$A:$A,0)),"CONFIRM (not logged)",IF(INDEX('12_sales_person_confirmation'!$I:$I,MATCH($A285,'12_sales_person_confirmation'!$A:$A,0))="CONFIRMED","CONFIRMED ("&amp;LOWER(INDEX('12_sales_person_confirmation'!$E:$E,MATCH($A285,'12_sales_person_confirmation'!$A:$A,0)))&amp;")","PENDING CONFIRM"))))</f>
        <v/>
      </c>
      <c r="AR285" s="2">
        <f>IF(OR(AQ285="OK",AQ285="OK (auto-fixed)"),AP285,IF(LEFT(AQ285,9)="CONFIRMED",INDEX('12_sales_person_confirmation'!$F:$F,MATCH($A285,'12_sales_person_confirmation'!$A:$A,0)),""))</f>
        <v/>
      </c>
      <c r="AS285" s="2">
        <f>IF(AR285="","",INDEX('11_3nf_sales_person'!$B:$B,MATCH(AR285,'11_3nf_sales_person'!$A:$A,0)))</f>
        <v/>
      </c>
    </row>
    <row r="286">
      <c r="A286" s="2">
        <f>IF(ISBLANK('1_raw_log'!A286),"",'1_raw_log'!A286)</f>
        <v/>
      </c>
      <c r="B286" s="3">
        <f>IF(ISBLANK('1_raw_log'!B286),"",'1_raw_log'!B286)</f>
        <v/>
      </c>
      <c r="C286" s="2">
        <f>IF(ISBLANK('1_raw_log'!C286),"",'1_raw_log'!C286)</f>
        <v/>
      </c>
      <c r="D286" s="2">
        <f>IF(ISBLANK('1_raw_log'!D286),"",'1_raw_log'!D286)</f>
        <v/>
      </c>
      <c r="E286" s="4">
        <f>IF(ISBLANK('1_raw_log'!E286),"",'1_raw_log'!E286)</f>
        <v/>
      </c>
      <c r="F286" s="2">
        <f>IF(ISBLANK('1_raw_log'!F286),"",'1_raw_log'!F286)</f>
        <v/>
      </c>
      <c r="G286" s="2">
        <f>IF(ISBLANK('1_raw_log'!G286),"",'1_raw_log'!G286)</f>
        <v/>
      </c>
      <c r="H286" s="2">
        <f>IF(ISBLANK('1_raw_log'!H286),"",'1_raw_log'!H286)</f>
        <v/>
      </c>
      <c r="I286" s="7">
        <f>IF(ISBLANK('1_raw_log'!I286),"",'1_raw_log'!I286)</f>
        <v/>
      </c>
      <c r="J286" s="2">
        <f>IF(ISBLANK('1_raw_log'!J286),"",'1_raw_log'!J286)</f>
        <v/>
      </c>
      <c r="K286" s="2">
        <f>IF(ISBLANK('1_raw_log'!K286),"",'1_raw_log'!K286)</f>
        <v/>
      </c>
      <c r="L286" s="30">
        <f>INT(B286)</f>
        <v/>
      </c>
      <c r="M286" s="20">
        <f>ROUND(MOD(B286,1)*1440,0)/1440</f>
        <v/>
      </c>
      <c r="N286" s="4">
        <f>IFERROR(INDEX('3_ref_date'!$B:$B,MATCH(L286,'3_ref_date'!$A:$A,0)),"NOT FOUND")</f>
        <v/>
      </c>
      <c r="O286" s="2">
        <f>IFERROR(INDEX('3_ref_date'!$C:$C,MATCH(L286,'3_ref_date'!$A:$A,0)),"NOT FOUND")</f>
        <v/>
      </c>
      <c r="P286" s="4">
        <f>IFERROR(INDEX('3_ref_date'!$D:$D,MATCH(L286,'3_ref_date'!$A:$A,0)),"NOT FOUND")</f>
        <v/>
      </c>
      <c r="Q286" s="4">
        <f>IFERROR(INDEX('3_ref_date'!$E:$E,MATCH(L286,'3_ref_date'!$A:$A,0)),"NOT FOUND")</f>
        <v/>
      </c>
      <c r="R286" s="2">
        <f>IFERROR(INDEX('3_ref_date'!$F:$F,MATCH(L286,'3_ref_date'!$A:$A,0)),"NOT FOUND")</f>
        <v/>
      </c>
      <c r="S286" s="2">
        <f>IFERROR(INDEX('4_ref_time'!$D:$D,MATCH(ROUND(M286*1440,0),'4_ref_time'!$A:$A,0)),"NOT FOUND")</f>
        <v/>
      </c>
      <c r="T286" s="2">
        <f>UPPER(TRIM(C286))</f>
        <v/>
      </c>
      <c r="U286" s="30">
        <f>IF(_xlfn.MAXIFS('6_3nf_branch_history'!$B$2:$B$50,'6_3nf_branch_history'!$A$2:$A$50,T286,'6_3nf_branch_history'!$B$2:$B$50,"&lt;="&amp;L286)=0,"NOT FOUND",_xlfn.MAXIFS('6_3nf_branch_history'!$B$2:$B$50,'6_3nf_branch_history'!$A$2:$A$50,T286,'6_3nf_branch_history'!$B$2:$B$50,"&lt;="&amp;L286))</f>
        <v/>
      </c>
      <c r="V286" s="2">
        <f>IF(U286="NOT FOUND","NOT FOUND",INDEX('6_3nf_branch_history'!$C:$C,SUMPRODUCT(('6_3nf_branch_history'!$A$2:$A$50=T286)*('6_3nf_branch_history'!$B$2:$B$50=U286)*ROW('6_3nf_branch_history'!$A$2:$A$50))))</f>
        <v/>
      </c>
      <c r="W286" s="2">
        <f>IF(U286="NOT FOUND","NOT FOUND",INDEX('6_3nf_branch_history'!$D:$D,SUMPRODUCT(('6_3nf_branch_history'!$A$2:$A$50=T286)*('6_3nf_branch_history'!$B$2:$B$50=U286)*ROW('6_3nf_branch_history'!$A$2:$A$50))))</f>
        <v/>
      </c>
      <c r="X286" s="2">
        <f>IF(U286="NOT FOUND","NOT FOUND",INDEX('6_3nf_branch_history'!$E:$E,SUMPRODUCT(('6_3nf_branch_history'!$A$2:$A$50=T286)*('6_3nf_branch_history'!$B$2:$B$50=U286)*ROW('6_3nf_branch_history'!$A$2:$A$50))))</f>
        <v/>
      </c>
      <c r="Y286" s="2">
        <f>UPPER(TRIM(D286))</f>
        <v/>
      </c>
      <c r="Z286" s="2">
        <f>IFERROR(INDEX('7_3nf_product'!$B:$B,MATCH(Y286,'7_3nf_product'!$A:$A,0)),"NOT FOUND")</f>
        <v/>
      </c>
      <c r="AA286" s="2">
        <f>IFERROR(INDEX('7_3nf_product'!$C:$C,MATCH(Y286,'7_3nf_product'!$A:$A,0)),"NOT FOUND")</f>
        <v/>
      </c>
      <c r="AB286" s="2">
        <f>IFERROR(INDEX('7_3nf_product'!$D:$D,MATCH(Y286,'7_3nf_product'!$A:$A,0)),"NOT FOUND")</f>
        <v/>
      </c>
      <c r="AC286" s="6">
        <f>IFERROR(INDEX('7_3nf_product'!$E:$E,MATCH(Y286,'7_3nf_product'!$A:$A,0)),"NOT FOUND")</f>
        <v/>
      </c>
      <c r="AD286" s="33">
        <f>IF(LEN(TRIM(E286))=10,TRIM(E286),IF(LEN(TRIM(E286))=8,"00"&amp;TRIM(E286),"CHECK"))</f>
        <v/>
      </c>
      <c r="AE286" s="2">
        <f>IFERROR(INDEX('8_3nf_customer'!$C:$C,MATCH(AD286,'8_3nf_customer'!$B:$B,0)),"NOT FOUND")</f>
        <v/>
      </c>
      <c r="AF286" s="30">
        <f>IFERROR(INDEX('8_3nf_customer'!$D:$D,MATCH(AD286,'8_3nf_customer'!$B:$B,0)),"NOT FOUND")</f>
        <v/>
      </c>
      <c r="AG286" s="4">
        <f>IF(ISNUMBER(AF286),DATEDIF(AF286,L286,"y"),"NOT FOUND")</f>
        <v/>
      </c>
      <c r="AH286" s="2">
        <f>IFERROR(INDEX('8_3nf_customer'!$E:$E,MATCH(AD286,'8_3nf_customer'!$B:$B,0)),"NOT FOUND")</f>
        <v/>
      </c>
      <c r="AI286" s="30">
        <f>IF(_xlfn.MAXIFS('9_3nf_customer_history'!$B$2:$B$500,'9_3nf_customer_history'!$A$2:$A$500,AD286,'9_3nf_customer_history'!$B$2:$B$500,"&lt;="&amp;L286)=0,"NOT FOUND",_xlfn.MAXIFS('9_3nf_customer_history'!$B$2:$B$500,'9_3nf_customer_history'!$A$2:$A$500,AD286,'9_3nf_customer_history'!$B$2:$B$500,"&lt;="&amp;L286))</f>
        <v/>
      </c>
      <c r="AJ286" s="2">
        <f>IF(AI286="NOT FOUND","NOT FOUND",INDEX('9_3nf_customer_history'!$C:$C,SUMPRODUCT(('9_3nf_customer_history'!$A$2:$A$500=AD286)*('9_3nf_customer_history'!$B$2:$B$500=AI286)*ROW('9_3nf_customer_history'!$A$2:$A$500))))</f>
        <v/>
      </c>
      <c r="AK286" s="2">
        <f>IF(AI286="NOT FOUND","NOT FOUND",INDEX('9_3nf_customer_history'!$D:$D,SUMPRODUCT(('9_3nf_customer_history'!$A$2:$A$500=AD286)*('9_3nf_customer_history'!$B$2:$B$500=AI286)*ROW('9_3nf_customer_history'!$A$2:$A$500))))</f>
        <v/>
      </c>
      <c r="AL286" s="2">
        <f>UPPER(TRIM(H286))</f>
        <v/>
      </c>
      <c r="AM286" s="30">
        <f>IF(_xlfn.MAXIFS('10_ref_fx_rate'!$B$2:$B$2000,'10_ref_fx_rate'!$A$2:$A$2000,AL286,'10_ref_fx_rate'!$B$2:$B$2000,"&lt;="&amp;L286)=0,"NOT FOUND",_xlfn.MAXIFS('10_ref_fx_rate'!$B$2:$B$2000,'10_ref_fx_rate'!$A$2:$A$2000,AL286,'10_ref_fx_rate'!$B$2:$B$2000,"&lt;="&amp;L286))</f>
        <v/>
      </c>
      <c r="AN286" s="8">
        <f>IF(AM286="NOT FOUND","NOT FOUND",SUMIFS('10_ref_fx_rate'!$D$2:$D$2000,'10_ref_fx_rate'!$A$2:$A$2000,AL286,'10_ref_fx_rate'!$B$2:$B$2000,AM286))</f>
        <v/>
      </c>
      <c r="AO286" s="37">
        <f>IF(ISNUMBER(AN286),I286*AN286,"NOT FOUND")</f>
        <v/>
      </c>
      <c r="AP286" s="2">
        <f>UPPER(TRIM(J286))</f>
        <v/>
      </c>
      <c r="AQ286" s="2">
        <f>IF(AP286="","SELF-DIRECTED",IF(ISNUMBER(MATCH(AP286,'11_3nf_sales_person'!$A:$A,0)),IF(EXACT(AP286,J286),"OK","OK (auto-fixed)"),IF(ISNA(MATCH($A286,'12_sales_person_confirmation'!$A:$A,0)),"CONFIRM (not logged)",IF(INDEX('12_sales_person_confirmation'!$I:$I,MATCH($A286,'12_sales_person_confirmation'!$A:$A,0))="CONFIRMED","CONFIRMED ("&amp;LOWER(INDEX('12_sales_person_confirmation'!$E:$E,MATCH($A286,'12_sales_person_confirmation'!$A:$A,0)))&amp;")","PENDING CONFIRM"))))</f>
        <v/>
      </c>
      <c r="AR286" s="2">
        <f>IF(OR(AQ286="OK",AQ286="OK (auto-fixed)"),AP286,IF(LEFT(AQ286,9)="CONFIRMED",INDEX('12_sales_person_confirmation'!$F:$F,MATCH($A286,'12_sales_person_confirmation'!$A:$A,0)),""))</f>
        <v/>
      </c>
      <c r="AS286" s="2">
        <f>IF(AR286="","",INDEX('11_3nf_sales_person'!$B:$B,MATCH(AR286,'11_3nf_sales_person'!$A:$A,0)))</f>
        <v/>
      </c>
    </row>
    <row r="287">
      <c r="A287" s="2">
        <f>IF(ISBLANK('1_raw_log'!A287),"",'1_raw_log'!A287)</f>
        <v/>
      </c>
      <c r="B287" s="3">
        <f>IF(ISBLANK('1_raw_log'!B287),"",'1_raw_log'!B287)</f>
        <v/>
      </c>
      <c r="C287" s="2">
        <f>IF(ISBLANK('1_raw_log'!C287),"",'1_raw_log'!C287)</f>
        <v/>
      </c>
      <c r="D287" s="2">
        <f>IF(ISBLANK('1_raw_log'!D287),"",'1_raw_log'!D287)</f>
        <v/>
      </c>
      <c r="E287" s="4">
        <f>IF(ISBLANK('1_raw_log'!E287),"",'1_raw_log'!E287)</f>
        <v/>
      </c>
      <c r="F287" s="2">
        <f>IF(ISBLANK('1_raw_log'!F287),"",'1_raw_log'!F287)</f>
        <v/>
      </c>
      <c r="G287" s="2">
        <f>IF(ISBLANK('1_raw_log'!G287),"",'1_raw_log'!G287)</f>
        <v/>
      </c>
      <c r="H287" s="2">
        <f>IF(ISBLANK('1_raw_log'!H287),"",'1_raw_log'!H287)</f>
        <v/>
      </c>
      <c r="I287" s="7">
        <f>IF(ISBLANK('1_raw_log'!I287),"",'1_raw_log'!I287)</f>
        <v/>
      </c>
      <c r="J287" s="2">
        <f>IF(ISBLANK('1_raw_log'!J287),"",'1_raw_log'!J287)</f>
        <v/>
      </c>
      <c r="K287" s="2">
        <f>IF(ISBLANK('1_raw_log'!K287),"",'1_raw_log'!K287)</f>
        <v/>
      </c>
      <c r="L287" s="30">
        <f>INT(B287)</f>
        <v/>
      </c>
      <c r="M287" s="20">
        <f>ROUND(MOD(B287,1)*1440,0)/1440</f>
        <v/>
      </c>
      <c r="N287" s="4">
        <f>IFERROR(INDEX('3_ref_date'!$B:$B,MATCH(L287,'3_ref_date'!$A:$A,0)),"NOT FOUND")</f>
        <v/>
      </c>
      <c r="O287" s="2">
        <f>IFERROR(INDEX('3_ref_date'!$C:$C,MATCH(L287,'3_ref_date'!$A:$A,0)),"NOT FOUND")</f>
        <v/>
      </c>
      <c r="P287" s="4">
        <f>IFERROR(INDEX('3_ref_date'!$D:$D,MATCH(L287,'3_ref_date'!$A:$A,0)),"NOT FOUND")</f>
        <v/>
      </c>
      <c r="Q287" s="4">
        <f>IFERROR(INDEX('3_ref_date'!$E:$E,MATCH(L287,'3_ref_date'!$A:$A,0)),"NOT FOUND")</f>
        <v/>
      </c>
      <c r="R287" s="2">
        <f>IFERROR(INDEX('3_ref_date'!$F:$F,MATCH(L287,'3_ref_date'!$A:$A,0)),"NOT FOUND")</f>
        <v/>
      </c>
      <c r="S287" s="2">
        <f>IFERROR(INDEX('4_ref_time'!$D:$D,MATCH(ROUND(M287*1440,0),'4_ref_time'!$A:$A,0)),"NOT FOUND")</f>
        <v/>
      </c>
      <c r="T287" s="2">
        <f>UPPER(TRIM(C287))</f>
        <v/>
      </c>
      <c r="U287" s="30">
        <f>IF(_xlfn.MAXIFS('6_3nf_branch_history'!$B$2:$B$50,'6_3nf_branch_history'!$A$2:$A$50,T287,'6_3nf_branch_history'!$B$2:$B$50,"&lt;="&amp;L287)=0,"NOT FOUND",_xlfn.MAXIFS('6_3nf_branch_history'!$B$2:$B$50,'6_3nf_branch_history'!$A$2:$A$50,T287,'6_3nf_branch_history'!$B$2:$B$50,"&lt;="&amp;L287))</f>
        <v/>
      </c>
      <c r="V287" s="2">
        <f>IF(U287="NOT FOUND","NOT FOUND",INDEX('6_3nf_branch_history'!$C:$C,SUMPRODUCT(('6_3nf_branch_history'!$A$2:$A$50=T287)*('6_3nf_branch_history'!$B$2:$B$50=U287)*ROW('6_3nf_branch_history'!$A$2:$A$50))))</f>
        <v/>
      </c>
      <c r="W287" s="2">
        <f>IF(U287="NOT FOUND","NOT FOUND",INDEX('6_3nf_branch_history'!$D:$D,SUMPRODUCT(('6_3nf_branch_history'!$A$2:$A$50=T287)*('6_3nf_branch_history'!$B$2:$B$50=U287)*ROW('6_3nf_branch_history'!$A$2:$A$50))))</f>
        <v/>
      </c>
      <c r="X287" s="2">
        <f>IF(U287="NOT FOUND","NOT FOUND",INDEX('6_3nf_branch_history'!$E:$E,SUMPRODUCT(('6_3nf_branch_history'!$A$2:$A$50=T287)*('6_3nf_branch_history'!$B$2:$B$50=U287)*ROW('6_3nf_branch_history'!$A$2:$A$50))))</f>
        <v/>
      </c>
      <c r="Y287" s="2">
        <f>UPPER(TRIM(D287))</f>
        <v/>
      </c>
      <c r="Z287" s="2">
        <f>IFERROR(INDEX('7_3nf_product'!$B:$B,MATCH(Y287,'7_3nf_product'!$A:$A,0)),"NOT FOUND")</f>
        <v/>
      </c>
      <c r="AA287" s="2">
        <f>IFERROR(INDEX('7_3nf_product'!$C:$C,MATCH(Y287,'7_3nf_product'!$A:$A,0)),"NOT FOUND")</f>
        <v/>
      </c>
      <c r="AB287" s="2">
        <f>IFERROR(INDEX('7_3nf_product'!$D:$D,MATCH(Y287,'7_3nf_product'!$A:$A,0)),"NOT FOUND")</f>
        <v/>
      </c>
      <c r="AC287" s="6">
        <f>IFERROR(INDEX('7_3nf_product'!$E:$E,MATCH(Y287,'7_3nf_product'!$A:$A,0)),"NOT FOUND")</f>
        <v/>
      </c>
      <c r="AD287" s="33">
        <f>IF(LEN(TRIM(E287))=10,TRIM(E287),IF(LEN(TRIM(E287))=8,"00"&amp;TRIM(E287),"CHECK"))</f>
        <v/>
      </c>
      <c r="AE287" s="2">
        <f>IFERROR(INDEX('8_3nf_customer'!$C:$C,MATCH(AD287,'8_3nf_customer'!$B:$B,0)),"NOT FOUND")</f>
        <v/>
      </c>
      <c r="AF287" s="30">
        <f>IFERROR(INDEX('8_3nf_customer'!$D:$D,MATCH(AD287,'8_3nf_customer'!$B:$B,0)),"NOT FOUND")</f>
        <v/>
      </c>
      <c r="AG287" s="4">
        <f>IF(ISNUMBER(AF287),DATEDIF(AF287,L287,"y"),"NOT FOUND")</f>
        <v/>
      </c>
      <c r="AH287" s="2">
        <f>IFERROR(INDEX('8_3nf_customer'!$E:$E,MATCH(AD287,'8_3nf_customer'!$B:$B,0)),"NOT FOUND")</f>
        <v/>
      </c>
      <c r="AI287" s="30">
        <f>IF(_xlfn.MAXIFS('9_3nf_customer_history'!$B$2:$B$500,'9_3nf_customer_history'!$A$2:$A$500,AD287,'9_3nf_customer_history'!$B$2:$B$500,"&lt;="&amp;L287)=0,"NOT FOUND",_xlfn.MAXIFS('9_3nf_customer_history'!$B$2:$B$500,'9_3nf_customer_history'!$A$2:$A$500,AD287,'9_3nf_customer_history'!$B$2:$B$500,"&lt;="&amp;L287))</f>
        <v/>
      </c>
      <c r="AJ287" s="2">
        <f>IF(AI287="NOT FOUND","NOT FOUND",INDEX('9_3nf_customer_history'!$C:$C,SUMPRODUCT(('9_3nf_customer_history'!$A$2:$A$500=AD287)*('9_3nf_customer_history'!$B$2:$B$500=AI287)*ROW('9_3nf_customer_history'!$A$2:$A$500))))</f>
        <v/>
      </c>
      <c r="AK287" s="2">
        <f>IF(AI287="NOT FOUND","NOT FOUND",INDEX('9_3nf_customer_history'!$D:$D,SUMPRODUCT(('9_3nf_customer_history'!$A$2:$A$500=AD287)*('9_3nf_customer_history'!$B$2:$B$500=AI287)*ROW('9_3nf_customer_history'!$A$2:$A$500))))</f>
        <v/>
      </c>
      <c r="AL287" s="2">
        <f>UPPER(TRIM(H287))</f>
        <v/>
      </c>
      <c r="AM287" s="30">
        <f>IF(_xlfn.MAXIFS('10_ref_fx_rate'!$B$2:$B$2000,'10_ref_fx_rate'!$A$2:$A$2000,AL287,'10_ref_fx_rate'!$B$2:$B$2000,"&lt;="&amp;L287)=0,"NOT FOUND",_xlfn.MAXIFS('10_ref_fx_rate'!$B$2:$B$2000,'10_ref_fx_rate'!$A$2:$A$2000,AL287,'10_ref_fx_rate'!$B$2:$B$2000,"&lt;="&amp;L287))</f>
        <v/>
      </c>
      <c r="AN287" s="8">
        <f>IF(AM287="NOT FOUND","NOT FOUND",SUMIFS('10_ref_fx_rate'!$D$2:$D$2000,'10_ref_fx_rate'!$A$2:$A$2000,AL287,'10_ref_fx_rate'!$B$2:$B$2000,AM287))</f>
        <v/>
      </c>
      <c r="AO287" s="37">
        <f>IF(ISNUMBER(AN287),I287*AN287,"NOT FOUND")</f>
        <v/>
      </c>
      <c r="AP287" s="2">
        <f>UPPER(TRIM(J287))</f>
        <v/>
      </c>
      <c r="AQ287" s="2">
        <f>IF(AP287="","SELF-DIRECTED",IF(ISNUMBER(MATCH(AP287,'11_3nf_sales_person'!$A:$A,0)),IF(EXACT(AP287,J287),"OK","OK (auto-fixed)"),IF(ISNA(MATCH($A287,'12_sales_person_confirmation'!$A:$A,0)),"CONFIRM (not logged)",IF(INDEX('12_sales_person_confirmation'!$I:$I,MATCH($A287,'12_sales_person_confirmation'!$A:$A,0))="CONFIRMED","CONFIRMED ("&amp;LOWER(INDEX('12_sales_person_confirmation'!$E:$E,MATCH($A287,'12_sales_person_confirmation'!$A:$A,0)))&amp;")","PENDING CONFIRM"))))</f>
        <v/>
      </c>
      <c r="AR287" s="2">
        <f>IF(OR(AQ287="OK",AQ287="OK (auto-fixed)"),AP287,IF(LEFT(AQ287,9)="CONFIRMED",INDEX('12_sales_person_confirmation'!$F:$F,MATCH($A287,'12_sales_person_confirmation'!$A:$A,0)),""))</f>
        <v/>
      </c>
      <c r="AS287" s="2">
        <f>IF(AR287="","",INDEX('11_3nf_sales_person'!$B:$B,MATCH(AR287,'11_3nf_sales_person'!$A:$A,0)))</f>
        <v/>
      </c>
    </row>
    <row r="288">
      <c r="A288" s="2">
        <f>IF(ISBLANK('1_raw_log'!A288),"",'1_raw_log'!A288)</f>
        <v/>
      </c>
      <c r="B288" s="3">
        <f>IF(ISBLANK('1_raw_log'!B288),"",'1_raw_log'!B288)</f>
        <v/>
      </c>
      <c r="C288" s="2">
        <f>IF(ISBLANK('1_raw_log'!C288),"",'1_raw_log'!C288)</f>
        <v/>
      </c>
      <c r="D288" s="2">
        <f>IF(ISBLANK('1_raw_log'!D288),"",'1_raw_log'!D288)</f>
        <v/>
      </c>
      <c r="E288" s="4">
        <f>IF(ISBLANK('1_raw_log'!E288),"",'1_raw_log'!E288)</f>
        <v/>
      </c>
      <c r="F288" s="2">
        <f>IF(ISBLANK('1_raw_log'!F288),"",'1_raw_log'!F288)</f>
        <v/>
      </c>
      <c r="G288" s="2">
        <f>IF(ISBLANK('1_raw_log'!G288),"",'1_raw_log'!G288)</f>
        <v/>
      </c>
      <c r="H288" s="2">
        <f>IF(ISBLANK('1_raw_log'!H288),"",'1_raw_log'!H288)</f>
        <v/>
      </c>
      <c r="I288" s="7">
        <f>IF(ISBLANK('1_raw_log'!I288),"",'1_raw_log'!I288)</f>
        <v/>
      </c>
      <c r="J288" s="2">
        <f>IF(ISBLANK('1_raw_log'!J288),"",'1_raw_log'!J288)</f>
        <v/>
      </c>
      <c r="K288" s="2">
        <f>IF(ISBLANK('1_raw_log'!K288),"",'1_raw_log'!K288)</f>
        <v/>
      </c>
      <c r="L288" s="30">
        <f>INT(B288)</f>
        <v/>
      </c>
      <c r="M288" s="20">
        <f>ROUND(MOD(B288,1)*1440,0)/1440</f>
        <v/>
      </c>
      <c r="N288" s="4">
        <f>IFERROR(INDEX('3_ref_date'!$B:$B,MATCH(L288,'3_ref_date'!$A:$A,0)),"NOT FOUND")</f>
        <v/>
      </c>
      <c r="O288" s="2">
        <f>IFERROR(INDEX('3_ref_date'!$C:$C,MATCH(L288,'3_ref_date'!$A:$A,0)),"NOT FOUND")</f>
        <v/>
      </c>
      <c r="P288" s="4">
        <f>IFERROR(INDEX('3_ref_date'!$D:$D,MATCH(L288,'3_ref_date'!$A:$A,0)),"NOT FOUND")</f>
        <v/>
      </c>
      <c r="Q288" s="4">
        <f>IFERROR(INDEX('3_ref_date'!$E:$E,MATCH(L288,'3_ref_date'!$A:$A,0)),"NOT FOUND")</f>
        <v/>
      </c>
      <c r="R288" s="2">
        <f>IFERROR(INDEX('3_ref_date'!$F:$F,MATCH(L288,'3_ref_date'!$A:$A,0)),"NOT FOUND")</f>
        <v/>
      </c>
      <c r="S288" s="2">
        <f>IFERROR(INDEX('4_ref_time'!$D:$D,MATCH(ROUND(M288*1440,0),'4_ref_time'!$A:$A,0)),"NOT FOUND")</f>
        <v/>
      </c>
      <c r="T288" s="2">
        <f>UPPER(TRIM(C288))</f>
        <v/>
      </c>
      <c r="U288" s="30">
        <f>IF(_xlfn.MAXIFS('6_3nf_branch_history'!$B$2:$B$50,'6_3nf_branch_history'!$A$2:$A$50,T288,'6_3nf_branch_history'!$B$2:$B$50,"&lt;="&amp;L288)=0,"NOT FOUND",_xlfn.MAXIFS('6_3nf_branch_history'!$B$2:$B$50,'6_3nf_branch_history'!$A$2:$A$50,T288,'6_3nf_branch_history'!$B$2:$B$50,"&lt;="&amp;L288))</f>
        <v/>
      </c>
      <c r="V288" s="2">
        <f>IF(U288="NOT FOUND","NOT FOUND",INDEX('6_3nf_branch_history'!$C:$C,SUMPRODUCT(('6_3nf_branch_history'!$A$2:$A$50=T288)*('6_3nf_branch_history'!$B$2:$B$50=U288)*ROW('6_3nf_branch_history'!$A$2:$A$50))))</f>
        <v/>
      </c>
      <c r="W288" s="2">
        <f>IF(U288="NOT FOUND","NOT FOUND",INDEX('6_3nf_branch_history'!$D:$D,SUMPRODUCT(('6_3nf_branch_history'!$A$2:$A$50=T288)*('6_3nf_branch_history'!$B$2:$B$50=U288)*ROW('6_3nf_branch_history'!$A$2:$A$50))))</f>
        <v/>
      </c>
      <c r="X288" s="2">
        <f>IF(U288="NOT FOUND","NOT FOUND",INDEX('6_3nf_branch_history'!$E:$E,SUMPRODUCT(('6_3nf_branch_history'!$A$2:$A$50=T288)*('6_3nf_branch_history'!$B$2:$B$50=U288)*ROW('6_3nf_branch_history'!$A$2:$A$50))))</f>
        <v/>
      </c>
      <c r="Y288" s="2">
        <f>UPPER(TRIM(D288))</f>
        <v/>
      </c>
      <c r="Z288" s="2">
        <f>IFERROR(INDEX('7_3nf_product'!$B:$B,MATCH(Y288,'7_3nf_product'!$A:$A,0)),"NOT FOUND")</f>
        <v/>
      </c>
      <c r="AA288" s="2">
        <f>IFERROR(INDEX('7_3nf_product'!$C:$C,MATCH(Y288,'7_3nf_product'!$A:$A,0)),"NOT FOUND")</f>
        <v/>
      </c>
      <c r="AB288" s="2">
        <f>IFERROR(INDEX('7_3nf_product'!$D:$D,MATCH(Y288,'7_3nf_product'!$A:$A,0)),"NOT FOUND")</f>
        <v/>
      </c>
      <c r="AC288" s="6">
        <f>IFERROR(INDEX('7_3nf_product'!$E:$E,MATCH(Y288,'7_3nf_product'!$A:$A,0)),"NOT FOUND")</f>
        <v/>
      </c>
      <c r="AD288" s="33">
        <f>IF(LEN(TRIM(E288))=10,TRIM(E288),IF(LEN(TRIM(E288))=8,"00"&amp;TRIM(E288),"CHECK"))</f>
        <v/>
      </c>
      <c r="AE288" s="2">
        <f>IFERROR(INDEX('8_3nf_customer'!$C:$C,MATCH(AD288,'8_3nf_customer'!$B:$B,0)),"NOT FOUND")</f>
        <v/>
      </c>
      <c r="AF288" s="30">
        <f>IFERROR(INDEX('8_3nf_customer'!$D:$D,MATCH(AD288,'8_3nf_customer'!$B:$B,0)),"NOT FOUND")</f>
        <v/>
      </c>
      <c r="AG288" s="4">
        <f>IF(ISNUMBER(AF288),DATEDIF(AF288,L288,"y"),"NOT FOUND")</f>
        <v/>
      </c>
      <c r="AH288" s="2">
        <f>IFERROR(INDEX('8_3nf_customer'!$E:$E,MATCH(AD288,'8_3nf_customer'!$B:$B,0)),"NOT FOUND")</f>
        <v/>
      </c>
      <c r="AI288" s="30">
        <f>IF(_xlfn.MAXIFS('9_3nf_customer_history'!$B$2:$B$500,'9_3nf_customer_history'!$A$2:$A$500,AD288,'9_3nf_customer_history'!$B$2:$B$500,"&lt;="&amp;L288)=0,"NOT FOUND",_xlfn.MAXIFS('9_3nf_customer_history'!$B$2:$B$500,'9_3nf_customer_history'!$A$2:$A$500,AD288,'9_3nf_customer_history'!$B$2:$B$500,"&lt;="&amp;L288))</f>
        <v/>
      </c>
      <c r="AJ288" s="2">
        <f>IF(AI288="NOT FOUND","NOT FOUND",INDEX('9_3nf_customer_history'!$C:$C,SUMPRODUCT(('9_3nf_customer_history'!$A$2:$A$500=AD288)*('9_3nf_customer_history'!$B$2:$B$500=AI288)*ROW('9_3nf_customer_history'!$A$2:$A$500))))</f>
        <v/>
      </c>
      <c r="AK288" s="2">
        <f>IF(AI288="NOT FOUND","NOT FOUND",INDEX('9_3nf_customer_history'!$D:$D,SUMPRODUCT(('9_3nf_customer_history'!$A$2:$A$500=AD288)*('9_3nf_customer_history'!$B$2:$B$500=AI288)*ROW('9_3nf_customer_history'!$A$2:$A$500))))</f>
        <v/>
      </c>
      <c r="AL288" s="2">
        <f>UPPER(TRIM(H288))</f>
        <v/>
      </c>
      <c r="AM288" s="30">
        <f>IF(_xlfn.MAXIFS('10_ref_fx_rate'!$B$2:$B$2000,'10_ref_fx_rate'!$A$2:$A$2000,AL288,'10_ref_fx_rate'!$B$2:$B$2000,"&lt;="&amp;L288)=0,"NOT FOUND",_xlfn.MAXIFS('10_ref_fx_rate'!$B$2:$B$2000,'10_ref_fx_rate'!$A$2:$A$2000,AL288,'10_ref_fx_rate'!$B$2:$B$2000,"&lt;="&amp;L288))</f>
        <v/>
      </c>
      <c r="AN288" s="8">
        <f>IF(AM288="NOT FOUND","NOT FOUND",SUMIFS('10_ref_fx_rate'!$D$2:$D$2000,'10_ref_fx_rate'!$A$2:$A$2000,AL288,'10_ref_fx_rate'!$B$2:$B$2000,AM288))</f>
        <v/>
      </c>
      <c r="AO288" s="37">
        <f>IF(ISNUMBER(AN288),I288*AN288,"NOT FOUND")</f>
        <v/>
      </c>
      <c r="AP288" s="2">
        <f>UPPER(TRIM(J288))</f>
        <v/>
      </c>
      <c r="AQ288" s="2">
        <f>IF(AP288="","SELF-DIRECTED",IF(ISNUMBER(MATCH(AP288,'11_3nf_sales_person'!$A:$A,0)),IF(EXACT(AP288,J288),"OK","OK (auto-fixed)"),IF(ISNA(MATCH($A288,'12_sales_person_confirmation'!$A:$A,0)),"CONFIRM (not logged)",IF(INDEX('12_sales_person_confirmation'!$I:$I,MATCH($A288,'12_sales_person_confirmation'!$A:$A,0))="CONFIRMED","CONFIRMED ("&amp;LOWER(INDEX('12_sales_person_confirmation'!$E:$E,MATCH($A288,'12_sales_person_confirmation'!$A:$A,0)))&amp;")","PENDING CONFIRM"))))</f>
        <v/>
      </c>
      <c r="AR288" s="2">
        <f>IF(OR(AQ288="OK",AQ288="OK (auto-fixed)"),AP288,IF(LEFT(AQ288,9)="CONFIRMED",INDEX('12_sales_person_confirmation'!$F:$F,MATCH($A288,'12_sales_person_confirmation'!$A:$A,0)),""))</f>
        <v/>
      </c>
      <c r="AS288" s="2">
        <f>IF(AR288="","",INDEX('11_3nf_sales_person'!$B:$B,MATCH(AR288,'11_3nf_sales_person'!$A:$A,0)))</f>
        <v/>
      </c>
    </row>
    <row r="289">
      <c r="A289" s="2">
        <f>IF(ISBLANK('1_raw_log'!A289),"",'1_raw_log'!A289)</f>
        <v/>
      </c>
      <c r="B289" s="3">
        <f>IF(ISBLANK('1_raw_log'!B289),"",'1_raw_log'!B289)</f>
        <v/>
      </c>
      <c r="C289" s="2">
        <f>IF(ISBLANK('1_raw_log'!C289),"",'1_raw_log'!C289)</f>
        <v/>
      </c>
      <c r="D289" s="2">
        <f>IF(ISBLANK('1_raw_log'!D289),"",'1_raw_log'!D289)</f>
        <v/>
      </c>
      <c r="E289" s="4">
        <f>IF(ISBLANK('1_raw_log'!E289),"",'1_raw_log'!E289)</f>
        <v/>
      </c>
      <c r="F289" s="2">
        <f>IF(ISBLANK('1_raw_log'!F289),"",'1_raw_log'!F289)</f>
        <v/>
      </c>
      <c r="G289" s="2">
        <f>IF(ISBLANK('1_raw_log'!G289),"",'1_raw_log'!G289)</f>
        <v/>
      </c>
      <c r="H289" s="2">
        <f>IF(ISBLANK('1_raw_log'!H289),"",'1_raw_log'!H289)</f>
        <v/>
      </c>
      <c r="I289" s="7">
        <f>IF(ISBLANK('1_raw_log'!I289),"",'1_raw_log'!I289)</f>
        <v/>
      </c>
      <c r="J289" s="2">
        <f>IF(ISBLANK('1_raw_log'!J289),"",'1_raw_log'!J289)</f>
        <v/>
      </c>
      <c r="K289" s="2">
        <f>IF(ISBLANK('1_raw_log'!K289),"",'1_raw_log'!K289)</f>
        <v/>
      </c>
      <c r="L289" s="30">
        <f>INT(B289)</f>
        <v/>
      </c>
      <c r="M289" s="20">
        <f>ROUND(MOD(B289,1)*1440,0)/1440</f>
        <v/>
      </c>
      <c r="N289" s="4">
        <f>IFERROR(INDEX('3_ref_date'!$B:$B,MATCH(L289,'3_ref_date'!$A:$A,0)),"NOT FOUND")</f>
        <v/>
      </c>
      <c r="O289" s="2">
        <f>IFERROR(INDEX('3_ref_date'!$C:$C,MATCH(L289,'3_ref_date'!$A:$A,0)),"NOT FOUND")</f>
        <v/>
      </c>
      <c r="P289" s="4">
        <f>IFERROR(INDEX('3_ref_date'!$D:$D,MATCH(L289,'3_ref_date'!$A:$A,0)),"NOT FOUND")</f>
        <v/>
      </c>
      <c r="Q289" s="4">
        <f>IFERROR(INDEX('3_ref_date'!$E:$E,MATCH(L289,'3_ref_date'!$A:$A,0)),"NOT FOUND")</f>
        <v/>
      </c>
      <c r="R289" s="2">
        <f>IFERROR(INDEX('3_ref_date'!$F:$F,MATCH(L289,'3_ref_date'!$A:$A,0)),"NOT FOUND")</f>
        <v/>
      </c>
      <c r="S289" s="2">
        <f>IFERROR(INDEX('4_ref_time'!$D:$D,MATCH(ROUND(M289*1440,0),'4_ref_time'!$A:$A,0)),"NOT FOUND")</f>
        <v/>
      </c>
      <c r="T289" s="2">
        <f>UPPER(TRIM(C289))</f>
        <v/>
      </c>
      <c r="U289" s="30">
        <f>IF(_xlfn.MAXIFS('6_3nf_branch_history'!$B$2:$B$50,'6_3nf_branch_history'!$A$2:$A$50,T289,'6_3nf_branch_history'!$B$2:$B$50,"&lt;="&amp;L289)=0,"NOT FOUND",_xlfn.MAXIFS('6_3nf_branch_history'!$B$2:$B$50,'6_3nf_branch_history'!$A$2:$A$50,T289,'6_3nf_branch_history'!$B$2:$B$50,"&lt;="&amp;L289))</f>
        <v/>
      </c>
      <c r="V289" s="2">
        <f>IF(U289="NOT FOUND","NOT FOUND",INDEX('6_3nf_branch_history'!$C:$C,SUMPRODUCT(('6_3nf_branch_history'!$A$2:$A$50=T289)*('6_3nf_branch_history'!$B$2:$B$50=U289)*ROW('6_3nf_branch_history'!$A$2:$A$50))))</f>
        <v/>
      </c>
      <c r="W289" s="2">
        <f>IF(U289="NOT FOUND","NOT FOUND",INDEX('6_3nf_branch_history'!$D:$D,SUMPRODUCT(('6_3nf_branch_history'!$A$2:$A$50=T289)*('6_3nf_branch_history'!$B$2:$B$50=U289)*ROW('6_3nf_branch_history'!$A$2:$A$50))))</f>
        <v/>
      </c>
      <c r="X289" s="2">
        <f>IF(U289="NOT FOUND","NOT FOUND",INDEX('6_3nf_branch_history'!$E:$E,SUMPRODUCT(('6_3nf_branch_history'!$A$2:$A$50=T289)*('6_3nf_branch_history'!$B$2:$B$50=U289)*ROW('6_3nf_branch_history'!$A$2:$A$50))))</f>
        <v/>
      </c>
      <c r="Y289" s="2">
        <f>UPPER(TRIM(D289))</f>
        <v/>
      </c>
      <c r="Z289" s="2">
        <f>IFERROR(INDEX('7_3nf_product'!$B:$B,MATCH(Y289,'7_3nf_product'!$A:$A,0)),"NOT FOUND")</f>
        <v/>
      </c>
      <c r="AA289" s="2">
        <f>IFERROR(INDEX('7_3nf_product'!$C:$C,MATCH(Y289,'7_3nf_product'!$A:$A,0)),"NOT FOUND")</f>
        <v/>
      </c>
      <c r="AB289" s="2">
        <f>IFERROR(INDEX('7_3nf_product'!$D:$D,MATCH(Y289,'7_3nf_product'!$A:$A,0)),"NOT FOUND")</f>
        <v/>
      </c>
      <c r="AC289" s="6">
        <f>IFERROR(INDEX('7_3nf_product'!$E:$E,MATCH(Y289,'7_3nf_product'!$A:$A,0)),"NOT FOUND")</f>
        <v/>
      </c>
      <c r="AD289" s="33">
        <f>IF(LEN(TRIM(E289))=10,TRIM(E289),IF(LEN(TRIM(E289))=8,"00"&amp;TRIM(E289),"CHECK"))</f>
        <v/>
      </c>
      <c r="AE289" s="2">
        <f>IFERROR(INDEX('8_3nf_customer'!$C:$C,MATCH(AD289,'8_3nf_customer'!$B:$B,0)),"NOT FOUND")</f>
        <v/>
      </c>
      <c r="AF289" s="30">
        <f>IFERROR(INDEX('8_3nf_customer'!$D:$D,MATCH(AD289,'8_3nf_customer'!$B:$B,0)),"NOT FOUND")</f>
        <v/>
      </c>
      <c r="AG289" s="4">
        <f>IF(ISNUMBER(AF289),DATEDIF(AF289,L289,"y"),"NOT FOUND")</f>
        <v/>
      </c>
      <c r="AH289" s="2">
        <f>IFERROR(INDEX('8_3nf_customer'!$E:$E,MATCH(AD289,'8_3nf_customer'!$B:$B,0)),"NOT FOUND")</f>
        <v/>
      </c>
      <c r="AI289" s="30">
        <f>IF(_xlfn.MAXIFS('9_3nf_customer_history'!$B$2:$B$500,'9_3nf_customer_history'!$A$2:$A$500,AD289,'9_3nf_customer_history'!$B$2:$B$500,"&lt;="&amp;L289)=0,"NOT FOUND",_xlfn.MAXIFS('9_3nf_customer_history'!$B$2:$B$500,'9_3nf_customer_history'!$A$2:$A$500,AD289,'9_3nf_customer_history'!$B$2:$B$500,"&lt;="&amp;L289))</f>
        <v/>
      </c>
      <c r="AJ289" s="2">
        <f>IF(AI289="NOT FOUND","NOT FOUND",INDEX('9_3nf_customer_history'!$C:$C,SUMPRODUCT(('9_3nf_customer_history'!$A$2:$A$500=AD289)*('9_3nf_customer_history'!$B$2:$B$500=AI289)*ROW('9_3nf_customer_history'!$A$2:$A$500))))</f>
        <v/>
      </c>
      <c r="AK289" s="2">
        <f>IF(AI289="NOT FOUND","NOT FOUND",INDEX('9_3nf_customer_history'!$D:$D,SUMPRODUCT(('9_3nf_customer_history'!$A$2:$A$500=AD289)*('9_3nf_customer_history'!$B$2:$B$500=AI289)*ROW('9_3nf_customer_history'!$A$2:$A$500))))</f>
        <v/>
      </c>
      <c r="AL289" s="2">
        <f>UPPER(TRIM(H289))</f>
        <v/>
      </c>
      <c r="AM289" s="30">
        <f>IF(_xlfn.MAXIFS('10_ref_fx_rate'!$B$2:$B$2000,'10_ref_fx_rate'!$A$2:$A$2000,AL289,'10_ref_fx_rate'!$B$2:$B$2000,"&lt;="&amp;L289)=0,"NOT FOUND",_xlfn.MAXIFS('10_ref_fx_rate'!$B$2:$B$2000,'10_ref_fx_rate'!$A$2:$A$2000,AL289,'10_ref_fx_rate'!$B$2:$B$2000,"&lt;="&amp;L289))</f>
        <v/>
      </c>
      <c r="AN289" s="8">
        <f>IF(AM289="NOT FOUND","NOT FOUND",SUMIFS('10_ref_fx_rate'!$D$2:$D$2000,'10_ref_fx_rate'!$A$2:$A$2000,AL289,'10_ref_fx_rate'!$B$2:$B$2000,AM289))</f>
        <v/>
      </c>
      <c r="AO289" s="37">
        <f>IF(ISNUMBER(AN289),I289*AN289,"NOT FOUND")</f>
        <v/>
      </c>
      <c r="AP289" s="2">
        <f>UPPER(TRIM(J289))</f>
        <v/>
      </c>
      <c r="AQ289" s="2">
        <f>IF(AP289="","SELF-DIRECTED",IF(ISNUMBER(MATCH(AP289,'11_3nf_sales_person'!$A:$A,0)),IF(EXACT(AP289,J289),"OK","OK (auto-fixed)"),IF(ISNA(MATCH($A289,'12_sales_person_confirmation'!$A:$A,0)),"CONFIRM (not logged)",IF(INDEX('12_sales_person_confirmation'!$I:$I,MATCH($A289,'12_sales_person_confirmation'!$A:$A,0))="CONFIRMED","CONFIRMED ("&amp;LOWER(INDEX('12_sales_person_confirmation'!$E:$E,MATCH($A289,'12_sales_person_confirmation'!$A:$A,0)))&amp;")","PENDING CONFIRM"))))</f>
        <v/>
      </c>
      <c r="AR289" s="2">
        <f>IF(OR(AQ289="OK",AQ289="OK (auto-fixed)"),AP289,IF(LEFT(AQ289,9)="CONFIRMED",INDEX('12_sales_person_confirmation'!$F:$F,MATCH($A289,'12_sales_person_confirmation'!$A:$A,0)),""))</f>
        <v/>
      </c>
      <c r="AS289" s="2">
        <f>IF(AR289="","",INDEX('11_3nf_sales_person'!$B:$B,MATCH(AR289,'11_3nf_sales_person'!$A:$A,0)))</f>
        <v/>
      </c>
    </row>
    <row r="290">
      <c r="A290" s="2">
        <f>IF(ISBLANK('1_raw_log'!A290),"",'1_raw_log'!A290)</f>
        <v/>
      </c>
      <c r="B290" s="3">
        <f>IF(ISBLANK('1_raw_log'!B290),"",'1_raw_log'!B290)</f>
        <v/>
      </c>
      <c r="C290" s="2">
        <f>IF(ISBLANK('1_raw_log'!C290),"",'1_raw_log'!C290)</f>
        <v/>
      </c>
      <c r="D290" s="2">
        <f>IF(ISBLANK('1_raw_log'!D290),"",'1_raw_log'!D290)</f>
        <v/>
      </c>
      <c r="E290" s="4">
        <f>IF(ISBLANK('1_raw_log'!E290),"",'1_raw_log'!E290)</f>
        <v/>
      </c>
      <c r="F290" s="2">
        <f>IF(ISBLANK('1_raw_log'!F290),"",'1_raw_log'!F290)</f>
        <v/>
      </c>
      <c r="G290" s="2">
        <f>IF(ISBLANK('1_raw_log'!G290),"",'1_raw_log'!G290)</f>
        <v/>
      </c>
      <c r="H290" s="2">
        <f>IF(ISBLANK('1_raw_log'!H290),"",'1_raw_log'!H290)</f>
        <v/>
      </c>
      <c r="I290" s="7">
        <f>IF(ISBLANK('1_raw_log'!I290),"",'1_raw_log'!I290)</f>
        <v/>
      </c>
      <c r="J290" s="2">
        <f>IF(ISBLANK('1_raw_log'!J290),"",'1_raw_log'!J290)</f>
        <v/>
      </c>
      <c r="K290" s="2">
        <f>IF(ISBLANK('1_raw_log'!K290),"",'1_raw_log'!K290)</f>
        <v/>
      </c>
      <c r="L290" s="30">
        <f>INT(B290)</f>
        <v/>
      </c>
      <c r="M290" s="20">
        <f>ROUND(MOD(B290,1)*1440,0)/1440</f>
        <v/>
      </c>
      <c r="N290" s="4">
        <f>IFERROR(INDEX('3_ref_date'!$B:$B,MATCH(L290,'3_ref_date'!$A:$A,0)),"NOT FOUND")</f>
        <v/>
      </c>
      <c r="O290" s="2">
        <f>IFERROR(INDEX('3_ref_date'!$C:$C,MATCH(L290,'3_ref_date'!$A:$A,0)),"NOT FOUND")</f>
        <v/>
      </c>
      <c r="P290" s="4">
        <f>IFERROR(INDEX('3_ref_date'!$D:$D,MATCH(L290,'3_ref_date'!$A:$A,0)),"NOT FOUND")</f>
        <v/>
      </c>
      <c r="Q290" s="4">
        <f>IFERROR(INDEX('3_ref_date'!$E:$E,MATCH(L290,'3_ref_date'!$A:$A,0)),"NOT FOUND")</f>
        <v/>
      </c>
      <c r="R290" s="2">
        <f>IFERROR(INDEX('3_ref_date'!$F:$F,MATCH(L290,'3_ref_date'!$A:$A,0)),"NOT FOUND")</f>
        <v/>
      </c>
      <c r="S290" s="2">
        <f>IFERROR(INDEX('4_ref_time'!$D:$D,MATCH(ROUND(M290*1440,0),'4_ref_time'!$A:$A,0)),"NOT FOUND")</f>
        <v/>
      </c>
      <c r="T290" s="2">
        <f>UPPER(TRIM(C290))</f>
        <v/>
      </c>
      <c r="U290" s="30">
        <f>IF(_xlfn.MAXIFS('6_3nf_branch_history'!$B$2:$B$50,'6_3nf_branch_history'!$A$2:$A$50,T290,'6_3nf_branch_history'!$B$2:$B$50,"&lt;="&amp;L290)=0,"NOT FOUND",_xlfn.MAXIFS('6_3nf_branch_history'!$B$2:$B$50,'6_3nf_branch_history'!$A$2:$A$50,T290,'6_3nf_branch_history'!$B$2:$B$50,"&lt;="&amp;L290))</f>
        <v/>
      </c>
      <c r="V290" s="2">
        <f>IF(U290="NOT FOUND","NOT FOUND",INDEX('6_3nf_branch_history'!$C:$C,SUMPRODUCT(('6_3nf_branch_history'!$A$2:$A$50=T290)*('6_3nf_branch_history'!$B$2:$B$50=U290)*ROW('6_3nf_branch_history'!$A$2:$A$50))))</f>
        <v/>
      </c>
      <c r="W290" s="2">
        <f>IF(U290="NOT FOUND","NOT FOUND",INDEX('6_3nf_branch_history'!$D:$D,SUMPRODUCT(('6_3nf_branch_history'!$A$2:$A$50=T290)*('6_3nf_branch_history'!$B$2:$B$50=U290)*ROW('6_3nf_branch_history'!$A$2:$A$50))))</f>
        <v/>
      </c>
      <c r="X290" s="2">
        <f>IF(U290="NOT FOUND","NOT FOUND",INDEX('6_3nf_branch_history'!$E:$E,SUMPRODUCT(('6_3nf_branch_history'!$A$2:$A$50=T290)*('6_3nf_branch_history'!$B$2:$B$50=U290)*ROW('6_3nf_branch_history'!$A$2:$A$50))))</f>
        <v/>
      </c>
      <c r="Y290" s="2">
        <f>UPPER(TRIM(D290))</f>
        <v/>
      </c>
      <c r="Z290" s="2">
        <f>IFERROR(INDEX('7_3nf_product'!$B:$B,MATCH(Y290,'7_3nf_product'!$A:$A,0)),"NOT FOUND")</f>
        <v/>
      </c>
      <c r="AA290" s="2">
        <f>IFERROR(INDEX('7_3nf_product'!$C:$C,MATCH(Y290,'7_3nf_product'!$A:$A,0)),"NOT FOUND")</f>
        <v/>
      </c>
      <c r="AB290" s="2">
        <f>IFERROR(INDEX('7_3nf_product'!$D:$D,MATCH(Y290,'7_3nf_product'!$A:$A,0)),"NOT FOUND")</f>
        <v/>
      </c>
      <c r="AC290" s="6">
        <f>IFERROR(INDEX('7_3nf_product'!$E:$E,MATCH(Y290,'7_3nf_product'!$A:$A,0)),"NOT FOUND")</f>
        <v/>
      </c>
      <c r="AD290" s="33">
        <f>IF(LEN(TRIM(E290))=10,TRIM(E290),IF(LEN(TRIM(E290))=8,"00"&amp;TRIM(E290),"CHECK"))</f>
        <v/>
      </c>
      <c r="AE290" s="2">
        <f>IFERROR(INDEX('8_3nf_customer'!$C:$C,MATCH(AD290,'8_3nf_customer'!$B:$B,0)),"NOT FOUND")</f>
        <v/>
      </c>
      <c r="AF290" s="30">
        <f>IFERROR(INDEX('8_3nf_customer'!$D:$D,MATCH(AD290,'8_3nf_customer'!$B:$B,0)),"NOT FOUND")</f>
        <v/>
      </c>
      <c r="AG290" s="4">
        <f>IF(ISNUMBER(AF290),DATEDIF(AF290,L290,"y"),"NOT FOUND")</f>
        <v/>
      </c>
      <c r="AH290" s="2">
        <f>IFERROR(INDEX('8_3nf_customer'!$E:$E,MATCH(AD290,'8_3nf_customer'!$B:$B,0)),"NOT FOUND")</f>
        <v/>
      </c>
      <c r="AI290" s="30">
        <f>IF(_xlfn.MAXIFS('9_3nf_customer_history'!$B$2:$B$500,'9_3nf_customer_history'!$A$2:$A$500,AD290,'9_3nf_customer_history'!$B$2:$B$500,"&lt;="&amp;L290)=0,"NOT FOUND",_xlfn.MAXIFS('9_3nf_customer_history'!$B$2:$B$500,'9_3nf_customer_history'!$A$2:$A$500,AD290,'9_3nf_customer_history'!$B$2:$B$500,"&lt;="&amp;L290))</f>
        <v/>
      </c>
      <c r="AJ290" s="2">
        <f>IF(AI290="NOT FOUND","NOT FOUND",INDEX('9_3nf_customer_history'!$C:$C,SUMPRODUCT(('9_3nf_customer_history'!$A$2:$A$500=AD290)*('9_3nf_customer_history'!$B$2:$B$500=AI290)*ROW('9_3nf_customer_history'!$A$2:$A$500))))</f>
        <v/>
      </c>
      <c r="AK290" s="2">
        <f>IF(AI290="NOT FOUND","NOT FOUND",INDEX('9_3nf_customer_history'!$D:$D,SUMPRODUCT(('9_3nf_customer_history'!$A$2:$A$500=AD290)*('9_3nf_customer_history'!$B$2:$B$500=AI290)*ROW('9_3nf_customer_history'!$A$2:$A$500))))</f>
        <v/>
      </c>
      <c r="AL290" s="2">
        <f>UPPER(TRIM(H290))</f>
        <v/>
      </c>
      <c r="AM290" s="30">
        <f>IF(_xlfn.MAXIFS('10_ref_fx_rate'!$B$2:$B$2000,'10_ref_fx_rate'!$A$2:$A$2000,AL290,'10_ref_fx_rate'!$B$2:$B$2000,"&lt;="&amp;L290)=0,"NOT FOUND",_xlfn.MAXIFS('10_ref_fx_rate'!$B$2:$B$2000,'10_ref_fx_rate'!$A$2:$A$2000,AL290,'10_ref_fx_rate'!$B$2:$B$2000,"&lt;="&amp;L290))</f>
        <v/>
      </c>
      <c r="AN290" s="8">
        <f>IF(AM290="NOT FOUND","NOT FOUND",SUMIFS('10_ref_fx_rate'!$D$2:$D$2000,'10_ref_fx_rate'!$A$2:$A$2000,AL290,'10_ref_fx_rate'!$B$2:$B$2000,AM290))</f>
        <v/>
      </c>
      <c r="AO290" s="37">
        <f>IF(ISNUMBER(AN290),I290*AN290,"NOT FOUND")</f>
        <v/>
      </c>
      <c r="AP290" s="2">
        <f>UPPER(TRIM(J290))</f>
        <v/>
      </c>
      <c r="AQ290" s="2">
        <f>IF(AP290="","SELF-DIRECTED",IF(ISNUMBER(MATCH(AP290,'11_3nf_sales_person'!$A:$A,0)),IF(EXACT(AP290,J290),"OK","OK (auto-fixed)"),IF(ISNA(MATCH($A290,'12_sales_person_confirmation'!$A:$A,0)),"CONFIRM (not logged)",IF(INDEX('12_sales_person_confirmation'!$I:$I,MATCH($A290,'12_sales_person_confirmation'!$A:$A,0))="CONFIRMED","CONFIRMED ("&amp;LOWER(INDEX('12_sales_person_confirmation'!$E:$E,MATCH($A290,'12_sales_person_confirmation'!$A:$A,0)))&amp;")","PENDING CONFIRM"))))</f>
        <v/>
      </c>
      <c r="AR290" s="2">
        <f>IF(OR(AQ290="OK",AQ290="OK (auto-fixed)"),AP290,IF(LEFT(AQ290,9)="CONFIRMED",INDEX('12_sales_person_confirmation'!$F:$F,MATCH($A290,'12_sales_person_confirmation'!$A:$A,0)),""))</f>
        <v/>
      </c>
      <c r="AS290" s="2">
        <f>IF(AR290="","",INDEX('11_3nf_sales_person'!$B:$B,MATCH(AR290,'11_3nf_sales_person'!$A:$A,0)))</f>
        <v/>
      </c>
    </row>
    <row r="291">
      <c r="A291" s="2">
        <f>IF(ISBLANK('1_raw_log'!A291),"",'1_raw_log'!A291)</f>
        <v/>
      </c>
      <c r="B291" s="3">
        <f>IF(ISBLANK('1_raw_log'!B291),"",'1_raw_log'!B291)</f>
        <v/>
      </c>
      <c r="C291" s="2">
        <f>IF(ISBLANK('1_raw_log'!C291),"",'1_raw_log'!C291)</f>
        <v/>
      </c>
      <c r="D291" s="2">
        <f>IF(ISBLANK('1_raw_log'!D291),"",'1_raw_log'!D291)</f>
        <v/>
      </c>
      <c r="E291" s="4">
        <f>IF(ISBLANK('1_raw_log'!E291),"",'1_raw_log'!E291)</f>
        <v/>
      </c>
      <c r="F291" s="2">
        <f>IF(ISBLANK('1_raw_log'!F291),"",'1_raw_log'!F291)</f>
        <v/>
      </c>
      <c r="G291" s="2">
        <f>IF(ISBLANK('1_raw_log'!G291),"",'1_raw_log'!G291)</f>
        <v/>
      </c>
      <c r="H291" s="2">
        <f>IF(ISBLANK('1_raw_log'!H291),"",'1_raw_log'!H291)</f>
        <v/>
      </c>
      <c r="I291" s="7">
        <f>IF(ISBLANK('1_raw_log'!I291),"",'1_raw_log'!I291)</f>
        <v/>
      </c>
      <c r="J291" s="2">
        <f>IF(ISBLANK('1_raw_log'!J291),"",'1_raw_log'!J291)</f>
        <v/>
      </c>
      <c r="K291" s="2">
        <f>IF(ISBLANK('1_raw_log'!K291),"",'1_raw_log'!K291)</f>
        <v/>
      </c>
      <c r="L291" s="30">
        <f>INT(B291)</f>
        <v/>
      </c>
      <c r="M291" s="20">
        <f>ROUND(MOD(B291,1)*1440,0)/1440</f>
        <v/>
      </c>
      <c r="N291" s="4">
        <f>IFERROR(INDEX('3_ref_date'!$B:$B,MATCH(L291,'3_ref_date'!$A:$A,0)),"NOT FOUND")</f>
        <v/>
      </c>
      <c r="O291" s="2">
        <f>IFERROR(INDEX('3_ref_date'!$C:$C,MATCH(L291,'3_ref_date'!$A:$A,0)),"NOT FOUND")</f>
        <v/>
      </c>
      <c r="P291" s="4">
        <f>IFERROR(INDEX('3_ref_date'!$D:$D,MATCH(L291,'3_ref_date'!$A:$A,0)),"NOT FOUND")</f>
        <v/>
      </c>
      <c r="Q291" s="4">
        <f>IFERROR(INDEX('3_ref_date'!$E:$E,MATCH(L291,'3_ref_date'!$A:$A,0)),"NOT FOUND")</f>
        <v/>
      </c>
      <c r="R291" s="2">
        <f>IFERROR(INDEX('3_ref_date'!$F:$F,MATCH(L291,'3_ref_date'!$A:$A,0)),"NOT FOUND")</f>
        <v/>
      </c>
      <c r="S291" s="2">
        <f>IFERROR(INDEX('4_ref_time'!$D:$D,MATCH(ROUND(M291*1440,0),'4_ref_time'!$A:$A,0)),"NOT FOUND")</f>
        <v/>
      </c>
      <c r="T291" s="2">
        <f>UPPER(TRIM(C291))</f>
        <v/>
      </c>
      <c r="U291" s="30">
        <f>IF(_xlfn.MAXIFS('6_3nf_branch_history'!$B$2:$B$50,'6_3nf_branch_history'!$A$2:$A$50,T291,'6_3nf_branch_history'!$B$2:$B$50,"&lt;="&amp;L291)=0,"NOT FOUND",_xlfn.MAXIFS('6_3nf_branch_history'!$B$2:$B$50,'6_3nf_branch_history'!$A$2:$A$50,T291,'6_3nf_branch_history'!$B$2:$B$50,"&lt;="&amp;L291))</f>
        <v/>
      </c>
      <c r="V291" s="2">
        <f>IF(U291="NOT FOUND","NOT FOUND",INDEX('6_3nf_branch_history'!$C:$C,SUMPRODUCT(('6_3nf_branch_history'!$A$2:$A$50=T291)*('6_3nf_branch_history'!$B$2:$B$50=U291)*ROW('6_3nf_branch_history'!$A$2:$A$50))))</f>
        <v/>
      </c>
      <c r="W291" s="2">
        <f>IF(U291="NOT FOUND","NOT FOUND",INDEX('6_3nf_branch_history'!$D:$D,SUMPRODUCT(('6_3nf_branch_history'!$A$2:$A$50=T291)*('6_3nf_branch_history'!$B$2:$B$50=U291)*ROW('6_3nf_branch_history'!$A$2:$A$50))))</f>
        <v/>
      </c>
      <c r="X291" s="2">
        <f>IF(U291="NOT FOUND","NOT FOUND",INDEX('6_3nf_branch_history'!$E:$E,SUMPRODUCT(('6_3nf_branch_history'!$A$2:$A$50=T291)*('6_3nf_branch_history'!$B$2:$B$50=U291)*ROW('6_3nf_branch_history'!$A$2:$A$50))))</f>
        <v/>
      </c>
      <c r="Y291" s="2">
        <f>UPPER(TRIM(D291))</f>
        <v/>
      </c>
      <c r="Z291" s="2">
        <f>IFERROR(INDEX('7_3nf_product'!$B:$B,MATCH(Y291,'7_3nf_product'!$A:$A,0)),"NOT FOUND")</f>
        <v/>
      </c>
      <c r="AA291" s="2">
        <f>IFERROR(INDEX('7_3nf_product'!$C:$C,MATCH(Y291,'7_3nf_product'!$A:$A,0)),"NOT FOUND")</f>
        <v/>
      </c>
      <c r="AB291" s="2">
        <f>IFERROR(INDEX('7_3nf_product'!$D:$D,MATCH(Y291,'7_3nf_product'!$A:$A,0)),"NOT FOUND")</f>
        <v/>
      </c>
      <c r="AC291" s="6">
        <f>IFERROR(INDEX('7_3nf_product'!$E:$E,MATCH(Y291,'7_3nf_product'!$A:$A,0)),"NOT FOUND")</f>
        <v/>
      </c>
      <c r="AD291" s="33">
        <f>IF(LEN(TRIM(E291))=10,TRIM(E291),IF(LEN(TRIM(E291))=8,"00"&amp;TRIM(E291),"CHECK"))</f>
        <v/>
      </c>
      <c r="AE291" s="2">
        <f>IFERROR(INDEX('8_3nf_customer'!$C:$C,MATCH(AD291,'8_3nf_customer'!$B:$B,0)),"NOT FOUND")</f>
        <v/>
      </c>
      <c r="AF291" s="30">
        <f>IFERROR(INDEX('8_3nf_customer'!$D:$D,MATCH(AD291,'8_3nf_customer'!$B:$B,0)),"NOT FOUND")</f>
        <v/>
      </c>
      <c r="AG291" s="4">
        <f>IF(ISNUMBER(AF291),DATEDIF(AF291,L291,"y"),"NOT FOUND")</f>
        <v/>
      </c>
      <c r="AH291" s="2">
        <f>IFERROR(INDEX('8_3nf_customer'!$E:$E,MATCH(AD291,'8_3nf_customer'!$B:$B,0)),"NOT FOUND")</f>
        <v/>
      </c>
      <c r="AI291" s="30">
        <f>IF(_xlfn.MAXIFS('9_3nf_customer_history'!$B$2:$B$500,'9_3nf_customer_history'!$A$2:$A$500,AD291,'9_3nf_customer_history'!$B$2:$B$500,"&lt;="&amp;L291)=0,"NOT FOUND",_xlfn.MAXIFS('9_3nf_customer_history'!$B$2:$B$500,'9_3nf_customer_history'!$A$2:$A$500,AD291,'9_3nf_customer_history'!$B$2:$B$500,"&lt;="&amp;L291))</f>
        <v/>
      </c>
      <c r="AJ291" s="2">
        <f>IF(AI291="NOT FOUND","NOT FOUND",INDEX('9_3nf_customer_history'!$C:$C,SUMPRODUCT(('9_3nf_customer_history'!$A$2:$A$500=AD291)*('9_3nf_customer_history'!$B$2:$B$500=AI291)*ROW('9_3nf_customer_history'!$A$2:$A$500))))</f>
        <v/>
      </c>
      <c r="AK291" s="2">
        <f>IF(AI291="NOT FOUND","NOT FOUND",INDEX('9_3nf_customer_history'!$D:$D,SUMPRODUCT(('9_3nf_customer_history'!$A$2:$A$500=AD291)*('9_3nf_customer_history'!$B$2:$B$500=AI291)*ROW('9_3nf_customer_history'!$A$2:$A$500))))</f>
        <v/>
      </c>
      <c r="AL291" s="2">
        <f>UPPER(TRIM(H291))</f>
        <v/>
      </c>
      <c r="AM291" s="30">
        <f>IF(_xlfn.MAXIFS('10_ref_fx_rate'!$B$2:$B$2000,'10_ref_fx_rate'!$A$2:$A$2000,AL291,'10_ref_fx_rate'!$B$2:$B$2000,"&lt;="&amp;L291)=0,"NOT FOUND",_xlfn.MAXIFS('10_ref_fx_rate'!$B$2:$B$2000,'10_ref_fx_rate'!$A$2:$A$2000,AL291,'10_ref_fx_rate'!$B$2:$B$2000,"&lt;="&amp;L291))</f>
        <v/>
      </c>
      <c r="AN291" s="8">
        <f>IF(AM291="NOT FOUND","NOT FOUND",SUMIFS('10_ref_fx_rate'!$D$2:$D$2000,'10_ref_fx_rate'!$A$2:$A$2000,AL291,'10_ref_fx_rate'!$B$2:$B$2000,AM291))</f>
        <v/>
      </c>
      <c r="AO291" s="37">
        <f>IF(ISNUMBER(AN291),I291*AN291,"NOT FOUND")</f>
        <v/>
      </c>
      <c r="AP291" s="2">
        <f>UPPER(TRIM(J291))</f>
        <v/>
      </c>
      <c r="AQ291" s="2">
        <f>IF(AP291="","SELF-DIRECTED",IF(ISNUMBER(MATCH(AP291,'11_3nf_sales_person'!$A:$A,0)),IF(EXACT(AP291,J291),"OK","OK (auto-fixed)"),IF(ISNA(MATCH($A291,'12_sales_person_confirmation'!$A:$A,0)),"CONFIRM (not logged)",IF(INDEX('12_sales_person_confirmation'!$I:$I,MATCH($A291,'12_sales_person_confirmation'!$A:$A,0))="CONFIRMED","CONFIRMED ("&amp;LOWER(INDEX('12_sales_person_confirmation'!$E:$E,MATCH($A291,'12_sales_person_confirmation'!$A:$A,0)))&amp;")","PENDING CONFIRM"))))</f>
        <v/>
      </c>
      <c r="AR291" s="2">
        <f>IF(OR(AQ291="OK",AQ291="OK (auto-fixed)"),AP291,IF(LEFT(AQ291,9)="CONFIRMED",INDEX('12_sales_person_confirmation'!$F:$F,MATCH($A291,'12_sales_person_confirmation'!$A:$A,0)),""))</f>
        <v/>
      </c>
      <c r="AS291" s="2">
        <f>IF(AR291="","",INDEX('11_3nf_sales_person'!$B:$B,MATCH(AR291,'11_3nf_sales_person'!$A:$A,0)))</f>
        <v/>
      </c>
    </row>
    <row r="292">
      <c r="A292" s="2">
        <f>IF(ISBLANK('1_raw_log'!A292),"",'1_raw_log'!A292)</f>
        <v/>
      </c>
      <c r="B292" s="3">
        <f>IF(ISBLANK('1_raw_log'!B292),"",'1_raw_log'!B292)</f>
        <v/>
      </c>
      <c r="C292" s="2">
        <f>IF(ISBLANK('1_raw_log'!C292),"",'1_raw_log'!C292)</f>
        <v/>
      </c>
      <c r="D292" s="2">
        <f>IF(ISBLANK('1_raw_log'!D292),"",'1_raw_log'!D292)</f>
        <v/>
      </c>
      <c r="E292" s="4">
        <f>IF(ISBLANK('1_raw_log'!E292),"",'1_raw_log'!E292)</f>
        <v/>
      </c>
      <c r="F292" s="2">
        <f>IF(ISBLANK('1_raw_log'!F292),"",'1_raw_log'!F292)</f>
        <v/>
      </c>
      <c r="G292" s="2">
        <f>IF(ISBLANK('1_raw_log'!G292),"",'1_raw_log'!G292)</f>
        <v/>
      </c>
      <c r="H292" s="2">
        <f>IF(ISBLANK('1_raw_log'!H292),"",'1_raw_log'!H292)</f>
        <v/>
      </c>
      <c r="I292" s="7">
        <f>IF(ISBLANK('1_raw_log'!I292),"",'1_raw_log'!I292)</f>
        <v/>
      </c>
      <c r="J292" s="2">
        <f>IF(ISBLANK('1_raw_log'!J292),"",'1_raw_log'!J292)</f>
        <v/>
      </c>
      <c r="K292" s="2">
        <f>IF(ISBLANK('1_raw_log'!K292),"",'1_raw_log'!K292)</f>
        <v/>
      </c>
      <c r="L292" s="30">
        <f>INT(B292)</f>
        <v/>
      </c>
      <c r="M292" s="20">
        <f>ROUND(MOD(B292,1)*1440,0)/1440</f>
        <v/>
      </c>
      <c r="N292" s="4">
        <f>IFERROR(INDEX('3_ref_date'!$B:$B,MATCH(L292,'3_ref_date'!$A:$A,0)),"NOT FOUND")</f>
        <v/>
      </c>
      <c r="O292" s="2">
        <f>IFERROR(INDEX('3_ref_date'!$C:$C,MATCH(L292,'3_ref_date'!$A:$A,0)),"NOT FOUND")</f>
        <v/>
      </c>
      <c r="P292" s="4">
        <f>IFERROR(INDEX('3_ref_date'!$D:$D,MATCH(L292,'3_ref_date'!$A:$A,0)),"NOT FOUND")</f>
        <v/>
      </c>
      <c r="Q292" s="4">
        <f>IFERROR(INDEX('3_ref_date'!$E:$E,MATCH(L292,'3_ref_date'!$A:$A,0)),"NOT FOUND")</f>
        <v/>
      </c>
      <c r="R292" s="2">
        <f>IFERROR(INDEX('3_ref_date'!$F:$F,MATCH(L292,'3_ref_date'!$A:$A,0)),"NOT FOUND")</f>
        <v/>
      </c>
      <c r="S292" s="2">
        <f>IFERROR(INDEX('4_ref_time'!$D:$D,MATCH(ROUND(M292*1440,0),'4_ref_time'!$A:$A,0)),"NOT FOUND")</f>
        <v/>
      </c>
      <c r="T292" s="2">
        <f>UPPER(TRIM(C292))</f>
        <v/>
      </c>
      <c r="U292" s="30">
        <f>IF(_xlfn.MAXIFS('6_3nf_branch_history'!$B$2:$B$50,'6_3nf_branch_history'!$A$2:$A$50,T292,'6_3nf_branch_history'!$B$2:$B$50,"&lt;="&amp;L292)=0,"NOT FOUND",_xlfn.MAXIFS('6_3nf_branch_history'!$B$2:$B$50,'6_3nf_branch_history'!$A$2:$A$50,T292,'6_3nf_branch_history'!$B$2:$B$50,"&lt;="&amp;L292))</f>
        <v/>
      </c>
      <c r="V292" s="2">
        <f>IF(U292="NOT FOUND","NOT FOUND",INDEX('6_3nf_branch_history'!$C:$C,SUMPRODUCT(('6_3nf_branch_history'!$A$2:$A$50=T292)*('6_3nf_branch_history'!$B$2:$B$50=U292)*ROW('6_3nf_branch_history'!$A$2:$A$50))))</f>
        <v/>
      </c>
      <c r="W292" s="2">
        <f>IF(U292="NOT FOUND","NOT FOUND",INDEX('6_3nf_branch_history'!$D:$D,SUMPRODUCT(('6_3nf_branch_history'!$A$2:$A$50=T292)*('6_3nf_branch_history'!$B$2:$B$50=U292)*ROW('6_3nf_branch_history'!$A$2:$A$50))))</f>
        <v/>
      </c>
      <c r="X292" s="2">
        <f>IF(U292="NOT FOUND","NOT FOUND",INDEX('6_3nf_branch_history'!$E:$E,SUMPRODUCT(('6_3nf_branch_history'!$A$2:$A$50=T292)*('6_3nf_branch_history'!$B$2:$B$50=U292)*ROW('6_3nf_branch_history'!$A$2:$A$50))))</f>
        <v/>
      </c>
      <c r="Y292" s="2">
        <f>UPPER(TRIM(D292))</f>
        <v/>
      </c>
      <c r="Z292" s="2">
        <f>IFERROR(INDEX('7_3nf_product'!$B:$B,MATCH(Y292,'7_3nf_product'!$A:$A,0)),"NOT FOUND")</f>
        <v/>
      </c>
      <c r="AA292" s="2">
        <f>IFERROR(INDEX('7_3nf_product'!$C:$C,MATCH(Y292,'7_3nf_product'!$A:$A,0)),"NOT FOUND")</f>
        <v/>
      </c>
      <c r="AB292" s="2">
        <f>IFERROR(INDEX('7_3nf_product'!$D:$D,MATCH(Y292,'7_3nf_product'!$A:$A,0)),"NOT FOUND")</f>
        <v/>
      </c>
      <c r="AC292" s="6">
        <f>IFERROR(INDEX('7_3nf_product'!$E:$E,MATCH(Y292,'7_3nf_product'!$A:$A,0)),"NOT FOUND")</f>
        <v/>
      </c>
      <c r="AD292" s="33">
        <f>IF(LEN(TRIM(E292))=10,TRIM(E292),IF(LEN(TRIM(E292))=8,"00"&amp;TRIM(E292),"CHECK"))</f>
        <v/>
      </c>
      <c r="AE292" s="2">
        <f>IFERROR(INDEX('8_3nf_customer'!$C:$C,MATCH(AD292,'8_3nf_customer'!$B:$B,0)),"NOT FOUND")</f>
        <v/>
      </c>
      <c r="AF292" s="30">
        <f>IFERROR(INDEX('8_3nf_customer'!$D:$D,MATCH(AD292,'8_3nf_customer'!$B:$B,0)),"NOT FOUND")</f>
        <v/>
      </c>
      <c r="AG292" s="4">
        <f>IF(ISNUMBER(AF292),DATEDIF(AF292,L292,"y"),"NOT FOUND")</f>
        <v/>
      </c>
      <c r="AH292" s="2">
        <f>IFERROR(INDEX('8_3nf_customer'!$E:$E,MATCH(AD292,'8_3nf_customer'!$B:$B,0)),"NOT FOUND")</f>
        <v/>
      </c>
      <c r="AI292" s="30">
        <f>IF(_xlfn.MAXIFS('9_3nf_customer_history'!$B$2:$B$500,'9_3nf_customer_history'!$A$2:$A$500,AD292,'9_3nf_customer_history'!$B$2:$B$500,"&lt;="&amp;L292)=0,"NOT FOUND",_xlfn.MAXIFS('9_3nf_customer_history'!$B$2:$B$500,'9_3nf_customer_history'!$A$2:$A$500,AD292,'9_3nf_customer_history'!$B$2:$B$500,"&lt;="&amp;L292))</f>
        <v/>
      </c>
      <c r="AJ292" s="2">
        <f>IF(AI292="NOT FOUND","NOT FOUND",INDEX('9_3nf_customer_history'!$C:$C,SUMPRODUCT(('9_3nf_customer_history'!$A$2:$A$500=AD292)*('9_3nf_customer_history'!$B$2:$B$500=AI292)*ROW('9_3nf_customer_history'!$A$2:$A$500))))</f>
        <v/>
      </c>
      <c r="AK292" s="2">
        <f>IF(AI292="NOT FOUND","NOT FOUND",INDEX('9_3nf_customer_history'!$D:$D,SUMPRODUCT(('9_3nf_customer_history'!$A$2:$A$500=AD292)*('9_3nf_customer_history'!$B$2:$B$500=AI292)*ROW('9_3nf_customer_history'!$A$2:$A$500))))</f>
        <v/>
      </c>
      <c r="AL292" s="2">
        <f>UPPER(TRIM(H292))</f>
        <v/>
      </c>
      <c r="AM292" s="30">
        <f>IF(_xlfn.MAXIFS('10_ref_fx_rate'!$B$2:$B$2000,'10_ref_fx_rate'!$A$2:$A$2000,AL292,'10_ref_fx_rate'!$B$2:$B$2000,"&lt;="&amp;L292)=0,"NOT FOUND",_xlfn.MAXIFS('10_ref_fx_rate'!$B$2:$B$2000,'10_ref_fx_rate'!$A$2:$A$2000,AL292,'10_ref_fx_rate'!$B$2:$B$2000,"&lt;="&amp;L292))</f>
        <v/>
      </c>
      <c r="AN292" s="8">
        <f>IF(AM292="NOT FOUND","NOT FOUND",SUMIFS('10_ref_fx_rate'!$D$2:$D$2000,'10_ref_fx_rate'!$A$2:$A$2000,AL292,'10_ref_fx_rate'!$B$2:$B$2000,AM292))</f>
        <v/>
      </c>
      <c r="AO292" s="37">
        <f>IF(ISNUMBER(AN292),I292*AN292,"NOT FOUND")</f>
        <v/>
      </c>
      <c r="AP292" s="2">
        <f>UPPER(TRIM(J292))</f>
        <v/>
      </c>
      <c r="AQ292" s="2">
        <f>IF(AP292="","SELF-DIRECTED",IF(ISNUMBER(MATCH(AP292,'11_3nf_sales_person'!$A:$A,0)),IF(EXACT(AP292,J292),"OK","OK (auto-fixed)"),IF(ISNA(MATCH($A292,'12_sales_person_confirmation'!$A:$A,0)),"CONFIRM (not logged)",IF(INDEX('12_sales_person_confirmation'!$I:$I,MATCH($A292,'12_sales_person_confirmation'!$A:$A,0))="CONFIRMED","CONFIRMED ("&amp;LOWER(INDEX('12_sales_person_confirmation'!$E:$E,MATCH($A292,'12_sales_person_confirmation'!$A:$A,0)))&amp;")","PENDING CONFIRM"))))</f>
        <v/>
      </c>
      <c r="AR292" s="2">
        <f>IF(OR(AQ292="OK",AQ292="OK (auto-fixed)"),AP292,IF(LEFT(AQ292,9)="CONFIRMED",INDEX('12_sales_person_confirmation'!$F:$F,MATCH($A292,'12_sales_person_confirmation'!$A:$A,0)),""))</f>
        <v/>
      </c>
      <c r="AS292" s="2">
        <f>IF(AR292="","",INDEX('11_3nf_sales_person'!$B:$B,MATCH(AR292,'11_3nf_sales_person'!$A:$A,0)))</f>
        <v/>
      </c>
    </row>
    <row r="293">
      <c r="A293" s="2">
        <f>IF(ISBLANK('1_raw_log'!A293),"",'1_raw_log'!A293)</f>
        <v/>
      </c>
      <c r="B293" s="3">
        <f>IF(ISBLANK('1_raw_log'!B293),"",'1_raw_log'!B293)</f>
        <v/>
      </c>
      <c r="C293" s="2">
        <f>IF(ISBLANK('1_raw_log'!C293),"",'1_raw_log'!C293)</f>
        <v/>
      </c>
      <c r="D293" s="2">
        <f>IF(ISBLANK('1_raw_log'!D293),"",'1_raw_log'!D293)</f>
        <v/>
      </c>
      <c r="E293" s="4">
        <f>IF(ISBLANK('1_raw_log'!E293),"",'1_raw_log'!E293)</f>
        <v/>
      </c>
      <c r="F293" s="2">
        <f>IF(ISBLANK('1_raw_log'!F293),"",'1_raw_log'!F293)</f>
        <v/>
      </c>
      <c r="G293" s="2">
        <f>IF(ISBLANK('1_raw_log'!G293),"",'1_raw_log'!G293)</f>
        <v/>
      </c>
      <c r="H293" s="2">
        <f>IF(ISBLANK('1_raw_log'!H293),"",'1_raw_log'!H293)</f>
        <v/>
      </c>
      <c r="I293" s="7">
        <f>IF(ISBLANK('1_raw_log'!I293),"",'1_raw_log'!I293)</f>
        <v/>
      </c>
      <c r="J293" s="2">
        <f>IF(ISBLANK('1_raw_log'!J293),"",'1_raw_log'!J293)</f>
        <v/>
      </c>
      <c r="K293" s="2">
        <f>IF(ISBLANK('1_raw_log'!K293),"",'1_raw_log'!K293)</f>
        <v/>
      </c>
      <c r="L293" s="30">
        <f>INT(B293)</f>
        <v/>
      </c>
      <c r="M293" s="20">
        <f>ROUND(MOD(B293,1)*1440,0)/1440</f>
        <v/>
      </c>
      <c r="N293" s="4">
        <f>IFERROR(INDEX('3_ref_date'!$B:$B,MATCH(L293,'3_ref_date'!$A:$A,0)),"NOT FOUND")</f>
        <v/>
      </c>
      <c r="O293" s="2">
        <f>IFERROR(INDEX('3_ref_date'!$C:$C,MATCH(L293,'3_ref_date'!$A:$A,0)),"NOT FOUND")</f>
        <v/>
      </c>
      <c r="P293" s="4">
        <f>IFERROR(INDEX('3_ref_date'!$D:$D,MATCH(L293,'3_ref_date'!$A:$A,0)),"NOT FOUND")</f>
        <v/>
      </c>
      <c r="Q293" s="4">
        <f>IFERROR(INDEX('3_ref_date'!$E:$E,MATCH(L293,'3_ref_date'!$A:$A,0)),"NOT FOUND")</f>
        <v/>
      </c>
      <c r="R293" s="2">
        <f>IFERROR(INDEX('3_ref_date'!$F:$F,MATCH(L293,'3_ref_date'!$A:$A,0)),"NOT FOUND")</f>
        <v/>
      </c>
      <c r="S293" s="2">
        <f>IFERROR(INDEX('4_ref_time'!$D:$D,MATCH(ROUND(M293*1440,0),'4_ref_time'!$A:$A,0)),"NOT FOUND")</f>
        <v/>
      </c>
      <c r="T293" s="2">
        <f>UPPER(TRIM(C293))</f>
        <v/>
      </c>
      <c r="U293" s="30">
        <f>IF(_xlfn.MAXIFS('6_3nf_branch_history'!$B$2:$B$50,'6_3nf_branch_history'!$A$2:$A$50,T293,'6_3nf_branch_history'!$B$2:$B$50,"&lt;="&amp;L293)=0,"NOT FOUND",_xlfn.MAXIFS('6_3nf_branch_history'!$B$2:$B$50,'6_3nf_branch_history'!$A$2:$A$50,T293,'6_3nf_branch_history'!$B$2:$B$50,"&lt;="&amp;L293))</f>
        <v/>
      </c>
      <c r="V293" s="2">
        <f>IF(U293="NOT FOUND","NOT FOUND",INDEX('6_3nf_branch_history'!$C:$C,SUMPRODUCT(('6_3nf_branch_history'!$A$2:$A$50=T293)*('6_3nf_branch_history'!$B$2:$B$50=U293)*ROW('6_3nf_branch_history'!$A$2:$A$50))))</f>
        <v/>
      </c>
      <c r="W293" s="2">
        <f>IF(U293="NOT FOUND","NOT FOUND",INDEX('6_3nf_branch_history'!$D:$D,SUMPRODUCT(('6_3nf_branch_history'!$A$2:$A$50=T293)*('6_3nf_branch_history'!$B$2:$B$50=U293)*ROW('6_3nf_branch_history'!$A$2:$A$50))))</f>
        <v/>
      </c>
      <c r="X293" s="2">
        <f>IF(U293="NOT FOUND","NOT FOUND",INDEX('6_3nf_branch_history'!$E:$E,SUMPRODUCT(('6_3nf_branch_history'!$A$2:$A$50=T293)*('6_3nf_branch_history'!$B$2:$B$50=U293)*ROW('6_3nf_branch_history'!$A$2:$A$50))))</f>
        <v/>
      </c>
      <c r="Y293" s="2">
        <f>UPPER(TRIM(D293))</f>
        <v/>
      </c>
      <c r="Z293" s="2">
        <f>IFERROR(INDEX('7_3nf_product'!$B:$B,MATCH(Y293,'7_3nf_product'!$A:$A,0)),"NOT FOUND")</f>
        <v/>
      </c>
      <c r="AA293" s="2">
        <f>IFERROR(INDEX('7_3nf_product'!$C:$C,MATCH(Y293,'7_3nf_product'!$A:$A,0)),"NOT FOUND")</f>
        <v/>
      </c>
      <c r="AB293" s="2">
        <f>IFERROR(INDEX('7_3nf_product'!$D:$D,MATCH(Y293,'7_3nf_product'!$A:$A,0)),"NOT FOUND")</f>
        <v/>
      </c>
      <c r="AC293" s="6">
        <f>IFERROR(INDEX('7_3nf_product'!$E:$E,MATCH(Y293,'7_3nf_product'!$A:$A,0)),"NOT FOUND")</f>
        <v/>
      </c>
      <c r="AD293" s="33">
        <f>IF(LEN(TRIM(E293))=10,TRIM(E293),IF(LEN(TRIM(E293))=8,"00"&amp;TRIM(E293),"CHECK"))</f>
        <v/>
      </c>
      <c r="AE293" s="2">
        <f>IFERROR(INDEX('8_3nf_customer'!$C:$C,MATCH(AD293,'8_3nf_customer'!$B:$B,0)),"NOT FOUND")</f>
        <v/>
      </c>
      <c r="AF293" s="30">
        <f>IFERROR(INDEX('8_3nf_customer'!$D:$D,MATCH(AD293,'8_3nf_customer'!$B:$B,0)),"NOT FOUND")</f>
        <v/>
      </c>
      <c r="AG293" s="4">
        <f>IF(ISNUMBER(AF293),DATEDIF(AF293,L293,"y"),"NOT FOUND")</f>
        <v/>
      </c>
      <c r="AH293" s="2">
        <f>IFERROR(INDEX('8_3nf_customer'!$E:$E,MATCH(AD293,'8_3nf_customer'!$B:$B,0)),"NOT FOUND")</f>
        <v/>
      </c>
      <c r="AI293" s="30">
        <f>IF(_xlfn.MAXIFS('9_3nf_customer_history'!$B$2:$B$500,'9_3nf_customer_history'!$A$2:$A$500,AD293,'9_3nf_customer_history'!$B$2:$B$500,"&lt;="&amp;L293)=0,"NOT FOUND",_xlfn.MAXIFS('9_3nf_customer_history'!$B$2:$B$500,'9_3nf_customer_history'!$A$2:$A$500,AD293,'9_3nf_customer_history'!$B$2:$B$500,"&lt;="&amp;L293))</f>
        <v/>
      </c>
      <c r="AJ293" s="2">
        <f>IF(AI293="NOT FOUND","NOT FOUND",INDEX('9_3nf_customer_history'!$C:$C,SUMPRODUCT(('9_3nf_customer_history'!$A$2:$A$500=AD293)*('9_3nf_customer_history'!$B$2:$B$500=AI293)*ROW('9_3nf_customer_history'!$A$2:$A$500))))</f>
        <v/>
      </c>
      <c r="AK293" s="2">
        <f>IF(AI293="NOT FOUND","NOT FOUND",INDEX('9_3nf_customer_history'!$D:$D,SUMPRODUCT(('9_3nf_customer_history'!$A$2:$A$500=AD293)*('9_3nf_customer_history'!$B$2:$B$500=AI293)*ROW('9_3nf_customer_history'!$A$2:$A$500))))</f>
        <v/>
      </c>
      <c r="AL293" s="2">
        <f>UPPER(TRIM(H293))</f>
        <v/>
      </c>
      <c r="AM293" s="30">
        <f>IF(_xlfn.MAXIFS('10_ref_fx_rate'!$B$2:$B$2000,'10_ref_fx_rate'!$A$2:$A$2000,AL293,'10_ref_fx_rate'!$B$2:$B$2000,"&lt;="&amp;L293)=0,"NOT FOUND",_xlfn.MAXIFS('10_ref_fx_rate'!$B$2:$B$2000,'10_ref_fx_rate'!$A$2:$A$2000,AL293,'10_ref_fx_rate'!$B$2:$B$2000,"&lt;="&amp;L293))</f>
        <v/>
      </c>
      <c r="AN293" s="8">
        <f>IF(AM293="NOT FOUND","NOT FOUND",SUMIFS('10_ref_fx_rate'!$D$2:$D$2000,'10_ref_fx_rate'!$A$2:$A$2000,AL293,'10_ref_fx_rate'!$B$2:$B$2000,AM293))</f>
        <v/>
      </c>
      <c r="AO293" s="37">
        <f>IF(ISNUMBER(AN293),I293*AN293,"NOT FOUND")</f>
        <v/>
      </c>
      <c r="AP293" s="2">
        <f>UPPER(TRIM(J293))</f>
        <v/>
      </c>
      <c r="AQ293" s="2">
        <f>IF(AP293="","SELF-DIRECTED",IF(ISNUMBER(MATCH(AP293,'11_3nf_sales_person'!$A:$A,0)),IF(EXACT(AP293,J293),"OK","OK (auto-fixed)"),IF(ISNA(MATCH($A293,'12_sales_person_confirmation'!$A:$A,0)),"CONFIRM (not logged)",IF(INDEX('12_sales_person_confirmation'!$I:$I,MATCH($A293,'12_sales_person_confirmation'!$A:$A,0))="CONFIRMED","CONFIRMED ("&amp;LOWER(INDEX('12_sales_person_confirmation'!$E:$E,MATCH($A293,'12_sales_person_confirmation'!$A:$A,0)))&amp;")","PENDING CONFIRM"))))</f>
        <v/>
      </c>
      <c r="AR293" s="2">
        <f>IF(OR(AQ293="OK",AQ293="OK (auto-fixed)"),AP293,IF(LEFT(AQ293,9)="CONFIRMED",INDEX('12_sales_person_confirmation'!$F:$F,MATCH($A293,'12_sales_person_confirmation'!$A:$A,0)),""))</f>
        <v/>
      </c>
      <c r="AS293" s="2">
        <f>IF(AR293="","",INDEX('11_3nf_sales_person'!$B:$B,MATCH(AR293,'11_3nf_sales_person'!$A:$A,0)))</f>
        <v/>
      </c>
    </row>
    <row r="294">
      <c r="A294" s="2">
        <f>IF(ISBLANK('1_raw_log'!A294),"",'1_raw_log'!A294)</f>
        <v/>
      </c>
      <c r="B294" s="3">
        <f>IF(ISBLANK('1_raw_log'!B294),"",'1_raw_log'!B294)</f>
        <v/>
      </c>
      <c r="C294" s="2">
        <f>IF(ISBLANK('1_raw_log'!C294),"",'1_raw_log'!C294)</f>
        <v/>
      </c>
      <c r="D294" s="2">
        <f>IF(ISBLANK('1_raw_log'!D294),"",'1_raw_log'!D294)</f>
        <v/>
      </c>
      <c r="E294" s="4">
        <f>IF(ISBLANK('1_raw_log'!E294),"",'1_raw_log'!E294)</f>
        <v/>
      </c>
      <c r="F294" s="2">
        <f>IF(ISBLANK('1_raw_log'!F294),"",'1_raw_log'!F294)</f>
        <v/>
      </c>
      <c r="G294" s="2">
        <f>IF(ISBLANK('1_raw_log'!G294),"",'1_raw_log'!G294)</f>
        <v/>
      </c>
      <c r="H294" s="2">
        <f>IF(ISBLANK('1_raw_log'!H294),"",'1_raw_log'!H294)</f>
        <v/>
      </c>
      <c r="I294" s="7">
        <f>IF(ISBLANK('1_raw_log'!I294),"",'1_raw_log'!I294)</f>
        <v/>
      </c>
      <c r="J294" s="2">
        <f>IF(ISBLANK('1_raw_log'!J294),"",'1_raw_log'!J294)</f>
        <v/>
      </c>
      <c r="K294" s="2">
        <f>IF(ISBLANK('1_raw_log'!K294),"",'1_raw_log'!K294)</f>
        <v/>
      </c>
      <c r="L294" s="30">
        <f>INT(B294)</f>
        <v/>
      </c>
      <c r="M294" s="20">
        <f>ROUND(MOD(B294,1)*1440,0)/1440</f>
        <v/>
      </c>
      <c r="N294" s="4">
        <f>IFERROR(INDEX('3_ref_date'!$B:$B,MATCH(L294,'3_ref_date'!$A:$A,0)),"NOT FOUND")</f>
        <v/>
      </c>
      <c r="O294" s="2">
        <f>IFERROR(INDEX('3_ref_date'!$C:$C,MATCH(L294,'3_ref_date'!$A:$A,0)),"NOT FOUND")</f>
        <v/>
      </c>
      <c r="P294" s="4">
        <f>IFERROR(INDEX('3_ref_date'!$D:$D,MATCH(L294,'3_ref_date'!$A:$A,0)),"NOT FOUND")</f>
        <v/>
      </c>
      <c r="Q294" s="4">
        <f>IFERROR(INDEX('3_ref_date'!$E:$E,MATCH(L294,'3_ref_date'!$A:$A,0)),"NOT FOUND")</f>
        <v/>
      </c>
      <c r="R294" s="2">
        <f>IFERROR(INDEX('3_ref_date'!$F:$F,MATCH(L294,'3_ref_date'!$A:$A,0)),"NOT FOUND")</f>
        <v/>
      </c>
      <c r="S294" s="2">
        <f>IFERROR(INDEX('4_ref_time'!$D:$D,MATCH(ROUND(M294*1440,0),'4_ref_time'!$A:$A,0)),"NOT FOUND")</f>
        <v/>
      </c>
      <c r="T294" s="2">
        <f>UPPER(TRIM(C294))</f>
        <v/>
      </c>
      <c r="U294" s="30">
        <f>IF(_xlfn.MAXIFS('6_3nf_branch_history'!$B$2:$B$50,'6_3nf_branch_history'!$A$2:$A$50,T294,'6_3nf_branch_history'!$B$2:$B$50,"&lt;="&amp;L294)=0,"NOT FOUND",_xlfn.MAXIFS('6_3nf_branch_history'!$B$2:$B$50,'6_3nf_branch_history'!$A$2:$A$50,T294,'6_3nf_branch_history'!$B$2:$B$50,"&lt;="&amp;L294))</f>
        <v/>
      </c>
      <c r="V294" s="2">
        <f>IF(U294="NOT FOUND","NOT FOUND",INDEX('6_3nf_branch_history'!$C:$C,SUMPRODUCT(('6_3nf_branch_history'!$A$2:$A$50=T294)*('6_3nf_branch_history'!$B$2:$B$50=U294)*ROW('6_3nf_branch_history'!$A$2:$A$50))))</f>
        <v/>
      </c>
      <c r="W294" s="2">
        <f>IF(U294="NOT FOUND","NOT FOUND",INDEX('6_3nf_branch_history'!$D:$D,SUMPRODUCT(('6_3nf_branch_history'!$A$2:$A$50=T294)*('6_3nf_branch_history'!$B$2:$B$50=U294)*ROW('6_3nf_branch_history'!$A$2:$A$50))))</f>
        <v/>
      </c>
      <c r="X294" s="2">
        <f>IF(U294="NOT FOUND","NOT FOUND",INDEX('6_3nf_branch_history'!$E:$E,SUMPRODUCT(('6_3nf_branch_history'!$A$2:$A$50=T294)*('6_3nf_branch_history'!$B$2:$B$50=U294)*ROW('6_3nf_branch_history'!$A$2:$A$50))))</f>
        <v/>
      </c>
      <c r="Y294" s="2">
        <f>UPPER(TRIM(D294))</f>
        <v/>
      </c>
      <c r="Z294" s="2">
        <f>IFERROR(INDEX('7_3nf_product'!$B:$B,MATCH(Y294,'7_3nf_product'!$A:$A,0)),"NOT FOUND")</f>
        <v/>
      </c>
      <c r="AA294" s="2">
        <f>IFERROR(INDEX('7_3nf_product'!$C:$C,MATCH(Y294,'7_3nf_product'!$A:$A,0)),"NOT FOUND")</f>
        <v/>
      </c>
      <c r="AB294" s="2">
        <f>IFERROR(INDEX('7_3nf_product'!$D:$D,MATCH(Y294,'7_3nf_product'!$A:$A,0)),"NOT FOUND")</f>
        <v/>
      </c>
      <c r="AC294" s="6">
        <f>IFERROR(INDEX('7_3nf_product'!$E:$E,MATCH(Y294,'7_3nf_product'!$A:$A,0)),"NOT FOUND")</f>
        <v/>
      </c>
      <c r="AD294" s="33">
        <f>IF(LEN(TRIM(E294))=10,TRIM(E294),IF(LEN(TRIM(E294))=8,"00"&amp;TRIM(E294),"CHECK"))</f>
        <v/>
      </c>
      <c r="AE294" s="2">
        <f>IFERROR(INDEX('8_3nf_customer'!$C:$C,MATCH(AD294,'8_3nf_customer'!$B:$B,0)),"NOT FOUND")</f>
        <v/>
      </c>
      <c r="AF294" s="30">
        <f>IFERROR(INDEX('8_3nf_customer'!$D:$D,MATCH(AD294,'8_3nf_customer'!$B:$B,0)),"NOT FOUND")</f>
        <v/>
      </c>
      <c r="AG294" s="4">
        <f>IF(ISNUMBER(AF294),DATEDIF(AF294,L294,"y"),"NOT FOUND")</f>
        <v/>
      </c>
      <c r="AH294" s="2">
        <f>IFERROR(INDEX('8_3nf_customer'!$E:$E,MATCH(AD294,'8_3nf_customer'!$B:$B,0)),"NOT FOUND")</f>
        <v/>
      </c>
      <c r="AI294" s="30">
        <f>IF(_xlfn.MAXIFS('9_3nf_customer_history'!$B$2:$B$500,'9_3nf_customer_history'!$A$2:$A$500,AD294,'9_3nf_customer_history'!$B$2:$B$500,"&lt;="&amp;L294)=0,"NOT FOUND",_xlfn.MAXIFS('9_3nf_customer_history'!$B$2:$B$500,'9_3nf_customer_history'!$A$2:$A$500,AD294,'9_3nf_customer_history'!$B$2:$B$500,"&lt;="&amp;L294))</f>
        <v/>
      </c>
      <c r="AJ294" s="2">
        <f>IF(AI294="NOT FOUND","NOT FOUND",INDEX('9_3nf_customer_history'!$C:$C,SUMPRODUCT(('9_3nf_customer_history'!$A$2:$A$500=AD294)*('9_3nf_customer_history'!$B$2:$B$500=AI294)*ROW('9_3nf_customer_history'!$A$2:$A$500))))</f>
        <v/>
      </c>
      <c r="AK294" s="2">
        <f>IF(AI294="NOT FOUND","NOT FOUND",INDEX('9_3nf_customer_history'!$D:$D,SUMPRODUCT(('9_3nf_customer_history'!$A$2:$A$500=AD294)*('9_3nf_customer_history'!$B$2:$B$500=AI294)*ROW('9_3nf_customer_history'!$A$2:$A$500))))</f>
        <v/>
      </c>
      <c r="AL294" s="2">
        <f>UPPER(TRIM(H294))</f>
        <v/>
      </c>
      <c r="AM294" s="30">
        <f>IF(_xlfn.MAXIFS('10_ref_fx_rate'!$B$2:$B$2000,'10_ref_fx_rate'!$A$2:$A$2000,AL294,'10_ref_fx_rate'!$B$2:$B$2000,"&lt;="&amp;L294)=0,"NOT FOUND",_xlfn.MAXIFS('10_ref_fx_rate'!$B$2:$B$2000,'10_ref_fx_rate'!$A$2:$A$2000,AL294,'10_ref_fx_rate'!$B$2:$B$2000,"&lt;="&amp;L294))</f>
        <v/>
      </c>
      <c r="AN294" s="8">
        <f>IF(AM294="NOT FOUND","NOT FOUND",SUMIFS('10_ref_fx_rate'!$D$2:$D$2000,'10_ref_fx_rate'!$A$2:$A$2000,AL294,'10_ref_fx_rate'!$B$2:$B$2000,AM294))</f>
        <v/>
      </c>
      <c r="AO294" s="37">
        <f>IF(ISNUMBER(AN294),I294*AN294,"NOT FOUND")</f>
        <v/>
      </c>
      <c r="AP294" s="2">
        <f>UPPER(TRIM(J294))</f>
        <v/>
      </c>
      <c r="AQ294" s="2">
        <f>IF(AP294="","SELF-DIRECTED",IF(ISNUMBER(MATCH(AP294,'11_3nf_sales_person'!$A:$A,0)),IF(EXACT(AP294,J294),"OK","OK (auto-fixed)"),IF(ISNA(MATCH($A294,'12_sales_person_confirmation'!$A:$A,0)),"CONFIRM (not logged)",IF(INDEX('12_sales_person_confirmation'!$I:$I,MATCH($A294,'12_sales_person_confirmation'!$A:$A,0))="CONFIRMED","CONFIRMED ("&amp;LOWER(INDEX('12_sales_person_confirmation'!$E:$E,MATCH($A294,'12_sales_person_confirmation'!$A:$A,0)))&amp;")","PENDING CONFIRM"))))</f>
        <v/>
      </c>
      <c r="AR294" s="2">
        <f>IF(OR(AQ294="OK",AQ294="OK (auto-fixed)"),AP294,IF(LEFT(AQ294,9)="CONFIRMED",INDEX('12_sales_person_confirmation'!$F:$F,MATCH($A294,'12_sales_person_confirmation'!$A:$A,0)),""))</f>
        <v/>
      </c>
      <c r="AS294" s="2">
        <f>IF(AR294="","",INDEX('11_3nf_sales_person'!$B:$B,MATCH(AR294,'11_3nf_sales_person'!$A:$A,0)))</f>
        <v/>
      </c>
    </row>
    <row r="295">
      <c r="A295" s="2">
        <f>IF(ISBLANK('1_raw_log'!A295),"",'1_raw_log'!A295)</f>
        <v/>
      </c>
      <c r="B295" s="3">
        <f>IF(ISBLANK('1_raw_log'!B295),"",'1_raw_log'!B295)</f>
        <v/>
      </c>
      <c r="C295" s="2">
        <f>IF(ISBLANK('1_raw_log'!C295),"",'1_raw_log'!C295)</f>
        <v/>
      </c>
      <c r="D295" s="2">
        <f>IF(ISBLANK('1_raw_log'!D295),"",'1_raw_log'!D295)</f>
        <v/>
      </c>
      <c r="E295" s="4">
        <f>IF(ISBLANK('1_raw_log'!E295),"",'1_raw_log'!E295)</f>
        <v/>
      </c>
      <c r="F295" s="2">
        <f>IF(ISBLANK('1_raw_log'!F295),"",'1_raw_log'!F295)</f>
        <v/>
      </c>
      <c r="G295" s="2">
        <f>IF(ISBLANK('1_raw_log'!G295),"",'1_raw_log'!G295)</f>
        <v/>
      </c>
      <c r="H295" s="2">
        <f>IF(ISBLANK('1_raw_log'!H295),"",'1_raw_log'!H295)</f>
        <v/>
      </c>
      <c r="I295" s="7">
        <f>IF(ISBLANK('1_raw_log'!I295),"",'1_raw_log'!I295)</f>
        <v/>
      </c>
      <c r="J295" s="2">
        <f>IF(ISBLANK('1_raw_log'!J295),"",'1_raw_log'!J295)</f>
        <v/>
      </c>
      <c r="K295" s="2">
        <f>IF(ISBLANK('1_raw_log'!K295),"",'1_raw_log'!K295)</f>
        <v/>
      </c>
      <c r="L295" s="30">
        <f>INT(B295)</f>
        <v/>
      </c>
      <c r="M295" s="20">
        <f>ROUND(MOD(B295,1)*1440,0)/1440</f>
        <v/>
      </c>
      <c r="N295" s="4">
        <f>IFERROR(INDEX('3_ref_date'!$B:$B,MATCH(L295,'3_ref_date'!$A:$A,0)),"NOT FOUND")</f>
        <v/>
      </c>
      <c r="O295" s="2">
        <f>IFERROR(INDEX('3_ref_date'!$C:$C,MATCH(L295,'3_ref_date'!$A:$A,0)),"NOT FOUND")</f>
        <v/>
      </c>
      <c r="P295" s="4">
        <f>IFERROR(INDEX('3_ref_date'!$D:$D,MATCH(L295,'3_ref_date'!$A:$A,0)),"NOT FOUND")</f>
        <v/>
      </c>
      <c r="Q295" s="4">
        <f>IFERROR(INDEX('3_ref_date'!$E:$E,MATCH(L295,'3_ref_date'!$A:$A,0)),"NOT FOUND")</f>
        <v/>
      </c>
      <c r="R295" s="2">
        <f>IFERROR(INDEX('3_ref_date'!$F:$F,MATCH(L295,'3_ref_date'!$A:$A,0)),"NOT FOUND")</f>
        <v/>
      </c>
      <c r="S295" s="2">
        <f>IFERROR(INDEX('4_ref_time'!$D:$D,MATCH(ROUND(M295*1440,0),'4_ref_time'!$A:$A,0)),"NOT FOUND")</f>
        <v/>
      </c>
      <c r="T295" s="2">
        <f>UPPER(TRIM(C295))</f>
        <v/>
      </c>
      <c r="U295" s="30">
        <f>IF(_xlfn.MAXIFS('6_3nf_branch_history'!$B$2:$B$50,'6_3nf_branch_history'!$A$2:$A$50,T295,'6_3nf_branch_history'!$B$2:$B$50,"&lt;="&amp;L295)=0,"NOT FOUND",_xlfn.MAXIFS('6_3nf_branch_history'!$B$2:$B$50,'6_3nf_branch_history'!$A$2:$A$50,T295,'6_3nf_branch_history'!$B$2:$B$50,"&lt;="&amp;L295))</f>
        <v/>
      </c>
      <c r="V295" s="2">
        <f>IF(U295="NOT FOUND","NOT FOUND",INDEX('6_3nf_branch_history'!$C:$C,SUMPRODUCT(('6_3nf_branch_history'!$A$2:$A$50=T295)*('6_3nf_branch_history'!$B$2:$B$50=U295)*ROW('6_3nf_branch_history'!$A$2:$A$50))))</f>
        <v/>
      </c>
      <c r="W295" s="2">
        <f>IF(U295="NOT FOUND","NOT FOUND",INDEX('6_3nf_branch_history'!$D:$D,SUMPRODUCT(('6_3nf_branch_history'!$A$2:$A$50=T295)*('6_3nf_branch_history'!$B$2:$B$50=U295)*ROW('6_3nf_branch_history'!$A$2:$A$50))))</f>
        <v/>
      </c>
      <c r="X295" s="2">
        <f>IF(U295="NOT FOUND","NOT FOUND",INDEX('6_3nf_branch_history'!$E:$E,SUMPRODUCT(('6_3nf_branch_history'!$A$2:$A$50=T295)*('6_3nf_branch_history'!$B$2:$B$50=U295)*ROW('6_3nf_branch_history'!$A$2:$A$50))))</f>
        <v/>
      </c>
      <c r="Y295" s="2">
        <f>UPPER(TRIM(D295))</f>
        <v/>
      </c>
      <c r="Z295" s="2">
        <f>IFERROR(INDEX('7_3nf_product'!$B:$B,MATCH(Y295,'7_3nf_product'!$A:$A,0)),"NOT FOUND")</f>
        <v/>
      </c>
      <c r="AA295" s="2">
        <f>IFERROR(INDEX('7_3nf_product'!$C:$C,MATCH(Y295,'7_3nf_product'!$A:$A,0)),"NOT FOUND")</f>
        <v/>
      </c>
      <c r="AB295" s="2">
        <f>IFERROR(INDEX('7_3nf_product'!$D:$D,MATCH(Y295,'7_3nf_product'!$A:$A,0)),"NOT FOUND")</f>
        <v/>
      </c>
      <c r="AC295" s="6">
        <f>IFERROR(INDEX('7_3nf_product'!$E:$E,MATCH(Y295,'7_3nf_product'!$A:$A,0)),"NOT FOUND")</f>
        <v/>
      </c>
      <c r="AD295" s="33">
        <f>IF(LEN(TRIM(E295))=10,TRIM(E295),IF(LEN(TRIM(E295))=8,"00"&amp;TRIM(E295),"CHECK"))</f>
        <v/>
      </c>
      <c r="AE295" s="2">
        <f>IFERROR(INDEX('8_3nf_customer'!$C:$C,MATCH(AD295,'8_3nf_customer'!$B:$B,0)),"NOT FOUND")</f>
        <v/>
      </c>
      <c r="AF295" s="30">
        <f>IFERROR(INDEX('8_3nf_customer'!$D:$D,MATCH(AD295,'8_3nf_customer'!$B:$B,0)),"NOT FOUND")</f>
        <v/>
      </c>
      <c r="AG295" s="4">
        <f>IF(ISNUMBER(AF295),DATEDIF(AF295,L295,"y"),"NOT FOUND")</f>
        <v/>
      </c>
      <c r="AH295" s="2">
        <f>IFERROR(INDEX('8_3nf_customer'!$E:$E,MATCH(AD295,'8_3nf_customer'!$B:$B,0)),"NOT FOUND")</f>
        <v/>
      </c>
      <c r="AI295" s="30">
        <f>IF(_xlfn.MAXIFS('9_3nf_customer_history'!$B$2:$B$500,'9_3nf_customer_history'!$A$2:$A$500,AD295,'9_3nf_customer_history'!$B$2:$B$500,"&lt;="&amp;L295)=0,"NOT FOUND",_xlfn.MAXIFS('9_3nf_customer_history'!$B$2:$B$500,'9_3nf_customer_history'!$A$2:$A$500,AD295,'9_3nf_customer_history'!$B$2:$B$500,"&lt;="&amp;L295))</f>
        <v/>
      </c>
      <c r="AJ295" s="2">
        <f>IF(AI295="NOT FOUND","NOT FOUND",INDEX('9_3nf_customer_history'!$C:$C,SUMPRODUCT(('9_3nf_customer_history'!$A$2:$A$500=AD295)*('9_3nf_customer_history'!$B$2:$B$500=AI295)*ROW('9_3nf_customer_history'!$A$2:$A$500))))</f>
        <v/>
      </c>
      <c r="AK295" s="2">
        <f>IF(AI295="NOT FOUND","NOT FOUND",INDEX('9_3nf_customer_history'!$D:$D,SUMPRODUCT(('9_3nf_customer_history'!$A$2:$A$500=AD295)*('9_3nf_customer_history'!$B$2:$B$500=AI295)*ROW('9_3nf_customer_history'!$A$2:$A$500))))</f>
        <v/>
      </c>
      <c r="AL295" s="2">
        <f>UPPER(TRIM(H295))</f>
        <v/>
      </c>
      <c r="AM295" s="30">
        <f>IF(_xlfn.MAXIFS('10_ref_fx_rate'!$B$2:$B$2000,'10_ref_fx_rate'!$A$2:$A$2000,AL295,'10_ref_fx_rate'!$B$2:$B$2000,"&lt;="&amp;L295)=0,"NOT FOUND",_xlfn.MAXIFS('10_ref_fx_rate'!$B$2:$B$2000,'10_ref_fx_rate'!$A$2:$A$2000,AL295,'10_ref_fx_rate'!$B$2:$B$2000,"&lt;="&amp;L295))</f>
        <v/>
      </c>
      <c r="AN295" s="8">
        <f>IF(AM295="NOT FOUND","NOT FOUND",SUMIFS('10_ref_fx_rate'!$D$2:$D$2000,'10_ref_fx_rate'!$A$2:$A$2000,AL295,'10_ref_fx_rate'!$B$2:$B$2000,AM295))</f>
        <v/>
      </c>
      <c r="AO295" s="37">
        <f>IF(ISNUMBER(AN295),I295*AN295,"NOT FOUND")</f>
        <v/>
      </c>
      <c r="AP295" s="2">
        <f>UPPER(TRIM(J295))</f>
        <v/>
      </c>
      <c r="AQ295" s="2">
        <f>IF(AP295="","SELF-DIRECTED",IF(ISNUMBER(MATCH(AP295,'11_3nf_sales_person'!$A:$A,0)),IF(EXACT(AP295,J295),"OK","OK (auto-fixed)"),IF(ISNA(MATCH($A295,'12_sales_person_confirmation'!$A:$A,0)),"CONFIRM (not logged)",IF(INDEX('12_sales_person_confirmation'!$I:$I,MATCH($A295,'12_sales_person_confirmation'!$A:$A,0))="CONFIRMED","CONFIRMED ("&amp;LOWER(INDEX('12_sales_person_confirmation'!$E:$E,MATCH($A295,'12_sales_person_confirmation'!$A:$A,0)))&amp;")","PENDING CONFIRM"))))</f>
        <v/>
      </c>
      <c r="AR295" s="2">
        <f>IF(OR(AQ295="OK",AQ295="OK (auto-fixed)"),AP295,IF(LEFT(AQ295,9)="CONFIRMED",INDEX('12_sales_person_confirmation'!$F:$F,MATCH($A295,'12_sales_person_confirmation'!$A:$A,0)),""))</f>
        <v/>
      </c>
      <c r="AS295" s="2">
        <f>IF(AR295="","",INDEX('11_3nf_sales_person'!$B:$B,MATCH(AR295,'11_3nf_sales_person'!$A:$A,0)))</f>
        <v/>
      </c>
    </row>
    <row r="296">
      <c r="A296" s="2">
        <f>IF(ISBLANK('1_raw_log'!A296),"",'1_raw_log'!A296)</f>
        <v/>
      </c>
      <c r="B296" s="3">
        <f>IF(ISBLANK('1_raw_log'!B296),"",'1_raw_log'!B296)</f>
        <v/>
      </c>
      <c r="C296" s="2">
        <f>IF(ISBLANK('1_raw_log'!C296),"",'1_raw_log'!C296)</f>
        <v/>
      </c>
      <c r="D296" s="2">
        <f>IF(ISBLANK('1_raw_log'!D296),"",'1_raw_log'!D296)</f>
        <v/>
      </c>
      <c r="E296" s="4">
        <f>IF(ISBLANK('1_raw_log'!E296),"",'1_raw_log'!E296)</f>
        <v/>
      </c>
      <c r="F296" s="2">
        <f>IF(ISBLANK('1_raw_log'!F296),"",'1_raw_log'!F296)</f>
        <v/>
      </c>
      <c r="G296" s="2">
        <f>IF(ISBLANK('1_raw_log'!G296),"",'1_raw_log'!G296)</f>
        <v/>
      </c>
      <c r="H296" s="2">
        <f>IF(ISBLANK('1_raw_log'!H296),"",'1_raw_log'!H296)</f>
        <v/>
      </c>
      <c r="I296" s="7">
        <f>IF(ISBLANK('1_raw_log'!I296),"",'1_raw_log'!I296)</f>
        <v/>
      </c>
      <c r="J296" s="2">
        <f>IF(ISBLANK('1_raw_log'!J296),"",'1_raw_log'!J296)</f>
        <v/>
      </c>
      <c r="K296" s="2">
        <f>IF(ISBLANK('1_raw_log'!K296),"",'1_raw_log'!K296)</f>
        <v/>
      </c>
      <c r="L296" s="30">
        <f>INT(B296)</f>
        <v/>
      </c>
      <c r="M296" s="20">
        <f>ROUND(MOD(B296,1)*1440,0)/1440</f>
        <v/>
      </c>
      <c r="N296" s="4">
        <f>IFERROR(INDEX('3_ref_date'!$B:$B,MATCH(L296,'3_ref_date'!$A:$A,0)),"NOT FOUND")</f>
        <v/>
      </c>
      <c r="O296" s="2">
        <f>IFERROR(INDEX('3_ref_date'!$C:$C,MATCH(L296,'3_ref_date'!$A:$A,0)),"NOT FOUND")</f>
        <v/>
      </c>
      <c r="P296" s="4">
        <f>IFERROR(INDEX('3_ref_date'!$D:$D,MATCH(L296,'3_ref_date'!$A:$A,0)),"NOT FOUND")</f>
        <v/>
      </c>
      <c r="Q296" s="4">
        <f>IFERROR(INDEX('3_ref_date'!$E:$E,MATCH(L296,'3_ref_date'!$A:$A,0)),"NOT FOUND")</f>
        <v/>
      </c>
      <c r="R296" s="2">
        <f>IFERROR(INDEX('3_ref_date'!$F:$F,MATCH(L296,'3_ref_date'!$A:$A,0)),"NOT FOUND")</f>
        <v/>
      </c>
      <c r="S296" s="2">
        <f>IFERROR(INDEX('4_ref_time'!$D:$D,MATCH(ROUND(M296*1440,0),'4_ref_time'!$A:$A,0)),"NOT FOUND")</f>
        <v/>
      </c>
      <c r="T296" s="2">
        <f>UPPER(TRIM(C296))</f>
        <v/>
      </c>
      <c r="U296" s="30">
        <f>IF(_xlfn.MAXIFS('6_3nf_branch_history'!$B$2:$B$50,'6_3nf_branch_history'!$A$2:$A$50,T296,'6_3nf_branch_history'!$B$2:$B$50,"&lt;="&amp;L296)=0,"NOT FOUND",_xlfn.MAXIFS('6_3nf_branch_history'!$B$2:$B$50,'6_3nf_branch_history'!$A$2:$A$50,T296,'6_3nf_branch_history'!$B$2:$B$50,"&lt;="&amp;L296))</f>
        <v/>
      </c>
      <c r="V296" s="2">
        <f>IF(U296="NOT FOUND","NOT FOUND",INDEX('6_3nf_branch_history'!$C:$C,SUMPRODUCT(('6_3nf_branch_history'!$A$2:$A$50=T296)*('6_3nf_branch_history'!$B$2:$B$50=U296)*ROW('6_3nf_branch_history'!$A$2:$A$50))))</f>
        <v/>
      </c>
      <c r="W296" s="2">
        <f>IF(U296="NOT FOUND","NOT FOUND",INDEX('6_3nf_branch_history'!$D:$D,SUMPRODUCT(('6_3nf_branch_history'!$A$2:$A$50=T296)*('6_3nf_branch_history'!$B$2:$B$50=U296)*ROW('6_3nf_branch_history'!$A$2:$A$50))))</f>
        <v/>
      </c>
      <c r="X296" s="2">
        <f>IF(U296="NOT FOUND","NOT FOUND",INDEX('6_3nf_branch_history'!$E:$E,SUMPRODUCT(('6_3nf_branch_history'!$A$2:$A$50=T296)*('6_3nf_branch_history'!$B$2:$B$50=U296)*ROW('6_3nf_branch_history'!$A$2:$A$50))))</f>
        <v/>
      </c>
      <c r="Y296" s="2">
        <f>UPPER(TRIM(D296))</f>
        <v/>
      </c>
      <c r="Z296" s="2">
        <f>IFERROR(INDEX('7_3nf_product'!$B:$B,MATCH(Y296,'7_3nf_product'!$A:$A,0)),"NOT FOUND")</f>
        <v/>
      </c>
      <c r="AA296" s="2">
        <f>IFERROR(INDEX('7_3nf_product'!$C:$C,MATCH(Y296,'7_3nf_product'!$A:$A,0)),"NOT FOUND")</f>
        <v/>
      </c>
      <c r="AB296" s="2">
        <f>IFERROR(INDEX('7_3nf_product'!$D:$D,MATCH(Y296,'7_3nf_product'!$A:$A,0)),"NOT FOUND")</f>
        <v/>
      </c>
      <c r="AC296" s="6">
        <f>IFERROR(INDEX('7_3nf_product'!$E:$E,MATCH(Y296,'7_3nf_product'!$A:$A,0)),"NOT FOUND")</f>
        <v/>
      </c>
      <c r="AD296" s="33">
        <f>IF(LEN(TRIM(E296))=10,TRIM(E296),IF(LEN(TRIM(E296))=8,"00"&amp;TRIM(E296),"CHECK"))</f>
        <v/>
      </c>
      <c r="AE296" s="2">
        <f>IFERROR(INDEX('8_3nf_customer'!$C:$C,MATCH(AD296,'8_3nf_customer'!$B:$B,0)),"NOT FOUND")</f>
        <v/>
      </c>
      <c r="AF296" s="30">
        <f>IFERROR(INDEX('8_3nf_customer'!$D:$D,MATCH(AD296,'8_3nf_customer'!$B:$B,0)),"NOT FOUND")</f>
        <v/>
      </c>
      <c r="AG296" s="4">
        <f>IF(ISNUMBER(AF296),DATEDIF(AF296,L296,"y"),"NOT FOUND")</f>
        <v/>
      </c>
      <c r="AH296" s="2">
        <f>IFERROR(INDEX('8_3nf_customer'!$E:$E,MATCH(AD296,'8_3nf_customer'!$B:$B,0)),"NOT FOUND")</f>
        <v/>
      </c>
      <c r="AI296" s="30">
        <f>IF(_xlfn.MAXIFS('9_3nf_customer_history'!$B$2:$B$500,'9_3nf_customer_history'!$A$2:$A$500,AD296,'9_3nf_customer_history'!$B$2:$B$500,"&lt;="&amp;L296)=0,"NOT FOUND",_xlfn.MAXIFS('9_3nf_customer_history'!$B$2:$B$500,'9_3nf_customer_history'!$A$2:$A$500,AD296,'9_3nf_customer_history'!$B$2:$B$500,"&lt;="&amp;L296))</f>
        <v/>
      </c>
      <c r="AJ296" s="2">
        <f>IF(AI296="NOT FOUND","NOT FOUND",INDEX('9_3nf_customer_history'!$C:$C,SUMPRODUCT(('9_3nf_customer_history'!$A$2:$A$500=AD296)*('9_3nf_customer_history'!$B$2:$B$500=AI296)*ROW('9_3nf_customer_history'!$A$2:$A$500))))</f>
        <v/>
      </c>
      <c r="AK296" s="2">
        <f>IF(AI296="NOT FOUND","NOT FOUND",INDEX('9_3nf_customer_history'!$D:$D,SUMPRODUCT(('9_3nf_customer_history'!$A$2:$A$500=AD296)*('9_3nf_customer_history'!$B$2:$B$500=AI296)*ROW('9_3nf_customer_history'!$A$2:$A$500))))</f>
        <v/>
      </c>
      <c r="AL296" s="2">
        <f>UPPER(TRIM(H296))</f>
        <v/>
      </c>
      <c r="AM296" s="30">
        <f>IF(_xlfn.MAXIFS('10_ref_fx_rate'!$B$2:$B$2000,'10_ref_fx_rate'!$A$2:$A$2000,AL296,'10_ref_fx_rate'!$B$2:$B$2000,"&lt;="&amp;L296)=0,"NOT FOUND",_xlfn.MAXIFS('10_ref_fx_rate'!$B$2:$B$2000,'10_ref_fx_rate'!$A$2:$A$2000,AL296,'10_ref_fx_rate'!$B$2:$B$2000,"&lt;="&amp;L296))</f>
        <v/>
      </c>
      <c r="AN296" s="8">
        <f>IF(AM296="NOT FOUND","NOT FOUND",SUMIFS('10_ref_fx_rate'!$D$2:$D$2000,'10_ref_fx_rate'!$A$2:$A$2000,AL296,'10_ref_fx_rate'!$B$2:$B$2000,AM296))</f>
        <v/>
      </c>
      <c r="AO296" s="37">
        <f>IF(ISNUMBER(AN296),I296*AN296,"NOT FOUND")</f>
        <v/>
      </c>
      <c r="AP296" s="2">
        <f>UPPER(TRIM(J296))</f>
        <v/>
      </c>
      <c r="AQ296" s="2">
        <f>IF(AP296="","SELF-DIRECTED",IF(ISNUMBER(MATCH(AP296,'11_3nf_sales_person'!$A:$A,0)),IF(EXACT(AP296,J296),"OK","OK (auto-fixed)"),IF(ISNA(MATCH($A296,'12_sales_person_confirmation'!$A:$A,0)),"CONFIRM (not logged)",IF(INDEX('12_sales_person_confirmation'!$I:$I,MATCH($A296,'12_sales_person_confirmation'!$A:$A,0))="CONFIRMED","CONFIRMED ("&amp;LOWER(INDEX('12_sales_person_confirmation'!$E:$E,MATCH($A296,'12_sales_person_confirmation'!$A:$A,0)))&amp;")","PENDING CONFIRM"))))</f>
        <v/>
      </c>
      <c r="AR296" s="2">
        <f>IF(OR(AQ296="OK",AQ296="OK (auto-fixed)"),AP296,IF(LEFT(AQ296,9)="CONFIRMED",INDEX('12_sales_person_confirmation'!$F:$F,MATCH($A296,'12_sales_person_confirmation'!$A:$A,0)),""))</f>
        <v/>
      </c>
      <c r="AS296" s="2">
        <f>IF(AR296="","",INDEX('11_3nf_sales_person'!$B:$B,MATCH(AR296,'11_3nf_sales_person'!$A:$A,0)))</f>
        <v/>
      </c>
    </row>
    <row r="297">
      <c r="A297" s="2">
        <f>IF(ISBLANK('1_raw_log'!A297),"",'1_raw_log'!A297)</f>
        <v/>
      </c>
      <c r="B297" s="3">
        <f>IF(ISBLANK('1_raw_log'!B297),"",'1_raw_log'!B297)</f>
        <v/>
      </c>
      <c r="C297" s="2">
        <f>IF(ISBLANK('1_raw_log'!C297),"",'1_raw_log'!C297)</f>
        <v/>
      </c>
      <c r="D297" s="2">
        <f>IF(ISBLANK('1_raw_log'!D297),"",'1_raw_log'!D297)</f>
        <v/>
      </c>
      <c r="E297" s="4">
        <f>IF(ISBLANK('1_raw_log'!E297),"",'1_raw_log'!E297)</f>
        <v/>
      </c>
      <c r="F297" s="2">
        <f>IF(ISBLANK('1_raw_log'!F297),"",'1_raw_log'!F297)</f>
        <v/>
      </c>
      <c r="G297" s="2">
        <f>IF(ISBLANK('1_raw_log'!G297),"",'1_raw_log'!G297)</f>
        <v/>
      </c>
      <c r="H297" s="2">
        <f>IF(ISBLANK('1_raw_log'!H297),"",'1_raw_log'!H297)</f>
        <v/>
      </c>
      <c r="I297" s="7">
        <f>IF(ISBLANK('1_raw_log'!I297),"",'1_raw_log'!I297)</f>
        <v/>
      </c>
      <c r="J297" s="2">
        <f>IF(ISBLANK('1_raw_log'!J297),"",'1_raw_log'!J297)</f>
        <v/>
      </c>
      <c r="K297" s="2">
        <f>IF(ISBLANK('1_raw_log'!K297),"",'1_raw_log'!K297)</f>
        <v/>
      </c>
      <c r="L297" s="30">
        <f>INT(B297)</f>
        <v/>
      </c>
      <c r="M297" s="20">
        <f>ROUND(MOD(B297,1)*1440,0)/1440</f>
        <v/>
      </c>
      <c r="N297" s="4">
        <f>IFERROR(INDEX('3_ref_date'!$B:$B,MATCH(L297,'3_ref_date'!$A:$A,0)),"NOT FOUND")</f>
        <v/>
      </c>
      <c r="O297" s="2">
        <f>IFERROR(INDEX('3_ref_date'!$C:$C,MATCH(L297,'3_ref_date'!$A:$A,0)),"NOT FOUND")</f>
        <v/>
      </c>
      <c r="P297" s="4">
        <f>IFERROR(INDEX('3_ref_date'!$D:$D,MATCH(L297,'3_ref_date'!$A:$A,0)),"NOT FOUND")</f>
        <v/>
      </c>
      <c r="Q297" s="4">
        <f>IFERROR(INDEX('3_ref_date'!$E:$E,MATCH(L297,'3_ref_date'!$A:$A,0)),"NOT FOUND")</f>
        <v/>
      </c>
      <c r="R297" s="2">
        <f>IFERROR(INDEX('3_ref_date'!$F:$F,MATCH(L297,'3_ref_date'!$A:$A,0)),"NOT FOUND")</f>
        <v/>
      </c>
      <c r="S297" s="2">
        <f>IFERROR(INDEX('4_ref_time'!$D:$D,MATCH(ROUND(M297*1440,0),'4_ref_time'!$A:$A,0)),"NOT FOUND")</f>
        <v/>
      </c>
      <c r="T297" s="2">
        <f>UPPER(TRIM(C297))</f>
        <v/>
      </c>
      <c r="U297" s="30">
        <f>IF(_xlfn.MAXIFS('6_3nf_branch_history'!$B$2:$B$50,'6_3nf_branch_history'!$A$2:$A$50,T297,'6_3nf_branch_history'!$B$2:$B$50,"&lt;="&amp;L297)=0,"NOT FOUND",_xlfn.MAXIFS('6_3nf_branch_history'!$B$2:$B$50,'6_3nf_branch_history'!$A$2:$A$50,T297,'6_3nf_branch_history'!$B$2:$B$50,"&lt;="&amp;L297))</f>
        <v/>
      </c>
      <c r="V297" s="2">
        <f>IF(U297="NOT FOUND","NOT FOUND",INDEX('6_3nf_branch_history'!$C:$C,SUMPRODUCT(('6_3nf_branch_history'!$A$2:$A$50=T297)*('6_3nf_branch_history'!$B$2:$B$50=U297)*ROW('6_3nf_branch_history'!$A$2:$A$50))))</f>
        <v/>
      </c>
      <c r="W297" s="2">
        <f>IF(U297="NOT FOUND","NOT FOUND",INDEX('6_3nf_branch_history'!$D:$D,SUMPRODUCT(('6_3nf_branch_history'!$A$2:$A$50=T297)*('6_3nf_branch_history'!$B$2:$B$50=U297)*ROW('6_3nf_branch_history'!$A$2:$A$50))))</f>
        <v/>
      </c>
      <c r="X297" s="2">
        <f>IF(U297="NOT FOUND","NOT FOUND",INDEX('6_3nf_branch_history'!$E:$E,SUMPRODUCT(('6_3nf_branch_history'!$A$2:$A$50=T297)*('6_3nf_branch_history'!$B$2:$B$50=U297)*ROW('6_3nf_branch_history'!$A$2:$A$50))))</f>
        <v/>
      </c>
      <c r="Y297" s="2">
        <f>UPPER(TRIM(D297))</f>
        <v/>
      </c>
      <c r="Z297" s="2">
        <f>IFERROR(INDEX('7_3nf_product'!$B:$B,MATCH(Y297,'7_3nf_product'!$A:$A,0)),"NOT FOUND")</f>
        <v/>
      </c>
      <c r="AA297" s="2">
        <f>IFERROR(INDEX('7_3nf_product'!$C:$C,MATCH(Y297,'7_3nf_product'!$A:$A,0)),"NOT FOUND")</f>
        <v/>
      </c>
      <c r="AB297" s="2">
        <f>IFERROR(INDEX('7_3nf_product'!$D:$D,MATCH(Y297,'7_3nf_product'!$A:$A,0)),"NOT FOUND")</f>
        <v/>
      </c>
      <c r="AC297" s="6">
        <f>IFERROR(INDEX('7_3nf_product'!$E:$E,MATCH(Y297,'7_3nf_product'!$A:$A,0)),"NOT FOUND")</f>
        <v/>
      </c>
      <c r="AD297" s="33">
        <f>IF(LEN(TRIM(E297))=10,TRIM(E297),IF(LEN(TRIM(E297))=8,"00"&amp;TRIM(E297),"CHECK"))</f>
        <v/>
      </c>
      <c r="AE297" s="2">
        <f>IFERROR(INDEX('8_3nf_customer'!$C:$C,MATCH(AD297,'8_3nf_customer'!$B:$B,0)),"NOT FOUND")</f>
        <v/>
      </c>
      <c r="AF297" s="30">
        <f>IFERROR(INDEX('8_3nf_customer'!$D:$D,MATCH(AD297,'8_3nf_customer'!$B:$B,0)),"NOT FOUND")</f>
        <v/>
      </c>
      <c r="AG297" s="4">
        <f>IF(ISNUMBER(AF297),DATEDIF(AF297,L297,"y"),"NOT FOUND")</f>
        <v/>
      </c>
      <c r="AH297" s="2">
        <f>IFERROR(INDEX('8_3nf_customer'!$E:$E,MATCH(AD297,'8_3nf_customer'!$B:$B,0)),"NOT FOUND")</f>
        <v/>
      </c>
      <c r="AI297" s="30">
        <f>IF(_xlfn.MAXIFS('9_3nf_customer_history'!$B$2:$B$500,'9_3nf_customer_history'!$A$2:$A$500,AD297,'9_3nf_customer_history'!$B$2:$B$500,"&lt;="&amp;L297)=0,"NOT FOUND",_xlfn.MAXIFS('9_3nf_customer_history'!$B$2:$B$500,'9_3nf_customer_history'!$A$2:$A$500,AD297,'9_3nf_customer_history'!$B$2:$B$500,"&lt;="&amp;L297))</f>
        <v/>
      </c>
      <c r="AJ297" s="2">
        <f>IF(AI297="NOT FOUND","NOT FOUND",INDEX('9_3nf_customer_history'!$C:$C,SUMPRODUCT(('9_3nf_customer_history'!$A$2:$A$500=AD297)*('9_3nf_customer_history'!$B$2:$B$500=AI297)*ROW('9_3nf_customer_history'!$A$2:$A$500))))</f>
        <v/>
      </c>
      <c r="AK297" s="2">
        <f>IF(AI297="NOT FOUND","NOT FOUND",INDEX('9_3nf_customer_history'!$D:$D,SUMPRODUCT(('9_3nf_customer_history'!$A$2:$A$500=AD297)*('9_3nf_customer_history'!$B$2:$B$500=AI297)*ROW('9_3nf_customer_history'!$A$2:$A$500))))</f>
        <v/>
      </c>
      <c r="AL297" s="2">
        <f>UPPER(TRIM(H297))</f>
        <v/>
      </c>
      <c r="AM297" s="30">
        <f>IF(_xlfn.MAXIFS('10_ref_fx_rate'!$B$2:$B$2000,'10_ref_fx_rate'!$A$2:$A$2000,AL297,'10_ref_fx_rate'!$B$2:$B$2000,"&lt;="&amp;L297)=0,"NOT FOUND",_xlfn.MAXIFS('10_ref_fx_rate'!$B$2:$B$2000,'10_ref_fx_rate'!$A$2:$A$2000,AL297,'10_ref_fx_rate'!$B$2:$B$2000,"&lt;="&amp;L297))</f>
        <v/>
      </c>
      <c r="AN297" s="8">
        <f>IF(AM297="NOT FOUND","NOT FOUND",SUMIFS('10_ref_fx_rate'!$D$2:$D$2000,'10_ref_fx_rate'!$A$2:$A$2000,AL297,'10_ref_fx_rate'!$B$2:$B$2000,AM297))</f>
        <v/>
      </c>
      <c r="AO297" s="37">
        <f>IF(ISNUMBER(AN297),I297*AN297,"NOT FOUND")</f>
        <v/>
      </c>
      <c r="AP297" s="2">
        <f>UPPER(TRIM(J297))</f>
        <v/>
      </c>
      <c r="AQ297" s="2">
        <f>IF(AP297="","SELF-DIRECTED",IF(ISNUMBER(MATCH(AP297,'11_3nf_sales_person'!$A:$A,0)),IF(EXACT(AP297,J297),"OK","OK (auto-fixed)"),IF(ISNA(MATCH($A297,'12_sales_person_confirmation'!$A:$A,0)),"CONFIRM (not logged)",IF(INDEX('12_sales_person_confirmation'!$I:$I,MATCH($A297,'12_sales_person_confirmation'!$A:$A,0))="CONFIRMED","CONFIRMED ("&amp;LOWER(INDEX('12_sales_person_confirmation'!$E:$E,MATCH($A297,'12_sales_person_confirmation'!$A:$A,0)))&amp;")","PENDING CONFIRM"))))</f>
        <v/>
      </c>
      <c r="AR297" s="2">
        <f>IF(OR(AQ297="OK",AQ297="OK (auto-fixed)"),AP297,IF(LEFT(AQ297,9)="CONFIRMED",INDEX('12_sales_person_confirmation'!$F:$F,MATCH($A297,'12_sales_person_confirmation'!$A:$A,0)),""))</f>
        <v/>
      </c>
      <c r="AS297" s="2">
        <f>IF(AR297="","",INDEX('11_3nf_sales_person'!$B:$B,MATCH(AR297,'11_3nf_sales_person'!$A:$A,0)))</f>
        <v/>
      </c>
    </row>
    <row r="298">
      <c r="A298" s="2">
        <f>IF(ISBLANK('1_raw_log'!A298),"",'1_raw_log'!A298)</f>
        <v/>
      </c>
      <c r="B298" s="3">
        <f>IF(ISBLANK('1_raw_log'!B298),"",'1_raw_log'!B298)</f>
        <v/>
      </c>
      <c r="C298" s="2">
        <f>IF(ISBLANK('1_raw_log'!C298),"",'1_raw_log'!C298)</f>
        <v/>
      </c>
      <c r="D298" s="2">
        <f>IF(ISBLANK('1_raw_log'!D298),"",'1_raw_log'!D298)</f>
        <v/>
      </c>
      <c r="E298" s="4">
        <f>IF(ISBLANK('1_raw_log'!E298),"",'1_raw_log'!E298)</f>
        <v/>
      </c>
      <c r="F298" s="2">
        <f>IF(ISBLANK('1_raw_log'!F298),"",'1_raw_log'!F298)</f>
        <v/>
      </c>
      <c r="G298" s="2">
        <f>IF(ISBLANK('1_raw_log'!G298),"",'1_raw_log'!G298)</f>
        <v/>
      </c>
      <c r="H298" s="2">
        <f>IF(ISBLANK('1_raw_log'!H298),"",'1_raw_log'!H298)</f>
        <v/>
      </c>
      <c r="I298" s="7">
        <f>IF(ISBLANK('1_raw_log'!I298),"",'1_raw_log'!I298)</f>
        <v/>
      </c>
      <c r="J298" s="2">
        <f>IF(ISBLANK('1_raw_log'!J298),"",'1_raw_log'!J298)</f>
        <v/>
      </c>
      <c r="K298" s="2">
        <f>IF(ISBLANK('1_raw_log'!K298),"",'1_raw_log'!K298)</f>
        <v/>
      </c>
      <c r="L298" s="30">
        <f>INT(B298)</f>
        <v/>
      </c>
      <c r="M298" s="20">
        <f>ROUND(MOD(B298,1)*1440,0)/1440</f>
        <v/>
      </c>
      <c r="N298" s="4">
        <f>IFERROR(INDEX('3_ref_date'!$B:$B,MATCH(L298,'3_ref_date'!$A:$A,0)),"NOT FOUND")</f>
        <v/>
      </c>
      <c r="O298" s="2">
        <f>IFERROR(INDEX('3_ref_date'!$C:$C,MATCH(L298,'3_ref_date'!$A:$A,0)),"NOT FOUND")</f>
        <v/>
      </c>
      <c r="P298" s="4">
        <f>IFERROR(INDEX('3_ref_date'!$D:$D,MATCH(L298,'3_ref_date'!$A:$A,0)),"NOT FOUND")</f>
        <v/>
      </c>
      <c r="Q298" s="4">
        <f>IFERROR(INDEX('3_ref_date'!$E:$E,MATCH(L298,'3_ref_date'!$A:$A,0)),"NOT FOUND")</f>
        <v/>
      </c>
      <c r="R298" s="2">
        <f>IFERROR(INDEX('3_ref_date'!$F:$F,MATCH(L298,'3_ref_date'!$A:$A,0)),"NOT FOUND")</f>
        <v/>
      </c>
      <c r="S298" s="2">
        <f>IFERROR(INDEX('4_ref_time'!$D:$D,MATCH(ROUND(M298*1440,0),'4_ref_time'!$A:$A,0)),"NOT FOUND")</f>
        <v/>
      </c>
      <c r="T298" s="2">
        <f>UPPER(TRIM(C298))</f>
        <v/>
      </c>
      <c r="U298" s="30">
        <f>IF(_xlfn.MAXIFS('6_3nf_branch_history'!$B$2:$B$50,'6_3nf_branch_history'!$A$2:$A$50,T298,'6_3nf_branch_history'!$B$2:$B$50,"&lt;="&amp;L298)=0,"NOT FOUND",_xlfn.MAXIFS('6_3nf_branch_history'!$B$2:$B$50,'6_3nf_branch_history'!$A$2:$A$50,T298,'6_3nf_branch_history'!$B$2:$B$50,"&lt;="&amp;L298))</f>
        <v/>
      </c>
      <c r="V298" s="2">
        <f>IF(U298="NOT FOUND","NOT FOUND",INDEX('6_3nf_branch_history'!$C:$C,SUMPRODUCT(('6_3nf_branch_history'!$A$2:$A$50=T298)*('6_3nf_branch_history'!$B$2:$B$50=U298)*ROW('6_3nf_branch_history'!$A$2:$A$50))))</f>
        <v/>
      </c>
      <c r="W298" s="2">
        <f>IF(U298="NOT FOUND","NOT FOUND",INDEX('6_3nf_branch_history'!$D:$D,SUMPRODUCT(('6_3nf_branch_history'!$A$2:$A$50=T298)*('6_3nf_branch_history'!$B$2:$B$50=U298)*ROW('6_3nf_branch_history'!$A$2:$A$50))))</f>
        <v/>
      </c>
      <c r="X298" s="2">
        <f>IF(U298="NOT FOUND","NOT FOUND",INDEX('6_3nf_branch_history'!$E:$E,SUMPRODUCT(('6_3nf_branch_history'!$A$2:$A$50=T298)*('6_3nf_branch_history'!$B$2:$B$50=U298)*ROW('6_3nf_branch_history'!$A$2:$A$50))))</f>
        <v/>
      </c>
      <c r="Y298" s="2">
        <f>UPPER(TRIM(D298))</f>
        <v/>
      </c>
      <c r="Z298" s="2">
        <f>IFERROR(INDEX('7_3nf_product'!$B:$B,MATCH(Y298,'7_3nf_product'!$A:$A,0)),"NOT FOUND")</f>
        <v/>
      </c>
      <c r="AA298" s="2">
        <f>IFERROR(INDEX('7_3nf_product'!$C:$C,MATCH(Y298,'7_3nf_product'!$A:$A,0)),"NOT FOUND")</f>
        <v/>
      </c>
      <c r="AB298" s="2">
        <f>IFERROR(INDEX('7_3nf_product'!$D:$D,MATCH(Y298,'7_3nf_product'!$A:$A,0)),"NOT FOUND")</f>
        <v/>
      </c>
      <c r="AC298" s="6">
        <f>IFERROR(INDEX('7_3nf_product'!$E:$E,MATCH(Y298,'7_3nf_product'!$A:$A,0)),"NOT FOUND")</f>
        <v/>
      </c>
      <c r="AD298" s="33">
        <f>IF(LEN(TRIM(E298))=10,TRIM(E298),IF(LEN(TRIM(E298))=8,"00"&amp;TRIM(E298),"CHECK"))</f>
        <v/>
      </c>
      <c r="AE298" s="2">
        <f>IFERROR(INDEX('8_3nf_customer'!$C:$C,MATCH(AD298,'8_3nf_customer'!$B:$B,0)),"NOT FOUND")</f>
        <v/>
      </c>
      <c r="AF298" s="30">
        <f>IFERROR(INDEX('8_3nf_customer'!$D:$D,MATCH(AD298,'8_3nf_customer'!$B:$B,0)),"NOT FOUND")</f>
        <v/>
      </c>
      <c r="AG298" s="4">
        <f>IF(ISNUMBER(AF298),DATEDIF(AF298,L298,"y"),"NOT FOUND")</f>
        <v/>
      </c>
      <c r="AH298" s="2">
        <f>IFERROR(INDEX('8_3nf_customer'!$E:$E,MATCH(AD298,'8_3nf_customer'!$B:$B,0)),"NOT FOUND")</f>
        <v/>
      </c>
      <c r="AI298" s="30">
        <f>IF(_xlfn.MAXIFS('9_3nf_customer_history'!$B$2:$B$500,'9_3nf_customer_history'!$A$2:$A$500,AD298,'9_3nf_customer_history'!$B$2:$B$500,"&lt;="&amp;L298)=0,"NOT FOUND",_xlfn.MAXIFS('9_3nf_customer_history'!$B$2:$B$500,'9_3nf_customer_history'!$A$2:$A$500,AD298,'9_3nf_customer_history'!$B$2:$B$500,"&lt;="&amp;L298))</f>
        <v/>
      </c>
      <c r="AJ298" s="2">
        <f>IF(AI298="NOT FOUND","NOT FOUND",INDEX('9_3nf_customer_history'!$C:$C,SUMPRODUCT(('9_3nf_customer_history'!$A$2:$A$500=AD298)*('9_3nf_customer_history'!$B$2:$B$500=AI298)*ROW('9_3nf_customer_history'!$A$2:$A$500))))</f>
        <v/>
      </c>
      <c r="AK298" s="2">
        <f>IF(AI298="NOT FOUND","NOT FOUND",INDEX('9_3nf_customer_history'!$D:$D,SUMPRODUCT(('9_3nf_customer_history'!$A$2:$A$500=AD298)*('9_3nf_customer_history'!$B$2:$B$500=AI298)*ROW('9_3nf_customer_history'!$A$2:$A$500))))</f>
        <v/>
      </c>
      <c r="AL298" s="2">
        <f>UPPER(TRIM(H298))</f>
        <v/>
      </c>
      <c r="AM298" s="30">
        <f>IF(_xlfn.MAXIFS('10_ref_fx_rate'!$B$2:$B$2000,'10_ref_fx_rate'!$A$2:$A$2000,AL298,'10_ref_fx_rate'!$B$2:$B$2000,"&lt;="&amp;L298)=0,"NOT FOUND",_xlfn.MAXIFS('10_ref_fx_rate'!$B$2:$B$2000,'10_ref_fx_rate'!$A$2:$A$2000,AL298,'10_ref_fx_rate'!$B$2:$B$2000,"&lt;="&amp;L298))</f>
        <v/>
      </c>
      <c r="AN298" s="8">
        <f>IF(AM298="NOT FOUND","NOT FOUND",SUMIFS('10_ref_fx_rate'!$D$2:$D$2000,'10_ref_fx_rate'!$A$2:$A$2000,AL298,'10_ref_fx_rate'!$B$2:$B$2000,AM298))</f>
        <v/>
      </c>
      <c r="AO298" s="37">
        <f>IF(ISNUMBER(AN298),I298*AN298,"NOT FOUND")</f>
        <v/>
      </c>
      <c r="AP298" s="2">
        <f>UPPER(TRIM(J298))</f>
        <v/>
      </c>
      <c r="AQ298" s="2">
        <f>IF(AP298="","SELF-DIRECTED",IF(ISNUMBER(MATCH(AP298,'11_3nf_sales_person'!$A:$A,0)),IF(EXACT(AP298,J298),"OK","OK (auto-fixed)"),IF(ISNA(MATCH($A298,'12_sales_person_confirmation'!$A:$A,0)),"CONFIRM (not logged)",IF(INDEX('12_sales_person_confirmation'!$I:$I,MATCH($A298,'12_sales_person_confirmation'!$A:$A,0))="CONFIRMED","CONFIRMED ("&amp;LOWER(INDEX('12_sales_person_confirmation'!$E:$E,MATCH($A298,'12_sales_person_confirmation'!$A:$A,0)))&amp;")","PENDING CONFIRM"))))</f>
        <v/>
      </c>
      <c r="AR298" s="2">
        <f>IF(OR(AQ298="OK",AQ298="OK (auto-fixed)"),AP298,IF(LEFT(AQ298,9)="CONFIRMED",INDEX('12_sales_person_confirmation'!$F:$F,MATCH($A298,'12_sales_person_confirmation'!$A:$A,0)),""))</f>
        <v/>
      </c>
      <c r="AS298" s="2">
        <f>IF(AR298="","",INDEX('11_3nf_sales_person'!$B:$B,MATCH(AR298,'11_3nf_sales_person'!$A:$A,0)))</f>
        <v/>
      </c>
    </row>
    <row r="299">
      <c r="A299" s="2">
        <f>IF(ISBLANK('1_raw_log'!A299),"",'1_raw_log'!A299)</f>
        <v/>
      </c>
      <c r="B299" s="3">
        <f>IF(ISBLANK('1_raw_log'!B299),"",'1_raw_log'!B299)</f>
        <v/>
      </c>
      <c r="C299" s="2">
        <f>IF(ISBLANK('1_raw_log'!C299),"",'1_raw_log'!C299)</f>
        <v/>
      </c>
      <c r="D299" s="2">
        <f>IF(ISBLANK('1_raw_log'!D299),"",'1_raw_log'!D299)</f>
        <v/>
      </c>
      <c r="E299" s="4">
        <f>IF(ISBLANK('1_raw_log'!E299),"",'1_raw_log'!E299)</f>
        <v/>
      </c>
      <c r="F299" s="2">
        <f>IF(ISBLANK('1_raw_log'!F299),"",'1_raw_log'!F299)</f>
        <v/>
      </c>
      <c r="G299" s="2">
        <f>IF(ISBLANK('1_raw_log'!G299),"",'1_raw_log'!G299)</f>
        <v/>
      </c>
      <c r="H299" s="2">
        <f>IF(ISBLANK('1_raw_log'!H299),"",'1_raw_log'!H299)</f>
        <v/>
      </c>
      <c r="I299" s="7">
        <f>IF(ISBLANK('1_raw_log'!I299),"",'1_raw_log'!I299)</f>
        <v/>
      </c>
      <c r="J299" s="2">
        <f>IF(ISBLANK('1_raw_log'!J299),"",'1_raw_log'!J299)</f>
        <v/>
      </c>
      <c r="K299" s="2">
        <f>IF(ISBLANK('1_raw_log'!K299),"",'1_raw_log'!K299)</f>
        <v/>
      </c>
      <c r="L299" s="30">
        <f>INT(B299)</f>
        <v/>
      </c>
      <c r="M299" s="20">
        <f>ROUND(MOD(B299,1)*1440,0)/1440</f>
        <v/>
      </c>
      <c r="N299" s="4">
        <f>IFERROR(INDEX('3_ref_date'!$B:$B,MATCH(L299,'3_ref_date'!$A:$A,0)),"NOT FOUND")</f>
        <v/>
      </c>
      <c r="O299" s="2">
        <f>IFERROR(INDEX('3_ref_date'!$C:$C,MATCH(L299,'3_ref_date'!$A:$A,0)),"NOT FOUND")</f>
        <v/>
      </c>
      <c r="P299" s="4">
        <f>IFERROR(INDEX('3_ref_date'!$D:$D,MATCH(L299,'3_ref_date'!$A:$A,0)),"NOT FOUND")</f>
        <v/>
      </c>
      <c r="Q299" s="4">
        <f>IFERROR(INDEX('3_ref_date'!$E:$E,MATCH(L299,'3_ref_date'!$A:$A,0)),"NOT FOUND")</f>
        <v/>
      </c>
      <c r="R299" s="2">
        <f>IFERROR(INDEX('3_ref_date'!$F:$F,MATCH(L299,'3_ref_date'!$A:$A,0)),"NOT FOUND")</f>
        <v/>
      </c>
      <c r="S299" s="2">
        <f>IFERROR(INDEX('4_ref_time'!$D:$D,MATCH(ROUND(M299*1440,0),'4_ref_time'!$A:$A,0)),"NOT FOUND")</f>
        <v/>
      </c>
      <c r="T299" s="2">
        <f>UPPER(TRIM(C299))</f>
        <v/>
      </c>
      <c r="U299" s="30">
        <f>IF(_xlfn.MAXIFS('6_3nf_branch_history'!$B$2:$B$50,'6_3nf_branch_history'!$A$2:$A$50,T299,'6_3nf_branch_history'!$B$2:$B$50,"&lt;="&amp;L299)=0,"NOT FOUND",_xlfn.MAXIFS('6_3nf_branch_history'!$B$2:$B$50,'6_3nf_branch_history'!$A$2:$A$50,T299,'6_3nf_branch_history'!$B$2:$B$50,"&lt;="&amp;L299))</f>
        <v/>
      </c>
      <c r="V299" s="2">
        <f>IF(U299="NOT FOUND","NOT FOUND",INDEX('6_3nf_branch_history'!$C:$C,SUMPRODUCT(('6_3nf_branch_history'!$A$2:$A$50=T299)*('6_3nf_branch_history'!$B$2:$B$50=U299)*ROW('6_3nf_branch_history'!$A$2:$A$50))))</f>
        <v/>
      </c>
      <c r="W299" s="2">
        <f>IF(U299="NOT FOUND","NOT FOUND",INDEX('6_3nf_branch_history'!$D:$D,SUMPRODUCT(('6_3nf_branch_history'!$A$2:$A$50=T299)*('6_3nf_branch_history'!$B$2:$B$50=U299)*ROW('6_3nf_branch_history'!$A$2:$A$50))))</f>
        <v/>
      </c>
      <c r="X299" s="2">
        <f>IF(U299="NOT FOUND","NOT FOUND",INDEX('6_3nf_branch_history'!$E:$E,SUMPRODUCT(('6_3nf_branch_history'!$A$2:$A$50=T299)*('6_3nf_branch_history'!$B$2:$B$50=U299)*ROW('6_3nf_branch_history'!$A$2:$A$50))))</f>
        <v/>
      </c>
      <c r="Y299" s="2">
        <f>UPPER(TRIM(D299))</f>
        <v/>
      </c>
      <c r="Z299" s="2">
        <f>IFERROR(INDEX('7_3nf_product'!$B:$B,MATCH(Y299,'7_3nf_product'!$A:$A,0)),"NOT FOUND")</f>
        <v/>
      </c>
      <c r="AA299" s="2">
        <f>IFERROR(INDEX('7_3nf_product'!$C:$C,MATCH(Y299,'7_3nf_product'!$A:$A,0)),"NOT FOUND")</f>
        <v/>
      </c>
      <c r="AB299" s="2">
        <f>IFERROR(INDEX('7_3nf_product'!$D:$D,MATCH(Y299,'7_3nf_product'!$A:$A,0)),"NOT FOUND")</f>
        <v/>
      </c>
      <c r="AC299" s="6">
        <f>IFERROR(INDEX('7_3nf_product'!$E:$E,MATCH(Y299,'7_3nf_product'!$A:$A,0)),"NOT FOUND")</f>
        <v/>
      </c>
      <c r="AD299" s="33">
        <f>IF(LEN(TRIM(E299))=10,TRIM(E299),IF(LEN(TRIM(E299))=8,"00"&amp;TRIM(E299),"CHECK"))</f>
        <v/>
      </c>
      <c r="AE299" s="2">
        <f>IFERROR(INDEX('8_3nf_customer'!$C:$C,MATCH(AD299,'8_3nf_customer'!$B:$B,0)),"NOT FOUND")</f>
        <v/>
      </c>
      <c r="AF299" s="30">
        <f>IFERROR(INDEX('8_3nf_customer'!$D:$D,MATCH(AD299,'8_3nf_customer'!$B:$B,0)),"NOT FOUND")</f>
        <v/>
      </c>
      <c r="AG299" s="4">
        <f>IF(ISNUMBER(AF299),DATEDIF(AF299,L299,"y"),"NOT FOUND")</f>
        <v/>
      </c>
      <c r="AH299" s="2">
        <f>IFERROR(INDEX('8_3nf_customer'!$E:$E,MATCH(AD299,'8_3nf_customer'!$B:$B,0)),"NOT FOUND")</f>
        <v/>
      </c>
      <c r="AI299" s="30">
        <f>IF(_xlfn.MAXIFS('9_3nf_customer_history'!$B$2:$B$500,'9_3nf_customer_history'!$A$2:$A$500,AD299,'9_3nf_customer_history'!$B$2:$B$500,"&lt;="&amp;L299)=0,"NOT FOUND",_xlfn.MAXIFS('9_3nf_customer_history'!$B$2:$B$500,'9_3nf_customer_history'!$A$2:$A$500,AD299,'9_3nf_customer_history'!$B$2:$B$500,"&lt;="&amp;L299))</f>
        <v/>
      </c>
      <c r="AJ299" s="2">
        <f>IF(AI299="NOT FOUND","NOT FOUND",INDEX('9_3nf_customer_history'!$C:$C,SUMPRODUCT(('9_3nf_customer_history'!$A$2:$A$500=AD299)*('9_3nf_customer_history'!$B$2:$B$500=AI299)*ROW('9_3nf_customer_history'!$A$2:$A$500))))</f>
        <v/>
      </c>
      <c r="AK299" s="2">
        <f>IF(AI299="NOT FOUND","NOT FOUND",INDEX('9_3nf_customer_history'!$D:$D,SUMPRODUCT(('9_3nf_customer_history'!$A$2:$A$500=AD299)*('9_3nf_customer_history'!$B$2:$B$500=AI299)*ROW('9_3nf_customer_history'!$A$2:$A$500))))</f>
        <v/>
      </c>
      <c r="AL299" s="2">
        <f>UPPER(TRIM(H299))</f>
        <v/>
      </c>
      <c r="AM299" s="30">
        <f>IF(_xlfn.MAXIFS('10_ref_fx_rate'!$B$2:$B$2000,'10_ref_fx_rate'!$A$2:$A$2000,AL299,'10_ref_fx_rate'!$B$2:$B$2000,"&lt;="&amp;L299)=0,"NOT FOUND",_xlfn.MAXIFS('10_ref_fx_rate'!$B$2:$B$2000,'10_ref_fx_rate'!$A$2:$A$2000,AL299,'10_ref_fx_rate'!$B$2:$B$2000,"&lt;="&amp;L299))</f>
        <v/>
      </c>
      <c r="AN299" s="8">
        <f>IF(AM299="NOT FOUND","NOT FOUND",SUMIFS('10_ref_fx_rate'!$D$2:$D$2000,'10_ref_fx_rate'!$A$2:$A$2000,AL299,'10_ref_fx_rate'!$B$2:$B$2000,AM299))</f>
        <v/>
      </c>
      <c r="AO299" s="37">
        <f>IF(ISNUMBER(AN299),I299*AN299,"NOT FOUND")</f>
        <v/>
      </c>
      <c r="AP299" s="2">
        <f>UPPER(TRIM(J299))</f>
        <v/>
      </c>
      <c r="AQ299" s="2">
        <f>IF(AP299="","SELF-DIRECTED",IF(ISNUMBER(MATCH(AP299,'11_3nf_sales_person'!$A:$A,0)),IF(EXACT(AP299,J299),"OK","OK (auto-fixed)"),IF(ISNA(MATCH($A299,'12_sales_person_confirmation'!$A:$A,0)),"CONFIRM (not logged)",IF(INDEX('12_sales_person_confirmation'!$I:$I,MATCH($A299,'12_sales_person_confirmation'!$A:$A,0))="CONFIRMED","CONFIRMED ("&amp;LOWER(INDEX('12_sales_person_confirmation'!$E:$E,MATCH($A299,'12_sales_person_confirmation'!$A:$A,0)))&amp;")","PENDING CONFIRM"))))</f>
        <v/>
      </c>
      <c r="AR299" s="2">
        <f>IF(OR(AQ299="OK",AQ299="OK (auto-fixed)"),AP299,IF(LEFT(AQ299,9)="CONFIRMED",INDEX('12_sales_person_confirmation'!$F:$F,MATCH($A299,'12_sales_person_confirmation'!$A:$A,0)),""))</f>
        <v/>
      </c>
      <c r="AS299" s="2">
        <f>IF(AR299="","",INDEX('11_3nf_sales_person'!$B:$B,MATCH(AR299,'11_3nf_sales_person'!$A:$A,0)))</f>
        <v/>
      </c>
    </row>
    <row r="300">
      <c r="A300" s="2">
        <f>IF(ISBLANK('1_raw_log'!A300),"",'1_raw_log'!A300)</f>
        <v/>
      </c>
      <c r="B300" s="3">
        <f>IF(ISBLANK('1_raw_log'!B300),"",'1_raw_log'!B300)</f>
        <v/>
      </c>
      <c r="C300" s="2">
        <f>IF(ISBLANK('1_raw_log'!C300),"",'1_raw_log'!C300)</f>
        <v/>
      </c>
      <c r="D300" s="2">
        <f>IF(ISBLANK('1_raw_log'!D300),"",'1_raw_log'!D300)</f>
        <v/>
      </c>
      <c r="E300" s="4">
        <f>IF(ISBLANK('1_raw_log'!E300),"",'1_raw_log'!E300)</f>
        <v/>
      </c>
      <c r="F300" s="2">
        <f>IF(ISBLANK('1_raw_log'!F300),"",'1_raw_log'!F300)</f>
        <v/>
      </c>
      <c r="G300" s="2">
        <f>IF(ISBLANK('1_raw_log'!G300),"",'1_raw_log'!G300)</f>
        <v/>
      </c>
      <c r="H300" s="2">
        <f>IF(ISBLANK('1_raw_log'!H300),"",'1_raw_log'!H300)</f>
        <v/>
      </c>
      <c r="I300" s="7">
        <f>IF(ISBLANK('1_raw_log'!I300),"",'1_raw_log'!I300)</f>
        <v/>
      </c>
      <c r="J300" s="2">
        <f>IF(ISBLANK('1_raw_log'!J300),"",'1_raw_log'!J300)</f>
        <v/>
      </c>
      <c r="K300" s="2">
        <f>IF(ISBLANK('1_raw_log'!K300),"",'1_raw_log'!K300)</f>
        <v/>
      </c>
      <c r="L300" s="30">
        <f>INT(B300)</f>
        <v/>
      </c>
      <c r="M300" s="20">
        <f>ROUND(MOD(B300,1)*1440,0)/1440</f>
        <v/>
      </c>
      <c r="N300" s="4">
        <f>IFERROR(INDEX('3_ref_date'!$B:$B,MATCH(L300,'3_ref_date'!$A:$A,0)),"NOT FOUND")</f>
        <v/>
      </c>
      <c r="O300" s="2">
        <f>IFERROR(INDEX('3_ref_date'!$C:$C,MATCH(L300,'3_ref_date'!$A:$A,0)),"NOT FOUND")</f>
        <v/>
      </c>
      <c r="P300" s="4">
        <f>IFERROR(INDEX('3_ref_date'!$D:$D,MATCH(L300,'3_ref_date'!$A:$A,0)),"NOT FOUND")</f>
        <v/>
      </c>
      <c r="Q300" s="4">
        <f>IFERROR(INDEX('3_ref_date'!$E:$E,MATCH(L300,'3_ref_date'!$A:$A,0)),"NOT FOUND")</f>
        <v/>
      </c>
      <c r="R300" s="2">
        <f>IFERROR(INDEX('3_ref_date'!$F:$F,MATCH(L300,'3_ref_date'!$A:$A,0)),"NOT FOUND")</f>
        <v/>
      </c>
      <c r="S300" s="2">
        <f>IFERROR(INDEX('4_ref_time'!$D:$D,MATCH(ROUND(M300*1440,0),'4_ref_time'!$A:$A,0)),"NOT FOUND")</f>
        <v/>
      </c>
      <c r="T300" s="2">
        <f>UPPER(TRIM(C300))</f>
        <v/>
      </c>
      <c r="U300" s="30">
        <f>IF(_xlfn.MAXIFS('6_3nf_branch_history'!$B$2:$B$50,'6_3nf_branch_history'!$A$2:$A$50,T300,'6_3nf_branch_history'!$B$2:$B$50,"&lt;="&amp;L300)=0,"NOT FOUND",_xlfn.MAXIFS('6_3nf_branch_history'!$B$2:$B$50,'6_3nf_branch_history'!$A$2:$A$50,T300,'6_3nf_branch_history'!$B$2:$B$50,"&lt;="&amp;L300))</f>
        <v/>
      </c>
      <c r="V300" s="2">
        <f>IF(U300="NOT FOUND","NOT FOUND",INDEX('6_3nf_branch_history'!$C:$C,SUMPRODUCT(('6_3nf_branch_history'!$A$2:$A$50=T300)*('6_3nf_branch_history'!$B$2:$B$50=U300)*ROW('6_3nf_branch_history'!$A$2:$A$50))))</f>
        <v/>
      </c>
      <c r="W300" s="2">
        <f>IF(U300="NOT FOUND","NOT FOUND",INDEX('6_3nf_branch_history'!$D:$D,SUMPRODUCT(('6_3nf_branch_history'!$A$2:$A$50=T300)*('6_3nf_branch_history'!$B$2:$B$50=U300)*ROW('6_3nf_branch_history'!$A$2:$A$50))))</f>
        <v/>
      </c>
      <c r="X300" s="2">
        <f>IF(U300="NOT FOUND","NOT FOUND",INDEX('6_3nf_branch_history'!$E:$E,SUMPRODUCT(('6_3nf_branch_history'!$A$2:$A$50=T300)*('6_3nf_branch_history'!$B$2:$B$50=U300)*ROW('6_3nf_branch_history'!$A$2:$A$50))))</f>
        <v/>
      </c>
      <c r="Y300" s="2">
        <f>UPPER(TRIM(D300))</f>
        <v/>
      </c>
      <c r="Z300" s="2">
        <f>IFERROR(INDEX('7_3nf_product'!$B:$B,MATCH(Y300,'7_3nf_product'!$A:$A,0)),"NOT FOUND")</f>
        <v/>
      </c>
      <c r="AA300" s="2">
        <f>IFERROR(INDEX('7_3nf_product'!$C:$C,MATCH(Y300,'7_3nf_product'!$A:$A,0)),"NOT FOUND")</f>
        <v/>
      </c>
      <c r="AB300" s="2">
        <f>IFERROR(INDEX('7_3nf_product'!$D:$D,MATCH(Y300,'7_3nf_product'!$A:$A,0)),"NOT FOUND")</f>
        <v/>
      </c>
      <c r="AC300" s="6">
        <f>IFERROR(INDEX('7_3nf_product'!$E:$E,MATCH(Y300,'7_3nf_product'!$A:$A,0)),"NOT FOUND")</f>
        <v/>
      </c>
      <c r="AD300" s="33">
        <f>IF(LEN(TRIM(E300))=10,TRIM(E300),IF(LEN(TRIM(E300))=8,"00"&amp;TRIM(E300),"CHECK"))</f>
        <v/>
      </c>
      <c r="AE300" s="2">
        <f>IFERROR(INDEX('8_3nf_customer'!$C:$C,MATCH(AD300,'8_3nf_customer'!$B:$B,0)),"NOT FOUND")</f>
        <v/>
      </c>
      <c r="AF300" s="30">
        <f>IFERROR(INDEX('8_3nf_customer'!$D:$D,MATCH(AD300,'8_3nf_customer'!$B:$B,0)),"NOT FOUND")</f>
        <v/>
      </c>
      <c r="AG300" s="4">
        <f>IF(ISNUMBER(AF300),DATEDIF(AF300,L300,"y"),"NOT FOUND")</f>
        <v/>
      </c>
      <c r="AH300" s="2">
        <f>IFERROR(INDEX('8_3nf_customer'!$E:$E,MATCH(AD300,'8_3nf_customer'!$B:$B,0)),"NOT FOUND")</f>
        <v/>
      </c>
      <c r="AI300" s="30">
        <f>IF(_xlfn.MAXIFS('9_3nf_customer_history'!$B$2:$B$500,'9_3nf_customer_history'!$A$2:$A$500,AD300,'9_3nf_customer_history'!$B$2:$B$500,"&lt;="&amp;L300)=0,"NOT FOUND",_xlfn.MAXIFS('9_3nf_customer_history'!$B$2:$B$500,'9_3nf_customer_history'!$A$2:$A$500,AD300,'9_3nf_customer_history'!$B$2:$B$500,"&lt;="&amp;L300))</f>
        <v/>
      </c>
      <c r="AJ300" s="2">
        <f>IF(AI300="NOT FOUND","NOT FOUND",INDEX('9_3nf_customer_history'!$C:$C,SUMPRODUCT(('9_3nf_customer_history'!$A$2:$A$500=AD300)*('9_3nf_customer_history'!$B$2:$B$500=AI300)*ROW('9_3nf_customer_history'!$A$2:$A$500))))</f>
        <v/>
      </c>
      <c r="AK300" s="2">
        <f>IF(AI300="NOT FOUND","NOT FOUND",INDEX('9_3nf_customer_history'!$D:$D,SUMPRODUCT(('9_3nf_customer_history'!$A$2:$A$500=AD300)*('9_3nf_customer_history'!$B$2:$B$500=AI300)*ROW('9_3nf_customer_history'!$A$2:$A$500))))</f>
        <v/>
      </c>
      <c r="AL300" s="2">
        <f>UPPER(TRIM(H300))</f>
        <v/>
      </c>
      <c r="AM300" s="30">
        <f>IF(_xlfn.MAXIFS('10_ref_fx_rate'!$B$2:$B$2000,'10_ref_fx_rate'!$A$2:$A$2000,AL300,'10_ref_fx_rate'!$B$2:$B$2000,"&lt;="&amp;L300)=0,"NOT FOUND",_xlfn.MAXIFS('10_ref_fx_rate'!$B$2:$B$2000,'10_ref_fx_rate'!$A$2:$A$2000,AL300,'10_ref_fx_rate'!$B$2:$B$2000,"&lt;="&amp;L300))</f>
        <v/>
      </c>
      <c r="AN300" s="8">
        <f>IF(AM300="NOT FOUND","NOT FOUND",SUMIFS('10_ref_fx_rate'!$D$2:$D$2000,'10_ref_fx_rate'!$A$2:$A$2000,AL300,'10_ref_fx_rate'!$B$2:$B$2000,AM300))</f>
        <v/>
      </c>
      <c r="AO300" s="37">
        <f>IF(ISNUMBER(AN300),I300*AN300,"NOT FOUND")</f>
        <v/>
      </c>
      <c r="AP300" s="2">
        <f>UPPER(TRIM(J300))</f>
        <v/>
      </c>
      <c r="AQ300" s="2">
        <f>IF(AP300="","SELF-DIRECTED",IF(ISNUMBER(MATCH(AP300,'11_3nf_sales_person'!$A:$A,0)),IF(EXACT(AP300,J300),"OK","OK (auto-fixed)"),IF(ISNA(MATCH($A300,'12_sales_person_confirmation'!$A:$A,0)),"CONFIRM (not logged)",IF(INDEX('12_sales_person_confirmation'!$I:$I,MATCH($A300,'12_sales_person_confirmation'!$A:$A,0))="CONFIRMED","CONFIRMED ("&amp;LOWER(INDEX('12_sales_person_confirmation'!$E:$E,MATCH($A300,'12_sales_person_confirmation'!$A:$A,0)))&amp;")","PENDING CONFIRM"))))</f>
        <v/>
      </c>
      <c r="AR300" s="2">
        <f>IF(OR(AQ300="OK",AQ300="OK (auto-fixed)"),AP300,IF(LEFT(AQ300,9)="CONFIRMED",INDEX('12_sales_person_confirmation'!$F:$F,MATCH($A300,'12_sales_person_confirmation'!$A:$A,0)),""))</f>
        <v/>
      </c>
      <c r="AS300" s="2">
        <f>IF(AR300="","",INDEX('11_3nf_sales_person'!$B:$B,MATCH(AR300,'11_3nf_sales_person'!$A:$A,0)))</f>
        <v/>
      </c>
    </row>
    <row r="301">
      <c r="A301" s="2">
        <f>IF(ISBLANK('1_raw_log'!A301),"",'1_raw_log'!A301)</f>
        <v/>
      </c>
      <c r="B301" s="3">
        <f>IF(ISBLANK('1_raw_log'!B301),"",'1_raw_log'!B301)</f>
        <v/>
      </c>
      <c r="C301" s="2">
        <f>IF(ISBLANK('1_raw_log'!C301),"",'1_raw_log'!C301)</f>
        <v/>
      </c>
      <c r="D301" s="2">
        <f>IF(ISBLANK('1_raw_log'!D301),"",'1_raw_log'!D301)</f>
        <v/>
      </c>
      <c r="E301" s="4">
        <f>IF(ISBLANK('1_raw_log'!E301),"",'1_raw_log'!E301)</f>
        <v/>
      </c>
      <c r="F301" s="2">
        <f>IF(ISBLANK('1_raw_log'!F301),"",'1_raw_log'!F301)</f>
        <v/>
      </c>
      <c r="G301" s="2">
        <f>IF(ISBLANK('1_raw_log'!G301),"",'1_raw_log'!G301)</f>
        <v/>
      </c>
      <c r="H301" s="2">
        <f>IF(ISBLANK('1_raw_log'!H301),"",'1_raw_log'!H301)</f>
        <v/>
      </c>
      <c r="I301" s="7">
        <f>IF(ISBLANK('1_raw_log'!I301),"",'1_raw_log'!I301)</f>
        <v/>
      </c>
      <c r="J301" s="2">
        <f>IF(ISBLANK('1_raw_log'!J301),"",'1_raw_log'!J301)</f>
        <v/>
      </c>
      <c r="K301" s="2">
        <f>IF(ISBLANK('1_raw_log'!K301),"",'1_raw_log'!K301)</f>
        <v/>
      </c>
      <c r="L301" s="30">
        <f>INT(B301)</f>
        <v/>
      </c>
      <c r="M301" s="20">
        <f>ROUND(MOD(B301,1)*1440,0)/1440</f>
        <v/>
      </c>
      <c r="N301" s="4">
        <f>IFERROR(INDEX('3_ref_date'!$B:$B,MATCH(L301,'3_ref_date'!$A:$A,0)),"NOT FOUND")</f>
        <v/>
      </c>
      <c r="O301" s="2">
        <f>IFERROR(INDEX('3_ref_date'!$C:$C,MATCH(L301,'3_ref_date'!$A:$A,0)),"NOT FOUND")</f>
        <v/>
      </c>
      <c r="P301" s="4">
        <f>IFERROR(INDEX('3_ref_date'!$D:$D,MATCH(L301,'3_ref_date'!$A:$A,0)),"NOT FOUND")</f>
        <v/>
      </c>
      <c r="Q301" s="4">
        <f>IFERROR(INDEX('3_ref_date'!$E:$E,MATCH(L301,'3_ref_date'!$A:$A,0)),"NOT FOUND")</f>
        <v/>
      </c>
      <c r="R301" s="2">
        <f>IFERROR(INDEX('3_ref_date'!$F:$F,MATCH(L301,'3_ref_date'!$A:$A,0)),"NOT FOUND")</f>
        <v/>
      </c>
      <c r="S301" s="2">
        <f>IFERROR(INDEX('4_ref_time'!$D:$D,MATCH(ROUND(M301*1440,0),'4_ref_time'!$A:$A,0)),"NOT FOUND")</f>
        <v/>
      </c>
      <c r="T301" s="2">
        <f>UPPER(TRIM(C301))</f>
        <v/>
      </c>
      <c r="U301" s="30">
        <f>IF(_xlfn.MAXIFS('6_3nf_branch_history'!$B$2:$B$50,'6_3nf_branch_history'!$A$2:$A$50,T301,'6_3nf_branch_history'!$B$2:$B$50,"&lt;="&amp;L301)=0,"NOT FOUND",_xlfn.MAXIFS('6_3nf_branch_history'!$B$2:$B$50,'6_3nf_branch_history'!$A$2:$A$50,T301,'6_3nf_branch_history'!$B$2:$B$50,"&lt;="&amp;L301))</f>
        <v/>
      </c>
      <c r="V301" s="2">
        <f>IF(U301="NOT FOUND","NOT FOUND",INDEX('6_3nf_branch_history'!$C:$C,SUMPRODUCT(('6_3nf_branch_history'!$A$2:$A$50=T301)*('6_3nf_branch_history'!$B$2:$B$50=U301)*ROW('6_3nf_branch_history'!$A$2:$A$50))))</f>
        <v/>
      </c>
      <c r="W301" s="2">
        <f>IF(U301="NOT FOUND","NOT FOUND",INDEX('6_3nf_branch_history'!$D:$D,SUMPRODUCT(('6_3nf_branch_history'!$A$2:$A$50=T301)*('6_3nf_branch_history'!$B$2:$B$50=U301)*ROW('6_3nf_branch_history'!$A$2:$A$50))))</f>
        <v/>
      </c>
      <c r="X301" s="2">
        <f>IF(U301="NOT FOUND","NOT FOUND",INDEX('6_3nf_branch_history'!$E:$E,SUMPRODUCT(('6_3nf_branch_history'!$A$2:$A$50=T301)*('6_3nf_branch_history'!$B$2:$B$50=U301)*ROW('6_3nf_branch_history'!$A$2:$A$50))))</f>
        <v/>
      </c>
      <c r="Y301" s="2">
        <f>UPPER(TRIM(D301))</f>
        <v/>
      </c>
      <c r="Z301" s="2">
        <f>IFERROR(INDEX('7_3nf_product'!$B:$B,MATCH(Y301,'7_3nf_product'!$A:$A,0)),"NOT FOUND")</f>
        <v/>
      </c>
      <c r="AA301" s="2">
        <f>IFERROR(INDEX('7_3nf_product'!$C:$C,MATCH(Y301,'7_3nf_product'!$A:$A,0)),"NOT FOUND")</f>
        <v/>
      </c>
      <c r="AB301" s="2">
        <f>IFERROR(INDEX('7_3nf_product'!$D:$D,MATCH(Y301,'7_3nf_product'!$A:$A,0)),"NOT FOUND")</f>
        <v/>
      </c>
      <c r="AC301" s="6">
        <f>IFERROR(INDEX('7_3nf_product'!$E:$E,MATCH(Y301,'7_3nf_product'!$A:$A,0)),"NOT FOUND")</f>
        <v/>
      </c>
      <c r="AD301" s="33">
        <f>IF(LEN(TRIM(E301))=10,TRIM(E301),IF(LEN(TRIM(E301))=8,"00"&amp;TRIM(E301),"CHECK"))</f>
        <v/>
      </c>
      <c r="AE301" s="2">
        <f>IFERROR(INDEX('8_3nf_customer'!$C:$C,MATCH(AD301,'8_3nf_customer'!$B:$B,0)),"NOT FOUND")</f>
        <v/>
      </c>
      <c r="AF301" s="30">
        <f>IFERROR(INDEX('8_3nf_customer'!$D:$D,MATCH(AD301,'8_3nf_customer'!$B:$B,0)),"NOT FOUND")</f>
        <v/>
      </c>
      <c r="AG301" s="4">
        <f>IF(ISNUMBER(AF301),DATEDIF(AF301,L301,"y"),"NOT FOUND")</f>
        <v/>
      </c>
      <c r="AH301" s="2">
        <f>IFERROR(INDEX('8_3nf_customer'!$E:$E,MATCH(AD301,'8_3nf_customer'!$B:$B,0)),"NOT FOUND")</f>
        <v/>
      </c>
      <c r="AI301" s="30">
        <f>IF(_xlfn.MAXIFS('9_3nf_customer_history'!$B$2:$B$500,'9_3nf_customer_history'!$A$2:$A$500,AD301,'9_3nf_customer_history'!$B$2:$B$500,"&lt;="&amp;L301)=0,"NOT FOUND",_xlfn.MAXIFS('9_3nf_customer_history'!$B$2:$B$500,'9_3nf_customer_history'!$A$2:$A$500,AD301,'9_3nf_customer_history'!$B$2:$B$500,"&lt;="&amp;L301))</f>
        <v/>
      </c>
      <c r="AJ301" s="2">
        <f>IF(AI301="NOT FOUND","NOT FOUND",INDEX('9_3nf_customer_history'!$C:$C,SUMPRODUCT(('9_3nf_customer_history'!$A$2:$A$500=AD301)*('9_3nf_customer_history'!$B$2:$B$500=AI301)*ROW('9_3nf_customer_history'!$A$2:$A$500))))</f>
        <v/>
      </c>
      <c r="AK301" s="2">
        <f>IF(AI301="NOT FOUND","NOT FOUND",INDEX('9_3nf_customer_history'!$D:$D,SUMPRODUCT(('9_3nf_customer_history'!$A$2:$A$500=AD301)*('9_3nf_customer_history'!$B$2:$B$500=AI301)*ROW('9_3nf_customer_history'!$A$2:$A$500))))</f>
        <v/>
      </c>
      <c r="AL301" s="2">
        <f>UPPER(TRIM(H301))</f>
        <v/>
      </c>
      <c r="AM301" s="30">
        <f>IF(_xlfn.MAXIFS('10_ref_fx_rate'!$B$2:$B$2000,'10_ref_fx_rate'!$A$2:$A$2000,AL301,'10_ref_fx_rate'!$B$2:$B$2000,"&lt;="&amp;L301)=0,"NOT FOUND",_xlfn.MAXIFS('10_ref_fx_rate'!$B$2:$B$2000,'10_ref_fx_rate'!$A$2:$A$2000,AL301,'10_ref_fx_rate'!$B$2:$B$2000,"&lt;="&amp;L301))</f>
        <v/>
      </c>
      <c r="AN301" s="8">
        <f>IF(AM301="NOT FOUND","NOT FOUND",SUMIFS('10_ref_fx_rate'!$D$2:$D$2000,'10_ref_fx_rate'!$A$2:$A$2000,AL301,'10_ref_fx_rate'!$B$2:$B$2000,AM301))</f>
        <v/>
      </c>
      <c r="AO301" s="37">
        <f>IF(ISNUMBER(AN301),I301*AN301,"NOT FOUND")</f>
        <v/>
      </c>
      <c r="AP301" s="2">
        <f>UPPER(TRIM(J301))</f>
        <v/>
      </c>
      <c r="AQ301" s="2">
        <f>IF(AP301="","SELF-DIRECTED",IF(ISNUMBER(MATCH(AP301,'11_3nf_sales_person'!$A:$A,0)),IF(EXACT(AP301,J301),"OK","OK (auto-fixed)"),IF(ISNA(MATCH($A301,'12_sales_person_confirmation'!$A:$A,0)),"CONFIRM (not logged)",IF(INDEX('12_sales_person_confirmation'!$I:$I,MATCH($A301,'12_sales_person_confirmation'!$A:$A,0))="CONFIRMED","CONFIRMED ("&amp;LOWER(INDEX('12_sales_person_confirmation'!$E:$E,MATCH($A301,'12_sales_person_confirmation'!$A:$A,0)))&amp;")","PENDING CONFIRM"))))</f>
        <v/>
      </c>
      <c r="AR301" s="2">
        <f>IF(OR(AQ301="OK",AQ301="OK (auto-fixed)"),AP301,IF(LEFT(AQ301,9)="CONFIRMED",INDEX('12_sales_person_confirmation'!$F:$F,MATCH($A301,'12_sales_person_confirmation'!$A:$A,0)),""))</f>
        <v/>
      </c>
      <c r="AS301" s="2">
        <f>IF(AR301="","",INDEX('11_3nf_sales_person'!$B:$B,MATCH(AR301,'11_3nf_sales_person'!$A:$A,0)))</f>
        <v/>
      </c>
    </row>
    <row r="302">
      <c r="A302" s="2">
        <f>IF(ISBLANK('1_raw_log'!A302),"",'1_raw_log'!A302)</f>
        <v/>
      </c>
      <c r="B302" s="3">
        <f>IF(ISBLANK('1_raw_log'!B302),"",'1_raw_log'!B302)</f>
        <v/>
      </c>
      <c r="C302" s="2">
        <f>IF(ISBLANK('1_raw_log'!C302),"",'1_raw_log'!C302)</f>
        <v/>
      </c>
      <c r="D302" s="2">
        <f>IF(ISBLANK('1_raw_log'!D302),"",'1_raw_log'!D302)</f>
        <v/>
      </c>
      <c r="E302" s="4">
        <f>IF(ISBLANK('1_raw_log'!E302),"",'1_raw_log'!E302)</f>
        <v/>
      </c>
      <c r="F302" s="2">
        <f>IF(ISBLANK('1_raw_log'!F302),"",'1_raw_log'!F302)</f>
        <v/>
      </c>
      <c r="G302" s="2">
        <f>IF(ISBLANK('1_raw_log'!G302),"",'1_raw_log'!G302)</f>
        <v/>
      </c>
      <c r="H302" s="2">
        <f>IF(ISBLANK('1_raw_log'!H302),"",'1_raw_log'!H302)</f>
        <v/>
      </c>
      <c r="I302" s="7">
        <f>IF(ISBLANK('1_raw_log'!I302),"",'1_raw_log'!I302)</f>
        <v/>
      </c>
      <c r="J302" s="2">
        <f>IF(ISBLANK('1_raw_log'!J302),"",'1_raw_log'!J302)</f>
        <v/>
      </c>
      <c r="K302" s="2">
        <f>IF(ISBLANK('1_raw_log'!K302),"",'1_raw_log'!K302)</f>
        <v/>
      </c>
      <c r="L302" s="30">
        <f>INT(B302)</f>
        <v/>
      </c>
      <c r="M302" s="20">
        <f>ROUND(MOD(B302,1)*1440,0)/1440</f>
        <v/>
      </c>
      <c r="N302" s="4">
        <f>IFERROR(INDEX('3_ref_date'!$B:$B,MATCH(L302,'3_ref_date'!$A:$A,0)),"NOT FOUND")</f>
        <v/>
      </c>
      <c r="O302" s="2">
        <f>IFERROR(INDEX('3_ref_date'!$C:$C,MATCH(L302,'3_ref_date'!$A:$A,0)),"NOT FOUND")</f>
        <v/>
      </c>
      <c r="P302" s="4">
        <f>IFERROR(INDEX('3_ref_date'!$D:$D,MATCH(L302,'3_ref_date'!$A:$A,0)),"NOT FOUND")</f>
        <v/>
      </c>
      <c r="Q302" s="4">
        <f>IFERROR(INDEX('3_ref_date'!$E:$E,MATCH(L302,'3_ref_date'!$A:$A,0)),"NOT FOUND")</f>
        <v/>
      </c>
      <c r="R302" s="2">
        <f>IFERROR(INDEX('3_ref_date'!$F:$F,MATCH(L302,'3_ref_date'!$A:$A,0)),"NOT FOUND")</f>
        <v/>
      </c>
      <c r="S302" s="2">
        <f>IFERROR(INDEX('4_ref_time'!$D:$D,MATCH(ROUND(M302*1440,0),'4_ref_time'!$A:$A,0)),"NOT FOUND")</f>
        <v/>
      </c>
      <c r="T302" s="2">
        <f>UPPER(TRIM(C302))</f>
        <v/>
      </c>
      <c r="U302" s="30">
        <f>IF(_xlfn.MAXIFS('6_3nf_branch_history'!$B$2:$B$50,'6_3nf_branch_history'!$A$2:$A$50,T302,'6_3nf_branch_history'!$B$2:$B$50,"&lt;="&amp;L302)=0,"NOT FOUND",_xlfn.MAXIFS('6_3nf_branch_history'!$B$2:$B$50,'6_3nf_branch_history'!$A$2:$A$50,T302,'6_3nf_branch_history'!$B$2:$B$50,"&lt;="&amp;L302))</f>
        <v/>
      </c>
      <c r="V302" s="2">
        <f>IF(U302="NOT FOUND","NOT FOUND",INDEX('6_3nf_branch_history'!$C:$C,SUMPRODUCT(('6_3nf_branch_history'!$A$2:$A$50=T302)*('6_3nf_branch_history'!$B$2:$B$50=U302)*ROW('6_3nf_branch_history'!$A$2:$A$50))))</f>
        <v/>
      </c>
      <c r="W302" s="2">
        <f>IF(U302="NOT FOUND","NOT FOUND",INDEX('6_3nf_branch_history'!$D:$D,SUMPRODUCT(('6_3nf_branch_history'!$A$2:$A$50=T302)*('6_3nf_branch_history'!$B$2:$B$50=U302)*ROW('6_3nf_branch_history'!$A$2:$A$50))))</f>
        <v/>
      </c>
      <c r="X302" s="2">
        <f>IF(U302="NOT FOUND","NOT FOUND",INDEX('6_3nf_branch_history'!$E:$E,SUMPRODUCT(('6_3nf_branch_history'!$A$2:$A$50=T302)*('6_3nf_branch_history'!$B$2:$B$50=U302)*ROW('6_3nf_branch_history'!$A$2:$A$50))))</f>
        <v/>
      </c>
      <c r="Y302" s="2">
        <f>UPPER(TRIM(D302))</f>
        <v/>
      </c>
      <c r="Z302" s="2">
        <f>IFERROR(INDEX('7_3nf_product'!$B:$B,MATCH(Y302,'7_3nf_product'!$A:$A,0)),"NOT FOUND")</f>
        <v/>
      </c>
      <c r="AA302" s="2">
        <f>IFERROR(INDEX('7_3nf_product'!$C:$C,MATCH(Y302,'7_3nf_product'!$A:$A,0)),"NOT FOUND")</f>
        <v/>
      </c>
      <c r="AB302" s="2">
        <f>IFERROR(INDEX('7_3nf_product'!$D:$D,MATCH(Y302,'7_3nf_product'!$A:$A,0)),"NOT FOUND")</f>
        <v/>
      </c>
      <c r="AC302" s="6">
        <f>IFERROR(INDEX('7_3nf_product'!$E:$E,MATCH(Y302,'7_3nf_product'!$A:$A,0)),"NOT FOUND")</f>
        <v/>
      </c>
      <c r="AD302" s="33">
        <f>IF(LEN(TRIM(E302))=10,TRIM(E302),IF(LEN(TRIM(E302))=8,"00"&amp;TRIM(E302),"CHECK"))</f>
        <v/>
      </c>
      <c r="AE302" s="2">
        <f>IFERROR(INDEX('8_3nf_customer'!$C:$C,MATCH(AD302,'8_3nf_customer'!$B:$B,0)),"NOT FOUND")</f>
        <v/>
      </c>
      <c r="AF302" s="30">
        <f>IFERROR(INDEX('8_3nf_customer'!$D:$D,MATCH(AD302,'8_3nf_customer'!$B:$B,0)),"NOT FOUND")</f>
        <v/>
      </c>
      <c r="AG302" s="4">
        <f>IF(ISNUMBER(AF302),DATEDIF(AF302,L302,"y"),"NOT FOUND")</f>
        <v/>
      </c>
      <c r="AH302" s="2">
        <f>IFERROR(INDEX('8_3nf_customer'!$E:$E,MATCH(AD302,'8_3nf_customer'!$B:$B,0)),"NOT FOUND")</f>
        <v/>
      </c>
      <c r="AI302" s="30">
        <f>IF(_xlfn.MAXIFS('9_3nf_customer_history'!$B$2:$B$500,'9_3nf_customer_history'!$A$2:$A$500,AD302,'9_3nf_customer_history'!$B$2:$B$500,"&lt;="&amp;L302)=0,"NOT FOUND",_xlfn.MAXIFS('9_3nf_customer_history'!$B$2:$B$500,'9_3nf_customer_history'!$A$2:$A$500,AD302,'9_3nf_customer_history'!$B$2:$B$500,"&lt;="&amp;L302))</f>
        <v/>
      </c>
      <c r="AJ302" s="2">
        <f>IF(AI302="NOT FOUND","NOT FOUND",INDEX('9_3nf_customer_history'!$C:$C,SUMPRODUCT(('9_3nf_customer_history'!$A$2:$A$500=AD302)*('9_3nf_customer_history'!$B$2:$B$500=AI302)*ROW('9_3nf_customer_history'!$A$2:$A$500))))</f>
        <v/>
      </c>
      <c r="AK302" s="2">
        <f>IF(AI302="NOT FOUND","NOT FOUND",INDEX('9_3nf_customer_history'!$D:$D,SUMPRODUCT(('9_3nf_customer_history'!$A$2:$A$500=AD302)*('9_3nf_customer_history'!$B$2:$B$500=AI302)*ROW('9_3nf_customer_history'!$A$2:$A$500))))</f>
        <v/>
      </c>
      <c r="AL302" s="2">
        <f>UPPER(TRIM(H302))</f>
        <v/>
      </c>
      <c r="AM302" s="30">
        <f>IF(_xlfn.MAXIFS('10_ref_fx_rate'!$B$2:$B$2000,'10_ref_fx_rate'!$A$2:$A$2000,AL302,'10_ref_fx_rate'!$B$2:$B$2000,"&lt;="&amp;L302)=0,"NOT FOUND",_xlfn.MAXIFS('10_ref_fx_rate'!$B$2:$B$2000,'10_ref_fx_rate'!$A$2:$A$2000,AL302,'10_ref_fx_rate'!$B$2:$B$2000,"&lt;="&amp;L302))</f>
        <v/>
      </c>
      <c r="AN302" s="8">
        <f>IF(AM302="NOT FOUND","NOT FOUND",SUMIFS('10_ref_fx_rate'!$D$2:$D$2000,'10_ref_fx_rate'!$A$2:$A$2000,AL302,'10_ref_fx_rate'!$B$2:$B$2000,AM302))</f>
        <v/>
      </c>
      <c r="AO302" s="37">
        <f>IF(ISNUMBER(AN302),I302*AN302,"NOT FOUND")</f>
        <v/>
      </c>
      <c r="AP302" s="2">
        <f>UPPER(TRIM(J302))</f>
        <v/>
      </c>
      <c r="AQ302" s="2">
        <f>IF(AP302="","SELF-DIRECTED",IF(ISNUMBER(MATCH(AP302,'11_3nf_sales_person'!$A:$A,0)),IF(EXACT(AP302,J302),"OK","OK (auto-fixed)"),IF(ISNA(MATCH($A302,'12_sales_person_confirmation'!$A:$A,0)),"CONFIRM (not logged)",IF(INDEX('12_sales_person_confirmation'!$I:$I,MATCH($A302,'12_sales_person_confirmation'!$A:$A,0))="CONFIRMED","CONFIRMED ("&amp;LOWER(INDEX('12_sales_person_confirmation'!$E:$E,MATCH($A302,'12_sales_person_confirmation'!$A:$A,0)))&amp;")","PENDING CONFIRM"))))</f>
        <v/>
      </c>
      <c r="AR302" s="2">
        <f>IF(OR(AQ302="OK",AQ302="OK (auto-fixed)"),AP302,IF(LEFT(AQ302,9)="CONFIRMED",INDEX('12_sales_person_confirmation'!$F:$F,MATCH($A302,'12_sales_person_confirmation'!$A:$A,0)),""))</f>
        <v/>
      </c>
      <c r="AS302" s="2">
        <f>IF(AR302="","",INDEX('11_3nf_sales_person'!$B:$B,MATCH(AR302,'11_3nf_sales_person'!$A:$A,0)))</f>
        <v/>
      </c>
    </row>
    <row r="303">
      <c r="A303" s="2">
        <f>IF(ISBLANK('1_raw_log'!A303),"",'1_raw_log'!A303)</f>
        <v/>
      </c>
      <c r="B303" s="3">
        <f>IF(ISBLANK('1_raw_log'!B303),"",'1_raw_log'!B303)</f>
        <v/>
      </c>
      <c r="C303" s="2">
        <f>IF(ISBLANK('1_raw_log'!C303),"",'1_raw_log'!C303)</f>
        <v/>
      </c>
      <c r="D303" s="2">
        <f>IF(ISBLANK('1_raw_log'!D303),"",'1_raw_log'!D303)</f>
        <v/>
      </c>
      <c r="E303" s="4">
        <f>IF(ISBLANK('1_raw_log'!E303),"",'1_raw_log'!E303)</f>
        <v/>
      </c>
      <c r="F303" s="2">
        <f>IF(ISBLANK('1_raw_log'!F303),"",'1_raw_log'!F303)</f>
        <v/>
      </c>
      <c r="G303" s="2">
        <f>IF(ISBLANK('1_raw_log'!G303),"",'1_raw_log'!G303)</f>
        <v/>
      </c>
      <c r="H303" s="2">
        <f>IF(ISBLANK('1_raw_log'!H303),"",'1_raw_log'!H303)</f>
        <v/>
      </c>
      <c r="I303" s="7">
        <f>IF(ISBLANK('1_raw_log'!I303),"",'1_raw_log'!I303)</f>
        <v/>
      </c>
      <c r="J303" s="2">
        <f>IF(ISBLANK('1_raw_log'!J303),"",'1_raw_log'!J303)</f>
        <v/>
      </c>
      <c r="K303" s="2">
        <f>IF(ISBLANK('1_raw_log'!K303),"",'1_raw_log'!K303)</f>
        <v/>
      </c>
      <c r="L303" s="30">
        <f>INT(B303)</f>
        <v/>
      </c>
      <c r="M303" s="20">
        <f>ROUND(MOD(B303,1)*1440,0)/1440</f>
        <v/>
      </c>
      <c r="N303" s="4">
        <f>IFERROR(INDEX('3_ref_date'!$B:$B,MATCH(L303,'3_ref_date'!$A:$A,0)),"NOT FOUND")</f>
        <v/>
      </c>
      <c r="O303" s="2">
        <f>IFERROR(INDEX('3_ref_date'!$C:$C,MATCH(L303,'3_ref_date'!$A:$A,0)),"NOT FOUND")</f>
        <v/>
      </c>
      <c r="P303" s="4">
        <f>IFERROR(INDEX('3_ref_date'!$D:$D,MATCH(L303,'3_ref_date'!$A:$A,0)),"NOT FOUND")</f>
        <v/>
      </c>
      <c r="Q303" s="4">
        <f>IFERROR(INDEX('3_ref_date'!$E:$E,MATCH(L303,'3_ref_date'!$A:$A,0)),"NOT FOUND")</f>
        <v/>
      </c>
      <c r="R303" s="2">
        <f>IFERROR(INDEX('3_ref_date'!$F:$F,MATCH(L303,'3_ref_date'!$A:$A,0)),"NOT FOUND")</f>
        <v/>
      </c>
      <c r="S303" s="2">
        <f>IFERROR(INDEX('4_ref_time'!$D:$D,MATCH(ROUND(M303*1440,0),'4_ref_time'!$A:$A,0)),"NOT FOUND")</f>
        <v/>
      </c>
      <c r="T303" s="2">
        <f>UPPER(TRIM(C303))</f>
        <v/>
      </c>
      <c r="U303" s="30">
        <f>IF(_xlfn.MAXIFS('6_3nf_branch_history'!$B$2:$B$50,'6_3nf_branch_history'!$A$2:$A$50,T303,'6_3nf_branch_history'!$B$2:$B$50,"&lt;="&amp;L303)=0,"NOT FOUND",_xlfn.MAXIFS('6_3nf_branch_history'!$B$2:$B$50,'6_3nf_branch_history'!$A$2:$A$50,T303,'6_3nf_branch_history'!$B$2:$B$50,"&lt;="&amp;L303))</f>
        <v/>
      </c>
      <c r="V303" s="2">
        <f>IF(U303="NOT FOUND","NOT FOUND",INDEX('6_3nf_branch_history'!$C:$C,SUMPRODUCT(('6_3nf_branch_history'!$A$2:$A$50=T303)*('6_3nf_branch_history'!$B$2:$B$50=U303)*ROW('6_3nf_branch_history'!$A$2:$A$50))))</f>
        <v/>
      </c>
      <c r="W303" s="2">
        <f>IF(U303="NOT FOUND","NOT FOUND",INDEX('6_3nf_branch_history'!$D:$D,SUMPRODUCT(('6_3nf_branch_history'!$A$2:$A$50=T303)*('6_3nf_branch_history'!$B$2:$B$50=U303)*ROW('6_3nf_branch_history'!$A$2:$A$50))))</f>
        <v/>
      </c>
      <c r="X303" s="2">
        <f>IF(U303="NOT FOUND","NOT FOUND",INDEX('6_3nf_branch_history'!$E:$E,SUMPRODUCT(('6_3nf_branch_history'!$A$2:$A$50=T303)*('6_3nf_branch_history'!$B$2:$B$50=U303)*ROW('6_3nf_branch_history'!$A$2:$A$50))))</f>
        <v/>
      </c>
      <c r="Y303" s="2">
        <f>UPPER(TRIM(D303))</f>
        <v/>
      </c>
      <c r="Z303" s="2">
        <f>IFERROR(INDEX('7_3nf_product'!$B:$B,MATCH(Y303,'7_3nf_product'!$A:$A,0)),"NOT FOUND")</f>
        <v/>
      </c>
      <c r="AA303" s="2">
        <f>IFERROR(INDEX('7_3nf_product'!$C:$C,MATCH(Y303,'7_3nf_product'!$A:$A,0)),"NOT FOUND")</f>
        <v/>
      </c>
      <c r="AB303" s="2">
        <f>IFERROR(INDEX('7_3nf_product'!$D:$D,MATCH(Y303,'7_3nf_product'!$A:$A,0)),"NOT FOUND")</f>
        <v/>
      </c>
      <c r="AC303" s="6">
        <f>IFERROR(INDEX('7_3nf_product'!$E:$E,MATCH(Y303,'7_3nf_product'!$A:$A,0)),"NOT FOUND")</f>
        <v/>
      </c>
      <c r="AD303" s="33">
        <f>IF(LEN(TRIM(E303))=10,TRIM(E303),IF(LEN(TRIM(E303))=8,"00"&amp;TRIM(E303),"CHECK"))</f>
        <v/>
      </c>
      <c r="AE303" s="2">
        <f>IFERROR(INDEX('8_3nf_customer'!$C:$C,MATCH(AD303,'8_3nf_customer'!$B:$B,0)),"NOT FOUND")</f>
        <v/>
      </c>
      <c r="AF303" s="30">
        <f>IFERROR(INDEX('8_3nf_customer'!$D:$D,MATCH(AD303,'8_3nf_customer'!$B:$B,0)),"NOT FOUND")</f>
        <v/>
      </c>
      <c r="AG303" s="4">
        <f>IF(ISNUMBER(AF303),DATEDIF(AF303,L303,"y"),"NOT FOUND")</f>
        <v/>
      </c>
      <c r="AH303" s="2">
        <f>IFERROR(INDEX('8_3nf_customer'!$E:$E,MATCH(AD303,'8_3nf_customer'!$B:$B,0)),"NOT FOUND")</f>
        <v/>
      </c>
      <c r="AI303" s="30">
        <f>IF(_xlfn.MAXIFS('9_3nf_customer_history'!$B$2:$B$500,'9_3nf_customer_history'!$A$2:$A$500,AD303,'9_3nf_customer_history'!$B$2:$B$500,"&lt;="&amp;L303)=0,"NOT FOUND",_xlfn.MAXIFS('9_3nf_customer_history'!$B$2:$B$500,'9_3nf_customer_history'!$A$2:$A$500,AD303,'9_3nf_customer_history'!$B$2:$B$500,"&lt;="&amp;L303))</f>
        <v/>
      </c>
      <c r="AJ303" s="2">
        <f>IF(AI303="NOT FOUND","NOT FOUND",INDEX('9_3nf_customer_history'!$C:$C,SUMPRODUCT(('9_3nf_customer_history'!$A$2:$A$500=AD303)*('9_3nf_customer_history'!$B$2:$B$500=AI303)*ROW('9_3nf_customer_history'!$A$2:$A$500))))</f>
        <v/>
      </c>
      <c r="AK303" s="2">
        <f>IF(AI303="NOT FOUND","NOT FOUND",INDEX('9_3nf_customer_history'!$D:$D,SUMPRODUCT(('9_3nf_customer_history'!$A$2:$A$500=AD303)*('9_3nf_customer_history'!$B$2:$B$500=AI303)*ROW('9_3nf_customer_history'!$A$2:$A$500))))</f>
        <v/>
      </c>
      <c r="AL303" s="2">
        <f>UPPER(TRIM(H303))</f>
        <v/>
      </c>
      <c r="AM303" s="30">
        <f>IF(_xlfn.MAXIFS('10_ref_fx_rate'!$B$2:$B$2000,'10_ref_fx_rate'!$A$2:$A$2000,AL303,'10_ref_fx_rate'!$B$2:$B$2000,"&lt;="&amp;L303)=0,"NOT FOUND",_xlfn.MAXIFS('10_ref_fx_rate'!$B$2:$B$2000,'10_ref_fx_rate'!$A$2:$A$2000,AL303,'10_ref_fx_rate'!$B$2:$B$2000,"&lt;="&amp;L303))</f>
        <v/>
      </c>
      <c r="AN303" s="8">
        <f>IF(AM303="NOT FOUND","NOT FOUND",SUMIFS('10_ref_fx_rate'!$D$2:$D$2000,'10_ref_fx_rate'!$A$2:$A$2000,AL303,'10_ref_fx_rate'!$B$2:$B$2000,AM303))</f>
        <v/>
      </c>
      <c r="AO303" s="37">
        <f>IF(ISNUMBER(AN303),I303*AN303,"NOT FOUND")</f>
        <v/>
      </c>
      <c r="AP303" s="2">
        <f>UPPER(TRIM(J303))</f>
        <v/>
      </c>
      <c r="AQ303" s="2">
        <f>IF(AP303="","SELF-DIRECTED",IF(ISNUMBER(MATCH(AP303,'11_3nf_sales_person'!$A:$A,0)),IF(EXACT(AP303,J303),"OK","OK (auto-fixed)"),IF(ISNA(MATCH($A303,'12_sales_person_confirmation'!$A:$A,0)),"CONFIRM (not logged)",IF(INDEX('12_sales_person_confirmation'!$I:$I,MATCH($A303,'12_sales_person_confirmation'!$A:$A,0))="CONFIRMED","CONFIRMED ("&amp;LOWER(INDEX('12_sales_person_confirmation'!$E:$E,MATCH($A303,'12_sales_person_confirmation'!$A:$A,0)))&amp;")","PENDING CONFIRM"))))</f>
        <v/>
      </c>
      <c r="AR303" s="2">
        <f>IF(OR(AQ303="OK",AQ303="OK (auto-fixed)"),AP303,IF(LEFT(AQ303,9)="CONFIRMED",INDEX('12_sales_person_confirmation'!$F:$F,MATCH($A303,'12_sales_person_confirmation'!$A:$A,0)),""))</f>
        <v/>
      </c>
      <c r="AS303" s="2">
        <f>IF(AR303="","",INDEX('11_3nf_sales_person'!$B:$B,MATCH(AR303,'11_3nf_sales_person'!$A:$A,0)))</f>
        <v/>
      </c>
    </row>
    <row r="304">
      <c r="A304" s="2">
        <f>IF(ISBLANK('1_raw_log'!A304),"",'1_raw_log'!A304)</f>
        <v/>
      </c>
      <c r="B304" s="3">
        <f>IF(ISBLANK('1_raw_log'!B304),"",'1_raw_log'!B304)</f>
        <v/>
      </c>
      <c r="C304" s="2">
        <f>IF(ISBLANK('1_raw_log'!C304),"",'1_raw_log'!C304)</f>
        <v/>
      </c>
      <c r="D304" s="2">
        <f>IF(ISBLANK('1_raw_log'!D304),"",'1_raw_log'!D304)</f>
        <v/>
      </c>
      <c r="E304" s="4">
        <f>IF(ISBLANK('1_raw_log'!E304),"",'1_raw_log'!E304)</f>
        <v/>
      </c>
      <c r="F304" s="2">
        <f>IF(ISBLANK('1_raw_log'!F304),"",'1_raw_log'!F304)</f>
        <v/>
      </c>
      <c r="G304" s="2">
        <f>IF(ISBLANK('1_raw_log'!G304),"",'1_raw_log'!G304)</f>
        <v/>
      </c>
      <c r="H304" s="2">
        <f>IF(ISBLANK('1_raw_log'!H304),"",'1_raw_log'!H304)</f>
        <v/>
      </c>
      <c r="I304" s="7">
        <f>IF(ISBLANK('1_raw_log'!I304),"",'1_raw_log'!I304)</f>
        <v/>
      </c>
      <c r="J304" s="2">
        <f>IF(ISBLANK('1_raw_log'!J304),"",'1_raw_log'!J304)</f>
        <v/>
      </c>
      <c r="K304" s="2">
        <f>IF(ISBLANK('1_raw_log'!K304),"",'1_raw_log'!K304)</f>
        <v/>
      </c>
      <c r="L304" s="30">
        <f>INT(B304)</f>
        <v/>
      </c>
      <c r="M304" s="20">
        <f>ROUND(MOD(B304,1)*1440,0)/1440</f>
        <v/>
      </c>
      <c r="N304" s="4">
        <f>IFERROR(INDEX('3_ref_date'!$B:$B,MATCH(L304,'3_ref_date'!$A:$A,0)),"NOT FOUND")</f>
        <v/>
      </c>
      <c r="O304" s="2">
        <f>IFERROR(INDEX('3_ref_date'!$C:$C,MATCH(L304,'3_ref_date'!$A:$A,0)),"NOT FOUND")</f>
        <v/>
      </c>
      <c r="P304" s="4">
        <f>IFERROR(INDEX('3_ref_date'!$D:$D,MATCH(L304,'3_ref_date'!$A:$A,0)),"NOT FOUND")</f>
        <v/>
      </c>
      <c r="Q304" s="4">
        <f>IFERROR(INDEX('3_ref_date'!$E:$E,MATCH(L304,'3_ref_date'!$A:$A,0)),"NOT FOUND")</f>
        <v/>
      </c>
      <c r="R304" s="2">
        <f>IFERROR(INDEX('3_ref_date'!$F:$F,MATCH(L304,'3_ref_date'!$A:$A,0)),"NOT FOUND")</f>
        <v/>
      </c>
      <c r="S304" s="2">
        <f>IFERROR(INDEX('4_ref_time'!$D:$D,MATCH(ROUND(M304*1440,0),'4_ref_time'!$A:$A,0)),"NOT FOUND")</f>
        <v/>
      </c>
      <c r="T304" s="2">
        <f>UPPER(TRIM(C304))</f>
        <v/>
      </c>
      <c r="U304" s="30">
        <f>IF(_xlfn.MAXIFS('6_3nf_branch_history'!$B$2:$B$50,'6_3nf_branch_history'!$A$2:$A$50,T304,'6_3nf_branch_history'!$B$2:$B$50,"&lt;="&amp;L304)=0,"NOT FOUND",_xlfn.MAXIFS('6_3nf_branch_history'!$B$2:$B$50,'6_3nf_branch_history'!$A$2:$A$50,T304,'6_3nf_branch_history'!$B$2:$B$50,"&lt;="&amp;L304))</f>
        <v/>
      </c>
      <c r="V304" s="2">
        <f>IF(U304="NOT FOUND","NOT FOUND",INDEX('6_3nf_branch_history'!$C:$C,SUMPRODUCT(('6_3nf_branch_history'!$A$2:$A$50=T304)*('6_3nf_branch_history'!$B$2:$B$50=U304)*ROW('6_3nf_branch_history'!$A$2:$A$50))))</f>
        <v/>
      </c>
      <c r="W304" s="2">
        <f>IF(U304="NOT FOUND","NOT FOUND",INDEX('6_3nf_branch_history'!$D:$D,SUMPRODUCT(('6_3nf_branch_history'!$A$2:$A$50=T304)*('6_3nf_branch_history'!$B$2:$B$50=U304)*ROW('6_3nf_branch_history'!$A$2:$A$50))))</f>
        <v/>
      </c>
      <c r="X304" s="2">
        <f>IF(U304="NOT FOUND","NOT FOUND",INDEX('6_3nf_branch_history'!$E:$E,SUMPRODUCT(('6_3nf_branch_history'!$A$2:$A$50=T304)*('6_3nf_branch_history'!$B$2:$B$50=U304)*ROW('6_3nf_branch_history'!$A$2:$A$50))))</f>
        <v/>
      </c>
      <c r="Y304" s="2">
        <f>UPPER(TRIM(D304))</f>
        <v/>
      </c>
      <c r="Z304" s="2">
        <f>IFERROR(INDEX('7_3nf_product'!$B:$B,MATCH(Y304,'7_3nf_product'!$A:$A,0)),"NOT FOUND")</f>
        <v/>
      </c>
      <c r="AA304" s="2">
        <f>IFERROR(INDEX('7_3nf_product'!$C:$C,MATCH(Y304,'7_3nf_product'!$A:$A,0)),"NOT FOUND")</f>
        <v/>
      </c>
      <c r="AB304" s="2">
        <f>IFERROR(INDEX('7_3nf_product'!$D:$D,MATCH(Y304,'7_3nf_product'!$A:$A,0)),"NOT FOUND")</f>
        <v/>
      </c>
      <c r="AC304" s="6">
        <f>IFERROR(INDEX('7_3nf_product'!$E:$E,MATCH(Y304,'7_3nf_product'!$A:$A,0)),"NOT FOUND")</f>
        <v/>
      </c>
      <c r="AD304" s="33">
        <f>IF(LEN(TRIM(E304))=10,TRIM(E304),IF(LEN(TRIM(E304))=8,"00"&amp;TRIM(E304),"CHECK"))</f>
        <v/>
      </c>
      <c r="AE304" s="2">
        <f>IFERROR(INDEX('8_3nf_customer'!$C:$C,MATCH(AD304,'8_3nf_customer'!$B:$B,0)),"NOT FOUND")</f>
        <v/>
      </c>
      <c r="AF304" s="30">
        <f>IFERROR(INDEX('8_3nf_customer'!$D:$D,MATCH(AD304,'8_3nf_customer'!$B:$B,0)),"NOT FOUND")</f>
        <v/>
      </c>
      <c r="AG304" s="4">
        <f>IF(ISNUMBER(AF304),DATEDIF(AF304,L304,"y"),"NOT FOUND")</f>
        <v/>
      </c>
      <c r="AH304" s="2">
        <f>IFERROR(INDEX('8_3nf_customer'!$E:$E,MATCH(AD304,'8_3nf_customer'!$B:$B,0)),"NOT FOUND")</f>
        <v/>
      </c>
      <c r="AI304" s="30">
        <f>IF(_xlfn.MAXIFS('9_3nf_customer_history'!$B$2:$B$500,'9_3nf_customer_history'!$A$2:$A$500,AD304,'9_3nf_customer_history'!$B$2:$B$500,"&lt;="&amp;L304)=0,"NOT FOUND",_xlfn.MAXIFS('9_3nf_customer_history'!$B$2:$B$500,'9_3nf_customer_history'!$A$2:$A$500,AD304,'9_3nf_customer_history'!$B$2:$B$500,"&lt;="&amp;L304))</f>
        <v/>
      </c>
      <c r="AJ304" s="2">
        <f>IF(AI304="NOT FOUND","NOT FOUND",INDEX('9_3nf_customer_history'!$C:$C,SUMPRODUCT(('9_3nf_customer_history'!$A$2:$A$500=AD304)*('9_3nf_customer_history'!$B$2:$B$500=AI304)*ROW('9_3nf_customer_history'!$A$2:$A$500))))</f>
        <v/>
      </c>
      <c r="AK304" s="2">
        <f>IF(AI304="NOT FOUND","NOT FOUND",INDEX('9_3nf_customer_history'!$D:$D,SUMPRODUCT(('9_3nf_customer_history'!$A$2:$A$500=AD304)*('9_3nf_customer_history'!$B$2:$B$500=AI304)*ROW('9_3nf_customer_history'!$A$2:$A$500))))</f>
        <v/>
      </c>
      <c r="AL304" s="2">
        <f>UPPER(TRIM(H304))</f>
        <v/>
      </c>
      <c r="AM304" s="30">
        <f>IF(_xlfn.MAXIFS('10_ref_fx_rate'!$B$2:$B$2000,'10_ref_fx_rate'!$A$2:$A$2000,AL304,'10_ref_fx_rate'!$B$2:$B$2000,"&lt;="&amp;L304)=0,"NOT FOUND",_xlfn.MAXIFS('10_ref_fx_rate'!$B$2:$B$2000,'10_ref_fx_rate'!$A$2:$A$2000,AL304,'10_ref_fx_rate'!$B$2:$B$2000,"&lt;="&amp;L304))</f>
        <v/>
      </c>
      <c r="AN304" s="8">
        <f>IF(AM304="NOT FOUND","NOT FOUND",SUMIFS('10_ref_fx_rate'!$D$2:$D$2000,'10_ref_fx_rate'!$A$2:$A$2000,AL304,'10_ref_fx_rate'!$B$2:$B$2000,AM304))</f>
        <v/>
      </c>
      <c r="AO304" s="37">
        <f>IF(ISNUMBER(AN304),I304*AN304,"NOT FOUND")</f>
        <v/>
      </c>
      <c r="AP304" s="2">
        <f>UPPER(TRIM(J304))</f>
        <v/>
      </c>
      <c r="AQ304" s="2">
        <f>IF(AP304="","SELF-DIRECTED",IF(ISNUMBER(MATCH(AP304,'11_3nf_sales_person'!$A:$A,0)),IF(EXACT(AP304,J304),"OK","OK (auto-fixed)"),IF(ISNA(MATCH($A304,'12_sales_person_confirmation'!$A:$A,0)),"CONFIRM (not logged)",IF(INDEX('12_sales_person_confirmation'!$I:$I,MATCH($A304,'12_sales_person_confirmation'!$A:$A,0))="CONFIRMED","CONFIRMED ("&amp;LOWER(INDEX('12_sales_person_confirmation'!$E:$E,MATCH($A304,'12_sales_person_confirmation'!$A:$A,0)))&amp;")","PENDING CONFIRM"))))</f>
        <v/>
      </c>
      <c r="AR304" s="2">
        <f>IF(OR(AQ304="OK",AQ304="OK (auto-fixed)"),AP304,IF(LEFT(AQ304,9)="CONFIRMED",INDEX('12_sales_person_confirmation'!$F:$F,MATCH($A304,'12_sales_person_confirmation'!$A:$A,0)),""))</f>
        <v/>
      </c>
      <c r="AS304" s="2">
        <f>IF(AR304="","",INDEX('11_3nf_sales_person'!$B:$B,MATCH(AR304,'11_3nf_sales_person'!$A:$A,0)))</f>
        <v/>
      </c>
    </row>
    <row r="305">
      <c r="A305" s="2">
        <f>IF(ISBLANK('1_raw_log'!A305),"",'1_raw_log'!A305)</f>
        <v/>
      </c>
      <c r="B305" s="3">
        <f>IF(ISBLANK('1_raw_log'!B305),"",'1_raw_log'!B305)</f>
        <v/>
      </c>
      <c r="C305" s="2">
        <f>IF(ISBLANK('1_raw_log'!C305),"",'1_raw_log'!C305)</f>
        <v/>
      </c>
      <c r="D305" s="2">
        <f>IF(ISBLANK('1_raw_log'!D305),"",'1_raw_log'!D305)</f>
        <v/>
      </c>
      <c r="E305" s="4">
        <f>IF(ISBLANK('1_raw_log'!E305),"",'1_raw_log'!E305)</f>
        <v/>
      </c>
      <c r="F305" s="2">
        <f>IF(ISBLANK('1_raw_log'!F305),"",'1_raw_log'!F305)</f>
        <v/>
      </c>
      <c r="G305" s="2">
        <f>IF(ISBLANK('1_raw_log'!G305),"",'1_raw_log'!G305)</f>
        <v/>
      </c>
      <c r="H305" s="2">
        <f>IF(ISBLANK('1_raw_log'!H305),"",'1_raw_log'!H305)</f>
        <v/>
      </c>
      <c r="I305" s="7">
        <f>IF(ISBLANK('1_raw_log'!I305),"",'1_raw_log'!I305)</f>
        <v/>
      </c>
      <c r="J305" s="2">
        <f>IF(ISBLANK('1_raw_log'!J305),"",'1_raw_log'!J305)</f>
        <v/>
      </c>
      <c r="K305" s="2">
        <f>IF(ISBLANK('1_raw_log'!K305),"",'1_raw_log'!K305)</f>
        <v/>
      </c>
      <c r="L305" s="30">
        <f>INT(B305)</f>
        <v/>
      </c>
      <c r="M305" s="20">
        <f>ROUND(MOD(B305,1)*1440,0)/1440</f>
        <v/>
      </c>
      <c r="N305" s="4">
        <f>IFERROR(INDEX('3_ref_date'!$B:$B,MATCH(L305,'3_ref_date'!$A:$A,0)),"NOT FOUND")</f>
        <v/>
      </c>
      <c r="O305" s="2">
        <f>IFERROR(INDEX('3_ref_date'!$C:$C,MATCH(L305,'3_ref_date'!$A:$A,0)),"NOT FOUND")</f>
        <v/>
      </c>
      <c r="P305" s="4">
        <f>IFERROR(INDEX('3_ref_date'!$D:$D,MATCH(L305,'3_ref_date'!$A:$A,0)),"NOT FOUND")</f>
        <v/>
      </c>
      <c r="Q305" s="4">
        <f>IFERROR(INDEX('3_ref_date'!$E:$E,MATCH(L305,'3_ref_date'!$A:$A,0)),"NOT FOUND")</f>
        <v/>
      </c>
      <c r="R305" s="2">
        <f>IFERROR(INDEX('3_ref_date'!$F:$F,MATCH(L305,'3_ref_date'!$A:$A,0)),"NOT FOUND")</f>
        <v/>
      </c>
      <c r="S305" s="2">
        <f>IFERROR(INDEX('4_ref_time'!$D:$D,MATCH(ROUND(M305*1440,0),'4_ref_time'!$A:$A,0)),"NOT FOUND")</f>
        <v/>
      </c>
      <c r="T305" s="2">
        <f>UPPER(TRIM(C305))</f>
        <v/>
      </c>
      <c r="U305" s="30">
        <f>IF(_xlfn.MAXIFS('6_3nf_branch_history'!$B$2:$B$50,'6_3nf_branch_history'!$A$2:$A$50,T305,'6_3nf_branch_history'!$B$2:$B$50,"&lt;="&amp;L305)=0,"NOT FOUND",_xlfn.MAXIFS('6_3nf_branch_history'!$B$2:$B$50,'6_3nf_branch_history'!$A$2:$A$50,T305,'6_3nf_branch_history'!$B$2:$B$50,"&lt;="&amp;L305))</f>
        <v/>
      </c>
      <c r="V305" s="2">
        <f>IF(U305="NOT FOUND","NOT FOUND",INDEX('6_3nf_branch_history'!$C:$C,SUMPRODUCT(('6_3nf_branch_history'!$A$2:$A$50=T305)*('6_3nf_branch_history'!$B$2:$B$50=U305)*ROW('6_3nf_branch_history'!$A$2:$A$50))))</f>
        <v/>
      </c>
      <c r="W305" s="2">
        <f>IF(U305="NOT FOUND","NOT FOUND",INDEX('6_3nf_branch_history'!$D:$D,SUMPRODUCT(('6_3nf_branch_history'!$A$2:$A$50=T305)*('6_3nf_branch_history'!$B$2:$B$50=U305)*ROW('6_3nf_branch_history'!$A$2:$A$50))))</f>
        <v/>
      </c>
      <c r="X305" s="2">
        <f>IF(U305="NOT FOUND","NOT FOUND",INDEX('6_3nf_branch_history'!$E:$E,SUMPRODUCT(('6_3nf_branch_history'!$A$2:$A$50=T305)*('6_3nf_branch_history'!$B$2:$B$50=U305)*ROW('6_3nf_branch_history'!$A$2:$A$50))))</f>
        <v/>
      </c>
      <c r="Y305" s="2">
        <f>UPPER(TRIM(D305))</f>
        <v/>
      </c>
      <c r="Z305" s="2">
        <f>IFERROR(INDEX('7_3nf_product'!$B:$B,MATCH(Y305,'7_3nf_product'!$A:$A,0)),"NOT FOUND")</f>
        <v/>
      </c>
      <c r="AA305" s="2">
        <f>IFERROR(INDEX('7_3nf_product'!$C:$C,MATCH(Y305,'7_3nf_product'!$A:$A,0)),"NOT FOUND")</f>
        <v/>
      </c>
      <c r="AB305" s="2">
        <f>IFERROR(INDEX('7_3nf_product'!$D:$D,MATCH(Y305,'7_3nf_product'!$A:$A,0)),"NOT FOUND")</f>
        <v/>
      </c>
      <c r="AC305" s="6">
        <f>IFERROR(INDEX('7_3nf_product'!$E:$E,MATCH(Y305,'7_3nf_product'!$A:$A,0)),"NOT FOUND")</f>
        <v/>
      </c>
      <c r="AD305" s="33">
        <f>IF(LEN(TRIM(E305))=10,TRIM(E305),IF(LEN(TRIM(E305))=8,"00"&amp;TRIM(E305),"CHECK"))</f>
        <v/>
      </c>
      <c r="AE305" s="2">
        <f>IFERROR(INDEX('8_3nf_customer'!$C:$C,MATCH(AD305,'8_3nf_customer'!$B:$B,0)),"NOT FOUND")</f>
        <v/>
      </c>
      <c r="AF305" s="30">
        <f>IFERROR(INDEX('8_3nf_customer'!$D:$D,MATCH(AD305,'8_3nf_customer'!$B:$B,0)),"NOT FOUND")</f>
        <v/>
      </c>
      <c r="AG305" s="4">
        <f>IF(ISNUMBER(AF305),DATEDIF(AF305,L305,"y"),"NOT FOUND")</f>
        <v/>
      </c>
      <c r="AH305" s="2">
        <f>IFERROR(INDEX('8_3nf_customer'!$E:$E,MATCH(AD305,'8_3nf_customer'!$B:$B,0)),"NOT FOUND")</f>
        <v/>
      </c>
      <c r="AI305" s="30">
        <f>IF(_xlfn.MAXIFS('9_3nf_customer_history'!$B$2:$B$500,'9_3nf_customer_history'!$A$2:$A$500,AD305,'9_3nf_customer_history'!$B$2:$B$500,"&lt;="&amp;L305)=0,"NOT FOUND",_xlfn.MAXIFS('9_3nf_customer_history'!$B$2:$B$500,'9_3nf_customer_history'!$A$2:$A$500,AD305,'9_3nf_customer_history'!$B$2:$B$500,"&lt;="&amp;L305))</f>
        <v/>
      </c>
      <c r="AJ305" s="2">
        <f>IF(AI305="NOT FOUND","NOT FOUND",INDEX('9_3nf_customer_history'!$C:$C,SUMPRODUCT(('9_3nf_customer_history'!$A$2:$A$500=AD305)*('9_3nf_customer_history'!$B$2:$B$500=AI305)*ROW('9_3nf_customer_history'!$A$2:$A$500))))</f>
        <v/>
      </c>
      <c r="AK305" s="2">
        <f>IF(AI305="NOT FOUND","NOT FOUND",INDEX('9_3nf_customer_history'!$D:$D,SUMPRODUCT(('9_3nf_customer_history'!$A$2:$A$500=AD305)*('9_3nf_customer_history'!$B$2:$B$500=AI305)*ROW('9_3nf_customer_history'!$A$2:$A$500))))</f>
        <v/>
      </c>
      <c r="AL305" s="2">
        <f>UPPER(TRIM(H305))</f>
        <v/>
      </c>
      <c r="AM305" s="30">
        <f>IF(_xlfn.MAXIFS('10_ref_fx_rate'!$B$2:$B$2000,'10_ref_fx_rate'!$A$2:$A$2000,AL305,'10_ref_fx_rate'!$B$2:$B$2000,"&lt;="&amp;L305)=0,"NOT FOUND",_xlfn.MAXIFS('10_ref_fx_rate'!$B$2:$B$2000,'10_ref_fx_rate'!$A$2:$A$2000,AL305,'10_ref_fx_rate'!$B$2:$B$2000,"&lt;="&amp;L305))</f>
        <v/>
      </c>
      <c r="AN305" s="8">
        <f>IF(AM305="NOT FOUND","NOT FOUND",SUMIFS('10_ref_fx_rate'!$D$2:$D$2000,'10_ref_fx_rate'!$A$2:$A$2000,AL305,'10_ref_fx_rate'!$B$2:$B$2000,AM305))</f>
        <v/>
      </c>
      <c r="AO305" s="37">
        <f>IF(ISNUMBER(AN305),I305*AN305,"NOT FOUND")</f>
        <v/>
      </c>
      <c r="AP305" s="2">
        <f>UPPER(TRIM(J305))</f>
        <v/>
      </c>
      <c r="AQ305" s="2">
        <f>IF(AP305="","SELF-DIRECTED",IF(ISNUMBER(MATCH(AP305,'11_3nf_sales_person'!$A:$A,0)),IF(EXACT(AP305,J305),"OK","OK (auto-fixed)"),IF(ISNA(MATCH($A305,'12_sales_person_confirmation'!$A:$A,0)),"CONFIRM (not logged)",IF(INDEX('12_sales_person_confirmation'!$I:$I,MATCH($A305,'12_sales_person_confirmation'!$A:$A,0))="CONFIRMED","CONFIRMED ("&amp;LOWER(INDEX('12_sales_person_confirmation'!$E:$E,MATCH($A305,'12_sales_person_confirmation'!$A:$A,0)))&amp;")","PENDING CONFIRM"))))</f>
        <v/>
      </c>
      <c r="AR305" s="2">
        <f>IF(OR(AQ305="OK",AQ305="OK (auto-fixed)"),AP305,IF(LEFT(AQ305,9)="CONFIRMED",INDEX('12_sales_person_confirmation'!$F:$F,MATCH($A305,'12_sales_person_confirmation'!$A:$A,0)),""))</f>
        <v/>
      </c>
      <c r="AS305" s="2">
        <f>IF(AR305="","",INDEX('11_3nf_sales_person'!$B:$B,MATCH(AR305,'11_3nf_sales_person'!$A:$A,0)))</f>
        <v/>
      </c>
    </row>
    <row r="306">
      <c r="A306" s="2">
        <f>IF(ISBLANK('1_raw_log'!A306),"",'1_raw_log'!A306)</f>
        <v/>
      </c>
      <c r="B306" s="3">
        <f>IF(ISBLANK('1_raw_log'!B306),"",'1_raw_log'!B306)</f>
        <v/>
      </c>
      <c r="C306" s="2">
        <f>IF(ISBLANK('1_raw_log'!C306),"",'1_raw_log'!C306)</f>
        <v/>
      </c>
      <c r="D306" s="2">
        <f>IF(ISBLANK('1_raw_log'!D306),"",'1_raw_log'!D306)</f>
        <v/>
      </c>
      <c r="E306" s="4">
        <f>IF(ISBLANK('1_raw_log'!E306),"",'1_raw_log'!E306)</f>
        <v/>
      </c>
      <c r="F306" s="2">
        <f>IF(ISBLANK('1_raw_log'!F306),"",'1_raw_log'!F306)</f>
        <v/>
      </c>
      <c r="G306" s="2">
        <f>IF(ISBLANK('1_raw_log'!G306),"",'1_raw_log'!G306)</f>
        <v/>
      </c>
      <c r="H306" s="2">
        <f>IF(ISBLANK('1_raw_log'!H306),"",'1_raw_log'!H306)</f>
        <v/>
      </c>
      <c r="I306" s="7">
        <f>IF(ISBLANK('1_raw_log'!I306),"",'1_raw_log'!I306)</f>
        <v/>
      </c>
      <c r="J306" s="2">
        <f>IF(ISBLANK('1_raw_log'!J306),"",'1_raw_log'!J306)</f>
        <v/>
      </c>
      <c r="K306" s="2">
        <f>IF(ISBLANK('1_raw_log'!K306),"",'1_raw_log'!K306)</f>
        <v/>
      </c>
      <c r="L306" s="30">
        <f>INT(B306)</f>
        <v/>
      </c>
      <c r="M306" s="20">
        <f>ROUND(MOD(B306,1)*1440,0)/1440</f>
        <v/>
      </c>
      <c r="N306" s="4">
        <f>IFERROR(INDEX('3_ref_date'!$B:$B,MATCH(L306,'3_ref_date'!$A:$A,0)),"NOT FOUND")</f>
        <v/>
      </c>
      <c r="O306" s="2">
        <f>IFERROR(INDEX('3_ref_date'!$C:$C,MATCH(L306,'3_ref_date'!$A:$A,0)),"NOT FOUND")</f>
        <v/>
      </c>
      <c r="P306" s="4">
        <f>IFERROR(INDEX('3_ref_date'!$D:$D,MATCH(L306,'3_ref_date'!$A:$A,0)),"NOT FOUND")</f>
        <v/>
      </c>
      <c r="Q306" s="4">
        <f>IFERROR(INDEX('3_ref_date'!$E:$E,MATCH(L306,'3_ref_date'!$A:$A,0)),"NOT FOUND")</f>
        <v/>
      </c>
      <c r="R306" s="2">
        <f>IFERROR(INDEX('3_ref_date'!$F:$F,MATCH(L306,'3_ref_date'!$A:$A,0)),"NOT FOUND")</f>
        <v/>
      </c>
      <c r="S306" s="2">
        <f>IFERROR(INDEX('4_ref_time'!$D:$D,MATCH(ROUND(M306*1440,0),'4_ref_time'!$A:$A,0)),"NOT FOUND")</f>
        <v/>
      </c>
      <c r="T306" s="2">
        <f>UPPER(TRIM(C306))</f>
        <v/>
      </c>
      <c r="U306" s="30">
        <f>IF(_xlfn.MAXIFS('6_3nf_branch_history'!$B$2:$B$50,'6_3nf_branch_history'!$A$2:$A$50,T306,'6_3nf_branch_history'!$B$2:$B$50,"&lt;="&amp;L306)=0,"NOT FOUND",_xlfn.MAXIFS('6_3nf_branch_history'!$B$2:$B$50,'6_3nf_branch_history'!$A$2:$A$50,T306,'6_3nf_branch_history'!$B$2:$B$50,"&lt;="&amp;L306))</f>
        <v/>
      </c>
      <c r="V306" s="2">
        <f>IF(U306="NOT FOUND","NOT FOUND",INDEX('6_3nf_branch_history'!$C:$C,SUMPRODUCT(('6_3nf_branch_history'!$A$2:$A$50=T306)*('6_3nf_branch_history'!$B$2:$B$50=U306)*ROW('6_3nf_branch_history'!$A$2:$A$50))))</f>
        <v/>
      </c>
      <c r="W306" s="2">
        <f>IF(U306="NOT FOUND","NOT FOUND",INDEX('6_3nf_branch_history'!$D:$D,SUMPRODUCT(('6_3nf_branch_history'!$A$2:$A$50=T306)*('6_3nf_branch_history'!$B$2:$B$50=U306)*ROW('6_3nf_branch_history'!$A$2:$A$50))))</f>
        <v/>
      </c>
      <c r="X306" s="2">
        <f>IF(U306="NOT FOUND","NOT FOUND",INDEX('6_3nf_branch_history'!$E:$E,SUMPRODUCT(('6_3nf_branch_history'!$A$2:$A$50=T306)*('6_3nf_branch_history'!$B$2:$B$50=U306)*ROW('6_3nf_branch_history'!$A$2:$A$50))))</f>
        <v/>
      </c>
      <c r="Y306" s="2">
        <f>UPPER(TRIM(D306))</f>
        <v/>
      </c>
      <c r="Z306" s="2">
        <f>IFERROR(INDEX('7_3nf_product'!$B:$B,MATCH(Y306,'7_3nf_product'!$A:$A,0)),"NOT FOUND")</f>
        <v/>
      </c>
      <c r="AA306" s="2">
        <f>IFERROR(INDEX('7_3nf_product'!$C:$C,MATCH(Y306,'7_3nf_product'!$A:$A,0)),"NOT FOUND")</f>
        <v/>
      </c>
      <c r="AB306" s="2">
        <f>IFERROR(INDEX('7_3nf_product'!$D:$D,MATCH(Y306,'7_3nf_product'!$A:$A,0)),"NOT FOUND")</f>
        <v/>
      </c>
      <c r="AC306" s="6">
        <f>IFERROR(INDEX('7_3nf_product'!$E:$E,MATCH(Y306,'7_3nf_product'!$A:$A,0)),"NOT FOUND")</f>
        <v/>
      </c>
      <c r="AD306" s="33">
        <f>IF(LEN(TRIM(E306))=10,TRIM(E306),IF(LEN(TRIM(E306))=8,"00"&amp;TRIM(E306),"CHECK"))</f>
        <v/>
      </c>
      <c r="AE306" s="2">
        <f>IFERROR(INDEX('8_3nf_customer'!$C:$C,MATCH(AD306,'8_3nf_customer'!$B:$B,0)),"NOT FOUND")</f>
        <v/>
      </c>
      <c r="AF306" s="30">
        <f>IFERROR(INDEX('8_3nf_customer'!$D:$D,MATCH(AD306,'8_3nf_customer'!$B:$B,0)),"NOT FOUND")</f>
        <v/>
      </c>
      <c r="AG306" s="4">
        <f>IF(ISNUMBER(AF306),DATEDIF(AF306,L306,"y"),"NOT FOUND")</f>
        <v/>
      </c>
      <c r="AH306" s="2">
        <f>IFERROR(INDEX('8_3nf_customer'!$E:$E,MATCH(AD306,'8_3nf_customer'!$B:$B,0)),"NOT FOUND")</f>
        <v/>
      </c>
      <c r="AI306" s="30">
        <f>IF(_xlfn.MAXIFS('9_3nf_customer_history'!$B$2:$B$500,'9_3nf_customer_history'!$A$2:$A$500,AD306,'9_3nf_customer_history'!$B$2:$B$500,"&lt;="&amp;L306)=0,"NOT FOUND",_xlfn.MAXIFS('9_3nf_customer_history'!$B$2:$B$500,'9_3nf_customer_history'!$A$2:$A$500,AD306,'9_3nf_customer_history'!$B$2:$B$500,"&lt;="&amp;L306))</f>
        <v/>
      </c>
      <c r="AJ306" s="2">
        <f>IF(AI306="NOT FOUND","NOT FOUND",INDEX('9_3nf_customer_history'!$C:$C,SUMPRODUCT(('9_3nf_customer_history'!$A$2:$A$500=AD306)*('9_3nf_customer_history'!$B$2:$B$500=AI306)*ROW('9_3nf_customer_history'!$A$2:$A$500))))</f>
        <v/>
      </c>
      <c r="AK306" s="2">
        <f>IF(AI306="NOT FOUND","NOT FOUND",INDEX('9_3nf_customer_history'!$D:$D,SUMPRODUCT(('9_3nf_customer_history'!$A$2:$A$500=AD306)*('9_3nf_customer_history'!$B$2:$B$500=AI306)*ROW('9_3nf_customer_history'!$A$2:$A$500))))</f>
        <v/>
      </c>
      <c r="AL306" s="2">
        <f>UPPER(TRIM(H306))</f>
        <v/>
      </c>
      <c r="AM306" s="30">
        <f>IF(_xlfn.MAXIFS('10_ref_fx_rate'!$B$2:$B$2000,'10_ref_fx_rate'!$A$2:$A$2000,AL306,'10_ref_fx_rate'!$B$2:$B$2000,"&lt;="&amp;L306)=0,"NOT FOUND",_xlfn.MAXIFS('10_ref_fx_rate'!$B$2:$B$2000,'10_ref_fx_rate'!$A$2:$A$2000,AL306,'10_ref_fx_rate'!$B$2:$B$2000,"&lt;="&amp;L306))</f>
        <v/>
      </c>
      <c r="AN306" s="8">
        <f>IF(AM306="NOT FOUND","NOT FOUND",SUMIFS('10_ref_fx_rate'!$D$2:$D$2000,'10_ref_fx_rate'!$A$2:$A$2000,AL306,'10_ref_fx_rate'!$B$2:$B$2000,AM306))</f>
        <v/>
      </c>
      <c r="AO306" s="37">
        <f>IF(ISNUMBER(AN306),I306*AN306,"NOT FOUND")</f>
        <v/>
      </c>
      <c r="AP306" s="2">
        <f>UPPER(TRIM(J306))</f>
        <v/>
      </c>
      <c r="AQ306" s="2">
        <f>IF(AP306="","SELF-DIRECTED",IF(ISNUMBER(MATCH(AP306,'11_3nf_sales_person'!$A:$A,0)),IF(EXACT(AP306,J306),"OK","OK (auto-fixed)"),IF(ISNA(MATCH($A306,'12_sales_person_confirmation'!$A:$A,0)),"CONFIRM (not logged)",IF(INDEX('12_sales_person_confirmation'!$I:$I,MATCH($A306,'12_sales_person_confirmation'!$A:$A,0))="CONFIRMED","CONFIRMED ("&amp;LOWER(INDEX('12_sales_person_confirmation'!$E:$E,MATCH($A306,'12_sales_person_confirmation'!$A:$A,0)))&amp;")","PENDING CONFIRM"))))</f>
        <v/>
      </c>
      <c r="AR306" s="2">
        <f>IF(OR(AQ306="OK",AQ306="OK (auto-fixed)"),AP306,IF(LEFT(AQ306,9)="CONFIRMED",INDEX('12_sales_person_confirmation'!$F:$F,MATCH($A306,'12_sales_person_confirmation'!$A:$A,0)),""))</f>
        <v/>
      </c>
      <c r="AS306" s="2">
        <f>IF(AR306="","",INDEX('11_3nf_sales_person'!$B:$B,MATCH(AR306,'11_3nf_sales_person'!$A:$A,0)))</f>
        <v/>
      </c>
    </row>
    <row r="307">
      <c r="A307" s="2">
        <f>IF(ISBLANK('1_raw_log'!A307),"",'1_raw_log'!A307)</f>
        <v/>
      </c>
      <c r="B307" s="3">
        <f>IF(ISBLANK('1_raw_log'!B307),"",'1_raw_log'!B307)</f>
        <v/>
      </c>
      <c r="C307" s="2">
        <f>IF(ISBLANK('1_raw_log'!C307),"",'1_raw_log'!C307)</f>
        <v/>
      </c>
      <c r="D307" s="2">
        <f>IF(ISBLANK('1_raw_log'!D307),"",'1_raw_log'!D307)</f>
        <v/>
      </c>
      <c r="E307" s="4">
        <f>IF(ISBLANK('1_raw_log'!E307),"",'1_raw_log'!E307)</f>
        <v/>
      </c>
      <c r="F307" s="2">
        <f>IF(ISBLANK('1_raw_log'!F307),"",'1_raw_log'!F307)</f>
        <v/>
      </c>
      <c r="G307" s="2">
        <f>IF(ISBLANK('1_raw_log'!G307),"",'1_raw_log'!G307)</f>
        <v/>
      </c>
      <c r="H307" s="2">
        <f>IF(ISBLANK('1_raw_log'!H307),"",'1_raw_log'!H307)</f>
        <v/>
      </c>
      <c r="I307" s="7">
        <f>IF(ISBLANK('1_raw_log'!I307),"",'1_raw_log'!I307)</f>
        <v/>
      </c>
      <c r="J307" s="2">
        <f>IF(ISBLANK('1_raw_log'!J307),"",'1_raw_log'!J307)</f>
        <v/>
      </c>
      <c r="K307" s="2">
        <f>IF(ISBLANK('1_raw_log'!K307),"",'1_raw_log'!K307)</f>
        <v/>
      </c>
      <c r="L307" s="30">
        <f>INT(B307)</f>
        <v/>
      </c>
      <c r="M307" s="20">
        <f>ROUND(MOD(B307,1)*1440,0)/1440</f>
        <v/>
      </c>
      <c r="N307" s="4">
        <f>IFERROR(INDEX('3_ref_date'!$B:$B,MATCH(L307,'3_ref_date'!$A:$A,0)),"NOT FOUND")</f>
        <v/>
      </c>
      <c r="O307" s="2">
        <f>IFERROR(INDEX('3_ref_date'!$C:$C,MATCH(L307,'3_ref_date'!$A:$A,0)),"NOT FOUND")</f>
        <v/>
      </c>
      <c r="P307" s="4">
        <f>IFERROR(INDEX('3_ref_date'!$D:$D,MATCH(L307,'3_ref_date'!$A:$A,0)),"NOT FOUND")</f>
        <v/>
      </c>
      <c r="Q307" s="4">
        <f>IFERROR(INDEX('3_ref_date'!$E:$E,MATCH(L307,'3_ref_date'!$A:$A,0)),"NOT FOUND")</f>
        <v/>
      </c>
      <c r="R307" s="2">
        <f>IFERROR(INDEX('3_ref_date'!$F:$F,MATCH(L307,'3_ref_date'!$A:$A,0)),"NOT FOUND")</f>
        <v/>
      </c>
      <c r="S307" s="2">
        <f>IFERROR(INDEX('4_ref_time'!$D:$D,MATCH(ROUND(M307*1440,0),'4_ref_time'!$A:$A,0)),"NOT FOUND")</f>
        <v/>
      </c>
      <c r="T307" s="2">
        <f>UPPER(TRIM(C307))</f>
        <v/>
      </c>
      <c r="U307" s="30">
        <f>IF(_xlfn.MAXIFS('6_3nf_branch_history'!$B$2:$B$50,'6_3nf_branch_history'!$A$2:$A$50,T307,'6_3nf_branch_history'!$B$2:$B$50,"&lt;="&amp;L307)=0,"NOT FOUND",_xlfn.MAXIFS('6_3nf_branch_history'!$B$2:$B$50,'6_3nf_branch_history'!$A$2:$A$50,T307,'6_3nf_branch_history'!$B$2:$B$50,"&lt;="&amp;L307))</f>
        <v/>
      </c>
      <c r="V307" s="2">
        <f>IF(U307="NOT FOUND","NOT FOUND",INDEX('6_3nf_branch_history'!$C:$C,SUMPRODUCT(('6_3nf_branch_history'!$A$2:$A$50=T307)*('6_3nf_branch_history'!$B$2:$B$50=U307)*ROW('6_3nf_branch_history'!$A$2:$A$50))))</f>
        <v/>
      </c>
      <c r="W307" s="2">
        <f>IF(U307="NOT FOUND","NOT FOUND",INDEX('6_3nf_branch_history'!$D:$D,SUMPRODUCT(('6_3nf_branch_history'!$A$2:$A$50=T307)*('6_3nf_branch_history'!$B$2:$B$50=U307)*ROW('6_3nf_branch_history'!$A$2:$A$50))))</f>
        <v/>
      </c>
      <c r="X307" s="2">
        <f>IF(U307="NOT FOUND","NOT FOUND",INDEX('6_3nf_branch_history'!$E:$E,SUMPRODUCT(('6_3nf_branch_history'!$A$2:$A$50=T307)*('6_3nf_branch_history'!$B$2:$B$50=U307)*ROW('6_3nf_branch_history'!$A$2:$A$50))))</f>
        <v/>
      </c>
      <c r="Y307" s="2">
        <f>UPPER(TRIM(D307))</f>
        <v/>
      </c>
      <c r="Z307" s="2">
        <f>IFERROR(INDEX('7_3nf_product'!$B:$B,MATCH(Y307,'7_3nf_product'!$A:$A,0)),"NOT FOUND")</f>
        <v/>
      </c>
      <c r="AA307" s="2">
        <f>IFERROR(INDEX('7_3nf_product'!$C:$C,MATCH(Y307,'7_3nf_product'!$A:$A,0)),"NOT FOUND")</f>
        <v/>
      </c>
      <c r="AB307" s="2">
        <f>IFERROR(INDEX('7_3nf_product'!$D:$D,MATCH(Y307,'7_3nf_product'!$A:$A,0)),"NOT FOUND")</f>
        <v/>
      </c>
      <c r="AC307" s="6">
        <f>IFERROR(INDEX('7_3nf_product'!$E:$E,MATCH(Y307,'7_3nf_product'!$A:$A,0)),"NOT FOUND")</f>
        <v/>
      </c>
      <c r="AD307" s="33">
        <f>IF(LEN(TRIM(E307))=10,TRIM(E307),IF(LEN(TRIM(E307))=8,"00"&amp;TRIM(E307),"CHECK"))</f>
        <v/>
      </c>
      <c r="AE307" s="2">
        <f>IFERROR(INDEX('8_3nf_customer'!$C:$C,MATCH(AD307,'8_3nf_customer'!$B:$B,0)),"NOT FOUND")</f>
        <v/>
      </c>
      <c r="AF307" s="30">
        <f>IFERROR(INDEX('8_3nf_customer'!$D:$D,MATCH(AD307,'8_3nf_customer'!$B:$B,0)),"NOT FOUND")</f>
        <v/>
      </c>
      <c r="AG307" s="4">
        <f>IF(ISNUMBER(AF307),DATEDIF(AF307,L307,"y"),"NOT FOUND")</f>
        <v/>
      </c>
      <c r="AH307" s="2">
        <f>IFERROR(INDEX('8_3nf_customer'!$E:$E,MATCH(AD307,'8_3nf_customer'!$B:$B,0)),"NOT FOUND")</f>
        <v/>
      </c>
      <c r="AI307" s="30">
        <f>IF(_xlfn.MAXIFS('9_3nf_customer_history'!$B$2:$B$500,'9_3nf_customer_history'!$A$2:$A$500,AD307,'9_3nf_customer_history'!$B$2:$B$500,"&lt;="&amp;L307)=0,"NOT FOUND",_xlfn.MAXIFS('9_3nf_customer_history'!$B$2:$B$500,'9_3nf_customer_history'!$A$2:$A$500,AD307,'9_3nf_customer_history'!$B$2:$B$500,"&lt;="&amp;L307))</f>
        <v/>
      </c>
      <c r="AJ307" s="2">
        <f>IF(AI307="NOT FOUND","NOT FOUND",INDEX('9_3nf_customer_history'!$C:$C,SUMPRODUCT(('9_3nf_customer_history'!$A$2:$A$500=AD307)*('9_3nf_customer_history'!$B$2:$B$500=AI307)*ROW('9_3nf_customer_history'!$A$2:$A$500))))</f>
        <v/>
      </c>
      <c r="AK307" s="2">
        <f>IF(AI307="NOT FOUND","NOT FOUND",INDEX('9_3nf_customer_history'!$D:$D,SUMPRODUCT(('9_3nf_customer_history'!$A$2:$A$500=AD307)*('9_3nf_customer_history'!$B$2:$B$500=AI307)*ROW('9_3nf_customer_history'!$A$2:$A$500))))</f>
        <v/>
      </c>
      <c r="AL307" s="2">
        <f>UPPER(TRIM(H307))</f>
        <v/>
      </c>
      <c r="AM307" s="30">
        <f>IF(_xlfn.MAXIFS('10_ref_fx_rate'!$B$2:$B$2000,'10_ref_fx_rate'!$A$2:$A$2000,AL307,'10_ref_fx_rate'!$B$2:$B$2000,"&lt;="&amp;L307)=0,"NOT FOUND",_xlfn.MAXIFS('10_ref_fx_rate'!$B$2:$B$2000,'10_ref_fx_rate'!$A$2:$A$2000,AL307,'10_ref_fx_rate'!$B$2:$B$2000,"&lt;="&amp;L307))</f>
        <v/>
      </c>
      <c r="AN307" s="8">
        <f>IF(AM307="NOT FOUND","NOT FOUND",SUMIFS('10_ref_fx_rate'!$D$2:$D$2000,'10_ref_fx_rate'!$A$2:$A$2000,AL307,'10_ref_fx_rate'!$B$2:$B$2000,AM307))</f>
        <v/>
      </c>
      <c r="AO307" s="37">
        <f>IF(ISNUMBER(AN307),I307*AN307,"NOT FOUND")</f>
        <v/>
      </c>
      <c r="AP307" s="2">
        <f>UPPER(TRIM(J307))</f>
        <v/>
      </c>
      <c r="AQ307" s="2">
        <f>IF(AP307="","SELF-DIRECTED",IF(ISNUMBER(MATCH(AP307,'11_3nf_sales_person'!$A:$A,0)),IF(EXACT(AP307,J307),"OK","OK (auto-fixed)"),IF(ISNA(MATCH($A307,'12_sales_person_confirmation'!$A:$A,0)),"CONFIRM (not logged)",IF(INDEX('12_sales_person_confirmation'!$I:$I,MATCH($A307,'12_sales_person_confirmation'!$A:$A,0))="CONFIRMED","CONFIRMED ("&amp;LOWER(INDEX('12_sales_person_confirmation'!$E:$E,MATCH($A307,'12_sales_person_confirmation'!$A:$A,0)))&amp;")","PENDING CONFIRM"))))</f>
        <v/>
      </c>
      <c r="AR307" s="2">
        <f>IF(OR(AQ307="OK",AQ307="OK (auto-fixed)"),AP307,IF(LEFT(AQ307,9)="CONFIRMED",INDEX('12_sales_person_confirmation'!$F:$F,MATCH($A307,'12_sales_person_confirmation'!$A:$A,0)),""))</f>
        <v/>
      </c>
      <c r="AS307" s="2">
        <f>IF(AR307="","",INDEX('11_3nf_sales_person'!$B:$B,MATCH(AR307,'11_3nf_sales_person'!$A:$A,0)))</f>
        <v/>
      </c>
    </row>
    <row r="308">
      <c r="A308" s="2">
        <f>IF(ISBLANK('1_raw_log'!A308),"",'1_raw_log'!A308)</f>
        <v/>
      </c>
      <c r="B308" s="3">
        <f>IF(ISBLANK('1_raw_log'!B308),"",'1_raw_log'!B308)</f>
        <v/>
      </c>
      <c r="C308" s="2">
        <f>IF(ISBLANK('1_raw_log'!C308),"",'1_raw_log'!C308)</f>
        <v/>
      </c>
      <c r="D308" s="2">
        <f>IF(ISBLANK('1_raw_log'!D308),"",'1_raw_log'!D308)</f>
        <v/>
      </c>
      <c r="E308" s="4">
        <f>IF(ISBLANK('1_raw_log'!E308),"",'1_raw_log'!E308)</f>
        <v/>
      </c>
      <c r="F308" s="2">
        <f>IF(ISBLANK('1_raw_log'!F308),"",'1_raw_log'!F308)</f>
        <v/>
      </c>
      <c r="G308" s="2">
        <f>IF(ISBLANK('1_raw_log'!G308),"",'1_raw_log'!G308)</f>
        <v/>
      </c>
      <c r="H308" s="2">
        <f>IF(ISBLANK('1_raw_log'!H308),"",'1_raw_log'!H308)</f>
        <v/>
      </c>
      <c r="I308" s="7">
        <f>IF(ISBLANK('1_raw_log'!I308),"",'1_raw_log'!I308)</f>
        <v/>
      </c>
      <c r="J308" s="2">
        <f>IF(ISBLANK('1_raw_log'!J308),"",'1_raw_log'!J308)</f>
        <v/>
      </c>
      <c r="K308" s="2">
        <f>IF(ISBLANK('1_raw_log'!K308),"",'1_raw_log'!K308)</f>
        <v/>
      </c>
      <c r="L308" s="30">
        <f>INT(B308)</f>
        <v/>
      </c>
      <c r="M308" s="20">
        <f>ROUND(MOD(B308,1)*1440,0)/1440</f>
        <v/>
      </c>
      <c r="N308" s="4">
        <f>IFERROR(INDEX('3_ref_date'!$B:$B,MATCH(L308,'3_ref_date'!$A:$A,0)),"NOT FOUND")</f>
        <v/>
      </c>
      <c r="O308" s="2">
        <f>IFERROR(INDEX('3_ref_date'!$C:$C,MATCH(L308,'3_ref_date'!$A:$A,0)),"NOT FOUND")</f>
        <v/>
      </c>
      <c r="P308" s="4">
        <f>IFERROR(INDEX('3_ref_date'!$D:$D,MATCH(L308,'3_ref_date'!$A:$A,0)),"NOT FOUND")</f>
        <v/>
      </c>
      <c r="Q308" s="4">
        <f>IFERROR(INDEX('3_ref_date'!$E:$E,MATCH(L308,'3_ref_date'!$A:$A,0)),"NOT FOUND")</f>
        <v/>
      </c>
      <c r="R308" s="2">
        <f>IFERROR(INDEX('3_ref_date'!$F:$F,MATCH(L308,'3_ref_date'!$A:$A,0)),"NOT FOUND")</f>
        <v/>
      </c>
      <c r="S308" s="2">
        <f>IFERROR(INDEX('4_ref_time'!$D:$D,MATCH(ROUND(M308*1440,0),'4_ref_time'!$A:$A,0)),"NOT FOUND")</f>
        <v/>
      </c>
      <c r="T308" s="2">
        <f>UPPER(TRIM(C308))</f>
        <v/>
      </c>
      <c r="U308" s="30">
        <f>IF(_xlfn.MAXIFS('6_3nf_branch_history'!$B$2:$B$50,'6_3nf_branch_history'!$A$2:$A$50,T308,'6_3nf_branch_history'!$B$2:$B$50,"&lt;="&amp;L308)=0,"NOT FOUND",_xlfn.MAXIFS('6_3nf_branch_history'!$B$2:$B$50,'6_3nf_branch_history'!$A$2:$A$50,T308,'6_3nf_branch_history'!$B$2:$B$50,"&lt;="&amp;L308))</f>
        <v/>
      </c>
      <c r="V308" s="2">
        <f>IF(U308="NOT FOUND","NOT FOUND",INDEX('6_3nf_branch_history'!$C:$C,SUMPRODUCT(('6_3nf_branch_history'!$A$2:$A$50=T308)*('6_3nf_branch_history'!$B$2:$B$50=U308)*ROW('6_3nf_branch_history'!$A$2:$A$50))))</f>
        <v/>
      </c>
      <c r="W308" s="2">
        <f>IF(U308="NOT FOUND","NOT FOUND",INDEX('6_3nf_branch_history'!$D:$D,SUMPRODUCT(('6_3nf_branch_history'!$A$2:$A$50=T308)*('6_3nf_branch_history'!$B$2:$B$50=U308)*ROW('6_3nf_branch_history'!$A$2:$A$50))))</f>
        <v/>
      </c>
      <c r="X308" s="2">
        <f>IF(U308="NOT FOUND","NOT FOUND",INDEX('6_3nf_branch_history'!$E:$E,SUMPRODUCT(('6_3nf_branch_history'!$A$2:$A$50=T308)*('6_3nf_branch_history'!$B$2:$B$50=U308)*ROW('6_3nf_branch_history'!$A$2:$A$50))))</f>
        <v/>
      </c>
      <c r="Y308" s="2">
        <f>UPPER(TRIM(D308))</f>
        <v/>
      </c>
      <c r="Z308" s="2">
        <f>IFERROR(INDEX('7_3nf_product'!$B:$B,MATCH(Y308,'7_3nf_product'!$A:$A,0)),"NOT FOUND")</f>
        <v/>
      </c>
      <c r="AA308" s="2">
        <f>IFERROR(INDEX('7_3nf_product'!$C:$C,MATCH(Y308,'7_3nf_product'!$A:$A,0)),"NOT FOUND")</f>
        <v/>
      </c>
      <c r="AB308" s="2">
        <f>IFERROR(INDEX('7_3nf_product'!$D:$D,MATCH(Y308,'7_3nf_product'!$A:$A,0)),"NOT FOUND")</f>
        <v/>
      </c>
      <c r="AC308" s="6">
        <f>IFERROR(INDEX('7_3nf_product'!$E:$E,MATCH(Y308,'7_3nf_product'!$A:$A,0)),"NOT FOUND")</f>
        <v/>
      </c>
      <c r="AD308" s="33">
        <f>IF(LEN(TRIM(E308))=10,TRIM(E308),IF(LEN(TRIM(E308))=8,"00"&amp;TRIM(E308),"CHECK"))</f>
        <v/>
      </c>
      <c r="AE308" s="2">
        <f>IFERROR(INDEX('8_3nf_customer'!$C:$C,MATCH(AD308,'8_3nf_customer'!$B:$B,0)),"NOT FOUND")</f>
        <v/>
      </c>
      <c r="AF308" s="30">
        <f>IFERROR(INDEX('8_3nf_customer'!$D:$D,MATCH(AD308,'8_3nf_customer'!$B:$B,0)),"NOT FOUND")</f>
        <v/>
      </c>
      <c r="AG308" s="4">
        <f>IF(ISNUMBER(AF308),DATEDIF(AF308,L308,"y"),"NOT FOUND")</f>
        <v/>
      </c>
      <c r="AH308" s="2">
        <f>IFERROR(INDEX('8_3nf_customer'!$E:$E,MATCH(AD308,'8_3nf_customer'!$B:$B,0)),"NOT FOUND")</f>
        <v/>
      </c>
      <c r="AI308" s="30">
        <f>IF(_xlfn.MAXIFS('9_3nf_customer_history'!$B$2:$B$500,'9_3nf_customer_history'!$A$2:$A$500,AD308,'9_3nf_customer_history'!$B$2:$B$500,"&lt;="&amp;L308)=0,"NOT FOUND",_xlfn.MAXIFS('9_3nf_customer_history'!$B$2:$B$500,'9_3nf_customer_history'!$A$2:$A$500,AD308,'9_3nf_customer_history'!$B$2:$B$500,"&lt;="&amp;L308))</f>
        <v/>
      </c>
      <c r="AJ308" s="2">
        <f>IF(AI308="NOT FOUND","NOT FOUND",INDEX('9_3nf_customer_history'!$C:$C,SUMPRODUCT(('9_3nf_customer_history'!$A$2:$A$500=AD308)*('9_3nf_customer_history'!$B$2:$B$500=AI308)*ROW('9_3nf_customer_history'!$A$2:$A$500))))</f>
        <v/>
      </c>
      <c r="AK308" s="2">
        <f>IF(AI308="NOT FOUND","NOT FOUND",INDEX('9_3nf_customer_history'!$D:$D,SUMPRODUCT(('9_3nf_customer_history'!$A$2:$A$500=AD308)*('9_3nf_customer_history'!$B$2:$B$500=AI308)*ROW('9_3nf_customer_history'!$A$2:$A$500))))</f>
        <v/>
      </c>
      <c r="AL308" s="2">
        <f>UPPER(TRIM(H308))</f>
        <v/>
      </c>
      <c r="AM308" s="30">
        <f>IF(_xlfn.MAXIFS('10_ref_fx_rate'!$B$2:$B$2000,'10_ref_fx_rate'!$A$2:$A$2000,AL308,'10_ref_fx_rate'!$B$2:$B$2000,"&lt;="&amp;L308)=0,"NOT FOUND",_xlfn.MAXIFS('10_ref_fx_rate'!$B$2:$B$2000,'10_ref_fx_rate'!$A$2:$A$2000,AL308,'10_ref_fx_rate'!$B$2:$B$2000,"&lt;="&amp;L308))</f>
        <v/>
      </c>
      <c r="AN308" s="8">
        <f>IF(AM308="NOT FOUND","NOT FOUND",SUMIFS('10_ref_fx_rate'!$D$2:$D$2000,'10_ref_fx_rate'!$A$2:$A$2000,AL308,'10_ref_fx_rate'!$B$2:$B$2000,AM308))</f>
        <v/>
      </c>
      <c r="AO308" s="37">
        <f>IF(ISNUMBER(AN308),I308*AN308,"NOT FOUND")</f>
        <v/>
      </c>
      <c r="AP308" s="2">
        <f>UPPER(TRIM(J308))</f>
        <v/>
      </c>
      <c r="AQ308" s="2">
        <f>IF(AP308="","SELF-DIRECTED",IF(ISNUMBER(MATCH(AP308,'11_3nf_sales_person'!$A:$A,0)),IF(EXACT(AP308,J308),"OK","OK (auto-fixed)"),IF(ISNA(MATCH($A308,'12_sales_person_confirmation'!$A:$A,0)),"CONFIRM (not logged)",IF(INDEX('12_sales_person_confirmation'!$I:$I,MATCH($A308,'12_sales_person_confirmation'!$A:$A,0))="CONFIRMED","CONFIRMED ("&amp;LOWER(INDEX('12_sales_person_confirmation'!$E:$E,MATCH($A308,'12_sales_person_confirmation'!$A:$A,0)))&amp;")","PENDING CONFIRM"))))</f>
        <v/>
      </c>
      <c r="AR308" s="2">
        <f>IF(OR(AQ308="OK",AQ308="OK (auto-fixed)"),AP308,IF(LEFT(AQ308,9)="CONFIRMED",INDEX('12_sales_person_confirmation'!$F:$F,MATCH($A308,'12_sales_person_confirmation'!$A:$A,0)),""))</f>
        <v/>
      </c>
      <c r="AS308" s="2">
        <f>IF(AR308="","",INDEX('11_3nf_sales_person'!$B:$B,MATCH(AR308,'11_3nf_sales_person'!$A:$A,0)))</f>
        <v/>
      </c>
    </row>
    <row r="309">
      <c r="A309" s="2">
        <f>IF(ISBLANK('1_raw_log'!A309),"",'1_raw_log'!A309)</f>
        <v/>
      </c>
      <c r="B309" s="3">
        <f>IF(ISBLANK('1_raw_log'!B309),"",'1_raw_log'!B309)</f>
        <v/>
      </c>
      <c r="C309" s="2">
        <f>IF(ISBLANK('1_raw_log'!C309),"",'1_raw_log'!C309)</f>
        <v/>
      </c>
      <c r="D309" s="2">
        <f>IF(ISBLANK('1_raw_log'!D309),"",'1_raw_log'!D309)</f>
        <v/>
      </c>
      <c r="E309" s="4">
        <f>IF(ISBLANK('1_raw_log'!E309),"",'1_raw_log'!E309)</f>
        <v/>
      </c>
      <c r="F309" s="2">
        <f>IF(ISBLANK('1_raw_log'!F309),"",'1_raw_log'!F309)</f>
        <v/>
      </c>
      <c r="G309" s="2">
        <f>IF(ISBLANK('1_raw_log'!G309),"",'1_raw_log'!G309)</f>
        <v/>
      </c>
      <c r="H309" s="2">
        <f>IF(ISBLANK('1_raw_log'!H309),"",'1_raw_log'!H309)</f>
        <v/>
      </c>
      <c r="I309" s="7">
        <f>IF(ISBLANK('1_raw_log'!I309),"",'1_raw_log'!I309)</f>
        <v/>
      </c>
      <c r="J309" s="2">
        <f>IF(ISBLANK('1_raw_log'!J309),"",'1_raw_log'!J309)</f>
        <v/>
      </c>
      <c r="K309" s="2">
        <f>IF(ISBLANK('1_raw_log'!K309),"",'1_raw_log'!K309)</f>
        <v/>
      </c>
      <c r="L309" s="30">
        <f>INT(B309)</f>
        <v/>
      </c>
      <c r="M309" s="20">
        <f>ROUND(MOD(B309,1)*1440,0)/1440</f>
        <v/>
      </c>
      <c r="N309" s="4">
        <f>IFERROR(INDEX('3_ref_date'!$B:$B,MATCH(L309,'3_ref_date'!$A:$A,0)),"NOT FOUND")</f>
        <v/>
      </c>
      <c r="O309" s="2">
        <f>IFERROR(INDEX('3_ref_date'!$C:$C,MATCH(L309,'3_ref_date'!$A:$A,0)),"NOT FOUND")</f>
        <v/>
      </c>
      <c r="P309" s="4">
        <f>IFERROR(INDEX('3_ref_date'!$D:$D,MATCH(L309,'3_ref_date'!$A:$A,0)),"NOT FOUND")</f>
        <v/>
      </c>
      <c r="Q309" s="4">
        <f>IFERROR(INDEX('3_ref_date'!$E:$E,MATCH(L309,'3_ref_date'!$A:$A,0)),"NOT FOUND")</f>
        <v/>
      </c>
      <c r="R309" s="2">
        <f>IFERROR(INDEX('3_ref_date'!$F:$F,MATCH(L309,'3_ref_date'!$A:$A,0)),"NOT FOUND")</f>
        <v/>
      </c>
      <c r="S309" s="2">
        <f>IFERROR(INDEX('4_ref_time'!$D:$D,MATCH(ROUND(M309*1440,0),'4_ref_time'!$A:$A,0)),"NOT FOUND")</f>
        <v/>
      </c>
      <c r="T309" s="2">
        <f>UPPER(TRIM(C309))</f>
        <v/>
      </c>
      <c r="U309" s="30">
        <f>IF(_xlfn.MAXIFS('6_3nf_branch_history'!$B$2:$B$50,'6_3nf_branch_history'!$A$2:$A$50,T309,'6_3nf_branch_history'!$B$2:$B$50,"&lt;="&amp;L309)=0,"NOT FOUND",_xlfn.MAXIFS('6_3nf_branch_history'!$B$2:$B$50,'6_3nf_branch_history'!$A$2:$A$50,T309,'6_3nf_branch_history'!$B$2:$B$50,"&lt;="&amp;L309))</f>
        <v/>
      </c>
      <c r="V309" s="2">
        <f>IF(U309="NOT FOUND","NOT FOUND",INDEX('6_3nf_branch_history'!$C:$C,SUMPRODUCT(('6_3nf_branch_history'!$A$2:$A$50=T309)*('6_3nf_branch_history'!$B$2:$B$50=U309)*ROW('6_3nf_branch_history'!$A$2:$A$50))))</f>
        <v/>
      </c>
      <c r="W309" s="2">
        <f>IF(U309="NOT FOUND","NOT FOUND",INDEX('6_3nf_branch_history'!$D:$D,SUMPRODUCT(('6_3nf_branch_history'!$A$2:$A$50=T309)*('6_3nf_branch_history'!$B$2:$B$50=U309)*ROW('6_3nf_branch_history'!$A$2:$A$50))))</f>
        <v/>
      </c>
      <c r="X309" s="2">
        <f>IF(U309="NOT FOUND","NOT FOUND",INDEX('6_3nf_branch_history'!$E:$E,SUMPRODUCT(('6_3nf_branch_history'!$A$2:$A$50=T309)*('6_3nf_branch_history'!$B$2:$B$50=U309)*ROW('6_3nf_branch_history'!$A$2:$A$50))))</f>
        <v/>
      </c>
      <c r="Y309" s="2">
        <f>UPPER(TRIM(D309))</f>
        <v/>
      </c>
      <c r="Z309" s="2">
        <f>IFERROR(INDEX('7_3nf_product'!$B:$B,MATCH(Y309,'7_3nf_product'!$A:$A,0)),"NOT FOUND")</f>
        <v/>
      </c>
      <c r="AA309" s="2">
        <f>IFERROR(INDEX('7_3nf_product'!$C:$C,MATCH(Y309,'7_3nf_product'!$A:$A,0)),"NOT FOUND")</f>
        <v/>
      </c>
      <c r="AB309" s="2">
        <f>IFERROR(INDEX('7_3nf_product'!$D:$D,MATCH(Y309,'7_3nf_product'!$A:$A,0)),"NOT FOUND")</f>
        <v/>
      </c>
      <c r="AC309" s="6">
        <f>IFERROR(INDEX('7_3nf_product'!$E:$E,MATCH(Y309,'7_3nf_product'!$A:$A,0)),"NOT FOUND")</f>
        <v/>
      </c>
      <c r="AD309" s="33">
        <f>IF(LEN(TRIM(E309))=10,TRIM(E309),IF(LEN(TRIM(E309))=8,"00"&amp;TRIM(E309),"CHECK"))</f>
        <v/>
      </c>
      <c r="AE309" s="2">
        <f>IFERROR(INDEX('8_3nf_customer'!$C:$C,MATCH(AD309,'8_3nf_customer'!$B:$B,0)),"NOT FOUND")</f>
        <v/>
      </c>
      <c r="AF309" s="30">
        <f>IFERROR(INDEX('8_3nf_customer'!$D:$D,MATCH(AD309,'8_3nf_customer'!$B:$B,0)),"NOT FOUND")</f>
        <v/>
      </c>
      <c r="AG309" s="4">
        <f>IF(ISNUMBER(AF309),DATEDIF(AF309,L309,"y"),"NOT FOUND")</f>
        <v/>
      </c>
      <c r="AH309" s="2">
        <f>IFERROR(INDEX('8_3nf_customer'!$E:$E,MATCH(AD309,'8_3nf_customer'!$B:$B,0)),"NOT FOUND")</f>
        <v/>
      </c>
      <c r="AI309" s="30">
        <f>IF(_xlfn.MAXIFS('9_3nf_customer_history'!$B$2:$B$500,'9_3nf_customer_history'!$A$2:$A$500,AD309,'9_3nf_customer_history'!$B$2:$B$500,"&lt;="&amp;L309)=0,"NOT FOUND",_xlfn.MAXIFS('9_3nf_customer_history'!$B$2:$B$500,'9_3nf_customer_history'!$A$2:$A$500,AD309,'9_3nf_customer_history'!$B$2:$B$500,"&lt;="&amp;L309))</f>
        <v/>
      </c>
      <c r="AJ309" s="2">
        <f>IF(AI309="NOT FOUND","NOT FOUND",INDEX('9_3nf_customer_history'!$C:$C,SUMPRODUCT(('9_3nf_customer_history'!$A$2:$A$500=AD309)*('9_3nf_customer_history'!$B$2:$B$500=AI309)*ROW('9_3nf_customer_history'!$A$2:$A$500))))</f>
        <v/>
      </c>
      <c r="AK309" s="2">
        <f>IF(AI309="NOT FOUND","NOT FOUND",INDEX('9_3nf_customer_history'!$D:$D,SUMPRODUCT(('9_3nf_customer_history'!$A$2:$A$500=AD309)*('9_3nf_customer_history'!$B$2:$B$500=AI309)*ROW('9_3nf_customer_history'!$A$2:$A$500))))</f>
        <v/>
      </c>
      <c r="AL309" s="2">
        <f>UPPER(TRIM(H309))</f>
        <v/>
      </c>
      <c r="AM309" s="30">
        <f>IF(_xlfn.MAXIFS('10_ref_fx_rate'!$B$2:$B$2000,'10_ref_fx_rate'!$A$2:$A$2000,AL309,'10_ref_fx_rate'!$B$2:$B$2000,"&lt;="&amp;L309)=0,"NOT FOUND",_xlfn.MAXIFS('10_ref_fx_rate'!$B$2:$B$2000,'10_ref_fx_rate'!$A$2:$A$2000,AL309,'10_ref_fx_rate'!$B$2:$B$2000,"&lt;="&amp;L309))</f>
        <v/>
      </c>
      <c r="AN309" s="8">
        <f>IF(AM309="NOT FOUND","NOT FOUND",SUMIFS('10_ref_fx_rate'!$D$2:$D$2000,'10_ref_fx_rate'!$A$2:$A$2000,AL309,'10_ref_fx_rate'!$B$2:$B$2000,AM309))</f>
        <v/>
      </c>
      <c r="AO309" s="37">
        <f>IF(ISNUMBER(AN309),I309*AN309,"NOT FOUND")</f>
        <v/>
      </c>
      <c r="AP309" s="2">
        <f>UPPER(TRIM(J309))</f>
        <v/>
      </c>
      <c r="AQ309" s="2">
        <f>IF(AP309="","SELF-DIRECTED",IF(ISNUMBER(MATCH(AP309,'11_3nf_sales_person'!$A:$A,0)),IF(EXACT(AP309,J309),"OK","OK (auto-fixed)"),IF(ISNA(MATCH($A309,'12_sales_person_confirmation'!$A:$A,0)),"CONFIRM (not logged)",IF(INDEX('12_sales_person_confirmation'!$I:$I,MATCH($A309,'12_sales_person_confirmation'!$A:$A,0))="CONFIRMED","CONFIRMED ("&amp;LOWER(INDEX('12_sales_person_confirmation'!$E:$E,MATCH($A309,'12_sales_person_confirmation'!$A:$A,0)))&amp;")","PENDING CONFIRM"))))</f>
        <v/>
      </c>
      <c r="AR309" s="2">
        <f>IF(OR(AQ309="OK",AQ309="OK (auto-fixed)"),AP309,IF(LEFT(AQ309,9)="CONFIRMED",INDEX('12_sales_person_confirmation'!$F:$F,MATCH($A309,'12_sales_person_confirmation'!$A:$A,0)),""))</f>
        <v/>
      </c>
      <c r="AS309" s="2">
        <f>IF(AR309="","",INDEX('11_3nf_sales_person'!$B:$B,MATCH(AR309,'11_3nf_sales_person'!$A:$A,0)))</f>
        <v/>
      </c>
    </row>
    <row r="310">
      <c r="A310" s="2">
        <f>IF(ISBLANK('1_raw_log'!A310),"",'1_raw_log'!A310)</f>
        <v/>
      </c>
      <c r="B310" s="3">
        <f>IF(ISBLANK('1_raw_log'!B310),"",'1_raw_log'!B310)</f>
        <v/>
      </c>
      <c r="C310" s="2">
        <f>IF(ISBLANK('1_raw_log'!C310),"",'1_raw_log'!C310)</f>
        <v/>
      </c>
      <c r="D310" s="2">
        <f>IF(ISBLANK('1_raw_log'!D310),"",'1_raw_log'!D310)</f>
        <v/>
      </c>
      <c r="E310" s="4">
        <f>IF(ISBLANK('1_raw_log'!E310),"",'1_raw_log'!E310)</f>
        <v/>
      </c>
      <c r="F310" s="2">
        <f>IF(ISBLANK('1_raw_log'!F310),"",'1_raw_log'!F310)</f>
        <v/>
      </c>
      <c r="G310" s="2">
        <f>IF(ISBLANK('1_raw_log'!G310),"",'1_raw_log'!G310)</f>
        <v/>
      </c>
      <c r="H310" s="2">
        <f>IF(ISBLANK('1_raw_log'!H310),"",'1_raw_log'!H310)</f>
        <v/>
      </c>
      <c r="I310" s="7">
        <f>IF(ISBLANK('1_raw_log'!I310),"",'1_raw_log'!I310)</f>
        <v/>
      </c>
      <c r="J310" s="2">
        <f>IF(ISBLANK('1_raw_log'!J310),"",'1_raw_log'!J310)</f>
        <v/>
      </c>
      <c r="K310" s="2">
        <f>IF(ISBLANK('1_raw_log'!K310),"",'1_raw_log'!K310)</f>
        <v/>
      </c>
      <c r="L310" s="30">
        <f>INT(B310)</f>
        <v/>
      </c>
      <c r="M310" s="20">
        <f>ROUND(MOD(B310,1)*1440,0)/1440</f>
        <v/>
      </c>
      <c r="N310" s="4">
        <f>IFERROR(INDEX('3_ref_date'!$B:$B,MATCH(L310,'3_ref_date'!$A:$A,0)),"NOT FOUND")</f>
        <v/>
      </c>
      <c r="O310" s="2">
        <f>IFERROR(INDEX('3_ref_date'!$C:$C,MATCH(L310,'3_ref_date'!$A:$A,0)),"NOT FOUND")</f>
        <v/>
      </c>
      <c r="P310" s="4">
        <f>IFERROR(INDEX('3_ref_date'!$D:$D,MATCH(L310,'3_ref_date'!$A:$A,0)),"NOT FOUND")</f>
        <v/>
      </c>
      <c r="Q310" s="4">
        <f>IFERROR(INDEX('3_ref_date'!$E:$E,MATCH(L310,'3_ref_date'!$A:$A,0)),"NOT FOUND")</f>
        <v/>
      </c>
      <c r="R310" s="2">
        <f>IFERROR(INDEX('3_ref_date'!$F:$F,MATCH(L310,'3_ref_date'!$A:$A,0)),"NOT FOUND")</f>
        <v/>
      </c>
      <c r="S310" s="2">
        <f>IFERROR(INDEX('4_ref_time'!$D:$D,MATCH(ROUND(M310*1440,0),'4_ref_time'!$A:$A,0)),"NOT FOUND")</f>
        <v/>
      </c>
      <c r="T310" s="2">
        <f>UPPER(TRIM(C310))</f>
        <v/>
      </c>
      <c r="U310" s="30">
        <f>IF(_xlfn.MAXIFS('6_3nf_branch_history'!$B$2:$B$50,'6_3nf_branch_history'!$A$2:$A$50,T310,'6_3nf_branch_history'!$B$2:$B$50,"&lt;="&amp;L310)=0,"NOT FOUND",_xlfn.MAXIFS('6_3nf_branch_history'!$B$2:$B$50,'6_3nf_branch_history'!$A$2:$A$50,T310,'6_3nf_branch_history'!$B$2:$B$50,"&lt;="&amp;L310))</f>
        <v/>
      </c>
      <c r="V310" s="2">
        <f>IF(U310="NOT FOUND","NOT FOUND",INDEX('6_3nf_branch_history'!$C:$C,SUMPRODUCT(('6_3nf_branch_history'!$A$2:$A$50=T310)*('6_3nf_branch_history'!$B$2:$B$50=U310)*ROW('6_3nf_branch_history'!$A$2:$A$50))))</f>
        <v/>
      </c>
      <c r="W310" s="2">
        <f>IF(U310="NOT FOUND","NOT FOUND",INDEX('6_3nf_branch_history'!$D:$D,SUMPRODUCT(('6_3nf_branch_history'!$A$2:$A$50=T310)*('6_3nf_branch_history'!$B$2:$B$50=U310)*ROW('6_3nf_branch_history'!$A$2:$A$50))))</f>
        <v/>
      </c>
      <c r="X310" s="2">
        <f>IF(U310="NOT FOUND","NOT FOUND",INDEX('6_3nf_branch_history'!$E:$E,SUMPRODUCT(('6_3nf_branch_history'!$A$2:$A$50=T310)*('6_3nf_branch_history'!$B$2:$B$50=U310)*ROW('6_3nf_branch_history'!$A$2:$A$50))))</f>
        <v/>
      </c>
      <c r="Y310" s="2">
        <f>UPPER(TRIM(D310))</f>
        <v/>
      </c>
      <c r="Z310" s="2">
        <f>IFERROR(INDEX('7_3nf_product'!$B:$B,MATCH(Y310,'7_3nf_product'!$A:$A,0)),"NOT FOUND")</f>
        <v/>
      </c>
      <c r="AA310" s="2">
        <f>IFERROR(INDEX('7_3nf_product'!$C:$C,MATCH(Y310,'7_3nf_product'!$A:$A,0)),"NOT FOUND")</f>
        <v/>
      </c>
      <c r="AB310" s="2">
        <f>IFERROR(INDEX('7_3nf_product'!$D:$D,MATCH(Y310,'7_3nf_product'!$A:$A,0)),"NOT FOUND")</f>
        <v/>
      </c>
      <c r="AC310" s="6">
        <f>IFERROR(INDEX('7_3nf_product'!$E:$E,MATCH(Y310,'7_3nf_product'!$A:$A,0)),"NOT FOUND")</f>
        <v/>
      </c>
      <c r="AD310" s="33">
        <f>IF(LEN(TRIM(E310))=10,TRIM(E310),IF(LEN(TRIM(E310))=8,"00"&amp;TRIM(E310),"CHECK"))</f>
        <v/>
      </c>
      <c r="AE310" s="2">
        <f>IFERROR(INDEX('8_3nf_customer'!$C:$C,MATCH(AD310,'8_3nf_customer'!$B:$B,0)),"NOT FOUND")</f>
        <v/>
      </c>
      <c r="AF310" s="30">
        <f>IFERROR(INDEX('8_3nf_customer'!$D:$D,MATCH(AD310,'8_3nf_customer'!$B:$B,0)),"NOT FOUND")</f>
        <v/>
      </c>
      <c r="AG310" s="4">
        <f>IF(ISNUMBER(AF310),DATEDIF(AF310,L310,"y"),"NOT FOUND")</f>
        <v/>
      </c>
      <c r="AH310" s="2">
        <f>IFERROR(INDEX('8_3nf_customer'!$E:$E,MATCH(AD310,'8_3nf_customer'!$B:$B,0)),"NOT FOUND")</f>
        <v/>
      </c>
      <c r="AI310" s="30">
        <f>IF(_xlfn.MAXIFS('9_3nf_customer_history'!$B$2:$B$500,'9_3nf_customer_history'!$A$2:$A$500,AD310,'9_3nf_customer_history'!$B$2:$B$500,"&lt;="&amp;L310)=0,"NOT FOUND",_xlfn.MAXIFS('9_3nf_customer_history'!$B$2:$B$500,'9_3nf_customer_history'!$A$2:$A$500,AD310,'9_3nf_customer_history'!$B$2:$B$500,"&lt;="&amp;L310))</f>
        <v/>
      </c>
      <c r="AJ310" s="2">
        <f>IF(AI310="NOT FOUND","NOT FOUND",INDEX('9_3nf_customer_history'!$C:$C,SUMPRODUCT(('9_3nf_customer_history'!$A$2:$A$500=AD310)*('9_3nf_customer_history'!$B$2:$B$500=AI310)*ROW('9_3nf_customer_history'!$A$2:$A$500))))</f>
        <v/>
      </c>
      <c r="AK310" s="2">
        <f>IF(AI310="NOT FOUND","NOT FOUND",INDEX('9_3nf_customer_history'!$D:$D,SUMPRODUCT(('9_3nf_customer_history'!$A$2:$A$500=AD310)*('9_3nf_customer_history'!$B$2:$B$500=AI310)*ROW('9_3nf_customer_history'!$A$2:$A$500))))</f>
        <v/>
      </c>
      <c r="AL310" s="2">
        <f>UPPER(TRIM(H310))</f>
        <v/>
      </c>
      <c r="AM310" s="30">
        <f>IF(_xlfn.MAXIFS('10_ref_fx_rate'!$B$2:$B$2000,'10_ref_fx_rate'!$A$2:$A$2000,AL310,'10_ref_fx_rate'!$B$2:$B$2000,"&lt;="&amp;L310)=0,"NOT FOUND",_xlfn.MAXIFS('10_ref_fx_rate'!$B$2:$B$2000,'10_ref_fx_rate'!$A$2:$A$2000,AL310,'10_ref_fx_rate'!$B$2:$B$2000,"&lt;="&amp;L310))</f>
        <v/>
      </c>
      <c r="AN310" s="8">
        <f>IF(AM310="NOT FOUND","NOT FOUND",SUMIFS('10_ref_fx_rate'!$D$2:$D$2000,'10_ref_fx_rate'!$A$2:$A$2000,AL310,'10_ref_fx_rate'!$B$2:$B$2000,AM310))</f>
        <v/>
      </c>
      <c r="AO310" s="37">
        <f>IF(ISNUMBER(AN310),I310*AN310,"NOT FOUND")</f>
        <v/>
      </c>
      <c r="AP310" s="2">
        <f>UPPER(TRIM(J310))</f>
        <v/>
      </c>
      <c r="AQ310" s="2">
        <f>IF(AP310="","SELF-DIRECTED",IF(ISNUMBER(MATCH(AP310,'11_3nf_sales_person'!$A:$A,0)),IF(EXACT(AP310,J310),"OK","OK (auto-fixed)"),IF(ISNA(MATCH($A310,'12_sales_person_confirmation'!$A:$A,0)),"CONFIRM (not logged)",IF(INDEX('12_sales_person_confirmation'!$I:$I,MATCH($A310,'12_sales_person_confirmation'!$A:$A,0))="CONFIRMED","CONFIRMED ("&amp;LOWER(INDEX('12_sales_person_confirmation'!$E:$E,MATCH($A310,'12_sales_person_confirmation'!$A:$A,0)))&amp;")","PENDING CONFIRM"))))</f>
        <v/>
      </c>
      <c r="AR310" s="2">
        <f>IF(OR(AQ310="OK",AQ310="OK (auto-fixed)"),AP310,IF(LEFT(AQ310,9)="CONFIRMED",INDEX('12_sales_person_confirmation'!$F:$F,MATCH($A310,'12_sales_person_confirmation'!$A:$A,0)),""))</f>
        <v/>
      </c>
      <c r="AS310" s="2">
        <f>IF(AR310="","",INDEX('11_3nf_sales_person'!$B:$B,MATCH(AR310,'11_3nf_sales_person'!$A:$A,0)))</f>
        <v/>
      </c>
    </row>
    <row r="311">
      <c r="A311" s="2">
        <f>IF(ISBLANK('1_raw_log'!A311),"",'1_raw_log'!A311)</f>
        <v/>
      </c>
      <c r="B311" s="3">
        <f>IF(ISBLANK('1_raw_log'!B311),"",'1_raw_log'!B311)</f>
        <v/>
      </c>
      <c r="C311" s="2">
        <f>IF(ISBLANK('1_raw_log'!C311),"",'1_raw_log'!C311)</f>
        <v/>
      </c>
      <c r="D311" s="2">
        <f>IF(ISBLANK('1_raw_log'!D311),"",'1_raw_log'!D311)</f>
        <v/>
      </c>
      <c r="E311" s="4">
        <f>IF(ISBLANK('1_raw_log'!E311),"",'1_raw_log'!E311)</f>
        <v/>
      </c>
      <c r="F311" s="2">
        <f>IF(ISBLANK('1_raw_log'!F311),"",'1_raw_log'!F311)</f>
        <v/>
      </c>
      <c r="G311" s="2">
        <f>IF(ISBLANK('1_raw_log'!G311),"",'1_raw_log'!G311)</f>
        <v/>
      </c>
      <c r="H311" s="2">
        <f>IF(ISBLANK('1_raw_log'!H311),"",'1_raw_log'!H311)</f>
        <v/>
      </c>
      <c r="I311" s="7">
        <f>IF(ISBLANK('1_raw_log'!I311),"",'1_raw_log'!I311)</f>
        <v/>
      </c>
      <c r="J311" s="2">
        <f>IF(ISBLANK('1_raw_log'!J311),"",'1_raw_log'!J311)</f>
        <v/>
      </c>
      <c r="K311" s="2">
        <f>IF(ISBLANK('1_raw_log'!K311),"",'1_raw_log'!K311)</f>
        <v/>
      </c>
      <c r="L311" s="30">
        <f>INT(B311)</f>
        <v/>
      </c>
      <c r="M311" s="20">
        <f>ROUND(MOD(B311,1)*1440,0)/1440</f>
        <v/>
      </c>
      <c r="N311" s="4">
        <f>IFERROR(INDEX('3_ref_date'!$B:$B,MATCH(L311,'3_ref_date'!$A:$A,0)),"NOT FOUND")</f>
        <v/>
      </c>
      <c r="O311" s="2">
        <f>IFERROR(INDEX('3_ref_date'!$C:$C,MATCH(L311,'3_ref_date'!$A:$A,0)),"NOT FOUND")</f>
        <v/>
      </c>
      <c r="P311" s="4">
        <f>IFERROR(INDEX('3_ref_date'!$D:$D,MATCH(L311,'3_ref_date'!$A:$A,0)),"NOT FOUND")</f>
        <v/>
      </c>
      <c r="Q311" s="4">
        <f>IFERROR(INDEX('3_ref_date'!$E:$E,MATCH(L311,'3_ref_date'!$A:$A,0)),"NOT FOUND")</f>
        <v/>
      </c>
      <c r="R311" s="2">
        <f>IFERROR(INDEX('3_ref_date'!$F:$F,MATCH(L311,'3_ref_date'!$A:$A,0)),"NOT FOUND")</f>
        <v/>
      </c>
      <c r="S311" s="2">
        <f>IFERROR(INDEX('4_ref_time'!$D:$D,MATCH(ROUND(M311*1440,0),'4_ref_time'!$A:$A,0)),"NOT FOUND")</f>
        <v/>
      </c>
      <c r="T311" s="2">
        <f>UPPER(TRIM(C311))</f>
        <v/>
      </c>
      <c r="U311" s="30">
        <f>IF(_xlfn.MAXIFS('6_3nf_branch_history'!$B$2:$B$50,'6_3nf_branch_history'!$A$2:$A$50,T311,'6_3nf_branch_history'!$B$2:$B$50,"&lt;="&amp;L311)=0,"NOT FOUND",_xlfn.MAXIFS('6_3nf_branch_history'!$B$2:$B$50,'6_3nf_branch_history'!$A$2:$A$50,T311,'6_3nf_branch_history'!$B$2:$B$50,"&lt;="&amp;L311))</f>
        <v/>
      </c>
      <c r="V311" s="2">
        <f>IF(U311="NOT FOUND","NOT FOUND",INDEX('6_3nf_branch_history'!$C:$C,SUMPRODUCT(('6_3nf_branch_history'!$A$2:$A$50=T311)*('6_3nf_branch_history'!$B$2:$B$50=U311)*ROW('6_3nf_branch_history'!$A$2:$A$50))))</f>
        <v/>
      </c>
      <c r="W311" s="2">
        <f>IF(U311="NOT FOUND","NOT FOUND",INDEX('6_3nf_branch_history'!$D:$D,SUMPRODUCT(('6_3nf_branch_history'!$A$2:$A$50=T311)*('6_3nf_branch_history'!$B$2:$B$50=U311)*ROW('6_3nf_branch_history'!$A$2:$A$50))))</f>
        <v/>
      </c>
      <c r="X311" s="2">
        <f>IF(U311="NOT FOUND","NOT FOUND",INDEX('6_3nf_branch_history'!$E:$E,SUMPRODUCT(('6_3nf_branch_history'!$A$2:$A$50=T311)*('6_3nf_branch_history'!$B$2:$B$50=U311)*ROW('6_3nf_branch_history'!$A$2:$A$50))))</f>
        <v/>
      </c>
      <c r="Y311" s="2">
        <f>UPPER(TRIM(D311))</f>
        <v/>
      </c>
      <c r="Z311" s="2">
        <f>IFERROR(INDEX('7_3nf_product'!$B:$B,MATCH(Y311,'7_3nf_product'!$A:$A,0)),"NOT FOUND")</f>
        <v/>
      </c>
      <c r="AA311" s="2">
        <f>IFERROR(INDEX('7_3nf_product'!$C:$C,MATCH(Y311,'7_3nf_product'!$A:$A,0)),"NOT FOUND")</f>
        <v/>
      </c>
      <c r="AB311" s="2">
        <f>IFERROR(INDEX('7_3nf_product'!$D:$D,MATCH(Y311,'7_3nf_product'!$A:$A,0)),"NOT FOUND")</f>
        <v/>
      </c>
      <c r="AC311" s="6">
        <f>IFERROR(INDEX('7_3nf_product'!$E:$E,MATCH(Y311,'7_3nf_product'!$A:$A,0)),"NOT FOUND")</f>
        <v/>
      </c>
      <c r="AD311" s="33">
        <f>IF(LEN(TRIM(E311))=10,TRIM(E311),IF(LEN(TRIM(E311))=8,"00"&amp;TRIM(E311),"CHECK"))</f>
        <v/>
      </c>
      <c r="AE311" s="2">
        <f>IFERROR(INDEX('8_3nf_customer'!$C:$C,MATCH(AD311,'8_3nf_customer'!$B:$B,0)),"NOT FOUND")</f>
        <v/>
      </c>
      <c r="AF311" s="30">
        <f>IFERROR(INDEX('8_3nf_customer'!$D:$D,MATCH(AD311,'8_3nf_customer'!$B:$B,0)),"NOT FOUND")</f>
        <v/>
      </c>
      <c r="AG311" s="4">
        <f>IF(ISNUMBER(AF311),DATEDIF(AF311,L311,"y"),"NOT FOUND")</f>
        <v/>
      </c>
      <c r="AH311" s="2">
        <f>IFERROR(INDEX('8_3nf_customer'!$E:$E,MATCH(AD311,'8_3nf_customer'!$B:$B,0)),"NOT FOUND")</f>
        <v/>
      </c>
      <c r="AI311" s="30">
        <f>IF(_xlfn.MAXIFS('9_3nf_customer_history'!$B$2:$B$500,'9_3nf_customer_history'!$A$2:$A$500,AD311,'9_3nf_customer_history'!$B$2:$B$500,"&lt;="&amp;L311)=0,"NOT FOUND",_xlfn.MAXIFS('9_3nf_customer_history'!$B$2:$B$500,'9_3nf_customer_history'!$A$2:$A$500,AD311,'9_3nf_customer_history'!$B$2:$B$500,"&lt;="&amp;L311))</f>
        <v/>
      </c>
      <c r="AJ311" s="2">
        <f>IF(AI311="NOT FOUND","NOT FOUND",INDEX('9_3nf_customer_history'!$C:$C,SUMPRODUCT(('9_3nf_customer_history'!$A$2:$A$500=AD311)*('9_3nf_customer_history'!$B$2:$B$500=AI311)*ROW('9_3nf_customer_history'!$A$2:$A$500))))</f>
        <v/>
      </c>
      <c r="AK311" s="2">
        <f>IF(AI311="NOT FOUND","NOT FOUND",INDEX('9_3nf_customer_history'!$D:$D,SUMPRODUCT(('9_3nf_customer_history'!$A$2:$A$500=AD311)*('9_3nf_customer_history'!$B$2:$B$500=AI311)*ROW('9_3nf_customer_history'!$A$2:$A$500))))</f>
        <v/>
      </c>
      <c r="AL311" s="2">
        <f>UPPER(TRIM(H311))</f>
        <v/>
      </c>
      <c r="AM311" s="30">
        <f>IF(_xlfn.MAXIFS('10_ref_fx_rate'!$B$2:$B$2000,'10_ref_fx_rate'!$A$2:$A$2000,AL311,'10_ref_fx_rate'!$B$2:$B$2000,"&lt;="&amp;L311)=0,"NOT FOUND",_xlfn.MAXIFS('10_ref_fx_rate'!$B$2:$B$2000,'10_ref_fx_rate'!$A$2:$A$2000,AL311,'10_ref_fx_rate'!$B$2:$B$2000,"&lt;="&amp;L311))</f>
        <v/>
      </c>
      <c r="AN311" s="8">
        <f>IF(AM311="NOT FOUND","NOT FOUND",SUMIFS('10_ref_fx_rate'!$D$2:$D$2000,'10_ref_fx_rate'!$A$2:$A$2000,AL311,'10_ref_fx_rate'!$B$2:$B$2000,AM311))</f>
        <v/>
      </c>
      <c r="AO311" s="37">
        <f>IF(ISNUMBER(AN311),I311*AN311,"NOT FOUND")</f>
        <v/>
      </c>
      <c r="AP311" s="2">
        <f>UPPER(TRIM(J311))</f>
        <v/>
      </c>
      <c r="AQ311" s="2">
        <f>IF(AP311="","SELF-DIRECTED",IF(ISNUMBER(MATCH(AP311,'11_3nf_sales_person'!$A:$A,0)),IF(EXACT(AP311,J311),"OK","OK (auto-fixed)"),IF(ISNA(MATCH($A311,'12_sales_person_confirmation'!$A:$A,0)),"CONFIRM (not logged)",IF(INDEX('12_sales_person_confirmation'!$I:$I,MATCH($A311,'12_sales_person_confirmation'!$A:$A,0))="CONFIRMED","CONFIRMED ("&amp;LOWER(INDEX('12_sales_person_confirmation'!$E:$E,MATCH($A311,'12_sales_person_confirmation'!$A:$A,0)))&amp;")","PENDING CONFIRM"))))</f>
        <v/>
      </c>
      <c r="AR311" s="2">
        <f>IF(OR(AQ311="OK",AQ311="OK (auto-fixed)"),AP311,IF(LEFT(AQ311,9)="CONFIRMED",INDEX('12_sales_person_confirmation'!$F:$F,MATCH($A311,'12_sales_person_confirmation'!$A:$A,0)),""))</f>
        <v/>
      </c>
      <c r="AS311" s="2">
        <f>IF(AR311="","",INDEX('11_3nf_sales_person'!$B:$B,MATCH(AR311,'11_3nf_sales_person'!$A:$A,0)))</f>
        <v/>
      </c>
    </row>
    <row r="312">
      <c r="A312" s="2">
        <f>IF(ISBLANK('1_raw_log'!A312),"",'1_raw_log'!A312)</f>
        <v/>
      </c>
      <c r="B312" s="3">
        <f>IF(ISBLANK('1_raw_log'!B312),"",'1_raw_log'!B312)</f>
        <v/>
      </c>
      <c r="C312" s="2">
        <f>IF(ISBLANK('1_raw_log'!C312),"",'1_raw_log'!C312)</f>
        <v/>
      </c>
      <c r="D312" s="2">
        <f>IF(ISBLANK('1_raw_log'!D312),"",'1_raw_log'!D312)</f>
        <v/>
      </c>
      <c r="E312" s="4">
        <f>IF(ISBLANK('1_raw_log'!E312),"",'1_raw_log'!E312)</f>
        <v/>
      </c>
      <c r="F312" s="2">
        <f>IF(ISBLANK('1_raw_log'!F312),"",'1_raw_log'!F312)</f>
        <v/>
      </c>
      <c r="G312" s="2">
        <f>IF(ISBLANK('1_raw_log'!G312),"",'1_raw_log'!G312)</f>
        <v/>
      </c>
      <c r="H312" s="2">
        <f>IF(ISBLANK('1_raw_log'!H312),"",'1_raw_log'!H312)</f>
        <v/>
      </c>
      <c r="I312" s="7">
        <f>IF(ISBLANK('1_raw_log'!I312),"",'1_raw_log'!I312)</f>
        <v/>
      </c>
      <c r="J312" s="2">
        <f>IF(ISBLANK('1_raw_log'!J312),"",'1_raw_log'!J312)</f>
        <v/>
      </c>
      <c r="K312" s="2">
        <f>IF(ISBLANK('1_raw_log'!K312),"",'1_raw_log'!K312)</f>
        <v/>
      </c>
      <c r="L312" s="30">
        <f>INT(B312)</f>
        <v/>
      </c>
      <c r="M312" s="20">
        <f>ROUND(MOD(B312,1)*1440,0)/1440</f>
        <v/>
      </c>
      <c r="N312" s="4">
        <f>IFERROR(INDEX('3_ref_date'!$B:$B,MATCH(L312,'3_ref_date'!$A:$A,0)),"NOT FOUND")</f>
        <v/>
      </c>
      <c r="O312" s="2">
        <f>IFERROR(INDEX('3_ref_date'!$C:$C,MATCH(L312,'3_ref_date'!$A:$A,0)),"NOT FOUND")</f>
        <v/>
      </c>
      <c r="P312" s="4">
        <f>IFERROR(INDEX('3_ref_date'!$D:$D,MATCH(L312,'3_ref_date'!$A:$A,0)),"NOT FOUND")</f>
        <v/>
      </c>
      <c r="Q312" s="4">
        <f>IFERROR(INDEX('3_ref_date'!$E:$E,MATCH(L312,'3_ref_date'!$A:$A,0)),"NOT FOUND")</f>
        <v/>
      </c>
      <c r="R312" s="2">
        <f>IFERROR(INDEX('3_ref_date'!$F:$F,MATCH(L312,'3_ref_date'!$A:$A,0)),"NOT FOUND")</f>
        <v/>
      </c>
      <c r="S312" s="2">
        <f>IFERROR(INDEX('4_ref_time'!$D:$D,MATCH(ROUND(M312*1440,0),'4_ref_time'!$A:$A,0)),"NOT FOUND")</f>
        <v/>
      </c>
      <c r="T312" s="2">
        <f>UPPER(TRIM(C312))</f>
        <v/>
      </c>
      <c r="U312" s="30">
        <f>IF(_xlfn.MAXIFS('6_3nf_branch_history'!$B$2:$B$50,'6_3nf_branch_history'!$A$2:$A$50,T312,'6_3nf_branch_history'!$B$2:$B$50,"&lt;="&amp;L312)=0,"NOT FOUND",_xlfn.MAXIFS('6_3nf_branch_history'!$B$2:$B$50,'6_3nf_branch_history'!$A$2:$A$50,T312,'6_3nf_branch_history'!$B$2:$B$50,"&lt;="&amp;L312))</f>
        <v/>
      </c>
      <c r="V312" s="2">
        <f>IF(U312="NOT FOUND","NOT FOUND",INDEX('6_3nf_branch_history'!$C:$C,SUMPRODUCT(('6_3nf_branch_history'!$A$2:$A$50=T312)*('6_3nf_branch_history'!$B$2:$B$50=U312)*ROW('6_3nf_branch_history'!$A$2:$A$50))))</f>
        <v/>
      </c>
      <c r="W312" s="2">
        <f>IF(U312="NOT FOUND","NOT FOUND",INDEX('6_3nf_branch_history'!$D:$D,SUMPRODUCT(('6_3nf_branch_history'!$A$2:$A$50=T312)*('6_3nf_branch_history'!$B$2:$B$50=U312)*ROW('6_3nf_branch_history'!$A$2:$A$50))))</f>
        <v/>
      </c>
      <c r="X312" s="2">
        <f>IF(U312="NOT FOUND","NOT FOUND",INDEX('6_3nf_branch_history'!$E:$E,SUMPRODUCT(('6_3nf_branch_history'!$A$2:$A$50=T312)*('6_3nf_branch_history'!$B$2:$B$50=U312)*ROW('6_3nf_branch_history'!$A$2:$A$50))))</f>
        <v/>
      </c>
      <c r="Y312" s="2">
        <f>UPPER(TRIM(D312))</f>
        <v/>
      </c>
      <c r="Z312" s="2">
        <f>IFERROR(INDEX('7_3nf_product'!$B:$B,MATCH(Y312,'7_3nf_product'!$A:$A,0)),"NOT FOUND")</f>
        <v/>
      </c>
      <c r="AA312" s="2">
        <f>IFERROR(INDEX('7_3nf_product'!$C:$C,MATCH(Y312,'7_3nf_product'!$A:$A,0)),"NOT FOUND")</f>
        <v/>
      </c>
      <c r="AB312" s="2">
        <f>IFERROR(INDEX('7_3nf_product'!$D:$D,MATCH(Y312,'7_3nf_product'!$A:$A,0)),"NOT FOUND")</f>
        <v/>
      </c>
      <c r="AC312" s="6">
        <f>IFERROR(INDEX('7_3nf_product'!$E:$E,MATCH(Y312,'7_3nf_product'!$A:$A,0)),"NOT FOUND")</f>
        <v/>
      </c>
      <c r="AD312" s="33">
        <f>IF(LEN(TRIM(E312))=10,TRIM(E312),IF(LEN(TRIM(E312))=8,"00"&amp;TRIM(E312),"CHECK"))</f>
        <v/>
      </c>
      <c r="AE312" s="2">
        <f>IFERROR(INDEX('8_3nf_customer'!$C:$C,MATCH(AD312,'8_3nf_customer'!$B:$B,0)),"NOT FOUND")</f>
        <v/>
      </c>
      <c r="AF312" s="30">
        <f>IFERROR(INDEX('8_3nf_customer'!$D:$D,MATCH(AD312,'8_3nf_customer'!$B:$B,0)),"NOT FOUND")</f>
        <v/>
      </c>
      <c r="AG312" s="4">
        <f>IF(ISNUMBER(AF312),DATEDIF(AF312,L312,"y"),"NOT FOUND")</f>
        <v/>
      </c>
      <c r="AH312" s="2">
        <f>IFERROR(INDEX('8_3nf_customer'!$E:$E,MATCH(AD312,'8_3nf_customer'!$B:$B,0)),"NOT FOUND")</f>
        <v/>
      </c>
      <c r="AI312" s="30">
        <f>IF(_xlfn.MAXIFS('9_3nf_customer_history'!$B$2:$B$500,'9_3nf_customer_history'!$A$2:$A$500,AD312,'9_3nf_customer_history'!$B$2:$B$500,"&lt;="&amp;L312)=0,"NOT FOUND",_xlfn.MAXIFS('9_3nf_customer_history'!$B$2:$B$500,'9_3nf_customer_history'!$A$2:$A$500,AD312,'9_3nf_customer_history'!$B$2:$B$500,"&lt;="&amp;L312))</f>
        <v/>
      </c>
      <c r="AJ312" s="2">
        <f>IF(AI312="NOT FOUND","NOT FOUND",INDEX('9_3nf_customer_history'!$C:$C,SUMPRODUCT(('9_3nf_customer_history'!$A$2:$A$500=AD312)*('9_3nf_customer_history'!$B$2:$B$500=AI312)*ROW('9_3nf_customer_history'!$A$2:$A$500))))</f>
        <v/>
      </c>
      <c r="AK312" s="2">
        <f>IF(AI312="NOT FOUND","NOT FOUND",INDEX('9_3nf_customer_history'!$D:$D,SUMPRODUCT(('9_3nf_customer_history'!$A$2:$A$500=AD312)*('9_3nf_customer_history'!$B$2:$B$500=AI312)*ROW('9_3nf_customer_history'!$A$2:$A$500))))</f>
        <v/>
      </c>
      <c r="AL312" s="2">
        <f>UPPER(TRIM(H312))</f>
        <v/>
      </c>
      <c r="AM312" s="30">
        <f>IF(_xlfn.MAXIFS('10_ref_fx_rate'!$B$2:$B$2000,'10_ref_fx_rate'!$A$2:$A$2000,AL312,'10_ref_fx_rate'!$B$2:$B$2000,"&lt;="&amp;L312)=0,"NOT FOUND",_xlfn.MAXIFS('10_ref_fx_rate'!$B$2:$B$2000,'10_ref_fx_rate'!$A$2:$A$2000,AL312,'10_ref_fx_rate'!$B$2:$B$2000,"&lt;="&amp;L312))</f>
        <v/>
      </c>
      <c r="AN312" s="8">
        <f>IF(AM312="NOT FOUND","NOT FOUND",SUMIFS('10_ref_fx_rate'!$D$2:$D$2000,'10_ref_fx_rate'!$A$2:$A$2000,AL312,'10_ref_fx_rate'!$B$2:$B$2000,AM312))</f>
        <v/>
      </c>
      <c r="AO312" s="37">
        <f>IF(ISNUMBER(AN312),I312*AN312,"NOT FOUND")</f>
        <v/>
      </c>
      <c r="AP312" s="2">
        <f>UPPER(TRIM(J312))</f>
        <v/>
      </c>
      <c r="AQ312" s="2">
        <f>IF(AP312="","SELF-DIRECTED",IF(ISNUMBER(MATCH(AP312,'11_3nf_sales_person'!$A:$A,0)),IF(EXACT(AP312,J312),"OK","OK (auto-fixed)"),IF(ISNA(MATCH($A312,'12_sales_person_confirmation'!$A:$A,0)),"CONFIRM (not logged)",IF(INDEX('12_sales_person_confirmation'!$I:$I,MATCH($A312,'12_sales_person_confirmation'!$A:$A,0))="CONFIRMED","CONFIRMED ("&amp;LOWER(INDEX('12_sales_person_confirmation'!$E:$E,MATCH($A312,'12_sales_person_confirmation'!$A:$A,0)))&amp;")","PENDING CONFIRM"))))</f>
        <v/>
      </c>
      <c r="AR312" s="2">
        <f>IF(OR(AQ312="OK",AQ312="OK (auto-fixed)"),AP312,IF(LEFT(AQ312,9)="CONFIRMED",INDEX('12_sales_person_confirmation'!$F:$F,MATCH($A312,'12_sales_person_confirmation'!$A:$A,0)),""))</f>
        <v/>
      </c>
      <c r="AS312" s="2">
        <f>IF(AR312="","",INDEX('11_3nf_sales_person'!$B:$B,MATCH(AR312,'11_3nf_sales_person'!$A:$A,0)))</f>
        <v/>
      </c>
    </row>
    <row r="313">
      <c r="A313" s="2">
        <f>IF(ISBLANK('1_raw_log'!A313),"",'1_raw_log'!A313)</f>
        <v/>
      </c>
      <c r="B313" s="3">
        <f>IF(ISBLANK('1_raw_log'!B313),"",'1_raw_log'!B313)</f>
        <v/>
      </c>
      <c r="C313" s="2">
        <f>IF(ISBLANK('1_raw_log'!C313),"",'1_raw_log'!C313)</f>
        <v/>
      </c>
      <c r="D313" s="2">
        <f>IF(ISBLANK('1_raw_log'!D313),"",'1_raw_log'!D313)</f>
        <v/>
      </c>
      <c r="E313" s="4">
        <f>IF(ISBLANK('1_raw_log'!E313),"",'1_raw_log'!E313)</f>
        <v/>
      </c>
      <c r="F313" s="2">
        <f>IF(ISBLANK('1_raw_log'!F313),"",'1_raw_log'!F313)</f>
        <v/>
      </c>
      <c r="G313" s="2">
        <f>IF(ISBLANK('1_raw_log'!G313),"",'1_raw_log'!G313)</f>
        <v/>
      </c>
      <c r="H313" s="2">
        <f>IF(ISBLANK('1_raw_log'!H313),"",'1_raw_log'!H313)</f>
        <v/>
      </c>
      <c r="I313" s="7">
        <f>IF(ISBLANK('1_raw_log'!I313),"",'1_raw_log'!I313)</f>
        <v/>
      </c>
      <c r="J313" s="2">
        <f>IF(ISBLANK('1_raw_log'!J313),"",'1_raw_log'!J313)</f>
        <v/>
      </c>
      <c r="K313" s="2">
        <f>IF(ISBLANK('1_raw_log'!K313),"",'1_raw_log'!K313)</f>
        <v/>
      </c>
      <c r="L313" s="30">
        <f>INT(B313)</f>
        <v/>
      </c>
      <c r="M313" s="20">
        <f>ROUND(MOD(B313,1)*1440,0)/1440</f>
        <v/>
      </c>
      <c r="N313" s="4">
        <f>IFERROR(INDEX('3_ref_date'!$B:$B,MATCH(L313,'3_ref_date'!$A:$A,0)),"NOT FOUND")</f>
        <v/>
      </c>
      <c r="O313" s="2">
        <f>IFERROR(INDEX('3_ref_date'!$C:$C,MATCH(L313,'3_ref_date'!$A:$A,0)),"NOT FOUND")</f>
        <v/>
      </c>
      <c r="P313" s="4">
        <f>IFERROR(INDEX('3_ref_date'!$D:$D,MATCH(L313,'3_ref_date'!$A:$A,0)),"NOT FOUND")</f>
        <v/>
      </c>
      <c r="Q313" s="4">
        <f>IFERROR(INDEX('3_ref_date'!$E:$E,MATCH(L313,'3_ref_date'!$A:$A,0)),"NOT FOUND")</f>
        <v/>
      </c>
      <c r="R313" s="2">
        <f>IFERROR(INDEX('3_ref_date'!$F:$F,MATCH(L313,'3_ref_date'!$A:$A,0)),"NOT FOUND")</f>
        <v/>
      </c>
      <c r="S313" s="2">
        <f>IFERROR(INDEX('4_ref_time'!$D:$D,MATCH(ROUND(M313*1440,0),'4_ref_time'!$A:$A,0)),"NOT FOUND")</f>
        <v/>
      </c>
      <c r="T313" s="2">
        <f>UPPER(TRIM(C313))</f>
        <v/>
      </c>
      <c r="U313" s="30">
        <f>IF(_xlfn.MAXIFS('6_3nf_branch_history'!$B$2:$B$50,'6_3nf_branch_history'!$A$2:$A$50,T313,'6_3nf_branch_history'!$B$2:$B$50,"&lt;="&amp;L313)=0,"NOT FOUND",_xlfn.MAXIFS('6_3nf_branch_history'!$B$2:$B$50,'6_3nf_branch_history'!$A$2:$A$50,T313,'6_3nf_branch_history'!$B$2:$B$50,"&lt;="&amp;L313))</f>
        <v/>
      </c>
      <c r="V313" s="2">
        <f>IF(U313="NOT FOUND","NOT FOUND",INDEX('6_3nf_branch_history'!$C:$C,SUMPRODUCT(('6_3nf_branch_history'!$A$2:$A$50=T313)*('6_3nf_branch_history'!$B$2:$B$50=U313)*ROW('6_3nf_branch_history'!$A$2:$A$50))))</f>
        <v/>
      </c>
      <c r="W313" s="2">
        <f>IF(U313="NOT FOUND","NOT FOUND",INDEX('6_3nf_branch_history'!$D:$D,SUMPRODUCT(('6_3nf_branch_history'!$A$2:$A$50=T313)*('6_3nf_branch_history'!$B$2:$B$50=U313)*ROW('6_3nf_branch_history'!$A$2:$A$50))))</f>
        <v/>
      </c>
      <c r="X313" s="2">
        <f>IF(U313="NOT FOUND","NOT FOUND",INDEX('6_3nf_branch_history'!$E:$E,SUMPRODUCT(('6_3nf_branch_history'!$A$2:$A$50=T313)*('6_3nf_branch_history'!$B$2:$B$50=U313)*ROW('6_3nf_branch_history'!$A$2:$A$50))))</f>
        <v/>
      </c>
      <c r="Y313" s="2">
        <f>UPPER(TRIM(D313))</f>
        <v/>
      </c>
      <c r="Z313" s="2">
        <f>IFERROR(INDEX('7_3nf_product'!$B:$B,MATCH(Y313,'7_3nf_product'!$A:$A,0)),"NOT FOUND")</f>
        <v/>
      </c>
      <c r="AA313" s="2">
        <f>IFERROR(INDEX('7_3nf_product'!$C:$C,MATCH(Y313,'7_3nf_product'!$A:$A,0)),"NOT FOUND")</f>
        <v/>
      </c>
      <c r="AB313" s="2">
        <f>IFERROR(INDEX('7_3nf_product'!$D:$D,MATCH(Y313,'7_3nf_product'!$A:$A,0)),"NOT FOUND")</f>
        <v/>
      </c>
      <c r="AC313" s="6">
        <f>IFERROR(INDEX('7_3nf_product'!$E:$E,MATCH(Y313,'7_3nf_product'!$A:$A,0)),"NOT FOUND")</f>
        <v/>
      </c>
      <c r="AD313" s="33">
        <f>IF(LEN(TRIM(E313))=10,TRIM(E313),IF(LEN(TRIM(E313))=8,"00"&amp;TRIM(E313),"CHECK"))</f>
        <v/>
      </c>
      <c r="AE313" s="2">
        <f>IFERROR(INDEX('8_3nf_customer'!$C:$C,MATCH(AD313,'8_3nf_customer'!$B:$B,0)),"NOT FOUND")</f>
        <v/>
      </c>
      <c r="AF313" s="30">
        <f>IFERROR(INDEX('8_3nf_customer'!$D:$D,MATCH(AD313,'8_3nf_customer'!$B:$B,0)),"NOT FOUND")</f>
        <v/>
      </c>
      <c r="AG313" s="4">
        <f>IF(ISNUMBER(AF313),DATEDIF(AF313,L313,"y"),"NOT FOUND")</f>
        <v/>
      </c>
      <c r="AH313" s="2">
        <f>IFERROR(INDEX('8_3nf_customer'!$E:$E,MATCH(AD313,'8_3nf_customer'!$B:$B,0)),"NOT FOUND")</f>
        <v/>
      </c>
      <c r="AI313" s="30">
        <f>IF(_xlfn.MAXIFS('9_3nf_customer_history'!$B$2:$B$500,'9_3nf_customer_history'!$A$2:$A$500,AD313,'9_3nf_customer_history'!$B$2:$B$500,"&lt;="&amp;L313)=0,"NOT FOUND",_xlfn.MAXIFS('9_3nf_customer_history'!$B$2:$B$500,'9_3nf_customer_history'!$A$2:$A$500,AD313,'9_3nf_customer_history'!$B$2:$B$500,"&lt;="&amp;L313))</f>
        <v/>
      </c>
      <c r="AJ313" s="2">
        <f>IF(AI313="NOT FOUND","NOT FOUND",INDEX('9_3nf_customer_history'!$C:$C,SUMPRODUCT(('9_3nf_customer_history'!$A$2:$A$500=AD313)*('9_3nf_customer_history'!$B$2:$B$500=AI313)*ROW('9_3nf_customer_history'!$A$2:$A$500))))</f>
        <v/>
      </c>
      <c r="AK313" s="2">
        <f>IF(AI313="NOT FOUND","NOT FOUND",INDEX('9_3nf_customer_history'!$D:$D,SUMPRODUCT(('9_3nf_customer_history'!$A$2:$A$500=AD313)*('9_3nf_customer_history'!$B$2:$B$500=AI313)*ROW('9_3nf_customer_history'!$A$2:$A$500))))</f>
        <v/>
      </c>
      <c r="AL313" s="2">
        <f>UPPER(TRIM(H313))</f>
        <v/>
      </c>
      <c r="AM313" s="30">
        <f>IF(_xlfn.MAXIFS('10_ref_fx_rate'!$B$2:$B$2000,'10_ref_fx_rate'!$A$2:$A$2000,AL313,'10_ref_fx_rate'!$B$2:$B$2000,"&lt;="&amp;L313)=0,"NOT FOUND",_xlfn.MAXIFS('10_ref_fx_rate'!$B$2:$B$2000,'10_ref_fx_rate'!$A$2:$A$2000,AL313,'10_ref_fx_rate'!$B$2:$B$2000,"&lt;="&amp;L313))</f>
        <v/>
      </c>
      <c r="AN313" s="8">
        <f>IF(AM313="NOT FOUND","NOT FOUND",SUMIFS('10_ref_fx_rate'!$D$2:$D$2000,'10_ref_fx_rate'!$A$2:$A$2000,AL313,'10_ref_fx_rate'!$B$2:$B$2000,AM313))</f>
        <v/>
      </c>
      <c r="AO313" s="37">
        <f>IF(ISNUMBER(AN313),I313*AN313,"NOT FOUND")</f>
        <v/>
      </c>
      <c r="AP313" s="2">
        <f>UPPER(TRIM(J313))</f>
        <v/>
      </c>
      <c r="AQ313" s="2">
        <f>IF(AP313="","SELF-DIRECTED",IF(ISNUMBER(MATCH(AP313,'11_3nf_sales_person'!$A:$A,0)),IF(EXACT(AP313,J313),"OK","OK (auto-fixed)"),IF(ISNA(MATCH($A313,'12_sales_person_confirmation'!$A:$A,0)),"CONFIRM (not logged)",IF(INDEX('12_sales_person_confirmation'!$I:$I,MATCH($A313,'12_sales_person_confirmation'!$A:$A,0))="CONFIRMED","CONFIRMED ("&amp;LOWER(INDEX('12_sales_person_confirmation'!$E:$E,MATCH($A313,'12_sales_person_confirmation'!$A:$A,0)))&amp;")","PENDING CONFIRM"))))</f>
        <v/>
      </c>
      <c r="AR313" s="2">
        <f>IF(OR(AQ313="OK",AQ313="OK (auto-fixed)"),AP313,IF(LEFT(AQ313,9)="CONFIRMED",INDEX('12_sales_person_confirmation'!$F:$F,MATCH($A313,'12_sales_person_confirmation'!$A:$A,0)),""))</f>
        <v/>
      </c>
      <c r="AS313" s="2">
        <f>IF(AR313="","",INDEX('11_3nf_sales_person'!$B:$B,MATCH(AR313,'11_3nf_sales_person'!$A:$A,0)))</f>
        <v/>
      </c>
    </row>
    <row r="314">
      <c r="A314" s="2">
        <f>IF(ISBLANK('1_raw_log'!A314),"",'1_raw_log'!A314)</f>
        <v/>
      </c>
      <c r="B314" s="3">
        <f>IF(ISBLANK('1_raw_log'!B314),"",'1_raw_log'!B314)</f>
        <v/>
      </c>
      <c r="C314" s="2">
        <f>IF(ISBLANK('1_raw_log'!C314),"",'1_raw_log'!C314)</f>
        <v/>
      </c>
      <c r="D314" s="2">
        <f>IF(ISBLANK('1_raw_log'!D314),"",'1_raw_log'!D314)</f>
        <v/>
      </c>
      <c r="E314" s="4">
        <f>IF(ISBLANK('1_raw_log'!E314),"",'1_raw_log'!E314)</f>
        <v/>
      </c>
      <c r="F314" s="2">
        <f>IF(ISBLANK('1_raw_log'!F314),"",'1_raw_log'!F314)</f>
        <v/>
      </c>
      <c r="G314" s="2">
        <f>IF(ISBLANK('1_raw_log'!G314),"",'1_raw_log'!G314)</f>
        <v/>
      </c>
      <c r="H314" s="2">
        <f>IF(ISBLANK('1_raw_log'!H314),"",'1_raw_log'!H314)</f>
        <v/>
      </c>
      <c r="I314" s="7">
        <f>IF(ISBLANK('1_raw_log'!I314),"",'1_raw_log'!I314)</f>
        <v/>
      </c>
      <c r="J314" s="2">
        <f>IF(ISBLANK('1_raw_log'!J314),"",'1_raw_log'!J314)</f>
        <v/>
      </c>
      <c r="K314" s="2">
        <f>IF(ISBLANK('1_raw_log'!K314),"",'1_raw_log'!K314)</f>
        <v/>
      </c>
      <c r="L314" s="30">
        <f>INT(B314)</f>
        <v/>
      </c>
      <c r="M314" s="20">
        <f>ROUND(MOD(B314,1)*1440,0)/1440</f>
        <v/>
      </c>
      <c r="N314" s="4">
        <f>IFERROR(INDEX('3_ref_date'!$B:$B,MATCH(L314,'3_ref_date'!$A:$A,0)),"NOT FOUND")</f>
        <v/>
      </c>
      <c r="O314" s="2">
        <f>IFERROR(INDEX('3_ref_date'!$C:$C,MATCH(L314,'3_ref_date'!$A:$A,0)),"NOT FOUND")</f>
        <v/>
      </c>
      <c r="P314" s="4">
        <f>IFERROR(INDEX('3_ref_date'!$D:$D,MATCH(L314,'3_ref_date'!$A:$A,0)),"NOT FOUND")</f>
        <v/>
      </c>
      <c r="Q314" s="4">
        <f>IFERROR(INDEX('3_ref_date'!$E:$E,MATCH(L314,'3_ref_date'!$A:$A,0)),"NOT FOUND")</f>
        <v/>
      </c>
      <c r="R314" s="2">
        <f>IFERROR(INDEX('3_ref_date'!$F:$F,MATCH(L314,'3_ref_date'!$A:$A,0)),"NOT FOUND")</f>
        <v/>
      </c>
      <c r="S314" s="2">
        <f>IFERROR(INDEX('4_ref_time'!$D:$D,MATCH(ROUND(M314*1440,0),'4_ref_time'!$A:$A,0)),"NOT FOUND")</f>
        <v/>
      </c>
      <c r="T314" s="2">
        <f>UPPER(TRIM(C314))</f>
        <v/>
      </c>
      <c r="U314" s="30">
        <f>IF(_xlfn.MAXIFS('6_3nf_branch_history'!$B$2:$B$50,'6_3nf_branch_history'!$A$2:$A$50,T314,'6_3nf_branch_history'!$B$2:$B$50,"&lt;="&amp;L314)=0,"NOT FOUND",_xlfn.MAXIFS('6_3nf_branch_history'!$B$2:$B$50,'6_3nf_branch_history'!$A$2:$A$50,T314,'6_3nf_branch_history'!$B$2:$B$50,"&lt;="&amp;L314))</f>
        <v/>
      </c>
      <c r="V314" s="2">
        <f>IF(U314="NOT FOUND","NOT FOUND",INDEX('6_3nf_branch_history'!$C:$C,SUMPRODUCT(('6_3nf_branch_history'!$A$2:$A$50=T314)*('6_3nf_branch_history'!$B$2:$B$50=U314)*ROW('6_3nf_branch_history'!$A$2:$A$50))))</f>
        <v/>
      </c>
      <c r="W314" s="2">
        <f>IF(U314="NOT FOUND","NOT FOUND",INDEX('6_3nf_branch_history'!$D:$D,SUMPRODUCT(('6_3nf_branch_history'!$A$2:$A$50=T314)*('6_3nf_branch_history'!$B$2:$B$50=U314)*ROW('6_3nf_branch_history'!$A$2:$A$50))))</f>
        <v/>
      </c>
      <c r="X314" s="2">
        <f>IF(U314="NOT FOUND","NOT FOUND",INDEX('6_3nf_branch_history'!$E:$E,SUMPRODUCT(('6_3nf_branch_history'!$A$2:$A$50=T314)*('6_3nf_branch_history'!$B$2:$B$50=U314)*ROW('6_3nf_branch_history'!$A$2:$A$50))))</f>
        <v/>
      </c>
      <c r="Y314" s="2">
        <f>UPPER(TRIM(D314))</f>
        <v/>
      </c>
      <c r="Z314" s="2">
        <f>IFERROR(INDEX('7_3nf_product'!$B:$B,MATCH(Y314,'7_3nf_product'!$A:$A,0)),"NOT FOUND")</f>
        <v/>
      </c>
      <c r="AA314" s="2">
        <f>IFERROR(INDEX('7_3nf_product'!$C:$C,MATCH(Y314,'7_3nf_product'!$A:$A,0)),"NOT FOUND")</f>
        <v/>
      </c>
      <c r="AB314" s="2">
        <f>IFERROR(INDEX('7_3nf_product'!$D:$D,MATCH(Y314,'7_3nf_product'!$A:$A,0)),"NOT FOUND")</f>
        <v/>
      </c>
      <c r="AC314" s="6">
        <f>IFERROR(INDEX('7_3nf_product'!$E:$E,MATCH(Y314,'7_3nf_product'!$A:$A,0)),"NOT FOUND")</f>
        <v/>
      </c>
      <c r="AD314" s="33">
        <f>IF(LEN(TRIM(E314))=10,TRIM(E314),IF(LEN(TRIM(E314))=8,"00"&amp;TRIM(E314),"CHECK"))</f>
        <v/>
      </c>
      <c r="AE314" s="2">
        <f>IFERROR(INDEX('8_3nf_customer'!$C:$C,MATCH(AD314,'8_3nf_customer'!$B:$B,0)),"NOT FOUND")</f>
        <v/>
      </c>
      <c r="AF314" s="30">
        <f>IFERROR(INDEX('8_3nf_customer'!$D:$D,MATCH(AD314,'8_3nf_customer'!$B:$B,0)),"NOT FOUND")</f>
        <v/>
      </c>
      <c r="AG314" s="4">
        <f>IF(ISNUMBER(AF314),DATEDIF(AF314,L314,"y"),"NOT FOUND")</f>
        <v/>
      </c>
      <c r="AH314" s="2">
        <f>IFERROR(INDEX('8_3nf_customer'!$E:$E,MATCH(AD314,'8_3nf_customer'!$B:$B,0)),"NOT FOUND")</f>
        <v/>
      </c>
      <c r="AI314" s="30">
        <f>IF(_xlfn.MAXIFS('9_3nf_customer_history'!$B$2:$B$500,'9_3nf_customer_history'!$A$2:$A$500,AD314,'9_3nf_customer_history'!$B$2:$B$500,"&lt;="&amp;L314)=0,"NOT FOUND",_xlfn.MAXIFS('9_3nf_customer_history'!$B$2:$B$500,'9_3nf_customer_history'!$A$2:$A$500,AD314,'9_3nf_customer_history'!$B$2:$B$500,"&lt;="&amp;L314))</f>
        <v/>
      </c>
      <c r="AJ314" s="2">
        <f>IF(AI314="NOT FOUND","NOT FOUND",INDEX('9_3nf_customer_history'!$C:$C,SUMPRODUCT(('9_3nf_customer_history'!$A$2:$A$500=AD314)*('9_3nf_customer_history'!$B$2:$B$500=AI314)*ROW('9_3nf_customer_history'!$A$2:$A$500))))</f>
        <v/>
      </c>
      <c r="AK314" s="2">
        <f>IF(AI314="NOT FOUND","NOT FOUND",INDEX('9_3nf_customer_history'!$D:$D,SUMPRODUCT(('9_3nf_customer_history'!$A$2:$A$500=AD314)*('9_3nf_customer_history'!$B$2:$B$500=AI314)*ROW('9_3nf_customer_history'!$A$2:$A$500))))</f>
        <v/>
      </c>
      <c r="AL314" s="2">
        <f>UPPER(TRIM(H314))</f>
        <v/>
      </c>
      <c r="AM314" s="30">
        <f>IF(_xlfn.MAXIFS('10_ref_fx_rate'!$B$2:$B$2000,'10_ref_fx_rate'!$A$2:$A$2000,AL314,'10_ref_fx_rate'!$B$2:$B$2000,"&lt;="&amp;L314)=0,"NOT FOUND",_xlfn.MAXIFS('10_ref_fx_rate'!$B$2:$B$2000,'10_ref_fx_rate'!$A$2:$A$2000,AL314,'10_ref_fx_rate'!$B$2:$B$2000,"&lt;="&amp;L314))</f>
        <v/>
      </c>
      <c r="AN314" s="8">
        <f>IF(AM314="NOT FOUND","NOT FOUND",SUMIFS('10_ref_fx_rate'!$D$2:$D$2000,'10_ref_fx_rate'!$A$2:$A$2000,AL314,'10_ref_fx_rate'!$B$2:$B$2000,AM314))</f>
        <v/>
      </c>
      <c r="AO314" s="37">
        <f>IF(ISNUMBER(AN314),I314*AN314,"NOT FOUND")</f>
        <v/>
      </c>
      <c r="AP314" s="2">
        <f>UPPER(TRIM(J314))</f>
        <v/>
      </c>
      <c r="AQ314" s="2">
        <f>IF(AP314="","SELF-DIRECTED",IF(ISNUMBER(MATCH(AP314,'11_3nf_sales_person'!$A:$A,0)),IF(EXACT(AP314,J314),"OK","OK (auto-fixed)"),IF(ISNA(MATCH($A314,'12_sales_person_confirmation'!$A:$A,0)),"CONFIRM (not logged)",IF(INDEX('12_sales_person_confirmation'!$I:$I,MATCH($A314,'12_sales_person_confirmation'!$A:$A,0))="CONFIRMED","CONFIRMED ("&amp;LOWER(INDEX('12_sales_person_confirmation'!$E:$E,MATCH($A314,'12_sales_person_confirmation'!$A:$A,0)))&amp;")","PENDING CONFIRM"))))</f>
        <v/>
      </c>
      <c r="AR314" s="2">
        <f>IF(OR(AQ314="OK",AQ314="OK (auto-fixed)"),AP314,IF(LEFT(AQ314,9)="CONFIRMED",INDEX('12_sales_person_confirmation'!$F:$F,MATCH($A314,'12_sales_person_confirmation'!$A:$A,0)),""))</f>
        <v/>
      </c>
      <c r="AS314" s="2">
        <f>IF(AR314="","",INDEX('11_3nf_sales_person'!$B:$B,MATCH(AR314,'11_3nf_sales_person'!$A:$A,0)))</f>
        <v/>
      </c>
    </row>
    <row r="315">
      <c r="A315" s="2">
        <f>IF(ISBLANK('1_raw_log'!A315),"",'1_raw_log'!A315)</f>
        <v/>
      </c>
      <c r="B315" s="3">
        <f>IF(ISBLANK('1_raw_log'!B315),"",'1_raw_log'!B315)</f>
        <v/>
      </c>
      <c r="C315" s="2">
        <f>IF(ISBLANK('1_raw_log'!C315),"",'1_raw_log'!C315)</f>
        <v/>
      </c>
      <c r="D315" s="2">
        <f>IF(ISBLANK('1_raw_log'!D315),"",'1_raw_log'!D315)</f>
        <v/>
      </c>
      <c r="E315" s="4">
        <f>IF(ISBLANK('1_raw_log'!E315),"",'1_raw_log'!E315)</f>
        <v/>
      </c>
      <c r="F315" s="2">
        <f>IF(ISBLANK('1_raw_log'!F315),"",'1_raw_log'!F315)</f>
        <v/>
      </c>
      <c r="G315" s="2">
        <f>IF(ISBLANK('1_raw_log'!G315),"",'1_raw_log'!G315)</f>
        <v/>
      </c>
      <c r="H315" s="2">
        <f>IF(ISBLANK('1_raw_log'!H315),"",'1_raw_log'!H315)</f>
        <v/>
      </c>
      <c r="I315" s="7">
        <f>IF(ISBLANK('1_raw_log'!I315),"",'1_raw_log'!I315)</f>
        <v/>
      </c>
      <c r="J315" s="2">
        <f>IF(ISBLANK('1_raw_log'!J315),"",'1_raw_log'!J315)</f>
        <v/>
      </c>
      <c r="K315" s="2">
        <f>IF(ISBLANK('1_raw_log'!K315),"",'1_raw_log'!K315)</f>
        <v/>
      </c>
      <c r="L315" s="30">
        <f>INT(B315)</f>
        <v/>
      </c>
      <c r="M315" s="20">
        <f>ROUND(MOD(B315,1)*1440,0)/1440</f>
        <v/>
      </c>
      <c r="N315" s="4">
        <f>IFERROR(INDEX('3_ref_date'!$B:$B,MATCH(L315,'3_ref_date'!$A:$A,0)),"NOT FOUND")</f>
        <v/>
      </c>
      <c r="O315" s="2">
        <f>IFERROR(INDEX('3_ref_date'!$C:$C,MATCH(L315,'3_ref_date'!$A:$A,0)),"NOT FOUND")</f>
        <v/>
      </c>
      <c r="P315" s="4">
        <f>IFERROR(INDEX('3_ref_date'!$D:$D,MATCH(L315,'3_ref_date'!$A:$A,0)),"NOT FOUND")</f>
        <v/>
      </c>
      <c r="Q315" s="4">
        <f>IFERROR(INDEX('3_ref_date'!$E:$E,MATCH(L315,'3_ref_date'!$A:$A,0)),"NOT FOUND")</f>
        <v/>
      </c>
      <c r="R315" s="2">
        <f>IFERROR(INDEX('3_ref_date'!$F:$F,MATCH(L315,'3_ref_date'!$A:$A,0)),"NOT FOUND")</f>
        <v/>
      </c>
      <c r="S315" s="2">
        <f>IFERROR(INDEX('4_ref_time'!$D:$D,MATCH(ROUND(M315*1440,0),'4_ref_time'!$A:$A,0)),"NOT FOUND")</f>
        <v/>
      </c>
      <c r="T315" s="2">
        <f>UPPER(TRIM(C315))</f>
        <v/>
      </c>
      <c r="U315" s="30">
        <f>IF(_xlfn.MAXIFS('6_3nf_branch_history'!$B$2:$B$50,'6_3nf_branch_history'!$A$2:$A$50,T315,'6_3nf_branch_history'!$B$2:$B$50,"&lt;="&amp;L315)=0,"NOT FOUND",_xlfn.MAXIFS('6_3nf_branch_history'!$B$2:$B$50,'6_3nf_branch_history'!$A$2:$A$50,T315,'6_3nf_branch_history'!$B$2:$B$50,"&lt;="&amp;L315))</f>
        <v/>
      </c>
      <c r="V315" s="2">
        <f>IF(U315="NOT FOUND","NOT FOUND",INDEX('6_3nf_branch_history'!$C:$C,SUMPRODUCT(('6_3nf_branch_history'!$A$2:$A$50=T315)*('6_3nf_branch_history'!$B$2:$B$50=U315)*ROW('6_3nf_branch_history'!$A$2:$A$50))))</f>
        <v/>
      </c>
      <c r="W315" s="2">
        <f>IF(U315="NOT FOUND","NOT FOUND",INDEX('6_3nf_branch_history'!$D:$D,SUMPRODUCT(('6_3nf_branch_history'!$A$2:$A$50=T315)*('6_3nf_branch_history'!$B$2:$B$50=U315)*ROW('6_3nf_branch_history'!$A$2:$A$50))))</f>
        <v/>
      </c>
      <c r="X315" s="2">
        <f>IF(U315="NOT FOUND","NOT FOUND",INDEX('6_3nf_branch_history'!$E:$E,SUMPRODUCT(('6_3nf_branch_history'!$A$2:$A$50=T315)*('6_3nf_branch_history'!$B$2:$B$50=U315)*ROW('6_3nf_branch_history'!$A$2:$A$50))))</f>
        <v/>
      </c>
      <c r="Y315" s="2">
        <f>UPPER(TRIM(D315))</f>
        <v/>
      </c>
      <c r="Z315" s="2">
        <f>IFERROR(INDEX('7_3nf_product'!$B:$B,MATCH(Y315,'7_3nf_product'!$A:$A,0)),"NOT FOUND")</f>
        <v/>
      </c>
      <c r="AA315" s="2">
        <f>IFERROR(INDEX('7_3nf_product'!$C:$C,MATCH(Y315,'7_3nf_product'!$A:$A,0)),"NOT FOUND")</f>
        <v/>
      </c>
      <c r="AB315" s="2">
        <f>IFERROR(INDEX('7_3nf_product'!$D:$D,MATCH(Y315,'7_3nf_product'!$A:$A,0)),"NOT FOUND")</f>
        <v/>
      </c>
      <c r="AC315" s="6">
        <f>IFERROR(INDEX('7_3nf_product'!$E:$E,MATCH(Y315,'7_3nf_product'!$A:$A,0)),"NOT FOUND")</f>
        <v/>
      </c>
      <c r="AD315" s="33">
        <f>IF(LEN(TRIM(E315))=10,TRIM(E315),IF(LEN(TRIM(E315))=8,"00"&amp;TRIM(E315),"CHECK"))</f>
        <v/>
      </c>
      <c r="AE315" s="2">
        <f>IFERROR(INDEX('8_3nf_customer'!$C:$C,MATCH(AD315,'8_3nf_customer'!$B:$B,0)),"NOT FOUND")</f>
        <v/>
      </c>
      <c r="AF315" s="30">
        <f>IFERROR(INDEX('8_3nf_customer'!$D:$D,MATCH(AD315,'8_3nf_customer'!$B:$B,0)),"NOT FOUND")</f>
        <v/>
      </c>
      <c r="AG315" s="4">
        <f>IF(ISNUMBER(AF315),DATEDIF(AF315,L315,"y"),"NOT FOUND")</f>
        <v/>
      </c>
      <c r="AH315" s="2">
        <f>IFERROR(INDEX('8_3nf_customer'!$E:$E,MATCH(AD315,'8_3nf_customer'!$B:$B,0)),"NOT FOUND")</f>
        <v/>
      </c>
      <c r="AI315" s="30">
        <f>IF(_xlfn.MAXIFS('9_3nf_customer_history'!$B$2:$B$500,'9_3nf_customer_history'!$A$2:$A$500,AD315,'9_3nf_customer_history'!$B$2:$B$500,"&lt;="&amp;L315)=0,"NOT FOUND",_xlfn.MAXIFS('9_3nf_customer_history'!$B$2:$B$500,'9_3nf_customer_history'!$A$2:$A$500,AD315,'9_3nf_customer_history'!$B$2:$B$500,"&lt;="&amp;L315))</f>
        <v/>
      </c>
      <c r="AJ315" s="2">
        <f>IF(AI315="NOT FOUND","NOT FOUND",INDEX('9_3nf_customer_history'!$C:$C,SUMPRODUCT(('9_3nf_customer_history'!$A$2:$A$500=AD315)*('9_3nf_customer_history'!$B$2:$B$500=AI315)*ROW('9_3nf_customer_history'!$A$2:$A$500))))</f>
        <v/>
      </c>
      <c r="AK315" s="2">
        <f>IF(AI315="NOT FOUND","NOT FOUND",INDEX('9_3nf_customer_history'!$D:$D,SUMPRODUCT(('9_3nf_customer_history'!$A$2:$A$500=AD315)*('9_3nf_customer_history'!$B$2:$B$500=AI315)*ROW('9_3nf_customer_history'!$A$2:$A$500))))</f>
        <v/>
      </c>
      <c r="AL315" s="2">
        <f>UPPER(TRIM(H315))</f>
        <v/>
      </c>
      <c r="AM315" s="30">
        <f>IF(_xlfn.MAXIFS('10_ref_fx_rate'!$B$2:$B$2000,'10_ref_fx_rate'!$A$2:$A$2000,AL315,'10_ref_fx_rate'!$B$2:$B$2000,"&lt;="&amp;L315)=0,"NOT FOUND",_xlfn.MAXIFS('10_ref_fx_rate'!$B$2:$B$2000,'10_ref_fx_rate'!$A$2:$A$2000,AL315,'10_ref_fx_rate'!$B$2:$B$2000,"&lt;="&amp;L315))</f>
        <v/>
      </c>
      <c r="AN315" s="8">
        <f>IF(AM315="NOT FOUND","NOT FOUND",SUMIFS('10_ref_fx_rate'!$D$2:$D$2000,'10_ref_fx_rate'!$A$2:$A$2000,AL315,'10_ref_fx_rate'!$B$2:$B$2000,AM315))</f>
        <v/>
      </c>
      <c r="AO315" s="37">
        <f>IF(ISNUMBER(AN315),I315*AN315,"NOT FOUND")</f>
        <v/>
      </c>
      <c r="AP315" s="2">
        <f>UPPER(TRIM(J315))</f>
        <v/>
      </c>
      <c r="AQ315" s="2">
        <f>IF(AP315="","SELF-DIRECTED",IF(ISNUMBER(MATCH(AP315,'11_3nf_sales_person'!$A:$A,0)),IF(EXACT(AP315,J315),"OK","OK (auto-fixed)"),IF(ISNA(MATCH($A315,'12_sales_person_confirmation'!$A:$A,0)),"CONFIRM (not logged)",IF(INDEX('12_sales_person_confirmation'!$I:$I,MATCH($A315,'12_sales_person_confirmation'!$A:$A,0))="CONFIRMED","CONFIRMED ("&amp;LOWER(INDEX('12_sales_person_confirmation'!$E:$E,MATCH($A315,'12_sales_person_confirmation'!$A:$A,0)))&amp;")","PENDING CONFIRM"))))</f>
        <v/>
      </c>
      <c r="AR315" s="2">
        <f>IF(OR(AQ315="OK",AQ315="OK (auto-fixed)"),AP315,IF(LEFT(AQ315,9)="CONFIRMED",INDEX('12_sales_person_confirmation'!$F:$F,MATCH($A315,'12_sales_person_confirmation'!$A:$A,0)),""))</f>
        <v/>
      </c>
      <c r="AS315" s="2">
        <f>IF(AR315="","",INDEX('11_3nf_sales_person'!$B:$B,MATCH(AR315,'11_3nf_sales_person'!$A:$A,0)))</f>
        <v/>
      </c>
    </row>
    <row r="316">
      <c r="A316" s="2">
        <f>IF(ISBLANK('1_raw_log'!A316),"",'1_raw_log'!A316)</f>
        <v/>
      </c>
      <c r="B316" s="3">
        <f>IF(ISBLANK('1_raw_log'!B316),"",'1_raw_log'!B316)</f>
        <v/>
      </c>
      <c r="C316" s="2">
        <f>IF(ISBLANK('1_raw_log'!C316),"",'1_raw_log'!C316)</f>
        <v/>
      </c>
      <c r="D316" s="2">
        <f>IF(ISBLANK('1_raw_log'!D316),"",'1_raw_log'!D316)</f>
        <v/>
      </c>
      <c r="E316" s="4">
        <f>IF(ISBLANK('1_raw_log'!E316),"",'1_raw_log'!E316)</f>
        <v/>
      </c>
      <c r="F316" s="2">
        <f>IF(ISBLANK('1_raw_log'!F316),"",'1_raw_log'!F316)</f>
        <v/>
      </c>
      <c r="G316" s="2">
        <f>IF(ISBLANK('1_raw_log'!G316),"",'1_raw_log'!G316)</f>
        <v/>
      </c>
      <c r="H316" s="2">
        <f>IF(ISBLANK('1_raw_log'!H316),"",'1_raw_log'!H316)</f>
        <v/>
      </c>
      <c r="I316" s="7">
        <f>IF(ISBLANK('1_raw_log'!I316),"",'1_raw_log'!I316)</f>
        <v/>
      </c>
      <c r="J316" s="2">
        <f>IF(ISBLANK('1_raw_log'!J316),"",'1_raw_log'!J316)</f>
        <v/>
      </c>
      <c r="K316" s="2">
        <f>IF(ISBLANK('1_raw_log'!K316),"",'1_raw_log'!K316)</f>
        <v/>
      </c>
      <c r="L316" s="30">
        <f>INT(B316)</f>
        <v/>
      </c>
      <c r="M316" s="20">
        <f>ROUND(MOD(B316,1)*1440,0)/1440</f>
        <v/>
      </c>
      <c r="N316" s="4">
        <f>IFERROR(INDEX('3_ref_date'!$B:$B,MATCH(L316,'3_ref_date'!$A:$A,0)),"NOT FOUND")</f>
        <v/>
      </c>
      <c r="O316" s="2">
        <f>IFERROR(INDEX('3_ref_date'!$C:$C,MATCH(L316,'3_ref_date'!$A:$A,0)),"NOT FOUND")</f>
        <v/>
      </c>
      <c r="P316" s="4">
        <f>IFERROR(INDEX('3_ref_date'!$D:$D,MATCH(L316,'3_ref_date'!$A:$A,0)),"NOT FOUND")</f>
        <v/>
      </c>
      <c r="Q316" s="4">
        <f>IFERROR(INDEX('3_ref_date'!$E:$E,MATCH(L316,'3_ref_date'!$A:$A,0)),"NOT FOUND")</f>
        <v/>
      </c>
      <c r="R316" s="2">
        <f>IFERROR(INDEX('3_ref_date'!$F:$F,MATCH(L316,'3_ref_date'!$A:$A,0)),"NOT FOUND")</f>
        <v/>
      </c>
      <c r="S316" s="2">
        <f>IFERROR(INDEX('4_ref_time'!$D:$D,MATCH(ROUND(M316*1440,0),'4_ref_time'!$A:$A,0)),"NOT FOUND")</f>
        <v/>
      </c>
      <c r="T316" s="2">
        <f>UPPER(TRIM(C316))</f>
        <v/>
      </c>
      <c r="U316" s="30">
        <f>IF(_xlfn.MAXIFS('6_3nf_branch_history'!$B$2:$B$50,'6_3nf_branch_history'!$A$2:$A$50,T316,'6_3nf_branch_history'!$B$2:$B$50,"&lt;="&amp;L316)=0,"NOT FOUND",_xlfn.MAXIFS('6_3nf_branch_history'!$B$2:$B$50,'6_3nf_branch_history'!$A$2:$A$50,T316,'6_3nf_branch_history'!$B$2:$B$50,"&lt;="&amp;L316))</f>
        <v/>
      </c>
      <c r="V316" s="2">
        <f>IF(U316="NOT FOUND","NOT FOUND",INDEX('6_3nf_branch_history'!$C:$C,SUMPRODUCT(('6_3nf_branch_history'!$A$2:$A$50=T316)*('6_3nf_branch_history'!$B$2:$B$50=U316)*ROW('6_3nf_branch_history'!$A$2:$A$50))))</f>
        <v/>
      </c>
      <c r="W316" s="2">
        <f>IF(U316="NOT FOUND","NOT FOUND",INDEX('6_3nf_branch_history'!$D:$D,SUMPRODUCT(('6_3nf_branch_history'!$A$2:$A$50=T316)*('6_3nf_branch_history'!$B$2:$B$50=U316)*ROW('6_3nf_branch_history'!$A$2:$A$50))))</f>
        <v/>
      </c>
      <c r="X316" s="2">
        <f>IF(U316="NOT FOUND","NOT FOUND",INDEX('6_3nf_branch_history'!$E:$E,SUMPRODUCT(('6_3nf_branch_history'!$A$2:$A$50=T316)*('6_3nf_branch_history'!$B$2:$B$50=U316)*ROW('6_3nf_branch_history'!$A$2:$A$50))))</f>
        <v/>
      </c>
      <c r="Y316" s="2">
        <f>UPPER(TRIM(D316))</f>
        <v/>
      </c>
      <c r="Z316" s="2">
        <f>IFERROR(INDEX('7_3nf_product'!$B:$B,MATCH(Y316,'7_3nf_product'!$A:$A,0)),"NOT FOUND")</f>
        <v/>
      </c>
      <c r="AA316" s="2">
        <f>IFERROR(INDEX('7_3nf_product'!$C:$C,MATCH(Y316,'7_3nf_product'!$A:$A,0)),"NOT FOUND")</f>
        <v/>
      </c>
      <c r="AB316" s="2">
        <f>IFERROR(INDEX('7_3nf_product'!$D:$D,MATCH(Y316,'7_3nf_product'!$A:$A,0)),"NOT FOUND")</f>
        <v/>
      </c>
      <c r="AC316" s="6">
        <f>IFERROR(INDEX('7_3nf_product'!$E:$E,MATCH(Y316,'7_3nf_product'!$A:$A,0)),"NOT FOUND")</f>
        <v/>
      </c>
      <c r="AD316" s="33">
        <f>IF(LEN(TRIM(E316))=10,TRIM(E316),IF(LEN(TRIM(E316))=8,"00"&amp;TRIM(E316),"CHECK"))</f>
        <v/>
      </c>
      <c r="AE316" s="2">
        <f>IFERROR(INDEX('8_3nf_customer'!$C:$C,MATCH(AD316,'8_3nf_customer'!$B:$B,0)),"NOT FOUND")</f>
        <v/>
      </c>
      <c r="AF316" s="30">
        <f>IFERROR(INDEX('8_3nf_customer'!$D:$D,MATCH(AD316,'8_3nf_customer'!$B:$B,0)),"NOT FOUND")</f>
        <v/>
      </c>
      <c r="AG316" s="4">
        <f>IF(ISNUMBER(AF316),DATEDIF(AF316,L316,"y"),"NOT FOUND")</f>
        <v/>
      </c>
      <c r="AH316" s="2">
        <f>IFERROR(INDEX('8_3nf_customer'!$E:$E,MATCH(AD316,'8_3nf_customer'!$B:$B,0)),"NOT FOUND")</f>
        <v/>
      </c>
      <c r="AI316" s="30">
        <f>IF(_xlfn.MAXIFS('9_3nf_customer_history'!$B$2:$B$500,'9_3nf_customer_history'!$A$2:$A$500,AD316,'9_3nf_customer_history'!$B$2:$B$500,"&lt;="&amp;L316)=0,"NOT FOUND",_xlfn.MAXIFS('9_3nf_customer_history'!$B$2:$B$500,'9_3nf_customer_history'!$A$2:$A$500,AD316,'9_3nf_customer_history'!$B$2:$B$500,"&lt;="&amp;L316))</f>
        <v/>
      </c>
      <c r="AJ316" s="2">
        <f>IF(AI316="NOT FOUND","NOT FOUND",INDEX('9_3nf_customer_history'!$C:$C,SUMPRODUCT(('9_3nf_customer_history'!$A$2:$A$500=AD316)*('9_3nf_customer_history'!$B$2:$B$500=AI316)*ROW('9_3nf_customer_history'!$A$2:$A$500))))</f>
        <v/>
      </c>
      <c r="AK316" s="2">
        <f>IF(AI316="NOT FOUND","NOT FOUND",INDEX('9_3nf_customer_history'!$D:$D,SUMPRODUCT(('9_3nf_customer_history'!$A$2:$A$500=AD316)*('9_3nf_customer_history'!$B$2:$B$500=AI316)*ROW('9_3nf_customer_history'!$A$2:$A$500))))</f>
        <v/>
      </c>
      <c r="AL316" s="2">
        <f>UPPER(TRIM(H316))</f>
        <v/>
      </c>
      <c r="AM316" s="30">
        <f>IF(_xlfn.MAXIFS('10_ref_fx_rate'!$B$2:$B$2000,'10_ref_fx_rate'!$A$2:$A$2000,AL316,'10_ref_fx_rate'!$B$2:$B$2000,"&lt;="&amp;L316)=0,"NOT FOUND",_xlfn.MAXIFS('10_ref_fx_rate'!$B$2:$B$2000,'10_ref_fx_rate'!$A$2:$A$2000,AL316,'10_ref_fx_rate'!$B$2:$B$2000,"&lt;="&amp;L316))</f>
        <v/>
      </c>
      <c r="AN316" s="8">
        <f>IF(AM316="NOT FOUND","NOT FOUND",SUMIFS('10_ref_fx_rate'!$D$2:$D$2000,'10_ref_fx_rate'!$A$2:$A$2000,AL316,'10_ref_fx_rate'!$B$2:$B$2000,AM316))</f>
        <v/>
      </c>
      <c r="AO316" s="37">
        <f>IF(ISNUMBER(AN316),I316*AN316,"NOT FOUND")</f>
        <v/>
      </c>
      <c r="AP316" s="2">
        <f>UPPER(TRIM(J316))</f>
        <v/>
      </c>
      <c r="AQ316" s="2">
        <f>IF(AP316="","SELF-DIRECTED",IF(ISNUMBER(MATCH(AP316,'11_3nf_sales_person'!$A:$A,0)),IF(EXACT(AP316,J316),"OK","OK (auto-fixed)"),IF(ISNA(MATCH($A316,'12_sales_person_confirmation'!$A:$A,0)),"CONFIRM (not logged)",IF(INDEX('12_sales_person_confirmation'!$I:$I,MATCH($A316,'12_sales_person_confirmation'!$A:$A,0))="CONFIRMED","CONFIRMED ("&amp;LOWER(INDEX('12_sales_person_confirmation'!$E:$E,MATCH($A316,'12_sales_person_confirmation'!$A:$A,0)))&amp;")","PENDING CONFIRM"))))</f>
        <v/>
      </c>
      <c r="AR316" s="2">
        <f>IF(OR(AQ316="OK",AQ316="OK (auto-fixed)"),AP316,IF(LEFT(AQ316,9)="CONFIRMED",INDEX('12_sales_person_confirmation'!$F:$F,MATCH($A316,'12_sales_person_confirmation'!$A:$A,0)),""))</f>
        <v/>
      </c>
      <c r="AS316" s="2">
        <f>IF(AR316="","",INDEX('11_3nf_sales_person'!$B:$B,MATCH(AR316,'11_3nf_sales_person'!$A:$A,0)))</f>
        <v/>
      </c>
    </row>
    <row r="317">
      <c r="A317" s="2">
        <f>IF(ISBLANK('1_raw_log'!A317),"",'1_raw_log'!A317)</f>
        <v/>
      </c>
      <c r="B317" s="3">
        <f>IF(ISBLANK('1_raw_log'!B317),"",'1_raw_log'!B317)</f>
        <v/>
      </c>
      <c r="C317" s="2">
        <f>IF(ISBLANK('1_raw_log'!C317),"",'1_raw_log'!C317)</f>
        <v/>
      </c>
      <c r="D317" s="2">
        <f>IF(ISBLANK('1_raw_log'!D317),"",'1_raw_log'!D317)</f>
        <v/>
      </c>
      <c r="E317" s="4">
        <f>IF(ISBLANK('1_raw_log'!E317),"",'1_raw_log'!E317)</f>
        <v/>
      </c>
      <c r="F317" s="2">
        <f>IF(ISBLANK('1_raw_log'!F317),"",'1_raw_log'!F317)</f>
        <v/>
      </c>
      <c r="G317" s="2">
        <f>IF(ISBLANK('1_raw_log'!G317),"",'1_raw_log'!G317)</f>
        <v/>
      </c>
      <c r="H317" s="2">
        <f>IF(ISBLANK('1_raw_log'!H317),"",'1_raw_log'!H317)</f>
        <v/>
      </c>
      <c r="I317" s="7">
        <f>IF(ISBLANK('1_raw_log'!I317),"",'1_raw_log'!I317)</f>
        <v/>
      </c>
      <c r="J317" s="2">
        <f>IF(ISBLANK('1_raw_log'!J317),"",'1_raw_log'!J317)</f>
        <v/>
      </c>
      <c r="K317" s="2">
        <f>IF(ISBLANK('1_raw_log'!K317),"",'1_raw_log'!K317)</f>
        <v/>
      </c>
      <c r="L317" s="30">
        <f>INT(B317)</f>
        <v/>
      </c>
      <c r="M317" s="20">
        <f>ROUND(MOD(B317,1)*1440,0)/1440</f>
        <v/>
      </c>
      <c r="N317" s="4">
        <f>IFERROR(INDEX('3_ref_date'!$B:$B,MATCH(L317,'3_ref_date'!$A:$A,0)),"NOT FOUND")</f>
        <v/>
      </c>
      <c r="O317" s="2">
        <f>IFERROR(INDEX('3_ref_date'!$C:$C,MATCH(L317,'3_ref_date'!$A:$A,0)),"NOT FOUND")</f>
        <v/>
      </c>
      <c r="P317" s="4">
        <f>IFERROR(INDEX('3_ref_date'!$D:$D,MATCH(L317,'3_ref_date'!$A:$A,0)),"NOT FOUND")</f>
        <v/>
      </c>
      <c r="Q317" s="4">
        <f>IFERROR(INDEX('3_ref_date'!$E:$E,MATCH(L317,'3_ref_date'!$A:$A,0)),"NOT FOUND")</f>
        <v/>
      </c>
      <c r="R317" s="2">
        <f>IFERROR(INDEX('3_ref_date'!$F:$F,MATCH(L317,'3_ref_date'!$A:$A,0)),"NOT FOUND")</f>
        <v/>
      </c>
      <c r="S317" s="2">
        <f>IFERROR(INDEX('4_ref_time'!$D:$D,MATCH(ROUND(M317*1440,0),'4_ref_time'!$A:$A,0)),"NOT FOUND")</f>
        <v/>
      </c>
      <c r="T317" s="2">
        <f>UPPER(TRIM(C317))</f>
        <v/>
      </c>
      <c r="U317" s="30">
        <f>IF(_xlfn.MAXIFS('6_3nf_branch_history'!$B$2:$B$50,'6_3nf_branch_history'!$A$2:$A$50,T317,'6_3nf_branch_history'!$B$2:$B$50,"&lt;="&amp;L317)=0,"NOT FOUND",_xlfn.MAXIFS('6_3nf_branch_history'!$B$2:$B$50,'6_3nf_branch_history'!$A$2:$A$50,T317,'6_3nf_branch_history'!$B$2:$B$50,"&lt;="&amp;L317))</f>
        <v/>
      </c>
      <c r="V317" s="2">
        <f>IF(U317="NOT FOUND","NOT FOUND",INDEX('6_3nf_branch_history'!$C:$C,SUMPRODUCT(('6_3nf_branch_history'!$A$2:$A$50=T317)*('6_3nf_branch_history'!$B$2:$B$50=U317)*ROW('6_3nf_branch_history'!$A$2:$A$50))))</f>
        <v/>
      </c>
      <c r="W317" s="2">
        <f>IF(U317="NOT FOUND","NOT FOUND",INDEX('6_3nf_branch_history'!$D:$D,SUMPRODUCT(('6_3nf_branch_history'!$A$2:$A$50=T317)*('6_3nf_branch_history'!$B$2:$B$50=U317)*ROW('6_3nf_branch_history'!$A$2:$A$50))))</f>
        <v/>
      </c>
      <c r="X317" s="2">
        <f>IF(U317="NOT FOUND","NOT FOUND",INDEX('6_3nf_branch_history'!$E:$E,SUMPRODUCT(('6_3nf_branch_history'!$A$2:$A$50=T317)*('6_3nf_branch_history'!$B$2:$B$50=U317)*ROW('6_3nf_branch_history'!$A$2:$A$50))))</f>
        <v/>
      </c>
      <c r="Y317" s="2">
        <f>UPPER(TRIM(D317))</f>
        <v/>
      </c>
      <c r="Z317" s="2">
        <f>IFERROR(INDEX('7_3nf_product'!$B:$B,MATCH(Y317,'7_3nf_product'!$A:$A,0)),"NOT FOUND")</f>
        <v/>
      </c>
      <c r="AA317" s="2">
        <f>IFERROR(INDEX('7_3nf_product'!$C:$C,MATCH(Y317,'7_3nf_product'!$A:$A,0)),"NOT FOUND")</f>
        <v/>
      </c>
      <c r="AB317" s="2">
        <f>IFERROR(INDEX('7_3nf_product'!$D:$D,MATCH(Y317,'7_3nf_product'!$A:$A,0)),"NOT FOUND")</f>
        <v/>
      </c>
      <c r="AC317" s="6">
        <f>IFERROR(INDEX('7_3nf_product'!$E:$E,MATCH(Y317,'7_3nf_product'!$A:$A,0)),"NOT FOUND")</f>
        <v/>
      </c>
      <c r="AD317" s="33">
        <f>IF(LEN(TRIM(E317))=10,TRIM(E317),IF(LEN(TRIM(E317))=8,"00"&amp;TRIM(E317),"CHECK"))</f>
        <v/>
      </c>
      <c r="AE317" s="2">
        <f>IFERROR(INDEX('8_3nf_customer'!$C:$C,MATCH(AD317,'8_3nf_customer'!$B:$B,0)),"NOT FOUND")</f>
        <v/>
      </c>
      <c r="AF317" s="30">
        <f>IFERROR(INDEX('8_3nf_customer'!$D:$D,MATCH(AD317,'8_3nf_customer'!$B:$B,0)),"NOT FOUND")</f>
        <v/>
      </c>
      <c r="AG317" s="4">
        <f>IF(ISNUMBER(AF317),DATEDIF(AF317,L317,"y"),"NOT FOUND")</f>
        <v/>
      </c>
      <c r="AH317" s="2">
        <f>IFERROR(INDEX('8_3nf_customer'!$E:$E,MATCH(AD317,'8_3nf_customer'!$B:$B,0)),"NOT FOUND")</f>
        <v/>
      </c>
      <c r="AI317" s="30">
        <f>IF(_xlfn.MAXIFS('9_3nf_customer_history'!$B$2:$B$500,'9_3nf_customer_history'!$A$2:$A$500,AD317,'9_3nf_customer_history'!$B$2:$B$500,"&lt;="&amp;L317)=0,"NOT FOUND",_xlfn.MAXIFS('9_3nf_customer_history'!$B$2:$B$500,'9_3nf_customer_history'!$A$2:$A$500,AD317,'9_3nf_customer_history'!$B$2:$B$500,"&lt;="&amp;L317))</f>
        <v/>
      </c>
      <c r="AJ317" s="2">
        <f>IF(AI317="NOT FOUND","NOT FOUND",INDEX('9_3nf_customer_history'!$C:$C,SUMPRODUCT(('9_3nf_customer_history'!$A$2:$A$500=AD317)*('9_3nf_customer_history'!$B$2:$B$500=AI317)*ROW('9_3nf_customer_history'!$A$2:$A$500))))</f>
        <v/>
      </c>
      <c r="AK317" s="2">
        <f>IF(AI317="NOT FOUND","NOT FOUND",INDEX('9_3nf_customer_history'!$D:$D,SUMPRODUCT(('9_3nf_customer_history'!$A$2:$A$500=AD317)*('9_3nf_customer_history'!$B$2:$B$500=AI317)*ROW('9_3nf_customer_history'!$A$2:$A$500))))</f>
        <v/>
      </c>
      <c r="AL317" s="2">
        <f>UPPER(TRIM(H317))</f>
        <v/>
      </c>
      <c r="AM317" s="30">
        <f>IF(_xlfn.MAXIFS('10_ref_fx_rate'!$B$2:$B$2000,'10_ref_fx_rate'!$A$2:$A$2000,AL317,'10_ref_fx_rate'!$B$2:$B$2000,"&lt;="&amp;L317)=0,"NOT FOUND",_xlfn.MAXIFS('10_ref_fx_rate'!$B$2:$B$2000,'10_ref_fx_rate'!$A$2:$A$2000,AL317,'10_ref_fx_rate'!$B$2:$B$2000,"&lt;="&amp;L317))</f>
        <v/>
      </c>
      <c r="AN317" s="8">
        <f>IF(AM317="NOT FOUND","NOT FOUND",SUMIFS('10_ref_fx_rate'!$D$2:$D$2000,'10_ref_fx_rate'!$A$2:$A$2000,AL317,'10_ref_fx_rate'!$B$2:$B$2000,AM317))</f>
        <v/>
      </c>
      <c r="AO317" s="37">
        <f>IF(ISNUMBER(AN317),I317*AN317,"NOT FOUND")</f>
        <v/>
      </c>
      <c r="AP317" s="2">
        <f>UPPER(TRIM(J317))</f>
        <v/>
      </c>
      <c r="AQ317" s="2">
        <f>IF(AP317="","SELF-DIRECTED",IF(ISNUMBER(MATCH(AP317,'11_3nf_sales_person'!$A:$A,0)),IF(EXACT(AP317,J317),"OK","OK (auto-fixed)"),IF(ISNA(MATCH($A317,'12_sales_person_confirmation'!$A:$A,0)),"CONFIRM (not logged)",IF(INDEX('12_sales_person_confirmation'!$I:$I,MATCH($A317,'12_sales_person_confirmation'!$A:$A,0))="CONFIRMED","CONFIRMED ("&amp;LOWER(INDEX('12_sales_person_confirmation'!$E:$E,MATCH($A317,'12_sales_person_confirmation'!$A:$A,0)))&amp;")","PENDING CONFIRM"))))</f>
        <v/>
      </c>
      <c r="AR317" s="2">
        <f>IF(OR(AQ317="OK",AQ317="OK (auto-fixed)"),AP317,IF(LEFT(AQ317,9)="CONFIRMED",INDEX('12_sales_person_confirmation'!$F:$F,MATCH($A317,'12_sales_person_confirmation'!$A:$A,0)),""))</f>
        <v/>
      </c>
      <c r="AS317" s="2">
        <f>IF(AR317="","",INDEX('11_3nf_sales_person'!$B:$B,MATCH(AR317,'11_3nf_sales_person'!$A:$A,0)))</f>
        <v/>
      </c>
    </row>
    <row r="318">
      <c r="A318" s="2">
        <f>IF(ISBLANK('1_raw_log'!A318),"",'1_raw_log'!A318)</f>
        <v/>
      </c>
      <c r="B318" s="3">
        <f>IF(ISBLANK('1_raw_log'!B318),"",'1_raw_log'!B318)</f>
        <v/>
      </c>
      <c r="C318" s="2">
        <f>IF(ISBLANK('1_raw_log'!C318),"",'1_raw_log'!C318)</f>
        <v/>
      </c>
      <c r="D318" s="2">
        <f>IF(ISBLANK('1_raw_log'!D318),"",'1_raw_log'!D318)</f>
        <v/>
      </c>
      <c r="E318" s="4">
        <f>IF(ISBLANK('1_raw_log'!E318),"",'1_raw_log'!E318)</f>
        <v/>
      </c>
      <c r="F318" s="2">
        <f>IF(ISBLANK('1_raw_log'!F318),"",'1_raw_log'!F318)</f>
        <v/>
      </c>
      <c r="G318" s="2">
        <f>IF(ISBLANK('1_raw_log'!G318),"",'1_raw_log'!G318)</f>
        <v/>
      </c>
      <c r="H318" s="2">
        <f>IF(ISBLANK('1_raw_log'!H318),"",'1_raw_log'!H318)</f>
        <v/>
      </c>
      <c r="I318" s="7">
        <f>IF(ISBLANK('1_raw_log'!I318),"",'1_raw_log'!I318)</f>
        <v/>
      </c>
      <c r="J318" s="2">
        <f>IF(ISBLANK('1_raw_log'!J318),"",'1_raw_log'!J318)</f>
        <v/>
      </c>
      <c r="K318" s="2">
        <f>IF(ISBLANK('1_raw_log'!K318),"",'1_raw_log'!K318)</f>
        <v/>
      </c>
      <c r="L318" s="30">
        <f>INT(B318)</f>
        <v/>
      </c>
      <c r="M318" s="20">
        <f>ROUND(MOD(B318,1)*1440,0)/1440</f>
        <v/>
      </c>
      <c r="N318" s="4">
        <f>IFERROR(INDEX('3_ref_date'!$B:$B,MATCH(L318,'3_ref_date'!$A:$A,0)),"NOT FOUND")</f>
        <v/>
      </c>
      <c r="O318" s="2">
        <f>IFERROR(INDEX('3_ref_date'!$C:$C,MATCH(L318,'3_ref_date'!$A:$A,0)),"NOT FOUND")</f>
        <v/>
      </c>
      <c r="P318" s="4">
        <f>IFERROR(INDEX('3_ref_date'!$D:$D,MATCH(L318,'3_ref_date'!$A:$A,0)),"NOT FOUND")</f>
        <v/>
      </c>
      <c r="Q318" s="4">
        <f>IFERROR(INDEX('3_ref_date'!$E:$E,MATCH(L318,'3_ref_date'!$A:$A,0)),"NOT FOUND")</f>
        <v/>
      </c>
      <c r="R318" s="2">
        <f>IFERROR(INDEX('3_ref_date'!$F:$F,MATCH(L318,'3_ref_date'!$A:$A,0)),"NOT FOUND")</f>
        <v/>
      </c>
      <c r="S318" s="2">
        <f>IFERROR(INDEX('4_ref_time'!$D:$D,MATCH(ROUND(M318*1440,0),'4_ref_time'!$A:$A,0)),"NOT FOUND")</f>
        <v/>
      </c>
      <c r="T318" s="2">
        <f>UPPER(TRIM(C318))</f>
        <v/>
      </c>
      <c r="U318" s="30">
        <f>IF(_xlfn.MAXIFS('6_3nf_branch_history'!$B$2:$B$50,'6_3nf_branch_history'!$A$2:$A$50,T318,'6_3nf_branch_history'!$B$2:$B$50,"&lt;="&amp;L318)=0,"NOT FOUND",_xlfn.MAXIFS('6_3nf_branch_history'!$B$2:$B$50,'6_3nf_branch_history'!$A$2:$A$50,T318,'6_3nf_branch_history'!$B$2:$B$50,"&lt;="&amp;L318))</f>
        <v/>
      </c>
      <c r="V318" s="2">
        <f>IF(U318="NOT FOUND","NOT FOUND",INDEX('6_3nf_branch_history'!$C:$C,SUMPRODUCT(('6_3nf_branch_history'!$A$2:$A$50=T318)*('6_3nf_branch_history'!$B$2:$B$50=U318)*ROW('6_3nf_branch_history'!$A$2:$A$50))))</f>
        <v/>
      </c>
      <c r="W318" s="2">
        <f>IF(U318="NOT FOUND","NOT FOUND",INDEX('6_3nf_branch_history'!$D:$D,SUMPRODUCT(('6_3nf_branch_history'!$A$2:$A$50=T318)*('6_3nf_branch_history'!$B$2:$B$50=U318)*ROW('6_3nf_branch_history'!$A$2:$A$50))))</f>
        <v/>
      </c>
      <c r="X318" s="2">
        <f>IF(U318="NOT FOUND","NOT FOUND",INDEX('6_3nf_branch_history'!$E:$E,SUMPRODUCT(('6_3nf_branch_history'!$A$2:$A$50=T318)*('6_3nf_branch_history'!$B$2:$B$50=U318)*ROW('6_3nf_branch_history'!$A$2:$A$50))))</f>
        <v/>
      </c>
      <c r="Y318" s="2">
        <f>UPPER(TRIM(D318))</f>
        <v/>
      </c>
      <c r="Z318" s="2">
        <f>IFERROR(INDEX('7_3nf_product'!$B:$B,MATCH(Y318,'7_3nf_product'!$A:$A,0)),"NOT FOUND")</f>
        <v/>
      </c>
      <c r="AA318" s="2">
        <f>IFERROR(INDEX('7_3nf_product'!$C:$C,MATCH(Y318,'7_3nf_product'!$A:$A,0)),"NOT FOUND")</f>
        <v/>
      </c>
      <c r="AB318" s="2">
        <f>IFERROR(INDEX('7_3nf_product'!$D:$D,MATCH(Y318,'7_3nf_product'!$A:$A,0)),"NOT FOUND")</f>
        <v/>
      </c>
      <c r="AC318" s="6">
        <f>IFERROR(INDEX('7_3nf_product'!$E:$E,MATCH(Y318,'7_3nf_product'!$A:$A,0)),"NOT FOUND")</f>
        <v/>
      </c>
      <c r="AD318" s="33">
        <f>IF(LEN(TRIM(E318))=10,TRIM(E318),IF(LEN(TRIM(E318))=8,"00"&amp;TRIM(E318),"CHECK"))</f>
        <v/>
      </c>
      <c r="AE318" s="2">
        <f>IFERROR(INDEX('8_3nf_customer'!$C:$C,MATCH(AD318,'8_3nf_customer'!$B:$B,0)),"NOT FOUND")</f>
        <v/>
      </c>
      <c r="AF318" s="30">
        <f>IFERROR(INDEX('8_3nf_customer'!$D:$D,MATCH(AD318,'8_3nf_customer'!$B:$B,0)),"NOT FOUND")</f>
        <v/>
      </c>
      <c r="AG318" s="4">
        <f>IF(ISNUMBER(AF318),DATEDIF(AF318,L318,"y"),"NOT FOUND")</f>
        <v/>
      </c>
      <c r="AH318" s="2">
        <f>IFERROR(INDEX('8_3nf_customer'!$E:$E,MATCH(AD318,'8_3nf_customer'!$B:$B,0)),"NOT FOUND")</f>
        <v/>
      </c>
      <c r="AI318" s="30">
        <f>IF(_xlfn.MAXIFS('9_3nf_customer_history'!$B$2:$B$500,'9_3nf_customer_history'!$A$2:$A$500,AD318,'9_3nf_customer_history'!$B$2:$B$500,"&lt;="&amp;L318)=0,"NOT FOUND",_xlfn.MAXIFS('9_3nf_customer_history'!$B$2:$B$500,'9_3nf_customer_history'!$A$2:$A$500,AD318,'9_3nf_customer_history'!$B$2:$B$500,"&lt;="&amp;L318))</f>
        <v/>
      </c>
      <c r="AJ318" s="2">
        <f>IF(AI318="NOT FOUND","NOT FOUND",INDEX('9_3nf_customer_history'!$C:$C,SUMPRODUCT(('9_3nf_customer_history'!$A$2:$A$500=AD318)*('9_3nf_customer_history'!$B$2:$B$500=AI318)*ROW('9_3nf_customer_history'!$A$2:$A$500))))</f>
        <v/>
      </c>
      <c r="AK318" s="2">
        <f>IF(AI318="NOT FOUND","NOT FOUND",INDEX('9_3nf_customer_history'!$D:$D,SUMPRODUCT(('9_3nf_customer_history'!$A$2:$A$500=AD318)*('9_3nf_customer_history'!$B$2:$B$500=AI318)*ROW('9_3nf_customer_history'!$A$2:$A$500))))</f>
        <v/>
      </c>
      <c r="AL318" s="2">
        <f>UPPER(TRIM(H318))</f>
        <v/>
      </c>
      <c r="AM318" s="30">
        <f>IF(_xlfn.MAXIFS('10_ref_fx_rate'!$B$2:$B$2000,'10_ref_fx_rate'!$A$2:$A$2000,AL318,'10_ref_fx_rate'!$B$2:$B$2000,"&lt;="&amp;L318)=0,"NOT FOUND",_xlfn.MAXIFS('10_ref_fx_rate'!$B$2:$B$2000,'10_ref_fx_rate'!$A$2:$A$2000,AL318,'10_ref_fx_rate'!$B$2:$B$2000,"&lt;="&amp;L318))</f>
        <v/>
      </c>
      <c r="AN318" s="8">
        <f>IF(AM318="NOT FOUND","NOT FOUND",SUMIFS('10_ref_fx_rate'!$D$2:$D$2000,'10_ref_fx_rate'!$A$2:$A$2000,AL318,'10_ref_fx_rate'!$B$2:$B$2000,AM318))</f>
        <v/>
      </c>
      <c r="AO318" s="37">
        <f>IF(ISNUMBER(AN318),I318*AN318,"NOT FOUND")</f>
        <v/>
      </c>
      <c r="AP318" s="2">
        <f>UPPER(TRIM(J318))</f>
        <v/>
      </c>
      <c r="AQ318" s="2">
        <f>IF(AP318="","SELF-DIRECTED",IF(ISNUMBER(MATCH(AP318,'11_3nf_sales_person'!$A:$A,0)),IF(EXACT(AP318,J318),"OK","OK (auto-fixed)"),IF(ISNA(MATCH($A318,'12_sales_person_confirmation'!$A:$A,0)),"CONFIRM (not logged)",IF(INDEX('12_sales_person_confirmation'!$I:$I,MATCH($A318,'12_sales_person_confirmation'!$A:$A,0))="CONFIRMED","CONFIRMED ("&amp;LOWER(INDEX('12_sales_person_confirmation'!$E:$E,MATCH($A318,'12_sales_person_confirmation'!$A:$A,0)))&amp;")","PENDING CONFIRM"))))</f>
        <v/>
      </c>
      <c r="AR318" s="2">
        <f>IF(OR(AQ318="OK",AQ318="OK (auto-fixed)"),AP318,IF(LEFT(AQ318,9)="CONFIRMED",INDEX('12_sales_person_confirmation'!$F:$F,MATCH($A318,'12_sales_person_confirmation'!$A:$A,0)),""))</f>
        <v/>
      </c>
      <c r="AS318" s="2">
        <f>IF(AR318="","",INDEX('11_3nf_sales_person'!$B:$B,MATCH(AR318,'11_3nf_sales_person'!$A:$A,0)))</f>
        <v/>
      </c>
    </row>
    <row r="319">
      <c r="A319" s="2">
        <f>IF(ISBLANK('1_raw_log'!A319),"",'1_raw_log'!A319)</f>
        <v/>
      </c>
      <c r="B319" s="3">
        <f>IF(ISBLANK('1_raw_log'!B319),"",'1_raw_log'!B319)</f>
        <v/>
      </c>
      <c r="C319" s="2">
        <f>IF(ISBLANK('1_raw_log'!C319),"",'1_raw_log'!C319)</f>
        <v/>
      </c>
      <c r="D319" s="2">
        <f>IF(ISBLANK('1_raw_log'!D319),"",'1_raw_log'!D319)</f>
        <v/>
      </c>
      <c r="E319" s="4">
        <f>IF(ISBLANK('1_raw_log'!E319),"",'1_raw_log'!E319)</f>
        <v/>
      </c>
      <c r="F319" s="2">
        <f>IF(ISBLANK('1_raw_log'!F319),"",'1_raw_log'!F319)</f>
        <v/>
      </c>
      <c r="G319" s="2">
        <f>IF(ISBLANK('1_raw_log'!G319),"",'1_raw_log'!G319)</f>
        <v/>
      </c>
      <c r="H319" s="2">
        <f>IF(ISBLANK('1_raw_log'!H319),"",'1_raw_log'!H319)</f>
        <v/>
      </c>
      <c r="I319" s="7">
        <f>IF(ISBLANK('1_raw_log'!I319),"",'1_raw_log'!I319)</f>
        <v/>
      </c>
      <c r="J319" s="2">
        <f>IF(ISBLANK('1_raw_log'!J319),"",'1_raw_log'!J319)</f>
        <v/>
      </c>
      <c r="K319" s="2">
        <f>IF(ISBLANK('1_raw_log'!K319),"",'1_raw_log'!K319)</f>
        <v/>
      </c>
      <c r="L319" s="30">
        <f>INT(B319)</f>
        <v/>
      </c>
      <c r="M319" s="20">
        <f>ROUND(MOD(B319,1)*1440,0)/1440</f>
        <v/>
      </c>
      <c r="N319" s="4">
        <f>IFERROR(INDEX('3_ref_date'!$B:$B,MATCH(L319,'3_ref_date'!$A:$A,0)),"NOT FOUND")</f>
        <v/>
      </c>
      <c r="O319" s="2">
        <f>IFERROR(INDEX('3_ref_date'!$C:$C,MATCH(L319,'3_ref_date'!$A:$A,0)),"NOT FOUND")</f>
        <v/>
      </c>
      <c r="P319" s="4">
        <f>IFERROR(INDEX('3_ref_date'!$D:$D,MATCH(L319,'3_ref_date'!$A:$A,0)),"NOT FOUND")</f>
        <v/>
      </c>
      <c r="Q319" s="4">
        <f>IFERROR(INDEX('3_ref_date'!$E:$E,MATCH(L319,'3_ref_date'!$A:$A,0)),"NOT FOUND")</f>
        <v/>
      </c>
      <c r="R319" s="2">
        <f>IFERROR(INDEX('3_ref_date'!$F:$F,MATCH(L319,'3_ref_date'!$A:$A,0)),"NOT FOUND")</f>
        <v/>
      </c>
      <c r="S319" s="2">
        <f>IFERROR(INDEX('4_ref_time'!$D:$D,MATCH(ROUND(M319*1440,0),'4_ref_time'!$A:$A,0)),"NOT FOUND")</f>
        <v/>
      </c>
      <c r="T319" s="2">
        <f>UPPER(TRIM(C319))</f>
        <v/>
      </c>
      <c r="U319" s="30">
        <f>IF(_xlfn.MAXIFS('6_3nf_branch_history'!$B$2:$B$50,'6_3nf_branch_history'!$A$2:$A$50,T319,'6_3nf_branch_history'!$B$2:$B$50,"&lt;="&amp;L319)=0,"NOT FOUND",_xlfn.MAXIFS('6_3nf_branch_history'!$B$2:$B$50,'6_3nf_branch_history'!$A$2:$A$50,T319,'6_3nf_branch_history'!$B$2:$B$50,"&lt;="&amp;L319))</f>
        <v/>
      </c>
      <c r="V319" s="2">
        <f>IF(U319="NOT FOUND","NOT FOUND",INDEX('6_3nf_branch_history'!$C:$C,SUMPRODUCT(('6_3nf_branch_history'!$A$2:$A$50=T319)*('6_3nf_branch_history'!$B$2:$B$50=U319)*ROW('6_3nf_branch_history'!$A$2:$A$50))))</f>
        <v/>
      </c>
      <c r="W319" s="2">
        <f>IF(U319="NOT FOUND","NOT FOUND",INDEX('6_3nf_branch_history'!$D:$D,SUMPRODUCT(('6_3nf_branch_history'!$A$2:$A$50=T319)*('6_3nf_branch_history'!$B$2:$B$50=U319)*ROW('6_3nf_branch_history'!$A$2:$A$50))))</f>
        <v/>
      </c>
      <c r="X319" s="2">
        <f>IF(U319="NOT FOUND","NOT FOUND",INDEX('6_3nf_branch_history'!$E:$E,SUMPRODUCT(('6_3nf_branch_history'!$A$2:$A$50=T319)*('6_3nf_branch_history'!$B$2:$B$50=U319)*ROW('6_3nf_branch_history'!$A$2:$A$50))))</f>
        <v/>
      </c>
      <c r="Y319" s="2">
        <f>UPPER(TRIM(D319))</f>
        <v/>
      </c>
      <c r="Z319" s="2">
        <f>IFERROR(INDEX('7_3nf_product'!$B:$B,MATCH(Y319,'7_3nf_product'!$A:$A,0)),"NOT FOUND")</f>
        <v/>
      </c>
      <c r="AA319" s="2">
        <f>IFERROR(INDEX('7_3nf_product'!$C:$C,MATCH(Y319,'7_3nf_product'!$A:$A,0)),"NOT FOUND")</f>
        <v/>
      </c>
      <c r="AB319" s="2">
        <f>IFERROR(INDEX('7_3nf_product'!$D:$D,MATCH(Y319,'7_3nf_product'!$A:$A,0)),"NOT FOUND")</f>
        <v/>
      </c>
      <c r="AC319" s="6">
        <f>IFERROR(INDEX('7_3nf_product'!$E:$E,MATCH(Y319,'7_3nf_product'!$A:$A,0)),"NOT FOUND")</f>
        <v/>
      </c>
      <c r="AD319" s="33">
        <f>IF(LEN(TRIM(E319))=10,TRIM(E319),IF(LEN(TRIM(E319))=8,"00"&amp;TRIM(E319),"CHECK"))</f>
        <v/>
      </c>
      <c r="AE319" s="2">
        <f>IFERROR(INDEX('8_3nf_customer'!$C:$C,MATCH(AD319,'8_3nf_customer'!$B:$B,0)),"NOT FOUND")</f>
        <v/>
      </c>
      <c r="AF319" s="30">
        <f>IFERROR(INDEX('8_3nf_customer'!$D:$D,MATCH(AD319,'8_3nf_customer'!$B:$B,0)),"NOT FOUND")</f>
        <v/>
      </c>
      <c r="AG319" s="4">
        <f>IF(ISNUMBER(AF319),DATEDIF(AF319,L319,"y"),"NOT FOUND")</f>
        <v/>
      </c>
      <c r="AH319" s="2">
        <f>IFERROR(INDEX('8_3nf_customer'!$E:$E,MATCH(AD319,'8_3nf_customer'!$B:$B,0)),"NOT FOUND")</f>
        <v/>
      </c>
      <c r="AI319" s="30">
        <f>IF(_xlfn.MAXIFS('9_3nf_customer_history'!$B$2:$B$500,'9_3nf_customer_history'!$A$2:$A$500,AD319,'9_3nf_customer_history'!$B$2:$B$500,"&lt;="&amp;L319)=0,"NOT FOUND",_xlfn.MAXIFS('9_3nf_customer_history'!$B$2:$B$500,'9_3nf_customer_history'!$A$2:$A$500,AD319,'9_3nf_customer_history'!$B$2:$B$500,"&lt;="&amp;L319))</f>
        <v/>
      </c>
      <c r="AJ319" s="2">
        <f>IF(AI319="NOT FOUND","NOT FOUND",INDEX('9_3nf_customer_history'!$C:$C,SUMPRODUCT(('9_3nf_customer_history'!$A$2:$A$500=AD319)*('9_3nf_customer_history'!$B$2:$B$500=AI319)*ROW('9_3nf_customer_history'!$A$2:$A$500))))</f>
        <v/>
      </c>
      <c r="AK319" s="2">
        <f>IF(AI319="NOT FOUND","NOT FOUND",INDEX('9_3nf_customer_history'!$D:$D,SUMPRODUCT(('9_3nf_customer_history'!$A$2:$A$500=AD319)*('9_3nf_customer_history'!$B$2:$B$500=AI319)*ROW('9_3nf_customer_history'!$A$2:$A$500))))</f>
        <v/>
      </c>
      <c r="AL319" s="2">
        <f>UPPER(TRIM(H319))</f>
        <v/>
      </c>
      <c r="AM319" s="30">
        <f>IF(_xlfn.MAXIFS('10_ref_fx_rate'!$B$2:$B$2000,'10_ref_fx_rate'!$A$2:$A$2000,AL319,'10_ref_fx_rate'!$B$2:$B$2000,"&lt;="&amp;L319)=0,"NOT FOUND",_xlfn.MAXIFS('10_ref_fx_rate'!$B$2:$B$2000,'10_ref_fx_rate'!$A$2:$A$2000,AL319,'10_ref_fx_rate'!$B$2:$B$2000,"&lt;="&amp;L319))</f>
        <v/>
      </c>
      <c r="AN319" s="8">
        <f>IF(AM319="NOT FOUND","NOT FOUND",SUMIFS('10_ref_fx_rate'!$D$2:$D$2000,'10_ref_fx_rate'!$A$2:$A$2000,AL319,'10_ref_fx_rate'!$B$2:$B$2000,AM319))</f>
        <v/>
      </c>
      <c r="AO319" s="37">
        <f>IF(ISNUMBER(AN319),I319*AN319,"NOT FOUND")</f>
        <v/>
      </c>
      <c r="AP319" s="2">
        <f>UPPER(TRIM(J319))</f>
        <v/>
      </c>
      <c r="AQ319" s="2">
        <f>IF(AP319="","SELF-DIRECTED",IF(ISNUMBER(MATCH(AP319,'11_3nf_sales_person'!$A:$A,0)),IF(EXACT(AP319,J319),"OK","OK (auto-fixed)"),IF(ISNA(MATCH($A319,'12_sales_person_confirmation'!$A:$A,0)),"CONFIRM (not logged)",IF(INDEX('12_sales_person_confirmation'!$I:$I,MATCH($A319,'12_sales_person_confirmation'!$A:$A,0))="CONFIRMED","CONFIRMED ("&amp;LOWER(INDEX('12_sales_person_confirmation'!$E:$E,MATCH($A319,'12_sales_person_confirmation'!$A:$A,0)))&amp;")","PENDING CONFIRM"))))</f>
        <v/>
      </c>
      <c r="AR319" s="2">
        <f>IF(OR(AQ319="OK",AQ319="OK (auto-fixed)"),AP319,IF(LEFT(AQ319,9)="CONFIRMED",INDEX('12_sales_person_confirmation'!$F:$F,MATCH($A319,'12_sales_person_confirmation'!$A:$A,0)),""))</f>
        <v/>
      </c>
      <c r="AS319" s="2">
        <f>IF(AR319="","",INDEX('11_3nf_sales_person'!$B:$B,MATCH(AR319,'11_3nf_sales_person'!$A:$A,0)))</f>
        <v/>
      </c>
    </row>
    <row r="320">
      <c r="A320" s="2">
        <f>IF(ISBLANK('1_raw_log'!A320),"",'1_raw_log'!A320)</f>
        <v/>
      </c>
      <c r="B320" s="3">
        <f>IF(ISBLANK('1_raw_log'!B320),"",'1_raw_log'!B320)</f>
        <v/>
      </c>
      <c r="C320" s="2">
        <f>IF(ISBLANK('1_raw_log'!C320),"",'1_raw_log'!C320)</f>
        <v/>
      </c>
      <c r="D320" s="2">
        <f>IF(ISBLANK('1_raw_log'!D320),"",'1_raw_log'!D320)</f>
        <v/>
      </c>
      <c r="E320" s="4">
        <f>IF(ISBLANK('1_raw_log'!E320),"",'1_raw_log'!E320)</f>
        <v/>
      </c>
      <c r="F320" s="2">
        <f>IF(ISBLANK('1_raw_log'!F320),"",'1_raw_log'!F320)</f>
        <v/>
      </c>
      <c r="G320" s="2">
        <f>IF(ISBLANK('1_raw_log'!G320),"",'1_raw_log'!G320)</f>
        <v/>
      </c>
      <c r="H320" s="2">
        <f>IF(ISBLANK('1_raw_log'!H320),"",'1_raw_log'!H320)</f>
        <v/>
      </c>
      <c r="I320" s="7">
        <f>IF(ISBLANK('1_raw_log'!I320),"",'1_raw_log'!I320)</f>
        <v/>
      </c>
      <c r="J320" s="2">
        <f>IF(ISBLANK('1_raw_log'!J320),"",'1_raw_log'!J320)</f>
        <v/>
      </c>
      <c r="K320" s="2">
        <f>IF(ISBLANK('1_raw_log'!K320),"",'1_raw_log'!K320)</f>
        <v/>
      </c>
      <c r="L320" s="30">
        <f>INT(B320)</f>
        <v/>
      </c>
      <c r="M320" s="20">
        <f>ROUND(MOD(B320,1)*1440,0)/1440</f>
        <v/>
      </c>
      <c r="N320" s="4">
        <f>IFERROR(INDEX('3_ref_date'!$B:$B,MATCH(L320,'3_ref_date'!$A:$A,0)),"NOT FOUND")</f>
        <v/>
      </c>
      <c r="O320" s="2">
        <f>IFERROR(INDEX('3_ref_date'!$C:$C,MATCH(L320,'3_ref_date'!$A:$A,0)),"NOT FOUND")</f>
        <v/>
      </c>
      <c r="P320" s="4">
        <f>IFERROR(INDEX('3_ref_date'!$D:$D,MATCH(L320,'3_ref_date'!$A:$A,0)),"NOT FOUND")</f>
        <v/>
      </c>
      <c r="Q320" s="4">
        <f>IFERROR(INDEX('3_ref_date'!$E:$E,MATCH(L320,'3_ref_date'!$A:$A,0)),"NOT FOUND")</f>
        <v/>
      </c>
      <c r="R320" s="2">
        <f>IFERROR(INDEX('3_ref_date'!$F:$F,MATCH(L320,'3_ref_date'!$A:$A,0)),"NOT FOUND")</f>
        <v/>
      </c>
      <c r="S320" s="2">
        <f>IFERROR(INDEX('4_ref_time'!$D:$D,MATCH(ROUND(M320*1440,0),'4_ref_time'!$A:$A,0)),"NOT FOUND")</f>
        <v/>
      </c>
      <c r="T320" s="2">
        <f>UPPER(TRIM(C320))</f>
        <v/>
      </c>
      <c r="U320" s="30">
        <f>IF(_xlfn.MAXIFS('6_3nf_branch_history'!$B$2:$B$50,'6_3nf_branch_history'!$A$2:$A$50,T320,'6_3nf_branch_history'!$B$2:$B$50,"&lt;="&amp;L320)=0,"NOT FOUND",_xlfn.MAXIFS('6_3nf_branch_history'!$B$2:$B$50,'6_3nf_branch_history'!$A$2:$A$50,T320,'6_3nf_branch_history'!$B$2:$B$50,"&lt;="&amp;L320))</f>
        <v/>
      </c>
      <c r="V320" s="2">
        <f>IF(U320="NOT FOUND","NOT FOUND",INDEX('6_3nf_branch_history'!$C:$C,SUMPRODUCT(('6_3nf_branch_history'!$A$2:$A$50=T320)*('6_3nf_branch_history'!$B$2:$B$50=U320)*ROW('6_3nf_branch_history'!$A$2:$A$50))))</f>
        <v/>
      </c>
      <c r="W320" s="2">
        <f>IF(U320="NOT FOUND","NOT FOUND",INDEX('6_3nf_branch_history'!$D:$D,SUMPRODUCT(('6_3nf_branch_history'!$A$2:$A$50=T320)*('6_3nf_branch_history'!$B$2:$B$50=U320)*ROW('6_3nf_branch_history'!$A$2:$A$50))))</f>
        <v/>
      </c>
      <c r="X320" s="2">
        <f>IF(U320="NOT FOUND","NOT FOUND",INDEX('6_3nf_branch_history'!$E:$E,SUMPRODUCT(('6_3nf_branch_history'!$A$2:$A$50=T320)*('6_3nf_branch_history'!$B$2:$B$50=U320)*ROW('6_3nf_branch_history'!$A$2:$A$50))))</f>
        <v/>
      </c>
      <c r="Y320" s="2">
        <f>UPPER(TRIM(D320))</f>
        <v/>
      </c>
      <c r="Z320" s="2">
        <f>IFERROR(INDEX('7_3nf_product'!$B:$B,MATCH(Y320,'7_3nf_product'!$A:$A,0)),"NOT FOUND")</f>
        <v/>
      </c>
      <c r="AA320" s="2">
        <f>IFERROR(INDEX('7_3nf_product'!$C:$C,MATCH(Y320,'7_3nf_product'!$A:$A,0)),"NOT FOUND")</f>
        <v/>
      </c>
      <c r="AB320" s="2">
        <f>IFERROR(INDEX('7_3nf_product'!$D:$D,MATCH(Y320,'7_3nf_product'!$A:$A,0)),"NOT FOUND")</f>
        <v/>
      </c>
      <c r="AC320" s="6">
        <f>IFERROR(INDEX('7_3nf_product'!$E:$E,MATCH(Y320,'7_3nf_product'!$A:$A,0)),"NOT FOUND")</f>
        <v/>
      </c>
      <c r="AD320" s="33">
        <f>IF(LEN(TRIM(E320))=10,TRIM(E320),IF(LEN(TRIM(E320))=8,"00"&amp;TRIM(E320),"CHECK"))</f>
        <v/>
      </c>
      <c r="AE320" s="2">
        <f>IFERROR(INDEX('8_3nf_customer'!$C:$C,MATCH(AD320,'8_3nf_customer'!$B:$B,0)),"NOT FOUND")</f>
        <v/>
      </c>
      <c r="AF320" s="30">
        <f>IFERROR(INDEX('8_3nf_customer'!$D:$D,MATCH(AD320,'8_3nf_customer'!$B:$B,0)),"NOT FOUND")</f>
        <v/>
      </c>
      <c r="AG320" s="4">
        <f>IF(ISNUMBER(AF320),DATEDIF(AF320,L320,"y"),"NOT FOUND")</f>
        <v/>
      </c>
      <c r="AH320" s="2">
        <f>IFERROR(INDEX('8_3nf_customer'!$E:$E,MATCH(AD320,'8_3nf_customer'!$B:$B,0)),"NOT FOUND")</f>
        <v/>
      </c>
      <c r="AI320" s="30">
        <f>IF(_xlfn.MAXIFS('9_3nf_customer_history'!$B$2:$B$500,'9_3nf_customer_history'!$A$2:$A$500,AD320,'9_3nf_customer_history'!$B$2:$B$500,"&lt;="&amp;L320)=0,"NOT FOUND",_xlfn.MAXIFS('9_3nf_customer_history'!$B$2:$B$500,'9_3nf_customer_history'!$A$2:$A$500,AD320,'9_3nf_customer_history'!$B$2:$B$500,"&lt;="&amp;L320))</f>
        <v/>
      </c>
      <c r="AJ320" s="2">
        <f>IF(AI320="NOT FOUND","NOT FOUND",INDEX('9_3nf_customer_history'!$C:$C,SUMPRODUCT(('9_3nf_customer_history'!$A$2:$A$500=AD320)*('9_3nf_customer_history'!$B$2:$B$500=AI320)*ROW('9_3nf_customer_history'!$A$2:$A$500))))</f>
        <v/>
      </c>
      <c r="AK320" s="2">
        <f>IF(AI320="NOT FOUND","NOT FOUND",INDEX('9_3nf_customer_history'!$D:$D,SUMPRODUCT(('9_3nf_customer_history'!$A$2:$A$500=AD320)*('9_3nf_customer_history'!$B$2:$B$500=AI320)*ROW('9_3nf_customer_history'!$A$2:$A$500))))</f>
        <v/>
      </c>
      <c r="AL320" s="2">
        <f>UPPER(TRIM(H320))</f>
        <v/>
      </c>
      <c r="AM320" s="30">
        <f>IF(_xlfn.MAXIFS('10_ref_fx_rate'!$B$2:$B$2000,'10_ref_fx_rate'!$A$2:$A$2000,AL320,'10_ref_fx_rate'!$B$2:$B$2000,"&lt;="&amp;L320)=0,"NOT FOUND",_xlfn.MAXIFS('10_ref_fx_rate'!$B$2:$B$2000,'10_ref_fx_rate'!$A$2:$A$2000,AL320,'10_ref_fx_rate'!$B$2:$B$2000,"&lt;="&amp;L320))</f>
        <v/>
      </c>
      <c r="AN320" s="8">
        <f>IF(AM320="NOT FOUND","NOT FOUND",SUMIFS('10_ref_fx_rate'!$D$2:$D$2000,'10_ref_fx_rate'!$A$2:$A$2000,AL320,'10_ref_fx_rate'!$B$2:$B$2000,AM320))</f>
        <v/>
      </c>
      <c r="AO320" s="37">
        <f>IF(ISNUMBER(AN320),I320*AN320,"NOT FOUND")</f>
        <v/>
      </c>
      <c r="AP320" s="2">
        <f>UPPER(TRIM(J320))</f>
        <v/>
      </c>
      <c r="AQ320" s="2">
        <f>IF(AP320="","SELF-DIRECTED",IF(ISNUMBER(MATCH(AP320,'11_3nf_sales_person'!$A:$A,0)),IF(EXACT(AP320,J320),"OK","OK (auto-fixed)"),IF(ISNA(MATCH($A320,'12_sales_person_confirmation'!$A:$A,0)),"CONFIRM (not logged)",IF(INDEX('12_sales_person_confirmation'!$I:$I,MATCH($A320,'12_sales_person_confirmation'!$A:$A,0))="CONFIRMED","CONFIRMED ("&amp;LOWER(INDEX('12_sales_person_confirmation'!$E:$E,MATCH($A320,'12_sales_person_confirmation'!$A:$A,0)))&amp;")","PENDING CONFIRM"))))</f>
        <v/>
      </c>
      <c r="AR320" s="2">
        <f>IF(OR(AQ320="OK",AQ320="OK (auto-fixed)"),AP320,IF(LEFT(AQ320,9)="CONFIRMED",INDEX('12_sales_person_confirmation'!$F:$F,MATCH($A320,'12_sales_person_confirmation'!$A:$A,0)),""))</f>
        <v/>
      </c>
      <c r="AS320" s="2">
        <f>IF(AR320="","",INDEX('11_3nf_sales_person'!$B:$B,MATCH(AR320,'11_3nf_sales_person'!$A:$A,0)))</f>
        <v/>
      </c>
    </row>
    <row r="321">
      <c r="A321" s="2">
        <f>IF(ISBLANK('1_raw_log'!A321),"",'1_raw_log'!A321)</f>
        <v/>
      </c>
      <c r="B321" s="3">
        <f>IF(ISBLANK('1_raw_log'!B321),"",'1_raw_log'!B321)</f>
        <v/>
      </c>
      <c r="C321" s="2">
        <f>IF(ISBLANK('1_raw_log'!C321),"",'1_raw_log'!C321)</f>
        <v/>
      </c>
      <c r="D321" s="2">
        <f>IF(ISBLANK('1_raw_log'!D321),"",'1_raw_log'!D321)</f>
        <v/>
      </c>
      <c r="E321" s="4">
        <f>IF(ISBLANK('1_raw_log'!E321),"",'1_raw_log'!E321)</f>
        <v/>
      </c>
      <c r="F321" s="2">
        <f>IF(ISBLANK('1_raw_log'!F321),"",'1_raw_log'!F321)</f>
        <v/>
      </c>
      <c r="G321" s="2">
        <f>IF(ISBLANK('1_raw_log'!G321),"",'1_raw_log'!G321)</f>
        <v/>
      </c>
      <c r="H321" s="2">
        <f>IF(ISBLANK('1_raw_log'!H321),"",'1_raw_log'!H321)</f>
        <v/>
      </c>
      <c r="I321" s="7">
        <f>IF(ISBLANK('1_raw_log'!I321),"",'1_raw_log'!I321)</f>
        <v/>
      </c>
      <c r="J321" s="2">
        <f>IF(ISBLANK('1_raw_log'!J321),"",'1_raw_log'!J321)</f>
        <v/>
      </c>
      <c r="K321" s="2">
        <f>IF(ISBLANK('1_raw_log'!K321),"",'1_raw_log'!K321)</f>
        <v/>
      </c>
      <c r="L321" s="30">
        <f>INT(B321)</f>
        <v/>
      </c>
      <c r="M321" s="20">
        <f>ROUND(MOD(B321,1)*1440,0)/1440</f>
        <v/>
      </c>
      <c r="N321" s="4">
        <f>IFERROR(INDEX('3_ref_date'!$B:$B,MATCH(L321,'3_ref_date'!$A:$A,0)),"NOT FOUND")</f>
        <v/>
      </c>
      <c r="O321" s="2">
        <f>IFERROR(INDEX('3_ref_date'!$C:$C,MATCH(L321,'3_ref_date'!$A:$A,0)),"NOT FOUND")</f>
        <v/>
      </c>
      <c r="P321" s="4">
        <f>IFERROR(INDEX('3_ref_date'!$D:$D,MATCH(L321,'3_ref_date'!$A:$A,0)),"NOT FOUND")</f>
        <v/>
      </c>
      <c r="Q321" s="4">
        <f>IFERROR(INDEX('3_ref_date'!$E:$E,MATCH(L321,'3_ref_date'!$A:$A,0)),"NOT FOUND")</f>
        <v/>
      </c>
      <c r="R321" s="2">
        <f>IFERROR(INDEX('3_ref_date'!$F:$F,MATCH(L321,'3_ref_date'!$A:$A,0)),"NOT FOUND")</f>
        <v/>
      </c>
      <c r="S321" s="2">
        <f>IFERROR(INDEX('4_ref_time'!$D:$D,MATCH(ROUND(M321*1440,0),'4_ref_time'!$A:$A,0)),"NOT FOUND")</f>
        <v/>
      </c>
      <c r="T321" s="2">
        <f>UPPER(TRIM(C321))</f>
        <v/>
      </c>
      <c r="U321" s="30">
        <f>IF(_xlfn.MAXIFS('6_3nf_branch_history'!$B$2:$B$50,'6_3nf_branch_history'!$A$2:$A$50,T321,'6_3nf_branch_history'!$B$2:$B$50,"&lt;="&amp;L321)=0,"NOT FOUND",_xlfn.MAXIFS('6_3nf_branch_history'!$B$2:$B$50,'6_3nf_branch_history'!$A$2:$A$50,T321,'6_3nf_branch_history'!$B$2:$B$50,"&lt;="&amp;L321))</f>
        <v/>
      </c>
      <c r="V321" s="2">
        <f>IF(U321="NOT FOUND","NOT FOUND",INDEX('6_3nf_branch_history'!$C:$C,SUMPRODUCT(('6_3nf_branch_history'!$A$2:$A$50=T321)*('6_3nf_branch_history'!$B$2:$B$50=U321)*ROW('6_3nf_branch_history'!$A$2:$A$50))))</f>
        <v/>
      </c>
      <c r="W321" s="2">
        <f>IF(U321="NOT FOUND","NOT FOUND",INDEX('6_3nf_branch_history'!$D:$D,SUMPRODUCT(('6_3nf_branch_history'!$A$2:$A$50=T321)*('6_3nf_branch_history'!$B$2:$B$50=U321)*ROW('6_3nf_branch_history'!$A$2:$A$50))))</f>
        <v/>
      </c>
      <c r="X321" s="2">
        <f>IF(U321="NOT FOUND","NOT FOUND",INDEX('6_3nf_branch_history'!$E:$E,SUMPRODUCT(('6_3nf_branch_history'!$A$2:$A$50=T321)*('6_3nf_branch_history'!$B$2:$B$50=U321)*ROW('6_3nf_branch_history'!$A$2:$A$50))))</f>
        <v/>
      </c>
      <c r="Y321" s="2">
        <f>UPPER(TRIM(D321))</f>
        <v/>
      </c>
      <c r="Z321" s="2">
        <f>IFERROR(INDEX('7_3nf_product'!$B:$B,MATCH(Y321,'7_3nf_product'!$A:$A,0)),"NOT FOUND")</f>
        <v/>
      </c>
      <c r="AA321" s="2">
        <f>IFERROR(INDEX('7_3nf_product'!$C:$C,MATCH(Y321,'7_3nf_product'!$A:$A,0)),"NOT FOUND")</f>
        <v/>
      </c>
      <c r="AB321" s="2">
        <f>IFERROR(INDEX('7_3nf_product'!$D:$D,MATCH(Y321,'7_3nf_product'!$A:$A,0)),"NOT FOUND")</f>
        <v/>
      </c>
      <c r="AC321" s="6">
        <f>IFERROR(INDEX('7_3nf_product'!$E:$E,MATCH(Y321,'7_3nf_product'!$A:$A,0)),"NOT FOUND")</f>
        <v/>
      </c>
      <c r="AD321" s="33">
        <f>IF(LEN(TRIM(E321))=10,TRIM(E321),IF(LEN(TRIM(E321))=8,"00"&amp;TRIM(E321),"CHECK"))</f>
        <v/>
      </c>
      <c r="AE321" s="2">
        <f>IFERROR(INDEX('8_3nf_customer'!$C:$C,MATCH(AD321,'8_3nf_customer'!$B:$B,0)),"NOT FOUND")</f>
        <v/>
      </c>
      <c r="AF321" s="30">
        <f>IFERROR(INDEX('8_3nf_customer'!$D:$D,MATCH(AD321,'8_3nf_customer'!$B:$B,0)),"NOT FOUND")</f>
        <v/>
      </c>
      <c r="AG321" s="4">
        <f>IF(ISNUMBER(AF321),DATEDIF(AF321,L321,"y"),"NOT FOUND")</f>
        <v/>
      </c>
      <c r="AH321" s="2">
        <f>IFERROR(INDEX('8_3nf_customer'!$E:$E,MATCH(AD321,'8_3nf_customer'!$B:$B,0)),"NOT FOUND")</f>
        <v/>
      </c>
      <c r="AI321" s="30">
        <f>IF(_xlfn.MAXIFS('9_3nf_customer_history'!$B$2:$B$500,'9_3nf_customer_history'!$A$2:$A$500,AD321,'9_3nf_customer_history'!$B$2:$B$500,"&lt;="&amp;L321)=0,"NOT FOUND",_xlfn.MAXIFS('9_3nf_customer_history'!$B$2:$B$500,'9_3nf_customer_history'!$A$2:$A$500,AD321,'9_3nf_customer_history'!$B$2:$B$500,"&lt;="&amp;L321))</f>
        <v/>
      </c>
      <c r="AJ321" s="2">
        <f>IF(AI321="NOT FOUND","NOT FOUND",INDEX('9_3nf_customer_history'!$C:$C,SUMPRODUCT(('9_3nf_customer_history'!$A$2:$A$500=AD321)*('9_3nf_customer_history'!$B$2:$B$500=AI321)*ROW('9_3nf_customer_history'!$A$2:$A$500))))</f>
        <v/>
      </c>
      <c r="AK321" s="2">
        <f>IF(AI321="NOT FOUND","NOT FOUND",INDEX('9_3nf_customer_history'!$D:$D,SUMPRODUCT(('9_3nf_customer_history'!$A$2:$A$500=AD321)*('9_3nf_customer_history'!$B$2:$B$500=AI321)*ROW('9_3nf_customer_history'!$A$2:$A$500))))</f>
        <v/>
      </c>
      <c r="AL321" s="2">
        <f>UPPER(TRIM(H321))</f>
        <v/>
      </c>
      <c r="AM321" s="30">
        <f>IF(_xlfn.MAXIFS('10_ref_fx_rate'!$B$2:$B$2000,'10_ref_fx_rate'!$A$2:$A$2000,AL321,'10_ref_fx_rate'!$B$2:$B$2000,"&lt;="&amp;L321)=0,"NOT FOUND",_xlfn.MAXIFS('10_ref_fx_rate'!$B$2:$B$2000,'10_ref_fx_rate'!$A$2:$A$2000,AL321,'10_ref_fx_rate'!$B$2:$B$2000,"&lt;="&amp;L321))</f>
        <v/>
      </c>
      <c r="AN321" s="8">
        <f>IF(AM321="NOT FOUND","NOT FOUND",SUMIFS('10_ref_fx_rate'!$D$2:$D$2000,'10_ref_fx_rate'!$A$2:$A$2000,AL321,'10_ref_fx_rate'!$B$2:$B$2000,AM321))</f>
        <v/>
      </c>
      <c r="AO321" s="37">
        <f>IF(ISNUMBER(AN321),I321*AN321,"NOT FOUND")</f>
        <v/>
      </c>
      <c r="AP321" s="2">
        <f>UPPER(TRIM(J321))</f>
        <v/>
      </c>
      <c r="AQ321" s="2">
        <f>IF(AP321="","SELF-DIRECTED",IF(ISNUMBER(MATCH(AP321,'11_3nf_sales_person'!$A:$A,0)),IF(EXACT(AP321,J321),"OK","OK (auto-fixed)"),IF(ISNA(MATCH($A321,'12_sales_person_confirmation'!$A:$A,0)),"CONFIRM (not logged)",IF(INDEX('12_sales_person_confirmation'!$I:$I,MATCH($A321,'12_sales_person_confirmation'!$A:$A,0))="CONFIRMED","CONFIRMED ("&amp;LOWER(INDEX('12_sales_person_confirmation'!$E:$E,MATCH($A321,'12_sales_person_confirmation'!$A:$A,0)))&amp;")","PENDING CONFIRM"))))</f>
        <v/>
      </c>
      <c r="AR321" s="2">
        <f>IF(OR(AQ321="OK",AQ321="OK (auto-fixed)"),AP321,IF(LEFT(AQ321,9)="CONFIRMED",INDEX('12_sales_person_confirmation'!$F:$F,MATCH($A321,'12_sales_person_confirmation'!$A:$A,0)),""))</f>
        <v/>
      </c>
      <c r="AS321" s="2">
        <f>IF(AR321="","",INDEX('11_3nf_sales_person'!$B:$B,MATCH(AR321,'11_3nf_sales_person'!$A:$A,0)))</f>
        <v/>
      </c>
    </row>
    <row r="322">
      <c r="A322" s="2">
        <f>IF(ISBLANK('1_raw_log'!A322),"",'1_raw_log'!A322)</f>
        <v/>
      </c>
      <c r="B322" s="3">
        <f>IF(ISBLANK('1_raw_log'!B322),"",'1_raw_log'!B322)</f>
        <v/>
      </c>
      <c r="C322" s="2">
        <f>IF(ISBLANK('1_raw_log'!C322),"",'1_raw_log'!C322)</f>
        <v/>
      </c>
      <c r="D322" s="2">
        <f>IF(ISBLANK('1_raw_log'!D322),"",'1_raw_log'!D322)</f>
        <v/>
      </c>
      <c r="E322" s="4">
        <f>IF(ISBLANK('1_raw_log'!E322),"",'1_raw_log'!E322)</f>
        <v/>
      </c>
      <c r="F322" s="2">
        <f>IF(ISBLANK('1_raw_log'!F322),"",'1_raw_log'!F322)</f>
        <v/>
      </c>
      <c r="G322" s="2">
        <f>IF(ISBLANK('1_raw_log'!G322),"",'1_raw_log'!G322)</f>
        <v/>
      </c>
      <c r="H322" s="2">
        <f>IF(ISBLANK('1_raw_log'!H322),"",'1_raw_log'!H322)</f>
        <v/>
      </c>
      <c r="I322" s="7">
        <f>IF(ISBLANK('1_raw_log'!I322),"",'1_raw_log'!I322)</f>
        <v/>
      </c>
      <c r="J322" s="2">
        <f>IF(ISBLANK('1_raw_log'!J322),"",'1_raw_log'!J322)</f>
        <v/>
      </c>
      <c r="K322" s="2">
        <f>IF(ISBLANK('1_raw_log'!K322),"",'1_raw_log'!K322)</f>
        <v/>
      </c>
      <c r="L322" s="30">
        <f>INT(B322)</f>
        <v/>
      </c>
      <c r="M322" s="20">
        <f>ROUND(MOD(B322,1)*1440,0)/1440</f>
        <v/>
      </c>
      <c r="N322" s="4">
        <f>IFERROR(INDEX('3_ref_date'!$B:$B,MATCH(L322,'3_ref_date'!$A:$A,0)),"NOT FOUND")</f>
        <v/>
      </c>
      <c r="O322" s="2">
        <f>IFERROR(INDEX('3_ref_date'!$C:$C,MATCH(L322,'3_ref_date'!$A:$A,0)),"NOT FOUND")</f>
        <v/>
      </c>
      <c r="P322" s="4">
        <f>IFERROR(INDEX('3_ref_date'!$D:$D,MATCH(L322,'3_ref_date'!$A:$A,0)),"NOT FOUND")</f>
        <v/>
      </c>
      <c r="Q322" s="4">
        <f>IFERROR(INDEX('3_ref_date'!$E:$E,MATCH(L322,'3_ref_date'!$A:$A,0)),"NOT FOUND")</f>
        <v/>
      </c>
      <c r="R322" s="2">
        <f>IFERROR(INDEX('3_ref_date'!$F:$F,MATCH(L322,'3_ref_date'!$A:$A,0)),"NOT FOUND")</f>
        <v/>
      </c>
      <c r="S322" s="2">
        <f>IFERROR(INDEX('4_ref_time'!$D:$D,MATCH(ROUND(M322*1440,0),'4_ref_time'!$A:$A,0)),"NOT FOUND")</f>
        <v/>
      </c>
      <c r="T322" s="2">
        <f>UPPER(TRIM(C322))</f>
        <v/>
      </c>
      <c r="U322" s="30">
        <f>IF(_xlfn.MAXIFS('6_3nf_branch_history'!$B$2:$B$50,'6_3nf_branch_history'!$A$2:$A$50,T322,'6_3nf_branch_history'!$B$2:$B$50,"&lt;="&amp;L322)=0,"NOT FOUND",_xlfn.MAXIFS('6_3nf_branch_history'!$B$2:$B$50,'6_3nf_branch_history'!$A$2:$A$50,T322,'6_3nf_branch_history'!$B$2:$B$50,"&lt;="&amp;L322))</f>
        <v/>
      </c>
      <c r="V322" s="2">
        <f>IF(U322="NOT FOUND","NOT FOUND",INDEX('6_3nf_branch_history'!$C:$C,SUMPRODUCT(('6_3nf_branch_history'!$A$2:$A$50=T322)*('6_3nf_branch_history'!$B$2:$B$50=U322)*ROW('6_3nf_branch_history'!$A$2:$A$50))))</f>
        <v/>
      </c>
      <c r="W322" s="2">
        <f>IF(U322="NOT FOUND","NOT FOUND",INDEX('6_3nf_branch_history'!$D:$D,SUMPRODUCT(('6_3nf_branch_history'!$A$2:$A$50=T322)*('6_3nf_branch_history'!$B$2:$B$50=U322)*ROW('6_3nf_branch_history'!$A$2:$A$50))))</f>
        <v/>
      </c>
      <c r="X322" s="2">
        <f>IF(U322="NOT FOUND","NOT FOUND",INDEX('6_3nf_branch_history'!$E:$E,SUMPRODUCT(('6_3nf_branch_history'!$A$2:$A$50=T322)*('6_3nf_branch_history'!$B$2:$B$50=U322)*ROW('6_3nf_branch_history'!$A$2:$A$50))))</f>
        <v/>
      </c>
      <c r="Y322" s="2">
        <f>UPPER(TRIM(D322))</f>
        <v/>
      </c>
      <c r="Z322" s="2">
        <f>IFERROR(INDEX('7_3nf_product'!$B:$B,MATCH(Y322,'7_3nf_product'!$A:$A,0)),"NOT FOUND")</f>
        <v/>
      </c>
      <c r="AA322" s="2">
        <f>IFERROR(INDEX('7_3nf_product'!$C:$C,MATCH(Y322,'7_3nf_product'!$A:$A,0)),"NOT FOUND")</f>
        <v/>
      </c>
      <c r="AB322" s="2">
        <f>IFERROR(INDEX('7_3nf_product'!$D:$D,MATCH(Y322,'7_3nf_product'!$A:$A,0)),"NOT FOUND")</f>
        <v/>
      </c>
      <c r="AC322" s="6">
        <f>IFERROR(INDEX('7_3nf_product'!$E:$E,MATCH(Y322,'7_3nf_product'!$A:$A,0)),"NOT FOUND")</f>
        <v/>
      </c>
      <c r="AD322" s="33">
        <f>IF(LEN(TRIM(E322))=10,TRIM(E322),IF(LEN(TRIM(E322))=8,"00"&amp;TRIM(E322),"CHECK"))</f>
        <v/>
      </c>
      <c r="AE322" s="2">
        <f>IFERROR(INDEX('8_3nf_customer'!$C:$C,MATCH(AD322,'8_3nf_customer'!$B:$B,0)),"NOT FOUND")</f>
        <v/>
      </c>
      <c r="AF322" s="30">
        <f>IFERROR(INDEX('8_3nf_customer'!$D:$D,MATCH(AD322,'8_3nf_customer'!$B:$B,0)),"NOT FOUND")</f>
        <v/>
      </c>
      <c r="AG322" s="4">
        <f>IF(ISNUMBER(AF322),DATEDIF(AF322,L322,"y"),"NOT FOUND")</f>
        <v/>
      </c>
      <c r="AH322" s="2">
        <f>IFERROR(INDEX('8_3nf_customer'!$E:$E,MATCH(AD322,'8_3nf_customer'!$B:$B,0)),"NOT FOUND")</f>
        <v/>
      </c>
      <c r="AI322" s="30">
        <f>IF(_xlfn.MAXIFS('9_3nf_customer_history'!$B$2:$B$500,'9_3nf_customer_history'!$A$2:$A$500,AD322,'9_3nf_customer_history'!$B$2:$B$500,"&lt;="&amp;L322)=0,"NOT FOUND",_xlfn.MAXIFS('9_3nf_customer_history'!$B$2:$B$500,'9_3nf_customer_history'!$A$2:$A$500,AD322,'9_3nf_customer_history'!$B$2:$B$500,"&lt;="&amp;L322))</f>
        <v/>
      </c>
      <c r="AJ322" s="2">
        <f>IF(AI322="NOT FOUND","NOT FOUND",INDEX('9_3nf_customer_history'!$C:$C,SUMPRODUCT(('9_3nf_customer_history'!$A$2:$A$500=AD322)*('9_3nf_customer_history'!$B$2:$B$500=AI322)*ROW('9_3nf_customer_history'!$A$2:$A$500))))</f>
        <v/>
      </c>
      <c r="AK322" s="2">
        <f>IF(AI322="NOT FOUND","NOT FOUND",INDEX('9_3nf_customer_history'!$D:$D,SUMPRODUCT(('9_3nf_customer_history'!$A$2:$A$500=AD322)*('9_3nf_customer_history'!$B$2:$B$500=AI322)*ROW('9_3nf_customer_history'!$A$2:$A$500))))</f>
        <v/>
      </c>
      <c r="AL322" s="2">
        <f>UPPER(TRIM(H322))</f>
        <v/>
      </c>
      <c r="AM322" s="30">
        <f>IF(_xlfn.MAXIFS('10_ref_fx_rate'!$B$2:$B$2000,'10_ref_fx_rate'!$A$2:$A$2000,AL322,'10_ref_fx_rate'!$B$2:$B$2000,"&lt;="&amp;L322)=0,"NOT FOUND",_xlfn.MAXIFS('10_ref_fx_rate'!$B$2:$B$2000,'10_ref_fx_rate'!$A$2:$A$2000,AL322,'10_ref_fx_rate'!$B$2:$B$2000,"&lt;="&amp;L322))</f>
        <v/>
      </c>
      <c r="AN322" s="8">
        <f>IF(AM322="NOT FOUND","NOT FOUND",SUMIFS('10_ref_fx_rate'!$D$2:$D$2000,'10_ref_fx_rate'!$A$2:$A$2000,AL322,'10_ref_fx_rate'!$B$2:$B$2000,AM322))</f>
        <v/>
      </c>
      <c r="AO322" s="37">
        <f>IF(ISNUMBER(AN322),I322*AN322,"NOT FOUND")</f>
        <v/>
      </c>
      <c r="AP322" s="2">
        <f>UPPER(TRIM(J322))</f>
        <v/>
      </c>
      <c r="AQ322" s="2">
        <f>IF(AP322="","SELF-DIRECTED",IF(ISNUMBER(MATCH(AP322,'11_3nf_sales_person'!$A:$A,0)),IF(EXACT(AP322,J322),"OK","OK (auto-fixed)"),IF(ISNA(MATCH($A322,'12_sales_person_confirmation'!$A:$A,0)),"CONFIRM (not logged)",IF(INDEX('12_sales_person_confirmation'!$I:$I,MATCH($A322,'12_sales_person_confirmation'!$A:$A,0))="CONFIRMED","CONFIRMED ("&amp;LOWER(INDEX('12_sales_person_confirmation'!$E:$E,MATCH($A322,'12_sales_person_confirmation'!$A:$A,0)))&amp;")","PENDING CONFIRM"))))</f>
        <v/>
      </c>
      <c r="AR322" s="2">
        <f>IF(OR(AQ322="OK",AQ322="OK (auto-fixed)"),AP322,IF(LEFT(AQ322,9)="CONFIRMED",INDEX('12_sales_person_confirmation'!$F:$F,MATCH($A322,'12_sales_person_confirmation'!$A:$A,0)),""))</f>
        <v/>
      </c>
      <c r="AS322" s="2">
        <f>IF(AR322="","",INDEX('11_3nf_sales_person'!$B:$B,MATCH(AR322,'11_3nf_sales_person'!$A:$A,0)))</f>
        <v/>
      </c>
    </row>
    <row r="323">
      <c r="A323" s="2">
        <f>IF(ISBLANK('1_raw_log'!A323),"",'1_raw_log'!A323)</f>
        <v/>
      </c>
      <c r="B323" s="3">
        <f>IF(ISBLANK('1_raw_log'!B323),"",'1_raw_log'!B323)</f>
        <v/>
      </c>
      <c r="C323" s="2">
        <f>IF(ISBLANK('1_raw_log'!C323),"",'1_raw_log'!C323)</f>
        <v/>
      </c>
      <c r="D323" s="2">
        <f>IF(ISBLANK('1_raw_log'!D323),"",'1_raw_log'!D323)</f>
        <v/>
      </c>
      <c r="E323" s="4">
        <f>IF(ISBLANK('1_raw_log'!E323),"",'1_raw_log'!E323)</f>
        <v/>
      </c>
      <c r="F323" s="2">
        <f>IF(ISBLANK('1_raw_log'!F323),"",'1_raw_log'!F323)</f>
        <v/>
      </c>
      <c r="G323" s="2">
        <f>IF(ISBLANK('1_raw_log'!G323),"",'1_raw_log'!G323)</f>
        <v/>
      </c>
      <c r="H323" s="2">
        <f>IF(ISBLANK('1_raw_log'!H323),"",'1_raw_log'!H323)</f>
        <v/>
      </c>
      <c r="I323" s="7">
        <f>IF(ISBLANK('1_raw_log'!I323),"",'1_raw_log'!I323)</f>
        <v/>
      </c>
      <c r="J323" s="2">
        <f>IF(ISBLANK('1_raw_log'!J323),"",'1_raw_log'!J323)</f>
        <v/>
      </c>
      <c r="K323" s="2">
        <f>IF(ISBLANK('1_raw_log'!K323),"",'1_raw_log'!K323)</f>
        <v/>
      </c>
      <c r="L323" s="30">
        <f>INT(B323)</f>
        <v/>
      </c>
      <c r="M323" s="20">
        <f>ROUND(MOD(B323,1)*1440,0)/1440</f>
        <v/>
      </c>
      <c r="N323" s="4">
        <f>IFERROR(INDEX('3_ref_date'!$B:$B,MATCH(L323,'3_ref_date'!$A:$A,0)),"NOT FOUND")</f>
        <v/>
      </c>
      <c r="O323" s="2">
        <f>IFERROR(INDEX('3_ref_date'!$C:$C,MATCH(L323,'3_ref_date'!$A:$A,0)),"NOT FOUND")</f>
        <v/>
      </c>
      <c r="P323" s="4">
        <f>IFERROR(INDEX('3_ref_date'!$D:$D,MATCH(L323,'3_ref_date'!$A:$A,0)),"NOT FOUND")</f>
        <v/>
      </c>
      <c r="Q323" s="4">
        <f>IFERROR(INDEX('3_ref_date'!$E:$E,MATCH(L323,'3_ref_date'!$A:$A,0)),"NOT FOUND")</f>
        <v/>
      </c>
      <c r="R323" s="2">
        <f>IFERROR(INDEX('3_ref_date'!$F:$F,MATCH(L323,'3_ref_date'!$A:$A,0)),"NOT FOUND")</f>
        <v/>
      </c>
      <c r="S323" s="2">
        <f>IFERROR(INDEX('4_ref_time'!$D:$D,MATCH(ROUND(M323*1440,0),'4_ref_time'!$A:$A,0)),"NOT FOUND")</f>
        <v/>
      </c>
      <c r="T323" s="2">
        <f>UPPER(TRIM(C323))</f>
        <v/>
      </c>
      <c r="U323" s="30">
        <f>IF(_xlfn.MAXIFS('6_3nf_branch_history'!$B$2:$B$50,'6_3nf_branch_history'!$A$2:$A$50,T323,'6_3nf_branch_history'!$B$2:$B$50,"&lt;="&amp;L323)=0,"NOT FOUND",_xlfn.MAXIFS('6_3nf_branch_history'!$B$2:$B$50,'6_3nf_branch_history'!$A$2:$A$50,T323,'6_3nf_branch_history'!$B$2:$B$50,"&lt;="&amp;L323))</f>
        <v/>
      </c>
      <c r="V323" s="2">
        <f>IF(U323="NOT FOUND","NOT FOUND",INDEX('6_3nf_branch_history'!$C:$C,SUMPRODUCT(('6_3nf_branch_history'!$A$2:$A$50=T323)*('6_3nf_branch_history'!$B$2:$B$50=U323)*ROW('6_3nf_branch_history'!$A$2:$A$50))))</f>
        <v/>
      </c>
      <c r="W323" s="2">
        <f>IF(U323="NOT FOUND","NOT FOUND",INDEX('6_3nf_branch_history'!$D:$D,SUMPRODUCT(('6_3nf_branch_history'!$A$2:$A$50=T323)*('6_3nf_branch_history'!$B$2:$B$50=U323)*ROW('6_3nf_branch_history'!$A$2:$A$50))))</f>
        <v/>
      </c>
      <c r="X323" s="2">
        <f>IF(U323="NOT FOUND","NOT FOUND",INDEX('6_3nf_branch_history'!$E:$E,SUMPRODUCT(('6_3nf_branch_history'!$A$2:$A$50=T323)*('6_3nf_branch_history'!$B$2:$B$50=U323)*ROW('6_3nf_branch_history'!$A$2:$A$50))))</f>
        <v/>
      </c>
      <c r="Y323" s="2">
        <f>UPPER(TRIM(D323))</f>
        <v/>
      </c>
      <c r="Z323" s="2">
        <f>IFERROR(INDEX('7_3nf_product'!$B:$B,MATCH(Y323,'7_3nf_product'!$A:$A,0)),"NOT FOUND")</f>
        <v/>
      </c>
      <c r="AA323" s="2">
        <f>IFERROR(INDEX('7_3nf_product'!$C:$C,MATCH(Y323,'7_3nf_product'!$A:$A,0)),"NOT FOUND")</f>
        <v/>
      </c>
      <c r="AB323" s="2">
        <f>IFERROR(INDEX('7_3nf_product'!$D:$D,MATCH(Y323,'7_3nf_product'!$A:$A,0)),"NOT FOUND")</f>
        <v/>
      </c>
      <c r="AC323" s="6">
        <f>IFERROR(INDEX('7_3nf_product'!$E:$E,MATCH(Y323,'7_3nf_product'!$A:$A,0)),"NOT FOUND")</f>
        <v/>
      </c>
      <c r="AD323" s="33">
        <f>IF(LEN(TRIM(E323))=10,TRIM(E323),IF(LEN(TRIM(E323))=8,"00"&amp;TRIM(E323),"CHECK"))</f>
        <v/>
      </c>
      <c r="AE323" s="2">
        <f>IFERROR(INDEX('8_3nf_customer'!$C:$C,MATCH(AD323,'8_3nf_customer'!$B:$B,0)),"NOT FOUND")</f>
        <v/>
      </c>
      <c r="AF323" s="30">
        <f>IFERROR(INDEX('8_3nf_customer'!$D:$D,MATCH(AD323,'8_3nf_customer'!$B:$B,0)),"NOT FOUND")</f>
        <v/>
      </c>
      <c r="AG323" s="4">
        <f>IF(ISNUMBER(AF323),DATEDIF(AF323,L323,"y"),"NOT FOUND")</f>
        <v/>
      </c>
      <c r="AH323" s="2">
        <f>IFERROR(INDEX('8_3nf_customer'!$E:$E,MATCH(AD323,'8_3nf_customer'!$B:$B,0)),"NOT FOUND")</f>
        <v/>
      </c>
      <c r="AI323" s="30">
        <f>IF(_xlfn.MAXIFS('9_3nf_customer_history'!$B$2:$B$500,'9_3nf_customer_history'!$A$2:$A$500,AD323,'9_3nf_customer_history'!$B$2:$B$500,"&lt;="&amp;L323)=0,"NOT FOUND",_xlfn.MAXIFS('9_3nf_customer_history'!$B$2:$B$500,'9_3nf_customer_history'!$A$2:$A$500,AD323,'9_3nf_customer_history'!$B$2:$B$500,"&lt;="&amp;L323))</f>
        <v/>
      </c>
      <c r="AJ323" s="2">
        <f>IF(AI323="NOT FOUND","NOT FOUND",INDEX('9_3nf_customer_history'!$C:$C,SUMPRODUCT(('9_3nf_customer_history'!$A$2:$A$500=AD323)*('9_3nf_customer_history'!$B$2:$B$500=AI323)*ROW('9_3nf_customer_history'!$A$2:$A$500))))</f>
        <v/>
      </c>
      <c r="AK323" s="2">
        <f>IF(AI323="NOT FOUND","NOT FOUND",INDEX('9_3nf_customer_history'!$D:$D,SUMPRODUCT(('9_3nf_customer_history'!$A$2:$A$500=AD323)*('9_3nf_customer_history'!$B$2:$B$500=AI323)*ROW('9_3nf_customer_history'!$A$2:$A$500))))</f>
        <v/>
      </c>
      <c r="AL323" s="2">
        <f>UPPER(TRIM(H323))</f>
        <v/>
      </c>
      <c r="AM323" s="30">
        <f>IF(_xlfn.MAXIFS('10_ref_fx_rate'!$B$2:$B$2000,'10_ref_fx_rate'!$A$2:$A$2000,AL323,'10_ref_fx_rate'!$B$2:$B$2000,"&lt;="&amp;L323)=0,"NOT FOUND",_xlfn.MAXIFS('10_ref_fx_rate'!$B$2:$B$2000,'10_ref_fx_rate'!$A$2:$A$2000,AL323,'10_ref_fx_rate'!$B$2:$B$2000,"&lt;="&amp;L323))</f>
        <v/>
      </c>
      <c r="AN323" s="8">
        <f>IF(AM323="NOT FOUND","NOT FOUND",SUMIFS('10_ref_fx_rate'!$D$2:$D$2000,'10_ref_fx_rate'!$A$2:$A$2000,AL323,'10_ref_fx_rate'!$B$2:$B$2000,AM323))</f>
        <v/>
      </c>
      <c r="AO323" s="37">
        <f>IF(ISNUMBER(AN323),I323*AN323,"NOT FOUND")</f>
        <v/>
      </c>
      <c r="AP323" s="2">
        <f>UPPER(TRIM(J323))</f>
        <v/>
      </c>
      <c r="AQ323" s="2">
        <f>IF(AP323="","SELF-DIRECTED",IF(ISNUMBER(MATCH(AP323,'11_3nf_sales_person'!$A:$A,0)),IF(EXACT(AP323,J323),"OK","OK (auto-fixed)"),IF(ISNA(MATCH($A323,'12_sales_person_confirmation'!$A:$A,0)),"CONFIRM (not logged)",IF(INDEX('12_sales_person_confirmation'!$I:$I,MATCH($A323,'12_sales_person_confirmation'!$A:$A,0))="CONFIRMED","CONFIRMED ("&amp;LOWER(INDEX('12_sales_person_confirmation'!$E:$E,MATCH($A323,'12_sales_person_confirmation'!$A:$A,0)))&amp;")","PENDING CONFIRM"))))</f>
        <v/>
      </c>
      <c r="AR323" s="2">
        <f>IF(OR(AQ323="OK",AQ323="OK (auto-fixed)"),AP323,IF(LEFT(AQ323,9)="CONFIRMED",INDEX('12_sales_person_confirmation'!$F:$F,MATCH($A323,'12_sales_person_confirmation'!$A:$A,0)),""))</f>
        <v/>
      </c>
      <c r="AS323" s="2">
        <f>IF(AR323="","",INDEX('11_3nf_sales_person'!$B:$B,MATCH(AR323,'11_3nf_sales_person'!$A:$A,0)))</f>
        <v/>
      </c>
    </row>
    <row r="324">
      <c r="A324" s="2">
        <f>IF(ISBLANK('1_raw_log'!A324),"",'1_raw_log'!A324)</f>
        <v/>
      </c>
      <c r="B324" s="3">
        <f>IF(ISBLANK('1_raw_log'!B324),"",'1_raw_log'!B324)</f>
        <v/>
      </c>
      <c r="C324" s="2">
        <f>IF(ISBLANK('1_raw_log'!C324),"",'1_raw_log'!C324)</f>
        <v/>
      </c>
      <c r="D324" s="2">
        <f>IF(ISBLANK('1_raw_log'!D324),"",'1_raw_log'!D324)</f>
        <v/>
      </c>
      <c r="E324" s="4">
        <f>IF(ISBLANK('1_raw_log'!E324),"",'1_raw_log'!E324)</f>
        <v/>
      </c>
      <c r="F324" s="2">
        <f>IF(ISBLANK('1_raw_log'!F324),"",'1_raw_log'!F324)</f>
        <v/>
      </c>
      <c r="G324" s="2">
        <f>IF(ISBLANK('1_raw_log'!G324),"",'1_raw_log'!G324)</f>
        <v/>
      </c>
      <c r="H324" s="2">
        <f>IF(ISBLANK('1_raw_log'!H324),"",'1_raw_log'!H324)</f>
        <v/>
      </c>
      <c r="I324" s="7">
        <f>IF(ISBLANK('1_raw_log'!I324),"",'1_raw_log'!I324)</f>
        <v/>
      </c>
      <c r="J324" s="2">
        <f>IF(ISBLANK('1_raw_log'!J324),"",'1_raw_log'!J324)</f>
        <v/>
      </c>
      <c r="K324" s="2">
        <f>IF(ISBLANK('1_raw_log'!K324),"",'1_raw_log'!K324)</f>
        <v/>
      </c>
      <c r="L324" s="30">
        <f>INT(B324)</f>
        <v/>
      </c>
      <c r="M324" s="20">
        <f>ROUND(MOD(B324,1)*1440,0)/1440</f>
        <v/>
      </c>
      <c r="N324" s="4">
        <f>IFERROR(INDEX('3_ref_date'!$B:$B,MATCH(L324,'3_ref_date'!$A:$A,0)),"NOT FOUND")</f>
        <v/>
      </c>
      <c r="O324" s="2">
        <f>IFERROR(INDEX('3_ref_date'!$C:$C,MATCH(L324,'3_ref_date'!$A:$A,0)),"NOT FOUND")</f>
        <v/>
      </c>
      <c r="P324" s="4">
        <f>IFERROR(INDEX('3_ref_date'!$D:$D,MATCH(L324,'3_ref_date'!$A:$A,0)),"NOT FOUND")</f>
        <v/>
      </c>
      <c r="Q324" s="4">
        <f>IFERROR(INDEX('3_ref_date'!$E:$E,MATCH(L324,'3_ref_date'!$A:$A,0)),"NOT FOUND")</f>
        <v/>
      </c>
      <c r="R324" s="2">
        <f>IFERROR(INDEX('3_ref_date'!$F:$F,MATCH(L324,'3_ref_date'!$A:$A,0)),"NOT FOUND")</f>
        <v/>
      </c>
      <c r="S324" s="2">
        <f>IFERROR(INDEX('4_ref_time'!$D:$D,MATCH(ROUND(M324*1440,0),'4_ref_time'!$A:$A,0)),"NOT FOUND")</f>
        <v/>
      </c>
      <c r="T324" s="2">
        <f>UPPER(TRIM(C324))</f>
        <v/>
      </c>
      <c r="U324" s="30">
        <f>IF(_xlfn.MAXIFS('6_3nf_branch_history'!$B$2:$B$50,'6_3nf_branch_history'!$A$2:$A$50,T324,'6_3nf_branch_history'!$B$2:$B$50,"&lt;="&amp;L324)=0,"NOT FOUND",_xlfn.MAXIFS('6_3nf_branch_history'!$B$2:$B$50,'6_3nf_branch_history'!$A$2:$A$50,T324,'6_3nf_branch_history'!$B$2:$B$50,"&lt;="&amp;L324))</f>
        <v/>
      </c>
      <c r="V324" s="2">
        <f>IF(U324="NOT FOUND","NOT FOUND",INDEX('6_3nf_branch_history'!$C:$C,SUMPRODUCT(('6_3nf_branch_history'!$A$2:$A$50=T324)*('6_3nf_branch_history'!$B$2:$B$50=U324)*ROW('6_3nf_branch_history'!$A$2:$A$50))))</f>
        <v/>
      </c>
      <c r="W324" s="2">
        <f>IF(U324="NOT FOUND","NOT FOUND",INDEX('6_3nf_branch_history'!$D:$D,SUMPRODUCT(('6_3nf_branch_history'!$A$2:$A$50=T324)*('6_3nf_branch_history'!$B$2:$B$50=U324)*ROW('6_3nf_branch_history'!$A$2:$A$50))))</f>
        <v/>
      </c>
      <c r="X324" s="2">
        <f>IF(U324="NOT FOUND","NOT FOUND",INDEX('6_3nf_branch_history'!$E:$E,SUMPRODUCT(('6_3nf_branch_history'!$A$2:$A$50=T324)*('6_3nf_branch_history'!$B$2:$B$50=U324)*ROW('6_3nf_branch_history'!$A$2:$A$50))))</f>
        <v/>
      </c>
      <c r="Y324" s="2">
        <f>UPPER(TRIM(D324))</f>
        <v/>
      </c>
      <c r="Z324" s="2">
        <f>IFERROR(INDEX('7_3nf_product'!$B:$B,MATCH(Y324,'7_3nf_product'!$A:$A,0)),"NOT FOUND")</f>
        <v/>
      </c>
      <c r="AA324" s="2">
        <f>IFERROR(INDEX('7_3nf_product'!$C:$C,MATCH(Y324,'7_3nf_product'!$A:$A,0)),"NOT FOUND")</f>
        <v/>
      </c>
      <c r="AB324" s="2">
        <f>IFERROR(INDEX('7_3nf_product'!$D:$D,MATCH(Y324,'7_3nf_product'!$A:$A,0)),"NOT FOUND")</f>
        <v/>
      </c>
      <c r="AC324" s="6">
        <f>IFERROR(INDEX('7_3nf_product'!$E:$E,MATCH(Y324,'7_3nf_product'!$A:$A,0)),"NOT FOUND")</f>
        <v/>
      </c>
      <c r="AD324" s="33">
        <f>IF(LEN(TRIM(E324))=10,TRIM(E324),IF(LEN(TRIM(E324))=8,"00"&amp;TRIM(E324),"CHECK"))</f>
        <v/>
      </c>
      <c r="AE324" s="2">
        <f>IFERROR(INDEX('8_3nf_customer'!$C:$C,MATCH(AD324,'8_3nf_customer'!$B:$B,0)),"NOT FOUND")</f>
        <v/>
      </c>
      <c r="AF324" s="30">
        <f>IFERROR(INDEX('8_3nf_customer'!$D:$D,MATCH(AD324,'8_3nf_customer'!$B:$B,0)),"NOT FOUND")</f>
        <v/>
      </c>
      <c r="AG324" s="4">
        <f>IF(ISNUMBER(AF324),DATEDIF(AF324,L324,"y"),"NOT FOUND")</f>
        <v/>
      </c>
      <c r="AH324" s="2">
        <f>IFERROR(INDEX('8_3nf_customer'!$E:$E,MATCH(AD324,'8_3nf_customer'!$B:$B,0)),"NOT FOUND")</f>
        <v/>
      </c>
      <c r="AI324" s="30">
        <f>IF(_xlfn.MAXIFS('9_3nf_customer_history'!$B$2:$B$500,'9_3nf_customer_history'!$A$2:$A$500,AD324,'9_3nf_customer_history'!$B$2:$B$500,"&lt;="&amp;L324)=0,"NOT FOUND",_xlfn.MAXIFS('9_3nf_customer_history'!$B$2:$B$500,'9_3nf_customer_history'!$A$2:$A$500,AD324,'9_3nf_customer_history'!$B$2:$B$500,"&lt;="&amp;L324))</f>
        <v/>
      </c>
      <c r="AJ324" s="2">
        <f>IF(AI324="NOT FOUND","NOT FOUND",INDEX('9_3nf_customer_history'!$C:$C,SUMPRODUCT(('9_3nf_customer_history'!$A$2:$A$500=AD324)*('9_3nf_customer_history'!$B$2:$B$500=AI324)*ROW('9_3nf_customer_history'!$A$2:$A$500))))</f>
        <v/>
      </c>
      <c r="AK324" s="2">
        <f>IF(AI324="NOT FOUND","NOT FOUND",INDEX('9_3nf_customer_history'!$D:$D,SUMPRODUCT(('9_3nf_customer_history'!$A$2:$A$500=AD324)*('9_3nf_customer_history'!$B$2:$B$500=AI324)*ROW('9_3nf_customer_history'!$A$2:$A$500))))</f>
        <v/>
      </c>
      <c r="AL324" s="2">
        <f>UPPER(TRIM(H324))</f>
        <v/>
      </c>
      <c r="AM324" s="30">
        <f>IF(_xlfn.MAXIFS('10_ref_fx_rate'!$B$2:$B$2000,'10_ref_fx_rate'!$A$2:$A$2000,AL324,'10_ref_fx_rate'!$B$2:$B$2000,"&lt;="&amp;L324)=0,"NOT FOUND",_xlfn.MAXIFS('10_ref_fx_rate'!$B$2:$B$2000,'10_ref_fx_rate'!$A$2:$A$2000,AL324,'10_ref_fx_rate'!$B$2:$B$2000,"&lt;="&amp;L324))</f>
        <v/>
      </c>
      <c r="AN324" s="8">
        <f>IF(AM324="NOT FOUND","NOT FOUND",SUMIFS('10_ref_fx_rate'!$D$2:$D$2000,'10_ref_fx_rate'!$A$2:$A$2000,AL324,'10_ref_fx_rate'!$B$2:$B$2000,AM324))</f>
        <v/>
      </c>
      <c r="AO324" s="37">
        <f>IF(ISNUMBER(AN324),I324*AN324,"NOT FOUND")</f>
        <v/>
      </c>
      <c r="AP324" s="2">
        <f>UPPER(TRIM(J324))</f>
        <v/>
      </c>
      <c r="AQ324" s="2">
        <f>IF(AP324="","SELF-DIRECTED",IF(ISNUMBER(MATCH(AP324,'11_3nf_sales_person'!$A:$A,0)),IF(EXACT(AP324,J324),"OK","OK (auto-fixed)"),IF(ISNA(MATCH($A324,'12_sales_person_confirmation'!$A:$A,0)),"CONFIRM (not logged)",IF(INDEX('12_sales_person_confirmation'!$I:$I,MATCH($A324,'12_sales_person_confirmation'!$A:$A,0))="CONFIRMED","CONFIRMED ("&amp;LOWER(INDEX('12_sales_person_confirmation'!$E:$E,MATCH($A324,'12_sales_person_confirmation'!$A:$A,0)))&amp;")","PENDING CONFIRM"))))</f>
        <v/>
      </c>
      <c r="AR324" s="2">
        <f>IF(OR(AQ324="OK",AQ324="OK (auto-fixed)"),AP324,IF(LEFT(AQ324,9)="CONFIRMED",INDEX('12_sales_person_confirmation'!$F:$F,MATCH($A324,'12_sales_person_confirmation'!$A:$A,0)),""))</f>
        <v/>
      </c>
      <c r="AS324" s="2">
        <f>IF(AR324="","",INDEX('11_3nf_sales_person'!$B:$B,MATCH(AR324,'11_3nf_sales_person'!$A:$A,0)))</f>
        <v/>
      </c>
    </row>
    <row r="325">
      <c r="A325" s="2">
        <f>IF(ISBLANK('1_raw_log'!A325),"",'1_raw_log'!A325)</f>
        <v/>
      </c>
      <c r="B325" s="3">
        <f>IF(ISBLANK('1_raw_log'!B325),"",'1_raw_log'!B325)</f>
        <v/>
      </c>
      <c r="C325" s="2">
        <f>IF(ISBLANK('1_raw_log'!C325),"",'1_raw_log'!C325)</f>
        <v/>
      </c>
      <c r="D325" s="2">
        <f>IF(ISBLANK('1_raw_log'!D325),"",'1_raw_log'!D325)</f>
        <v/>
      </c>
      <c r="E325" s="4">
        <f>IF(ISBLANK('1_raw_log'!E325),"",'1_raw_log'!E325)</f>
        <v/>
      </c>
      <c r="F325" s="2">
        <f>IF(ISBLANK('1_raw_log'!F325),"",'1_raw_log'!F325)</f>
        <v/>
      </c>
      <c r="G325" s="2">
        <f>IF(ISBLANK('1_raw_log'!G325),"",'1_raw_log'!G325)</f>
        <v/>
      </c>
      <c r="H325" s="2">
        <f>IF(ISBLANK('1_raw_log'!H325),"",'1_raw_log'!H325)</f>
        <v/>
      </c>
      <c r="I325" s="7">
        <f>IF(ISBLANK('1_raw_log'!I325),"",'1_raw_log'!I325)</f>
        <v/>
      </c>
      <c r="J325" s="2">
        <f>IF(ISBLANK('1_raw_log'!J325),"",'1_raw_log'!J325)</f>
        <v/>
      </c>
      <c r="K325" s="2">
        <f>IF(ISBLANK('1_raw_log'!K325),"",'1_raw_log'!K325)</f>
        <v/>
      </c>
      <c r="L325" s="30">
        <f>INT(B325)</f>
        <v/>
      </c>
      <c r="M325" s="20">
        <f>ROUND(MOD(B325,1)*1440,0)/1440</f>
        <v/>
      </c>
      <c r="N325" s="4">
        <f>IFERROR(INDEX('3_ref_date'!$B:$B,MATCH(L325,'3_ref_date'!$A:$A,0)),"NOT FOUND")</f>
        <v/>
      </c>
      <c r="O325" s="2">
        <f>IFERROR(INDEX('3_ref_date'!$C:$C,MATCH(L325,'3_ref_date'!$A:$A,0)),"NOT FOUND")</f>
        <v/>
      </c>
      <c r="P325" s="4">
        <f>IFERROR(INDEX('3_ref_date'!$D:$D,MATCH(L325,'3_ref_date'!$A:$A,0)),"NOT FOUND")</f>
        <v/>
      </c>
      <c r="Q325" s="4">
        <f>IFERROR(INDEX('3_ref_date'!$E:$E,MATCH(L325,'3_ref_date'!$A:$A,0)),"NOT FOUND")</f>
        <v/>
      </c>
      <c r="R325" s="2">
        <f>IFERROR(INDEX('3_ref_date'!$F:$F,MATCH(L325,'3_ref_date'!$A:$A,0)),"NOT FOUND")</f>
        <v/>
      </c>
      <c r="S325" s="2">
        <f>IFERROR(INDEX('4_ref_time'!$D:$D,MATCH(ROUND(M325*1440,0),'4_ref_time'!$A:$A,0)),"NOT FOUND")</f>
        <v/>
      </c>
      <c r="T325" s="2">
        <f>UPPER(TRIM(C325))</f>
        <v/>
      </c>
      <c r="U325" s="30">
        <f>IF(_xlfn.MAXIFS('6_3nf_branch_history'!$B$2:$B$50,'6_3nf_branch_history'!$A$2:$A$50,T325,'6_3nf_branch_history'!$B$2:$B$50,"&lt;="&amp;L325)=0,"NOT FOUND",_xlfn.MAXIFS('6_3nf_branch_history'!$B$2:$B$50,'6_3nf_branch_history'!$A$2:$A$50,T325,'6_3nf_branch_history'!$B$2:$B$50,"&lt;="&amp;L325))</f>
        <v/>
      </c>
      <c r="V325" s="2">
        <f>IF(U325="NOT FOUND","NOT FOUND",INDEX('6_3nf_branch_history'!$C:$C,SUMPRODUCT(('6_3nf_branch_history'!$A$2:$A$50=T325)*('6_3nf_branch_history'!$B$2:$B$50=U325)*ROW('6_3nf_branch_history'!$A$2:$A$50))))</f>
        <v/>
      </c>
      <c r="W325" s="2">
        <f>IF(U325="NOT FOUND","NOT FOUND",INDEX('6_3nf_branch_history'!$D:$D,SUMPRODUCT(('6_3nf_branch_history'!$A$2:$A$50=T325)*('6_3nf_branch_history'!$B$2:$B$50=U325)*ROW('6_3nf_branch_history'!$A$2:$A$50))))</f>
        <v/>
      </c>
      <c r="X325" s="2">
        <f>IF(U325="NOT FOUND","NOT FOUND",INDEX('6_3nf_branch_history'!$E:$E,SUMPRODUCT(('6_3nf_branch_history'!$A$2:$A$50=T325)*('6_3nf_branch_history'!$B$2:$B$50=U325)*ROW('6_3nf_branch_history'!$A$2:$A$50))))</f>
        <v/>
      </c>
      <c r="Y325" s="2">
        <f>UPPER(TRIM(D325))</f>
        <v/>
      </c>
      <c r="Z325" s="2">
        <f>IFERROR(INDEX('7_3nf_product'!$B:$B,MATCH(Y325,'7_3nf_product'!$A:$A,0)),"NOT FOUND")</f>
        <v/>
      </c>
      <c r="AA325" s="2">
        <f>IFERROR(INDEX('7_3nf_product'!$C:$C,MATCH(Y325,'7_3nf_product'!$A:$A,0)),"NOT FOUND")</f>
        <v/>
      </c>
      <c r="AB325" s="2">
        <f>IFERROR(INDEX('7_3nf_product'!$D:$D,MATCH(Y325,'7_3nf_product'!$A:$A,0)),"NOT FOUND")</f>
        <v/>
      </c>
      <c r="AC325" s="6">
        <f>IFERROR(INDEX('7_3nf_product'!$E:$E,MATCH(Y325,'7_3nf_product'!$A:$A,0)),"NOT FOUND")</f>
        <v/>
      </c>
      <c r="AD325" s="33">
        <f>IF(LEN(TRIM(E325))=10,TRIM(E325),IF(LEN(TRIM(E325))=8,"00"&amp;TRIM(E325),"CHECK"))</f>
        <v/>
      </c>
      <c r="AE325" s="2">
        <f>IFERROR(INDEX('8_3nf_customer'!$C:$C,MATCH(AD325,'8_3nf_customer'!$B:$B,0)),"NOT FOUND")</f>
        <v/>
      </c>
      <c r="AF325" s="30">
        <f>IFERROR(INDEX('8_3nf_customer'!$D:$D,MATCH(AD325,'8_3nf_customer'!$B:$B,0)),"NOT FOUND")</f>
        <v/>
      </c>
      <c r="AG325" s="4">
        <f>IF(ISNUMBER(AF325),DATEDIF(AF325,L325,"y"),"NOT FOUND")</f>
        <v/>
      </c>
      <c r="AH325" s="2">
        <f>IFERROR(INDEX('8_3nf_customer'!$E:$E,MATCH(AD325,'8_3nf_customer'!$B:$B,0)),"NOT FOUND")</f>
        <v/>
      </c>
      <c r="AI325" s="30">
        <f>IF(_xlfn.MAXIFS('9_3nf_customer_history'!$B$2:$B$500,'9_3nf_customer_history'!$A$2:$A$500,AD325,'9_3nf_customer_history'!$B$2:$B$500,"&lt;="&amp;L325)=0,"NOT FOUND",_xlfn.MAXIFS('9_3nf_customer_history'!$B$2:$B$500,'9_3nf_customer_history'!$A$2:$A$500,AD325,'9_3nf_customer_history'!$B$2:$B$500,"&lt;="&amp;L325))</f>
        <v/>
      </c>
      <c r="AJ325" s="2">
        <f>IF(AI325="NOT FOUND","NOT FOUND",INDEX('9_3nf_customer_history'!$C:$C,SUMPRODUCT(('9_3nf_customer_history'!$A$2:$A$500=AD325)*('9_3nf_customer_history'!$B$2:$B$500=AI325)*ROW('9_3nf_customer_history'!$A$2:$A$500))))</f>
        <v/>
      </c>
      <c r="AK325" s="2">
        <f>IF(AI325="NOT FOUND","NOT FOUND",INDEX('9_3nf_customer_history'!$D:$D,SUMPRODUCT(('9_3nf_customer_history'!$A$2:$A$500=AD325)*('9_3nf_customer_history'!$B$2:$B$500=AI325)*ROW('9_3nf_customer_history'!$A$2:$A$500))))</f>
        <v/>
      </c>
      <c r="AL325" s="2">
        <f>UPPER(TRIM(H325))</f>
        <v/>
      </c>
      <c r="AM325" s="30">
        <f>IF(_xlfn.MAXIFS('10_ref_fx_rate'!$B$2:$B$2000,'10_ref_fx_rate'!$A$2:$A$2000,AL325,'10_ref_fx_rate'!$B$2:$B$2000,"&lt;="&amp;L325)=0,"NOT FOUND",_xlfn.MAXIFS('10_ref_fx_rate'!$B$2:$B$2000,'10_ref_fx_rate'!$A$2:$A$2000,AL325,'10_ref_fx_rate'!$B$2:$B$2000,"&lt;="&amp;L325))</f>
        <v/>
      </c>
      <c r="AN325" s="8">
        <f>IF(AM325="NOT FOUND","NOT FOUND",SUMIFS('10_ref_fx_rate'!$D$2:$D$2000,'10_ref_fx_rate'!$A$2:$A$2000,AL325,'10_ref_fx_rate'!$B$2:$B$2000,AM325))</f>
        <v/>
      </c>
      <c r="AO325" s="37">
        <f>IF(ISNUMBER(AN325),I325*AN325,"NOT FOUND")</f>
        <v/>
      </c>
      <c r="AP325" s="2">
        <f>UPPER(TRIM(J325))</f>
        <v/>
      </c>
      <c r="AQ325" s="2">
        <f>IF(AP325="","SELF-DIRECTED",IF(ISNUMBER(MATCH(AP325,'11_3nf_sales_person'!$A:$A,0)),IF(EXACT(AP325,J325),"OK","OK (auto-fixed)"),IF(ISNA(MATCH($A325,'12_sales_person_confirmation'!$A:$A,0)),"CONFIRM (not logged)",IF(INDEX('12_sales_person_confirmation'!$I:$I,MATCH($A325,'12_sales_person_confirmation'!$A:$A,0))="CONFIRMED","CONFIRMED ("&amp;LOWER(INDEX('12_sales_person_confirmation'!$E:$E,MATCH($A325,'12_sales_person_confirmation'!$A:$A,0)))&amp;")","PENDING CONFIRM"))))</f>
        <v/>
      </c>
      <c r="AR325" s="2">
        <f>IF(OR(AQ325="OK",AQ325="OK (auto-fixed)"),AP325,IF(LEFT(AQ325,9)="CONFIRMED",INDEX('12_sales_person_confirmation'!$F:$F,MATCH($A325,'12_sales_person_confirmation'!$A:$A,0)),""))</f>
        <v/>
      </c>
      <c r="AS325" s="2">
        <f>IF(AR325="","",INDEX('11_3nf_sales_person'!$B:$B,MATCH(AR325,'11_3nf_sales_person'!$A:$A,0)))</f>
        <v/>
      </c>
    </row>
    <row r="326">
      <c r="A326" s="2">
        <f>IF(ISBLANK('1_raw_log'!A326),"",'1_raw_log'!A326)</f>
        <v/>
      </c>
      <c r="B326" s="3">
        <f>IF(ISBLANK('1_raw_log'!B326),"",'1_raw_log'!B326)</f>
        <v/>
      </c>
      <c r="C326" s="2">
        <f>IF(ISBLANK('1_raw_log'!C326),"",'1_raw_log'!C326)</f>
        <v/>
      </c>
      <c r="D326" s="2">
        <f>IF(ISBLANK('1_raw_log'!D326),"",'1_raw_log'!D326)</f>
        <v/>
      </c>
      <c r="E326" s="4">
        <f>IF(ISBLANK('1_raw_log'!E326),"",'1_raw_log'!E326)</f>
        <v/>
      </c>
      <c r="F326" s="2">
        <f>IF(ISBLANK('1_raw_log'!F326),"",'1_raw_log'!F326)</f>
        <v/>
      </c>
      <c r="G326" s="2">
        <f>IF(ISBLANK('1_raw_log'!G326),"",'1_raw_log'!G326)</f>
        <v/>
      </c>
      <c r="H326" s="2">
        <f>IF(ISBLANK('1_raw_log'!H326),"",'1_raw_log'!H326)</f>
        <v/>
      </c>
      <c r="I326" s="7">
        <f>IF(ISBLANK('1_raw_log'!I326),"",'1_raw_log'!I326)</f>
        <v/>
      </c>
      <c r="J326" s="2">
        <f>IF(ISBLANK('1_raw_log'!J326),"",'1_raw_log'!J326)</f>
        <v/>
      </c>
      <c r="K326" s="2">
        <f>IF(ISBLANK('1_raw_log'!K326),"",'1_raw_log'!K326)</f>
        <v/>
      </c>
      <c r="L326" s="30">
        <f>INT(B326)</f>
        <v/>
      </c>
      <c r="M326" s="20">
        <f>ROUND(MOD(B326,1)*1440,0)/1440</f>
        <v/>
      </c>
      <c r="N326" s="4">
        <f>IFERROR(INDEX('3_ref_date'!$B:$B,MATCH(L326,'3_ref_date'!$A:$A,0)),"NOT FOUND")</f>
        <v/>
      </c>
      <c r="O326" s="2">
        <f>IFERROR(INDEX('3_ref_date'!$C:$C,MATCH(L326,'3_ref_date'!$A:$A,0)),"NOT FOUND")</f>
        <v/>
      </c>
      <c r="P326" s="4">
        <f>IFERROR(INDEX('3_ref_date'!$D:$D,MATCH(L326,'3_ref_date'!$A:$A,0)),"NOT FOUND")</f>
        <v/>
      </c>
      <c r="Q326" s="4">
        <f>IFERROR(INDEX('3_ref_date'!$E:$E,MATCH(L326,'3_ref_date'!$A:$A,0)),"NOT FOUND")</f>
        <v/>
      </c>
      <c r="R326" s="2">
        <f>IFERROR(INDEX('3_ref_date'!$F:$F,MATCH(L326,'3_ref_date'!$A:$A,0)),"NOT FOUND")</f>
        <v/>
      </c>
      <c r="S326" s="2">
        <f>IFERROR(INDEX('4_ref_time'!$D:$D,MATCH(ROUND(M326*1440,0),'4_ref_time'!$A:$A,0)),"NOT FOUND")</f>
        <v/>
      </c>
      <c r="T326" s="2">
        <f>UPPER(TRIM(C326))</f>
        <v/>
      </c>
      <c r="U326" s="30">
        <f>IF(_xlfn.MAXIFS('6_3nf_branch_history'!$B$2:$B$50,'6_3nf_branch_history'!$A$2:$A$50,T326,'6_3nf_branch_history'!$B$2:$B$50,"&lt;="&amp;L326)=0,"NOT FOUND",_xlfn.MAXIFS('6_3nf_branch_history'!$B$2:$B$50,'6_3nf_branch_history'!$A$2:$A$50,T326,'6_3nf_branch_history'!$B$2:$B$50,"&lt;="&amp;L326))</f>
        <v/>
      </c>
      <c r="V326" s="2">
        <f>IF(U326="NOT FOUND","NOT FOUND",INDEX('6_3nf_branch_history'!$C:$C,SUMPRODUCT(('6_3nf_branch_history'!$A$2:$A$50=T326)*('6_3nf_branch_history'!$B$2:$B$50=U326)*ROW('6_3nf_branch_history'!$A$2:$A$50))))</f>
        <v/>
      </c>
      <c r="W326" s="2">
        <f>IF(U326="NOT FOUND","NOT FOUND",INDEX('6_3nf_branch_history'!$D:$D,SUMPRODUCT(('6_3nf_branch_history'!$A$2:$A$50=T326)*('6_3nf_branch_history'!$B$2:$B$50=U326)*ROW('6_3nf_branch_history'!$A$2:$A$50))))</f>
        <v/>
      </c>
      <c r="X326" s="2">
        <f>IF(U326="NOT FOUND","NOT FOUND",INDEX('6_3nf_branch_history'!$E:$E,SUMPRODUCT(('6_3nf_branch_history'!$A$2:$A$50=T326)*('6_3nf_branch_history'!$B$2:$B$50=U326)*ROW('6_3nf_branch_history'!$A$2:$A$50))))</f>
        <v/>
      </c>
      <c r="Y326" s="2">
        <f>UPPER(TRIM(D326))</f>
        <v/>
      </c>
      <c r="Z326" s="2">
        <f>IFERROR(INDEX('7_3nf_product'!$B:$B,MATCH(Y326,'7_3nf_product'!$A:$A,0)),"NOT FOUND")</f>
        <v/>
      </c>
      <c r="AA326" s="2">
        <f>IFERROR(INDEX('7_3nf_product'!$C:$C,MATCH(Y326,'7_3nf_product'!$A:$A,0)),"NOT FOUND")</f>
        <v/>
      </c>
      <c r="AB326" s="2">
        <f>IFERROR(INDEX('7_3nf_product'!$D:$D,MATCH(Y326,'7_3nf_product'!$A:$A,0)),"NOT FOUND")</f>
        <v/>
      </c>
      <c r="AC326" s="6">
        <f>IFERROR(INDEX('7_3nf_product'!$E:$E,MATCH(Y326,'7_3nf_product'!$A:$A,0)),"NOT FOUND")</f>
        <v/>
      </c>
      <c r="AD326" s="33">
        <f>IF(LEN(TRIM(E326))=10,TRIM(E326),IF(LEN(TRIM(E326))=8,"00"&amp;TRIM(E326),"CHECK"))</f>
        <v/>
      </c>
      <c r="AE326" s="2">
        <f>IFERROR(INDEX('8_3nf_customer'!$C:$C,MATCH(AD326,'8_3nf_customer'!$B:$B,0)),"NOT FOUND")</f>
        <v/>
      </c>
      <c r="AF326" s="30">
        <f>IFERROR(INDEX('8_3nf_customer'!$D:$D,MATCH(AD326,'8_3nf_customer'!$B:$B,0)),"NOT FOUND")</f>
        <v/>
      </c>
      <c r="AG326" s="4">
        <f>IF(ISNUMBER(AF326),DATEDIF(AF326,L326,"y"),"NOT FOUND")</f>
        <v/>
      </c>
      <c r="AH326" s="2">
        <f>IFERROR(INDEX('8_3nf_customer'!$E:$E,MATCH(AD326,'8_3nf_customer'!$B:$B,0)),"NOT FOUND")</f>
        <v/>
      </c>
      <c r="AI326" s="30">
        <f>IF(_xlfn.MAXIFS('9_3nf_customer_history'!$B$2:$B$500,'9_3nf_customer_history'!$A$2:$A$500,AD326,'9_3nf_customer_history'!$B$2:$B$500,"&lt;="&amp;L326)=0,"NOT FOUND",_xlfn.MAXIFS('9_3nf_customer_history'!$B$2:$B$500,'9_3nf_customer_history'!$A$2:$A$500,AD326,'9_3nf_customer_history'!$B$2:$B$500,"&lt;="&amp;L326))</f>
        <v/>
      </c>
      <c r="AJ326" s="2">
        <f>IF(AI326="NOT FOUND","NOT FOUND",INDEX('9_3nf_customer_history'!$C:$C,SUMPRODUCT(('9_3nf_customer_history'!$A$2:$A$500=AD326)*('9_3nf_customer_history'!$B$2:$B$500=AI326)*ROW('9_3nf_customer_history'!$A$2:$A$500))))</f>
        <v/>
      </c>
      <c r="AK326" s="2">
        <f>IF(AI326="NOT FOUND","NOT FOUND",INDEX('9_3nf_customer_history'!$D:$D,SUMPRODUCT(('9_3nf_customer_history'!$A$2:$A$500=AD326)*('9_3nf_customer_history'!$B$2:$B$500=AI326)*ROW('9_3nf_customer_history'!$A$2:$A$500))))</f>
        <v/>
      </c>
      <c r="AL326" s="2">
        <f>UPPER(TRIM(H326))</f>
        <v/>
      </c>
      <c r="AM326" s="30">
        <f>IF(_xlfn.MAXIFS('10_ref_fx_rate'!$B$2:$B$2000,'10_ref_fx_rate'!$A$2:$A$2000,AL326,'10_ref_fx_rate'!$B$2:$B$2000,"&lt;="&amp;L326)=0,"NOT FOUND",_xlfn.MAXIFS('10_ref_fx_rate'!$B$2:$B$2000,'10_ref_fx_rate'!$A$2:$A$2000,AL326,'10_ref_fx_rate'!$B$2:$B$2000,"&lt;="&amp;L326))</f>
        <v/>
      </c>
      <c r="AN326" s="8">
        <f>IF(AM326="NOT FOUND","NOT FOUND",SUMIFS('10_ref_fx_rate'!$D$2:$D$2000,'10_ref_fx_rate'!$A$2:$A$2000,AL326,'10_ref_fx_rate'!$B$2:$B$2000,AM326))</f>
        <v/>
      </c>
      <c r="AO326" s="37">
        <f>IF(ISNUMBER(AN326),I326*AN326,"NOT FOUND")</f>
        <v/>
      </c>
      <c r="AP326" s="2">
        <f>UPPER(TRIM(J326))</f>
        <v/>
      </c>
      <c r="AQ326" s="2">
        <f>IF(AP326="","SELF-DIRECTED",IF(ISNUMBER(MATCH(AP326,'11_3nf_sales_person'!$A:$A,0)),IF(EXACT(AP326,J326),"OK","OK (auto-fixed)"),IF(ISNA(MATCH($A326,'12_sales_person_confirmation'!$A:$A,0)),"CONFIRM (not logged)",IF(INDEX('12_sales_person_confirmation'!$I:$I,MATCH($A326,'12_sales_person_confirmation'!$A:$A,0))="CONFIRMED","CONFIRMED ("&amp;LOWER(INDEX('12_sales_person_confirmation'!$E:$E,MATCH($A326,'12_sales_person_confirmation'!$A:$A,0)))&amp;")","PENDING CONFIRM"))))</f>
        <v/>
      </c>
      <c r="AR326" s="2">
        <f>IF(OR(AQ326="OK",AQ326="OK (auto-fixed)"),AP326,IF(LEFT(AQ326,9)="CONFIRMED",INDEX('12_sales_person_confirmation'!$F:$F,MATCH($A326,'12_sales_person_confirmation'!$A:$A,0)),""))</f>
        <v/>
      </c>
      <c r="AS326" s="2">
        <f>IF(AR326="","",INDEX('11_3nf_sales_person'!$B:$B,MATCH(AR326,'11_3nf_sales_person'!$A:$A,0)))</f>
        <v/>
      </c>
    </row>
    <row r="327">
      <c r="A327" s="2">
        <f>IF(ISBLANK('1_raw_log'!A327),"",'1_raw_log'!A327)</f>
        <v/>
      </c>
      <c r="B327" s="3">
        <f>IF(ISBLANK('1_raw_log'!B327),"",'1_raw_log'!B327)</f>
        <v/>
      </c>
      <c r="C327" s="2">
        <f>IF(ISBLANK('1_raw_log'!C327),"",'1_raw_log'!C327)</f>
        <v/>
      </c>
      <c r="D327" s="2">
        <f>IF(ISBLANK('1_raw_log'!D327),"",'1_raw_log'!D327)</f>
        <v/>
      </c>
      <c r="E327" s="4">
        <f>IF(ISBLANK('1_raw_log'!E327),"",'1_raw_log'!E327)</f>
        <v/>
      </c>
      <c r="F327" s="2">
        <f>IF(ISBLANK('1_raw_log'!F327),"",'1_raw_log'!F327)</f>
        <v/>
      </c>
      <c r="G327" s="2">
        <f>IF(ISBLANK('1_raw_log'!G327),"",'1_raw_log'!G327)</f>
        <v/>
      </c>
      <c r="H327" s="2">
        <f>IF(ISBLANK('1_raw_log'!H327),"",'1_raw_log'!H327)</f>
        <v/>
      </c>
      <c r="I327" s="7">
        <f>IF(ISBLANK('1_raw_log'!I327),"",'1_raw_log'!I327)</f>
        <v/>
      </c>
      <c r="J327" s="2">
        <f>IF(ISBLANK('1_raw_log'!J327),"",'1_raw_log'!J327)</f>
        <v/>
      </c>
      <c r="K327" s="2">
        <f>IF(ISBLANK('1_raw_log'!K327),"",'1_raw_log'!K327)</f>
        <v/>
      </c>
      <c r="L327" s="30">
        <f>INT(B327)</f>
        <v/>
      </c>
      <c r="M327" s="20">
        <f>ROUND(MOD(B327,1)*1440,0)/1440</f>
        <v/>
      </c>
      <c r="N327" s="4">
        <f>IFERROR(INDEX('3_ref_date'!$B:$B,MATCH(L327,'3_ref_date'!$A:$A,0)),"NOT FOUND")</f>
        <v/>
      </c>
      <c r="O327" s="2">
        <f>IFERROR(INDEX('3_ref_date'!$C:$C,MATCH(L327,'3_ref_date'!$A:$A,0)),"NOT FOUND")</f>
        <v/>
      </c>
      <c r="P327" s="4">
        <f>IFERROR(INDEX('3_ref_date'!$D:$D,MATCH(L327,'3_ref_date'!$A:$A,0)),"NOT FOUND")</f>
        <v/>
      </c>
      <c r="Q327" s="4">
        <f>IFERROR(INDEX('3_ref_date'!$E:$E,MATCH(L327,'3_ref_date'!$A:$A,0)),"NOT FOUND")</f>
        <v/>
      </c>
      <c r="R327" s="2">
        <f>IFERROR(INDEX('3_ref_date'!$F:$F,MATCH(L327,'3_ref_date'!$A:$A,0)),"NOT FOUND")</f>
        <v/>
      </c>
      <c r="S327" s="2">
        <f>IFERROR(INDEX('4_ref_time'!$D:$D,MATCH(ROUND(M327*1440,0),'4_ref_time'!$A:$A,0)),"NOT FOUND")</f>
        <v/>
      </c>
      <c r="T327" s="2">
        <f>UPPER(TRIM(C327))</f>
        <v/>
      </c>
      <c r="U327" s="30">
        <f>IF(_xlfn.MAXIFS('6_3nf_branch_history'!$B$2:$B$50,'6_3nf_branch_history'!$A$2:$A$50,T327,'6_3nf_branch_history'!$B$2:$B$50,"&lt;="&amp;L327)=0,"NOT FOUND",_xlfn.MAXIFS('6_3nf_branch_history'!$B$2:$B$50,'6_3nf_branch_history'!$A$2:$A$50,T327,'6_3nf_branch_history'!$B$2:$B$50,"&lt;="&amp;L327))</f>
        <v/>
      </c>
      <c r="V327" s="2">
        <f>IF(U327="NOT FOUND","NOT FOUND",INDEX('6_3nf_branch_history'!$C:$C,SUMPRODUCT(('6_3nf_branch_history'!$A$2:$A$50=T327)*('6_3nf_branch_history'!$B$2:$B$50=U327)*ROW('6_3nf_branch_history'!$A$2:$A$50))))</f>
        <v/>
      </c>
      <c r="W327" s="2">
        <f>IF(U327="NOT FOUND","NOT FOUND",INDEX('6_3nf_branch_history'!$D:$D,SUMPRODUCT(('6_3nf_branch_history'!$A$2:$A$50=T327)*('6_3nf_branch_history'!$B$2:$B$50=U327)*ROW('6_3nf_branch_history'!$A$2:$A$50))))</f>
        <v/>
      </c>
      <c r="X327" s="2">
        <f>IF(U327="NOT FOUND","NOT FOUND",INDEX('6_3nf_branch_history'!$E:$E,SUMPRODUCT(('6_3nf_branch_history'!$A$2:$A$50=T327)*('6_3nf_branch_history'!$B$2:$B$50=U327)*ROW('6_3nf_branch_history'!$A$2:$A$50))))</f>
        <v/>
      </c>
      <c r="Y327" s="2">
        <f>UPPER(TRIM(D327))</f>
        <v/>
      </c>
      <c r="Z327" s="2">
        <f>IFERROR(INDEX('7_3nf_product'!$B:$B,MATCH(Y327,'7_3nf_product'!$A:$A,0)),"NOT FOUND")</f>
        <v/>
      </c>
      <c r="AA327" s="2">
        <f>IFERROR(INDEX('7_3nf_product'!$C:$C,MATCH(Y327,'7_3nf_product'!$A:$A,0)),"NOT FOUND")</f>
        <v/>
      </c>
      <c r="AB327" s="2">
        <f>IFERROR(INDEX('7_3nf_product'!$D:$D,MATCH(Y327,'7_3nf_product'!$A:$A,0)),"NOT FOUND")</f>
        <v/>
      </c>
      <c r="AC327" s="6">
        <f>IFERROR(INDEX('7_3nf_product'!$E:$E,MATCH(Y327,'7_3nf_product'!$A:$A,0)),"NOT FOUND")</f>
        <v/>
      </c>
      <c r="AD327" s="33">
        <f>IF(LEN(TRIM(E327))=10,TRIM(E327),IF(LEN(TRIM(E327))=8,"00"&amp;TRIM(E327),"CHECK"))</f>
        <v/>
      </c>
      <c r="AE327" s="2">
        <f>IFERROR(INDEX('8_3nf_customer'!$C:$C,MATCH(AD327,'8_3nf_customer'!$B:$B,0)),"NOT FOUND")</f>
        <v/>
      </c>
      <c r="AF327" s="30">
        <f>IFERROR(INDEX('8_3nf_customer'!$D:$D,MATCH(AD327,'8_3nf_customer'!$B:$B,0)),"NOT FOUND")</f>
        <v/>
      </c>
      <c r="AG327" s="4">
        <f>IF(ISNUMBER(AF327),DATEDIF(AF327,L327,"y"),"NOT FOUND")</f>
        <v/>
      </c>
      <c r="AH327" s="2">
        <f>IFERROR(INDEX('8_3nf_customer'!$E:$E,MATCH(AD327,'8_3nf_customer'!$B:$B,0)),"NOT FOUND")</f>
        <v/>
      </c>
      <c r="AI327" s="30">
        <f>IF(_xlfn.MAXIFS('9_3nf_customer_history'!$B$2:$B$500,'9_3nf_customer_history'!$A$2:$A$500,AD327,'9_3nf_customer_history'!$B$2:$B$500,"&lt;="&amp;L327)=0,"NOT FOUND",_xlfn.MAXIFS('9_3nf_customer_history'!$B$2:$B$500,'9_3nf_customer_history'!$A$2:$A$500,AD327,'9_3nf_customer_history'!$B$2:$B$500,"&lt;="&amp;L327))</f>
        <v/>
      </c>
      <c r="AJ327" s="2">
        <f>IF(AI327="NOT FOUND","NOT FOUND",INDEX('9_3nf_customer_history'!$C:$C,SUMPRODUCT(('9_3nf_customer_history'!$A$2:$A$500=AD327)*('9_3nf_customer_history'!$B$2:$B$500=AI327)*ROW('9_3nf_customer_history'!$A$2:$A$500))))</f>
        <v/>
      </c>
      <c r="AK327" s="2">
        <f>IF(AI327="NOT FOUND","NOT FOUND",INDEX('9_3nf_customer_history'!$D:$D,SUMPRODUCT(('9_3nf_customer_history'!$A$2:$A$500=AD327)*('9_3nf_customer_history'!$B$2:$B$500=AI327)*ROW('9_3nf_customer_history'!$A$2:$A$500))))</f>
        <v/>
      </c>
      <c r="AL327" s="2">
        <f>UPPER(TRIM(H327))</f>
        <v/>
      </c>
      <c r="AM327" s="30">
        <f>IF(_xlfn.MAXIFS('10_ref_fx_rate'!$B$2:$B$2000,'10_ref_fx_rate'!$A$2:$A$2000,AL327,'10_ref_fx_rate'!$B$2:$B$2000,"&lt;="&amp;L327)=0,"NOT FOUND",_xlfn.MAXIFS('10_ref_fx_rate'!$B$2:$B$2000,'10_ref_fx_rate'!$A$2:$A$2000,AL327,'10_ref_fx_rate'!$B$2:$B$2000,"&lt;="&amp;L327))</f>
        <v/>
      </c>
      <c r="AN327" s="8">
        <f>IF(AM327="NOT FOUND","NOT FOUND",SUMIFS('10_ref_fx_rate'!$D$2:$D$2000,'10_ref_fx_rate'!$A$2:$A$2000,AL327,'10_ref_fx_rate'!$B$2:$B$2000,AM327))</f>
        <v/>
      </c>
      <c r="AO327" s="37">
        <f>IF(ISNUMBER(AN327),I327*AN327,"NOT FOUND")</f>
        <v/>
      </c>
      <c r="AP327" s="2">
        <f>UPPER(TRIM(J327))</f>
        <v/>
      </c>
      <c r="AQ327" s="2">
        <f>IF(AP327="","SELF-DIRECTED",IF(ISNUMBER(MATCH(AP327,'11_3nf_sales_person'!$A:$A,0)),IF(EXACT(AP327,J327),"OK","OK (auto-fixed)"),IF(ISNA(MATCH($A327,'12_sales_person_confirmation'!$A:$A,0)),"CONFIRM (not logged)",IF(INDEX('12_sales_person_confirmation'!$I:$I,MATCH($A327,'12_sales_person_confirmation'!$A:$A,0))="CONFIRMED","CONFIRMED ("&amp;LOWER(INDEX('12_sales_person_confirmation'!$E:$E,MATCH($A327,'12_sales_person_confirmation'!$A:$A,0)))&amp;")","PENDING CONFIRM"))))</f>
        <v/>
      </c>
      <c r="AR327" s="2">
        <f>IF(OR(AQ327="OK",AQ327="OK (auto-fixed)"),AP327,IF(LEFT(AQ327,9)="CONFIRMED",INDEX('12_sales_person_confirmation'!$F:$F,MATCH($A327,'12_sales_person_confirmation'!$A:$A,0)),""))</f>
        <v/>
      </c>
      <c r="AS327" s="2">
        <f>IF(AR327="","",INDEX('11_3nf_sales_person'!$B:$B,MATCH(AR327,'11_3nf_sales_person'!$A:$A,0)))</f>
        <v/>
      </c>
    </row>
    <row r="328">
      <c r="A328" s="2">
        <f>IF(ISBLANK('1_raw_log'!A328),"",'1_raw_log'!A328)</f>
        <v/>
      </c>
      <c r="B328" s="3">
        <f>IF(ISBLANK('1_raw_log'!B328),"",'1_raw_log'!B328)</f>
        <v/>
      </c>
      <c r="C328" s="2">
        <f>IF(ISBLANK('1_raw_log'!C328),"",'1_raw_log'!C328)</f>
        <v/>
      </c>
      <c r="D328" s="2">
        <f>IF(ISBLANK('1_raw_log'!D328),"",'1_raw_log'!D328)</f>
        <v/>
      </c>
      <c r="E328" s="4">
        <f>IF(ISBLANK('1_raw_log'!E328),"",'1_raw_log'!E328)</f>
        <v/>
      </c>
      <c r="F328" s="2">
        <f>IF(ISBLANK('1_raw_log'!F328),"",'1_raw_log'!F328)</f>
        <v/>
      </c>
      <c r="G328" s="2">
        <f>IF(ISBLANK('1_raw_log'!G328),"",'1_raw_log'!G328)</f>
        <v/>
      </c>
      <c r="H328" s="2">
        <f>IF(ISBLANK('1_raw_log'!H328),"",'1_raw_log'!H328)</f>
        <v/>
      </c>
      <c r="I328" s="7">
        <f>IF(ISBLANK('1_raw_log'!I328),"",'1_raw_log'!I328)</f>
        <v/>
      </c>
      <c r="J328" s="2">
        <f>IF(ISBLANK('1_raw_log'!J328),"",'1_raw_log'!J328)</f>
        <v/>
      </c>
      <c r="K328" s="2">
        <f>IF(ISBLANK('1_raw_log'!K328),"",'1_raw_log'!K328)</f>
        <v/>
      </c>
      <c r="L328" s="30">
        <f>INT(B328)</f>
        <v/>
      </c>
      <c r="M328" s="20">
        <f>ROUND(MOD(B328,1)*1440,0)/1440</f>
        <v/>
      </c>
      <c r="N328" s="4">
        <f>IFERROR(INDEX('3_ref_date'!$B:$B,MATCH(L328,'3_ref_date'!$A:$A,0)),"NOT FOUND")</f>
        <v/>
      </c>
      <c r="O328" s="2">
        <f>IFERROR(INDEX('3_ref_date'!$C:$C,MATCH(L328,'3_ref_date'!$A:$A,0)),"NOT FOUND")</f>
        <v/>
      </c>
      <c r="P328" s="4">
        <f>IFERROR(INDEX('3_ref_date'!$D:$D,MATCH(L328,'3_ref_date'!$A:$A,0)),"NOT FOUND")</f>
        <v/>
      </c>
      <c r="Q328" s="4">
        <f>IFERROR(INDEX('3_ref_date'!$E:$E,MATCH(L328,'3_ref_date'!$A:$A,0)),"NOT FOUND")</f>
        <v/>
      </c>
      <c r="R328" s="2">
        <f>IFERROR(INDEX('3_ref_date'!$F:$F,MATCH(L328,'3_ref_date'!$A:$A,0)),"NOT FOUND")</f>
        <v/>
      </c>
      <c r="S328" s="2">
        <f>IFERROR(INDEX('4_ref_time'!$D:$D,MATCH(ROUND(M328*1440,0),'4_ref_time'!$A:$A,0)),"NOT FOUND")</f>
        <v/>
      </c>
      <c r="T328" s="2">
        <f>UPPER(TRIM(C328))</f>
        <v/>
      </c>
      <c r="U328" s="30">
        <f>IF(_xlfn.MAXIFS('6_3nf_branch_history'!$B$2:$B$50,'6_3nf_branch_history'!$A$2:$A$50,T328,'6_3nf_branch_history'!$B$2:$B$50,"&lt;="&amp;L328)=0,"NOT FOUND",_xlfn.MAXIFS('6_3nf_branch_history'!$B$2:$B$50,'6_3nf_branch_history'!$A$2:$A$50,T328,'6_3nf_branch_history'!$B$2:$B$50,"&lt;="&amp;L328))</f>
        <v/>
      </c>
      <c r="V328" s="2">
        <f>IF(U328="NOT FOUND","NOT FOUND",INDEX('6_3nf_branch_history'!$C:$C,SUMPRODUCT(('6_3nf_branch_history'!$A$2:$A$50=T328)*('6_3nf_branch_history'!$B$2:$B$50=U328)*ROW('6_3nf_branch_history'!$A$2:$A$50))))</f>
        <v/>
      </c>
      <c r="W328" s="2">
        <f>IF(U328="NOT FOUND","NOT FOUND",INDEX('6_3nf_branch_history'!$D:$D,SUMPRODUCT(('6_3nf_branch_history'!$A$2:$A$50=T328)*('6_3nf_branch_history'!$B$2:$B$50=U328)*ROW('6_3nf_branch_history'!$A$2:$A$50))))</f>
        <v/>
      </c>
      <c r="X328" s="2">
        <f>IF(U328="NOT FOUND","NOT FOUND",INDEX('6_3nf_branch_history'!$E:$E,SUMPRODUCT(('6_3nf_branch_history'!$A$2:$A$50=T328)*('6_3nf_branch_history'!$B$2:$B$50=U328)*ROW('6_3nf_branch_history'!$A$2:$A$50))))</f>
        <v/>
      </c>
      <c r="Y328" s="2">
        <f>UPPER(TRIM(D328))</f>
        <v/>
      </c>
      <c r="Z328" s="2">
        <f>IFERROR(INDEX('7_3nf_product'!$B:$B,MATCH(Y328,'7_3nf_product'!$A:$A,0)),"NOT FOUND")</f>
        <v/>
      </c>
      <c r="AA328" s="2">
        <f>IFERROR(INDEX('7_3nf_product'!$C:$C,MATCH(Y328,'7_3nf_product'!$A:$A,0)),"NOT FOUND")</f>
        <v/>
      </c>
      <c r="AB328" s="2">
        <f>IFERROR(INDEX('7_3nf_product'!$D:$D,MATCH(Y328,'7_3nf_product'!$A:$A,0)),"NOT FOUND")</f>
        <v/>
      </c>
      <c r="AC328" s="6">
        <f>IFERROR(INDEX('7_3nf_product'!$E:$E,MATCH(Y328,'7_3nf_product'!$A:$A,0)),"NOT FOUND")</f>
        <v/>
      </c>
      <c r="AD328" s="33">
        <f>IF(LEN(TRIM(E328))=10,TRIM(E328),IF(LEN(TRIM(E328))=8,"00"&amp;TRIM(E328),"CHECK"))</f>
        <v/>
      </c>
      <c r="AE328" s="2">
        <f>IFERROR(INDEX('8_3nf_customer'!$C:$C,MATCH(AD328,'8_3nf_customer'!$B:$B,0)),"NOT FOUND")</f>
        <v/>
      </c>
      <c r="AF328" s="30">
        <f>IFERROR(INDEX('8_3nf_customer'!$D:$D,MATCH(AD328,'8_3nf_customer'!$B:$B,0)),"NOT FOUND")</f>
        <v/>
      </c>
      <c r="AG328" s="4">
        <f>IF(ISNUMBER(AF328),DATEDIF(AF328,L328,"y"),"NOT FOUND")</f>
        <v/>
      </c>
      <c r="AH328" s="2">
        <f>IFERROR(INDEX('8_3nf_customer'!$E:$E,MATCH(AD328,'8_3nf_customer'!$B:$B,0)),"NOT FOUND")</f>
        <v/>
      </c>
      <c r="AI328" s="30">
        <f>IF(_xlfn.MAXIFS('9_3nf_customer_history'!$B$2:$B$500,'9_3nf_customer_history'!$A$2:$A$500,AD328,'9_3nf_customer_history'!$B$2:$B$500,"&lt;="&amp;L328)=0,"NOT FOUND",_xlfn.MAXIFS('9_3nf_customer_history'!$B$2:$B$500,'9_3nf_customer_history'!$A$2:$A$500,AD328,'9_3nf_customer_history'!$B$2:$B$500,"&lt;="&amp;L328))</f>
        <v/>
      </c>
      <c r="AJ328" s="2">
        <f>IF(AI328="NOT FOUND","NOT FOUND",INDEX('9_3nf_customer_history'!$C:$C,SUMPRODUCT(('9_3nf_customer_history'!$A$2:$A$500=AD328)*('9_3nf_customer_history'!$B$2:$B$500=AI328)*ROW('9_3nf_customer_history'!$A$2:$A$500))))</f>
        <v/>
      </c>
      <c r="AK328" s="2">
        <f>IF(AI328="NOT FOUND","NOT FOUND",INDEX('9_3nf_customer_history'!$D:$D,SUMPRODUCT(('9_3nf_customer_history'!$A$2:$A$500=AD328)*('9_3nf_customer_history'!$B$2:$B$500=AI328)*ROW('9_3nf_customer_history'!$A$2:$A$500))))</f>
        <v/>
      </c>
      <c r="AL328" s="2">
        <f>UPPER(TRIM(H328))</f>
        <v/>
      </c>
      <c r="AM328" s="30">
        <f>IF(_xlfn.MAXIFS('10_ref_fx_rate'!$B$2:$B$2000,'10_ref_fx_rate'!$A$2:$A$2000,AL328,'10_ref_fx_rate'!$B$2:$B$2000,"&lt;="&amp;L328)=0,"NOT FOUND",_xlfn.MAXIFS('10_ref_fx_rate'!$B$2:$B$2000,'10_ref_fx_rate'!$A$2:$A$2000,AL328,'10_ref_fx_rate'!$B$2:$B$2000,"&lt;="&amp;L328))</f>
        <v/>
      </c>
      <c r="AN328" s="8">
        <f>IF(AM328="NOT FOUND","NOT FOUND",SUMIFS('10_ref_fx_rate'!$D$2:$D$2000,'10_ref_fx_rate'!$A$2:$A$2000,AL328,'10_ref_fx_rate'!$B$2:$B$2000,AM328))</f>
        <v/>
      </c>
      <c r="AO328" s="37">
        <f>IF(ISNUMBER(AN328),I328*AN328,"NOT FOUND")</f>
        <v/>
      </c>
      <c r="AP328" s="2">
        <f>UPPER(TRIM(J328))</f>
        <v/>
      </c>
      <c r="AQ328" s="2">
        <f>IF(AP328="","SELF-DIRECTED",IF(ISNUMBER(MATCH(AP328,'11_3nf_sales_person'!$A:$A,0)),IF(EXACT(AP328,J328),"OK","OK (auto-fixed)"),IF(ISNA(MATCH($A328,'12_sales_person_confirmation'!$A:$A,0)),"CONFIRM (not logged)",IF(INDEX('12_sales_person_confirmation'!$I:$I,MATCH($A328,'12_sales_person_confirmation'!$A:$A,0))="CONFIRMED","CONFIRMED ("&amp;LOWER(INDEX('12_sales_person_confirmation'!$E:$E,MATCH($A328,'12_sales_person_confirmation'!$A:$A,0)))&amp;")","PENDING CONFIRM"))))</f>
        <v/>
      </c>
      <c r="AR328" s="2">
        <f>IF(OR(AQ328="OK",AQ328="OK (auto-fixed)"),AP328,IF(LEFT(AQ328,9)="CONFIRMED",INDEX('12_sales_person_confirmation'!$F:$F,MATCH($A328,'12_sales_person_confirmation'!$A:$A,0)),""))</f>
        <v/>
      </c>
      <c r="AS328" s="2">
        <f>IF(AR328="","",INDEX('11_3nf_sales_person'!$B:$B,MATCH(AR328,'11_3nf_sales_person'!$A:$A,0)))</f>
        <v/>
      </c>
    </row>
    <row r="329">
      <c r="A329" s="2">
        <f>IF(ISBLANK('1_raw_log'!A329),"",'1_raw_log'!A329)</f>
        <v/>
      </c>
      <c r="B329" s="3">
        <f>IF(ISBLANK('1_raw_log'!B329),"",'1_raw_log'!B329)</f>
        <v/>
      </c>
      <c r="C329" s="2">
        <f>IF(ISBLANK('1_raw_log'!C329),"",'1_raw_log'!C329)</f>
        <v/>
      </c>
      <c r="D329" s="2">
        <f>IF(ISBLANK('1_raw_log'!D329),"",'1_raw_log'!D329)</f>
        <v/>
      </c>
      <c r="E329" s="4">
        <f>IF(ISBLANK('1_raw_log'!E329),"",'1_raw_log'!E329)</f>
        <v/>
      </c>
      <c r="F329" s="2">
        <f>IF(ISBLANK('1_raw_log'!F329),"",'1_raw_log'!F329)</f>
        <v/>
      </c>
      <c r="G329" s="2">
        <f>IF(ISBLANK('1_raw_log'!G329),"",'1_raw_log'!G329)</f>
        <v/>
      </c>
      <c r="H329" s="2">
        <f>IF(ISBLANK('1_raw_log'!H329),"",'1_raw_log'!H329)</f>
        <v/>
      </c>
      <c r="I329" s="7">
        <f>IF(ISBLANK('1_raw_log'!I329),"",'1_raw_log'!I329)</f>
        <v/>
      </c>
      <c r="J329" s="2">
        <f>IF(ISBLANK('1_raw_log'!J329),"",'1_raw_log'!J329)</f>
        <v/>
      </c>
      <c r="K329" s="2">
        <f>IF(ISBLANK('1_raw_log'!K329),"",'1_raw_log'!K329)</f>
        <v/>
      </c>
      <c r="L329" s="30">
        <f>INT(B329)</f>
        <v/>
      </c>
      <c r="M329" s="20">
        <f>ROUND(MOD(B329,1)*1440,0)/1440</f>
        <v/>
      </c>
      <c r="N329" s="4">
        <f>IFERROR(INDEX('3_ref_date'!$B:$B,MATCH(L329,'3_ref_date'!$A:$A,0)),"NOT FOUND")</f>
        <v/>
      </c>
      <c r="O329" s="2">
        <f>IFERROR(INDEX('3_ref_date'!$C:$C,MATCH(L329,'3_ref_date'!$A:$A,0)),"NOT FOUND")</f>
        <v/>
      </c>
      <c r="P329" s="4">
        <f>IFERROR(INDEX('3_ref_date'!$D:$D,MATCH(L329,'3_ref_date'!$A:$A,0)),"NOT FOUND")</f>
        <v/>
      </c>
      <c r="Q329" s="4">
        <f>IFERROR(INDEX('3_ref_date'!$E:$E,MATCH(L329,'3_ref_date'!$A:$A,0)),"NOT FOUND")</f>
        <v/>
      </c>
      <c r="R329" s="2">
        <f>IFERROR(INDEX('3_ref_date'!$F:$F,MATCH(L329,'3_ref_date'!$A:$A,0)),"NOT FOUND")</f>
        <v/>
      </c>
      <c r="S329" s="2">
        <f>IFERROR(INDEX('4_ref_time'!$D:$D,MATCH(ROUND(M329*1440,0),'4_ref_time'!$A:$A,0)),"NOT FOUND")</f>
        <v/>
      </c>
      <c r="T329" s="2">
        <f>UPPER(TRIM(C329))</f>
        <v/>
      </c>
      <c r="U329" s="30">
        <f>IF(_xlfn.MAXIFS('6_3nf_branch_history'!$B$2:$B$50,'6_3nf_branch_history'!$A$2:$A$50,T329,'6_3nf_branch_history'!$B$2:$B$50,"&lt;="&amp;L329)=0,"NOT FOUND",_xlfn.MAXIFS('6_3nf_branch_history'!$B$2:$B$50,'6_3nf_branch_history'!$A$2:$A$50,T329,'6_3nf_branch_history'!$B$2:$B$50,"&lt;="&amp;L329))</f>
        <v/>
      </c>
      <c r="V329" s="2">
        <f>IF(U329="NOT FOUND","NOT FOUND",INDEX('6_3nf_branch_history'!$C:$C,SUMPRODUCT(('6_3nf_branch_history'!$A$2:$A$50=T329)*('6_3nf_branch_history'!$B$2:$B$50=U329)*ROW('6_3nf_branch_history'!$A$2:$A$50))))</f>
        <v/>
      </c>
      <c r="W329" s="2">
        <f>IF(U329="NOT FOUND","NOT FOUND",INDEX('6_3nf_branch_history'!$D:$D,SUMPRODUCT(('6_3nf_branch_history'!$A$2:$A$50=T329)*('6_3nf_branch_history'!$B$2:$B$50=U329)*ROW('6_3nf_branch_history'!$A$2:$A$50))))</f>
        <v/>
      </c>
      <c r="X329" s="2">
        <f>IF(U329="NOT FOUND","NOT FOUND",INDEX('6_3nf_branch_history'!$E:$E,SUMPRODUCT(('6_3nf_branch_history'!$A$2:$A$50=T329)*('6_3nf_branch_history'!$B$2:$B$50=U329)*ROW('6_3nf_branch_history'!$A$2:$A$50))))</f>
        <v/>
      </c>
      <c r="Y329" s="2">
        <f>UPPER(TRIM(D329))</f>
        <v/>
      </c>
      <c r="Z329" s="2">
        <f>IFERROR(INDEX('7_3nf_product'!$B:$B,MATCH(Y329,'7_3nf_product'!$A:$A,0)),"NOT FOUND")</f>
        <v/>
      </c>
      <c r="AA329" s="2">
        <f>IFERROR(INDEX('7_3nf_product'!$C:$C,MATCH(Y329,'7_3nf_product'!$A:$A,0)),"NOT FOUND")</f>
        <v/>
      </c>
      <c r="AB329" s="2">
        <f>IFERROR(INDEX('7_3nf_product'!$D:$D,MATCH(Y329,'7_3nf_product'!$A:$A,0)),"NOT FOUND")</f>
        <v/>
      </c>
      <c r="AC329" s="6">
        <f>IFERROR(INDEX('7_3nf_product'!$E:$E,MATCH(Y329,'7_3nf_product'!$A:$A,0)),"NOT FOUND")</f>
        <v/>
      </c>
      <c r="AD329" s="33">
        <f>IF(LEN(TRIM(E329))=10,TRIM(E329),IF(LEN(TRIM(E329))=8,"00"&amp;TRIM(E329),"CHECK"))</f>
        <v/>
      </c>
      <c r="AE329" s="2">
        <f>IFERROR(INDEX('8_3nf_customer'!$C:$C,MATCH(AD329,'8_3nf_customer'!$B:$B,0)),"NOT FOUND")</f>
        <v/>
      </c>
      <c r="AF329" s="30">
        <f>IFERROR(INDEX('8_3nf_customer'!$D:$D,MATCH(AD329,'8_3nf_customer'!$B:$B,0)),"NOT FOUND")</f>
        <v/>
      </c>
      <c r="AG329" s="4">
        <f>IF(ISNUMBER(AF329),DATEDIF(AF329,L329,"y"),"NOT FOUND")</f>
        <v/>
      </c>
      <c r="AH329" s="2">
        <f>IFERROR(INDEX('8_3nf_customer'!$E:$E,MATCH(AD329,'8_3nf_customer'!$B:$B,0)),"NOT FOUND")</f>
        <v/>
      </c>
      <c r="AI329" s="30">
        <f>IF(_xlfn.MAXIFS('9_3nf_customer_history'!$B$2:$B$500,'9_3nf_customer_history'!$A$2:$A$500,AD329,'9_3nf_customer_history'!$B$2:$B$500,"&lt;="&amp;L329)=0,"NOT FOUND",_xlfn.MAXIFS('9_3nf_customer_history'!$B$2:$B$500,'9_3nf_customer_history'!$A$2:$A$500,AD329,'9_3nf_customer_history'!$B$2:$B$500,"&lt;="&amp;L329))</f>
        <v/>
      </c>
      <c r="AJ329" s="2">
        <f>IF(AI329="NOT FOUND","NOT FOUND",INDEX('9_3nf_customer_history'!$C:$C,SUMPRODUCT(('9_3nf_customer_history'!$A$2:$A$500=AD329)*('9_3nf_customer_history'!$B$2:$B$500=AI329)*ROW('9_3nf_customer_history'!$A$2:$A$500))))</f>
        <v/>
      </c>
      <c r="AK329" s="2">
        <f>IF(AI329="NOT FOUND","NOT FOUND",INDEX('9_3nf_customer_history'!$D:$D,SUMPRODUCT(('9_3nf_customer_history'!$A$2:$A$500=AD329)*('9_3nf_customer_history'!$B$2:$B$500=AI329)*ROW('9_3nf_customer_history'!$A$2:$A$500))))</f>
        <v/>
      </c>
      <c r="AL329" s="2">
        <f>UPPER(TRIM(H329))</f>
        <v/>
      </c>
      <c r="AM329" s="30">
        <f>IF(_xlfn.MAXIFS('10_ref_fx_rate'!$B$2:$B$2000,'10_ref_fx_rate'!$A$2:$A$2000,AL329,'10_ref_fx_rate'!$B$2:$B$2000,"&lt;="&amp;L329)=0,"NOT FOUND",_xlfn.MAXIFS('10_ref_fx_rate'!$B$2:$B$2000,'10_ref_fx_rate'!$A$2:$A$2000,AL329,'10_ref_fx_rate'!$B$2:$B$2000,"&lt;="&amp;L329))</f>
        <v/>
      </c>
      <c r="AN329" s="8">
        <f>IF(AM329="NOT FOUND","NOT FOUND",SUMIFS('10_ref_fx_rate'!$D$2:$D$2000,'10_ref_fx_rate'!$A$2:$A$2000,AL329,'10_ref_fx_rate'!$B$2:$B$2000,AM329))</f>
        <v/>
      </c>
      <c r="AO329" s="37">
        <f>IF(ISNUMBER(AN329),I329*AN329,"NOT FOUND")</f>
        <v/>
      </c>
      <c r="AP329" s="2">
        <f>UPPER(TRIM(J329))</f>
        <v/>
      </c>
      <c r="AQ329" s="2">
        <f>IF(AP329="","SELF-DIRECTED",IF(ISNUMBER(MATCH(AP329,'11_3nf_sales_person'!$A:$A,0)),IF(EXACT(AP329,J329),"OK","OK (auto-fixed)"),IF(ISNA(MATCH($A329,'12_sales_person_confirmation'!$A:$A,0)),"CONFIRM (not logged)",IF(INDEX('12_sales_person_confirmation'!$I:$I,MATCH($A329,'12_sales_person_confirmation'!$A:$A,0))="CONFIRMED","CONFIRMED ("&amp;LOWER(INDEX('12_sales_person_confirmation'!$E:$E,MATCH($A329,'12_sales_person_confirmation'!$A:$A,0)))&amp;")","PENDING CONFIRM"))))</f>
        <v/>
      </c>
      <c r="AR329" s="2">
        <f>IF(OR(AQ329="OK",AQ329="OK (auto-fixed)"),AP329,IF(LEFT(AQ329,9)="CONFIRMED",INDEX('12_sales_person_confirmation'!$F:$F,MATCH($A329,'12_sales_person_confirmation'!$A:$A,0)),""))</f>
        <v/>
      </c>
      <c r="AS329" s="2">
        <f>IF(AR329="","",INDEX('11_3nf_sales_person'!$B:$B,MATCH(AR329,'11_3nf_sales_person'!$A:$A,0)))</f>
        <v/>
      </c>
    </row>
    <row r="330">
      <c r="A330" s="2">
        <f>IF(ISBLANK('1_raw_log'!A330),"",'1_raw_log'!A330)</f>
        <v/>
      </c>
      <c r="B330" s="3">
        <f>IF(ISBLANK('1_raw_log'!B330),"",'1_raw_log'!B330)</f>
        <v/>
      </c>
      <c r="C330" s="2">
        <f>IF(ISBLANK('1_raw_log'!C330),"",'1_raw_log'!C330)</f>
        <v/>
      </c>
      <c r="D330" s="2">
        <f>IF(ISBLANK('1_raw_log'!D330),"",'1_raw_log'!D330)</f>
        <v/>
      </c>
      <c r="E330" s="4">
        <f>IF(ISBLANK('1_raw_log'!E330),"",'1_raw_log'!E330)</f>
        <v/>
      </c>
      <c r="F330" s="2">
        <f>IF(ISBLANK('1_raw_log'!F330),"",'1_raw_log'!F330)</f>
        <v/>
      </c>
      <c r="G330" s="2">
        <f>IF(ISBLANK('1_raw_log'!G330),"",'1_raw_log'!G330)</f>
        <v/>
      </c>
      <c r="H330" s="2">
        <f>IF(ISBLANK('1_raw_log'!H330),"",'1_raw_log'!H330)</f>
        <v/>
      </c>
      <c r="I330" s="7">
        <f>IF(ISBLANK('1_raw_log'!I330),"",'1_raw_log'!I330)</f>
        <v/>
      </c>
      <c r="J330" s="2">
        <f>IF(ISBLANK('1_raw_log'!J330),"",'1_raw_log'!J330)</f>
        <v/>
      </c>
      <c r="K330" s="2">
        <f>IF(ISBLANK('1_raw_log'!K330),"",'1_raw_log'!K330)</f>
        <v/>
      </c>
      <c r="L330" s="30">
        <f>INT(B330)</f>
        <v/>
      </c>
      <c r="M330" s="20">
        <f>ROUND(MOD(B330,1)*1440,0)/1440</f>
        <v/>
      </c>
      <c r="N330" s="4">
        <f>IFERROR(INDEX('3_ref_date'!$B:$B,MATCH(L330,'3_ref_date'!$A:$A,0)),"NOT FOUND")</f>
        <v/>
      </c>
      <c r="O330" s="2">
        <f>IFERROR(INDEX('3_ref_date'!$C:$C,MATCH(L330,'3_ref_date'!$A:$A,0)),"NOT FOUND")</f>
        <v/>
      </c>
      <c r="P330" s="4">
        <f>IFERROR(INDEX('3_ref_date'!$D:$D,MATCH(L330,'3_ref_date'!$A:$A,0)),"NOT FOUND")</f>
        <v/>
      </c>
      <c r="Q330" s="4">
        <f>IFERROR(INDEX('3_ref_date'!$E:$E,MATCH(L330,'3_ref_date'!$A:$A,0)),"NOT FOUND")</f>
        <v/>
      </c>
      <c r="R330" s="2">
        <f>IFERROR(INDEX('3_ref_date'!$F:$F,MATCH(L330,'3_ref_date'!$A:$A,0)),"NOT FOUND")</f>
        <v/>
      </c>
      <c r="S330" s="2">
        <f>IFERROR(INDEX('4_ref_time'!$D:$D,MATCH(ROUND(M330*1440,0),'4_ref_time'!$A:$A,0)),"NOT FOUND")</f>
        <v/>
      </c>
      <c r="T330" s="2">
        <f>UPPER(TRIM(C330))</f>
        <v/>
      </c>
      <c r="U330" s="30">
        <f>IF(_xlfn.MAXIFS('6_3nf_branch_history'!$B$2:$B$50,'6_3nf_branch_history'!$A$2:$A$50,T330,'6_3nf_branch_history'!$B$2:$B$50,"&lt;="&amp;L330)=0,"NOT FOUND",_xlfn.MAXIFS('6_3nf_branch_history'!$B$2:$B$50,'6_3nf_branch_history'!$A$2:$A$50,T330,'6_3nf_branch_history'!$B$2:$B$50,"&lt;="&amp;L330))</f>
        <v/>
      </c>
      <c r="V330" s="2">
        <f>IF(U330="NOT FOUND","NOT FOUND",INDEX('6_3nf_branch_history'!$C:$C,SUMPRODUCT(('6_3nf_branch_history'!$A$2:$A$50=T330)*('6_3nf_branch_history'!$B$2:$B$50=U330)*ROW('6_3nf_branch_history'!$A$2:$A$50))))</f>
        <v/>
      </c>
      <c r="W330" s="2">
        <f>IF(U330="NOT FOUND","NOT FOUND",INDEX('6_3nf_branch_history'!$D:$D,SUMPRODUCT(('6_3nf_branch_history'!$A$2:$A$50=T330)*('6_3nf_branch_history'!$B$2:$B$50=U330)*ROW('6_3nf_branch_history'!$A$2:$A$50))))</f>
        <v/>
      </c>
      <c r="X330" s="2">
        <f>IF(U330="NOT FOUND","NOT FOUND",INDEX('6_3nf_branch_history'!$E:$E,SUMPRODUCT(('6_3nf_branch_history'!$A$2:$A$50=T330)*('6_3nf_branch_history'!$B$2:$B$50=U330)*ROW('6_3nf_branch_history'!$A$2:$A$50))))</f>
        <v/>
      </c>
      <c r="Y330" s="2">
        <f>UPPER(TRIM(D330))</f>
        <v/>
      </c>
      <c r="Z330" s="2">
        <f>IFERROR(INDEX('7_3nf_product'!$B:$B,MATCH(Y330,'7_3nf_product'!$A:$A,0)),"NOT FOUND")</f>
        <v/>
      </c>
      <c r="AA330" s="2">
        <f>IFERROR(INDEX('7_3nf_product'!$C:$C,MATCH(Y330,'7_3nf_product'!$A:$A,0)),"NOT FOUND")</f>
        <v/>
      </c>
      <c r="AB330" s="2">
        <f>IFERROR(INDEX('7_3nf_product'!$D:$D,MATCH(Y330,'7_3nf_product'!$A:$A,0)),"NOT FOUND")</f>
        <v/>
      </c>
      <c r="AC330" s="6">
        <f>IFERROR(INDEX('7_3nf_product'!$E:$E,MATCH(Y330,'7_3nf_product'!$A:$A,0)),"NOT FOUND")</f>
        <v/>
      </c>
      <c r="AD330" s="33">
        <f>IF(LEN(TRIM(E330))=10,TRIM(E330),IF(LEN(TRIM(E330))=8,"00"&amp;TRIM(E330),"CHECK"))</f>
        <v/>
      </c>
      <c r="AE330" s="2">
        <f>IFERROR(INDEX('8_3nf_customer'!$C:$C,MATCH(AD330,'8_3nf_customer'!$B:$B,0)),"NOT FOUND")</f>
        <v/>
      </c>
      <c r="AF330" s="30">
        <f>IFERROR(INDEX('8_3nf_customer'!$D:$D,MATCH(AD330,'8_3nf_customer'!$B:$B,0)),"NOT FOUND")</f>
        <v/>
      </c>
      <c r="AG330" s="4">
        <f>IF(ISNUMBER(AF330),DATEDIF(AF330,L330,"y"),"NOT FOUND")</f>
        <v/>
      </c>
      <c r="AH330" s="2">
        <f>IFERROR(INDEX('8_3nf_customer'!$E:$E,MATCH(AD330,'8_3nf_customer'!$B:$B,0)),"NOT FOUND")</f>
        <v/>
      </c>
      <c r="AI330" s="30">
        <f>IF(_xlfn.MAXIFS('9_3nf_customer_history'!$B$2:$B$500,'9_3nf_customer_history'!$A$2:$A$500,AD330,'9_3nf_customer_history'!$B$2:$B$500,"&lt;="&amp;L330)=0,"NOT FOUND",_xlfn.MAXIFS('9_3nf_customer_history'!$B$2:$B$500,'9_3nf_customer_history'!$A$2:$A$500,AD330,'9_3nf_customer_history'!$B$2:$B$500,"&lt;="&amp;L330))</f>
        <v/>
      </c>
      <c r="AJ330" s="2">
        <f>IF(AI330="NOT FOUND","NOT FOUND",INDEX('9_3nf_customer_history'!$C:$C,SUMPRODUCT(('9_3nf_customer_history'!$A$2:$A$500=AD330)*('9_3nf_customer_history'!$B$2:$B$500=AI330)*ROW('9_3nf_customer_history'!$A$2:$A$500))))</f>
        <v/>
      </c>
      <c r="AK330" s="2">
        <f>IF(AI330="NOT FOUND","NOT FOUND",INDEX('9_3nf_customer_history'!$D:$D,SUMPRODUCT(('9_3nf_customer_history'!$A$2:$A$500=AD330)*('9_3nf_customer_history'!$B$2:$B$500=AI330)*ROW('9_3nf_customer_history'!$A$2:$A$500))))</f>
        <v/>
      </c>
      <c r="AL330" s="2">
        <f>UPPER(TRIM(H330))</f>
        <v/>
      </c>
      <c r="AM330" s="30">
        <f>IF(_xlfn.MAXIFS('10_ref_fx_rate'!$B$2:$B$2000,'10_ref_fx_rate'!$A$2:$A$2000,AL330,'10_ref_fx_rate'!$B$2:$B$2000,"&lt;="&amp;L330)=0,"NOT FOUND",_xlfn.MAXIFS('10_ref_fx_rate'!$B$2:$B$2000,'10_ref_fx_rate'!$A$2:$A$2000,AL330,'10_ref_fx_rate'!$B$2:$B$2000,"&lt;="&amp;L330))</f>
        <v/>
      </c>
      <c r="AN330" s="8">
        <f>IF(AM330="NOT FOUND","NOT FOUND",SUMIFS('10_ref_fx_rate'!$D$2:$D$2000,'10_ref_fx_rate'!$A$2:$A$2000,AL330,'10_ref_fx_rate'!$B$2:$B$2000,AM330))</f>
        <v/>
      </c>
      <c r="AO330" s="37">
        <f>IF(ISNUMBER(AN330),I330*AN330,"NOT FOUND")</f>
        <v/>
      </c>
      <c r="AP330" s="2">
        <f>UPPER(TRIM(J330))</f>
        <v/>
      </c>
      <c r="AQ330" s="2">
        <f>IF(AP330="","SELF-DIRECTED",IF(ISNUMBER(MATCH(AP330,'11_3nf_sales_person'!$A:$A,0)),IF(EXACT(AP330,J330),"OK","OK (auto-fixed)"),IF(ISNA(MATCH($A330,'12_sales_person_confirmation'!$A:$A,0)),"CONFIRM (not logged)",IF(INDEX('12_sales_person_confirmation'!$I:$I,MATCH($A330,'12_sales_person_confirmation'!$A:$A,0))="CONFIRMED","CONFIRMED ("&amp;LOWER(INDEX('12_sales_person_confirmation'!$E:$E,MATCH($A330,'12_sales_person_confirmation'!$A:$A,0)))&amp;")","PENDING CONFIRM"))))</f>
        <v/>
      </c>
      <c r="AR330" s="2">
        <f>IF(OR(AQ330="OK",AQ330="OK (auto-fixed)"),AP330,IF(LEFT(AQ330,9)="CONFIRMED",INDEX('12_sales_person_confirmation'!$F:$F,MATCH($A330,'12_sales_person_confirmation'!$A:$A,0)),""))</f>
        <v/>
      </c>
      <c r="AS330" s="2">
        <f>IF(AR330="","",INDEX('11_3nf_sales_person'!$B:$B,MATCH(AR330,'11_3nf_sales_person'!$A:$A,0)))</f>
        <v/>
      </c>
    </row>
    <row r="331">
      <c r="A331" s="2">
        <f>IF(ISBLANK('1_raw_log'!A331),"",'1_raw_log'!A331)</f>
        <v/>
      </c>
      <c r="B331" s="3">
        <f>IF(ISBLANK('1_raw_log'!B331),"",'1_raw_log'!B331)</f>
        <v/>
      </c>
      <c r="C331" s="2">
        <f>IF(ISBLANK('1_raw_log'!C331),"",'1_raw_log'!C331)</f>
        <v/>
      </c>
      <c r="D331" s="2">
        <f>IF(ISBLANK('1_raw_log'!D331),"",'1_raw_log'!D331)</f>
        <v/>
      </c>
      <c r="E331" s="4">
        <f>IF(ISBLANK('1_raw_log'!E331),"",'1_raw_log'!E331)</f>
        <v/>
      </c>
      <c r="F331" s="2">
        <f>IF(ISBLANK('1_raw_log'!F331),"",'1_raw_log'!F331)</f>
        <v/>
      </c>
      <c r="G331" s="2">
        <f>IF(ISBLANK('1_raw_log'!G331),"",'1_raw_log'!G331)</f>
        <v/>
      </c>
      <c r="H331" s="2">
        <f>IF(ISBLANK('1_raw_log'!H331),"",'1_raw_log'!H331)</f>
        <v/>
      </c>
      <c r="I331" s="7">
        <f>IF(ISBLANK('1_raw_log'!I331),"",'1_raw_log'!I331)</f>
        <v/>
      </c>
      <c r="J331" s="2">
        <f>IF(ISBLANK('1_raw_log'!J331),"",'1_raw_log'!J331)</f>
        <v/>
      </c>
      <c r="K331" s="2">
        <f>IF(ISBLANK('1_raw_log'!K331),"",'1_raw_log'!K331)</f>
        <v/>
      </c>
      <c r="L331" s="30">
        <f>INT(B331)</f>
        <v/>
      </c>
      <c r="M331" s="20">
        <f>ROUND(MOD(B331,1)*1440,0)/1440</f>
        <v/>
      </c>
      <c r="N331" s="4">
        <f>IFERROR(INDEX('3_ref_date'!$B:$B,MATCH(L331,'3_ref_date'!$A:$A,0)),"NOT FOUND")</f>
        <v/>
      </c>
      <c r="O331" s="2">
        <f>IFERROR(INDEX('3_ref_date'!$C:$C,MATCH(L331,'3_ref_date'!$A:$A,0)),"NOT FOUND")</f>
        <v/>
      </c>
      <c r="P331" s="4">
        <f>IFERROR(INDEX('3_ref_date'!$D:$D,MATCH(L331,'3_ref_date'!$A:$A,0)),"NOT FOUND")</f>
        <v/>
      </c>
      <c r="Q331" s="4">
        <f>IFERROR(INDEX('3_ref_date'!$E:$E,MATCH(L331,'3_ref_date'!$A:$A,0)),"NOT FOUND")</f>
        <v/>
      </c>
      <c r="R331" s="2">
        <f>IFERROR(INDEX('3_ref_date'!$F:$F,MATCH(L331,'3_ref_date'!$A:$A,0)),"NOT FOUND")</f>
        <v/>
      </c>
      <c r="S331" s="2">
        <f>IFERROR(INDEX('4_ref_time'!$D:$D,MATCH(ROUND(M331*1440,0),'4_ref_time'!$A:$A,0)),"NOT FOUND")</f>
        <v/>
      </c>
      <c r="T331" s="2">
        <f>UPPER(TRIM(C331))</f>
        <v/>
      </c>
      <c r="U331" s="30">
        <f>IF(_xlfn.MAXIFS('6_3nf_branch_history'!$B$2:$B$50,'6_3nf_branch_history'!$A$2:$A$50,T331,'6_3nf_branch_history'!$B$2:$B$50,"&lt;="&amp;L331)=0,"NOT FOUND",_xlfn.MAXIFS('6_3nf_branch_history'!$B$2:$B$50,'6_3nf_branch_history'!$A$2:$A$50,T331,'6_3nf_branch_history'!$B$2:$B$50,"&lt;="&amp;L331))</f>
        <v/>
      </c>
      <c r="V331" s="2">
        <f>IF(U331="NOT FOUND","NOT FOUND",INDEX('6_3nf_branch_history'!$C:$C,SUMPRODUCT(('6_3nf_branch_history'!$A$2:$A$50=T331)*('6_3nf_branch_history'!$B$2:$B$50=U331)*ROW('6_3nf_branch_history'!$A$2:$A$50))))</f>
        <v/>
      </c>
      <c r="W331" s="2">
        <f>IF(U331="NOT FOUND","NOT FOUND",INDEX('6_3nf_branch_history'!$D:$D,SUMPRODUCT(('6_3nf_branch_history'!$A$2:$A$50=T331)*('6_3nf_branch_history'!$B$2:$B$50=U331)*ROW('6_3nf_branch_history'!$A$2:$A$50))))</f>
        <v/>
      </c>
      <c r="X331" s="2">
        <f>IF(U331="NOT FOUND","NOT FOUND",INDEX('6_3nf_branch_history'!$E:$E,SUMPRODUCT(('6_3nf_branch_history'!$A$2:$A$50=T331)*('6_3nf_branch_history'!$B$2:$B$50=U331)*ROW('6_3nf_branch_history'!$A$2:$A$50))))</f>
        <v/>
      </c>
      <c r="Y331" s="2">
        <f>UPPER(TRIM(D331))</f>
        <v/>
      </c>
      <c r="Z331" s="2">
        <f>IFERROR(INDEX('7_3nf_product'!$B:$B,MATCH(Y331,'7_3nf_product'!$A:$A,0)),"NOT FOUND")</f>
        <v/>
      </c>
      <c r="AA331" s="2">
        <f>IFERROR(INDEX('7_3nf_product'!$C:$C,MATCH(Y331,'7_3nf_product'!$A:$A,0)),"NOT FOUND")</f>
        <v/>
      </c>
      <c r="AB331" s="2">
        <f>IFERROR(INDEX('7_3nf_product'!$D:$D,MATCH(Y331,'7_3nf_product'!$A:$A,0)),"NOT FOUND")</f>
        <v/>
      </c>
      <c r="AC331" s="6">
        <f>IFERROR(INDEX('7_3nf_product'!$E:$E,MATCH(Y331,'7_3nf_product'!$A:$A,0)),"NOT FOUND")</f>
        <v/>
      </c>
      <c r="AD331" s="33">
        <f>IF(LEN(TRIM(E331))=10,TRIM(E331),IF(LEN(TRIM(E331))=8,"00"&amp;TRIM(E331),"CHECK"))</f>
        <v/>
      </c>
      <c r="AE331" s="2">
        <f>IFERROR(INDEX('8_3nf_customer'!$C:$C,MATCH(AD331,'8_3nf_customer'!$B:$B,0)),"NOT FOUND")</f>
        <v/>
      </c>
      <c r="AF331" s="30">
        <f>IFERROR(INDEX('8_3nf_customer'!$D:$D,MATCH(AD331,'8_3nf_customer'!$B:$B,0)),"NOT FOUND")</f>
        <v/>
      </c>
      <c r="AG331" s="4">
        <f>IF(ISNUMBER(AF331),DATEDIF(AF331,L331,"y"),"NOT FOUND")</f>
        <v/>
      </c>
      <c r="AH331" s="2">
        <f>IFERROR(INDEX('8_3nf_customer'!$E:$E,MATCH(AD331,'8_3nf_customer'!$B:$B,0)),"NOT FOUND")</f>
        <v/>
      </c>
      <c r="AI331" s="30">
        <f>IF(_xlfn.MAXIFS('9_3nf_customer_history'!$B$2:$B$500,'9_3nf_customer_history'!$A$2:$A$500,AD331,'9_3nf_customer_history'!$B$2:$B$500,"&lt;="&amp;L331)=0,"NOT FOUND",_xlfn.MAXIFS('9_3nf_customer_history'!$B$2:$B$500,'9_3nf_customer_history'!$A$2:$A$500,AD331,'9_3nf_customer_history'!$B$2:$B$500,"&lt;="&amp;L331))</f>
        <v/>
      </c>
      <c r="AJ331" s="2">
        <f>IF(AI331="NOT FOUND","NOT FOUND",INDEX('9_3nf_customer_history'!$C:$C,SUMPRODUCT(('9_3nf_customer_history'!$A$2:$A$500=AD331)*('9_3nf_customer_history'!$B$2:$B$500=AI331)*ROW('9_3nf_customer_history'!$A$2:$A$500))))</f>
        <v/>
      </c>
      <c r="AK331" s="2">
        <f>IF(AI331="NOT FOUND","NOT FOUND",INDEX('9_3nf_customer_history'!$D:$D,SUMPRODUCT(('9_3nf_customer_history'!$A$2:$A$500=AD331)*('9_3nf_customer_history'!$B$2:$B$500=AI331)*ROW('9_3nf_customer_history'!$A$2:$A$500))))</f>
        <v/>
      </c>
      <c r="AL331" s="2">
        <f>UPPER(TRIM(H331))</f>
        <v/>
      </c>
      <c r="AM331" s="30">
        <f>IF(_xlfn.MAXIFS('10_ref_fx_rate'!$B$2:$B$2000,'10_ref_fx_rate'!$A$2:$A$2000,AL331,'10_ref_fx_rate'!$B$2:$B$2000,"&lt;="&amp;L331)=0,"NOT FOUND",_xlfn.MAXIFS('10_ref_fx_rate'!$B$2:$B$2000,'10_ref_fx_rate'!$A$2:$A$2000,AL331,'10_ref_fx_rate'!$B$2:$B$2000,"&lt;="&amp;L331))</f>
        <v/>
      </c>
      <c r="AN331" s="8">
        <f>IF(AM331="NOT FOUND","NOT FOUND",SUMIFS('10_ref_fx_rate'!$D$2:$D$2000,'10_ref_fx_rate'!$A$2:$A$2000,AL331,'10_ref_fx_rate'!$B$2:$B$2000,AM331))</f>
        <v/>
      </c>
      <c r="AO331" s="37">
        <f>IF(ISNUMBER(AN331),I331*AN331,"NOT FOUND")</f>
        <v/>
      </c>
      <c r="AP331" s="2">
        <f>UPPER(TRIM(J331))</f>
        <v/>
      </c>
      <c r="AQ331" s="2">
        <f>IF(AP331="","SELF-DIRECTED",IF(ISNUMBER(MATCH(AP331,'11_3nf_sales_person'!$A:$A,0)),IF(EXACT(AP331,J331),"OK","OK (auto-fixed)"),IF(ISNA(MATCH($A331,'12_sales_person_confirmation'!$A:$A,0)),"CONFIRM (not logged)",IF(INDEX('12_sales_person_confirmation'!$I:$I,MATCH($A331,'12_sales_person_confirmation'!$A:$A,0))="CONFIRMED","CONFIRMED ("&amp;LOWER(INDEX('12_sales_person_confirmation'!$E:$E,MATCH($A331,'12_sales_person_confirmation'!$A:$A,0)))&amp;")","PENDING CONFIRM"))))</f>
        <v/>
      </c>
      <c r="AR331" s="2">
        <f>IF(OR(AQ331="OK",AQ331="OK (auto-fixed)"),AP331,IF(LEFT(AQ331,9)="CONFIRMED",INDEX('12_sales_person_confirmation'!$F:$F,MATCH($A331,'12_sales_person_confirmation'!$A:$A,0)),""))</f>
        <v/>
      </c>
      <c r="AS331" s="2">
        <f>IF(AR331="","",INDEX('11_3nf_sales_person'!$B:$B,MATCH(AR331,'11_3nf_sales_person'!$A:$A,0)))</f>
        <v/>
      </c>
    </row>
    <row r="332">
      <c r="A332" s="2">
        <f>IF(ISBLANK('1_raw_log'!A332),"",'1_raw_log'!A332)</f>
        <v/>
      </c>
      <c r="B332" s="3">
        <f>IF(ISBLANK('1_raw_log'!B332),"",'1_raw_log'!B332)</f>
        <v/>
      </c>
      <c r="C332" s="2">
        <f>IF(ISBLANK('1_raw_log'!C332),"",'1_raw_log'!C332)</f>
        <v/>
      </c>
      <c r="D332" s="2">
        <f>IF(ISBLANK('1_raw_log'!D332),"",'1_raw_log'!D332)</f>
        <v/>
      </c>
      <c r="E332" s="4">
        <f>IF(ISBLANK('1_raw_log'!E332),"",'1_raw_log'!E332)</f>
        <v/>
      </c>
      <c r="F332" s="2">
        <f>IF(ISBLANK('1_raw_log'!F332),"",'1_raw_log'!F332)</f>
        <v/>
      </c>
      <c r="G332" s="2">
        <f>IF(ISBLANK('1_raw_log'!G332),"",'1_raw_log'!G332)</f>
        <v/>
      </c>
      <c r="H332" s="2">
        <f>IF(ISBLANK('1_raw_log'!H332),"",'1_raw_log'!H332)</f>
        <v/>
      </c>
      <c r="I332" s="7">
        <f>IF(ISBLANK('1_raw_log'!I332),"",'1_raw_log'!I332)</f>
        <v/>
      </c>
      <c r="J332" s="2">
        <f>IF(ISBLANK('1_raw_log'!J332),"",'1_raw_log'!J332)</f>
        <v/>
      </c>
      <c r="K332" s="2">
        <f>IF(ISBLANK('1_raw_log'!K332),"",'1_raw_log'!K332)</f>
        <v/>
      </c>
      <c r="L332" s="30">
        <f>INT(B332)</f>
        <v/>
      </c>
      <c r="M332" s="20">
        <f>ROUND(MOD(B332,1)*1440,0)/1440</f>
        <v/>
      </c>
      <c r="N332" s="4">
        <f>IFERROR(INDEX('3_ref_date'!$B:$B,MATCH(L332,'3_ref_date'!$A:$A,0)),"NOT FOUND")</f>
        <v/>
      </c>
      <c r="O332" s="2">
        <f>IFERROR(INDEX('3_ref_date'!$C:$C,MATCH(L332,'3_ref_date'!$A:$A,0)),"NOT FOUND")</f>
        <v/>
      </c>
      <c r="P332" s="4">
        <f>IFERROR(INDEX('3_ref_date'!$D:$D,MATCH(L332,'3_ref_date'!$A:$A,0)),"NOT FOUND")</f>
        <v/>
      </c>
      <c r="Q332" s="4">
        <f>IFERROR(INDEX('3_ref_date'!$E:$E,MATCH(L332,'3_ref_date'!$A:$A,0)),"NOT FOUND")</f>
        <v/>
      </c>
      <c r="R332" s="2">
        <f>IFERROR(INDEX('3_ref_date'!$F:$F,MATCH(L332,'3_ref_date'!$A:$A,0)),"NOT FOUND")</f>
        <v/>
      </c>
      <c r="S332" s="2">
        <f>IFERROR(INDEX('4_ref_time'!$D:$D,MATCH(ROUND(M332*1440,0),'4_ref_time'!$A:$A,0)),"NOT FOUND")</f>
        <v/>
      </c>
      <c r="T332" s="2">
        <f>UPPER(TRIM(C332))</f>
        <v/>
      </c>
      <c r="U332" s="30">
        <f>IF(_xlfn.MAXIFS('6_3nf_branch_history'!$B$2:$B$50,'6_3nf_branch_history'!$A$2:$A$50,T332,'6_3nf_branch_history'!$B$2:$B$50,"&lt;="&amp;L332)=0,"NOT FOUND",_xlfn.MAXIFS('6_3nf_branch_history'!$B$2:$B$50,'6_3nf_branch_history'!$A$2:$A$50,T332,'6_3nf_branch_history'!$B$2:$B$50,"&lt;="&amp;L332))</f>
        <v/>
      </c>
      <c r="V332" s="2">
        <f>IF(U332="NOT FOUND","NOT FOUND",INDEX('6_3nf_branch_history'!$C:$C,SUMPRODUCT(('6_3nf_branch_history'!$A$2:$A$50=T332)*('6_3nf_branch_history'!$B$2:$B$50=U332)*ROW('6_3nf_branch_history'!$A$2:$A$50))))</f>
        <v/>
      </c>
      <c r="W332" s="2">
        <f>IF(U332="NOT FOUND","NOT FOUND",INDEX('6_3nf_branch_history'!$D:$D,SUMPRODUCT(('6_3nf_branch_history'!$A$2:$A$50=T332)*('6_3nf_branch_history'!$B$2:$B$50=U332)*ROW('6_3nf_branch_history'!$A$2:$A$50))))</f>
        <v/>
      </c>
      <c r="X332" s="2">
        <f>IF(U332="NOT FOUND","NOT FOUND",INDEX('6_3nf_branch_history'!$E:$E,SUMPRODUCT(('6_3nf_branch_history'!$A$2:$A$50=T332)*('6_3nf_branch_history'!$B$2:$B$50=U332)*ROW('6_3nf_branch_history'!$A$2:$A$50))))</f>
        <v/>
      </c>
      <c r="Y332" s="2">
        <f>UPPER(TRIM(D332))</f>
        <v/>
      </c>
      <c r="Z332" s="2">
        <f>IFERROR(INDEX('7_3nf_product'!$B:$B,MATCH(Y332,'7_3nf_product'!$A:$A,0)),"NOT FOUND")</f>
        <v/>
      </c>
      <c r="AA332" s="2">
        <f>IFERROR(INDEX('7_3nf_product'!$C:$C,MATCH(Y332,'7_3nf_product'!$A:$A,0)),"NOT FOUND")</f>
        <v/>
      </c>
      <c r="AB332" s="2">
        <f>IFERROR(INDEX('7_3nf_product'!$D:$D,MATCH(Y332,'7_3nf_product'!$A:$A,0)),"NOT FOUND")</f>
        <v/>
      </c>
      <c r="AC332" s="6">
        <f>IFERROR(INDEX('7_3nf_product'!$E:$E,MATCH(Y332,'7_3nf_product'!$A:$A,0)),"NOT FOUND")</f>
        <v/>
      </c>
      <c r="AD332" s="33">
        <f>IF(LEN(TRIM(E332))=10,TRIM(E332),IF(LEN(TRIM(E332))=8,"00"&amp;TRIM(E332),"CHECK"))</f>
        <v/>
      </c>
      <c r="AE332" s="2">
        <f>IFERROR(INDEX('8_3nf_customer'!$C:$C,MATCH(AD332,'8_3nf_customer'!$B:$B,0)),"NOT FOUND")</f>
        <v/>
      </c>
      <c r="AF332" s="30">
        <f>IFERROR(INDEX('8_3nf_customer'!$D:$D,MATCH(AD332,'8_3nf_customer'!$B:$B,0)),"NOT FOUND")</f>
        <v/>
      </c>
      <c r="AG332" s="4">
        <f>IF(ISNUMBER(AF332),DATEDIF(AF332,L332,"y"),"NOT FOUND")</f>
        <v/>
      </c>
      <c r="AH332" s="2">
        <f>IFERROR(INDEX('8_3nf_customer'!$E:$E,MATCH(AD332,'8_3nf_customer'!$B:$B,0)),"NOT FOUND")</f>
        <v/>
      </c>
      <c r="AI332" s="30">
        <f>IF(_xlfn.MAXIFS('9_3nf_customer_history'!$B$2:$B$500,'9_3nf_customer_history'!$A$2:$A$500,AD332,'9_3nf_customer_history'!$B$2:$B$500,"&lt;="&amp;L332)=0,"NOT FOUND",_xlfn.MAXIFS('9_3nf_customer_history'!$B$2:$B$500,'9_3nf_customer_history'!$A$2:$A$500,AD332,'9_3nf_customer_history'!$B$2:$B$500,"&lt;="&amp;L332))</f>
        <v/>
      </c>
      <c r="AJ332" s="2">
        <f>IF(AI332="NOT FOUND","NOT FOUND",INDEX('9_3nf_customer_history'!$C:$C,SUMPRODUCT(('9_3nf_customer_history'!$A$2:$A$500=AD332)*('9_3nf_customer_history'!$B$2:$B$500=AI332)*ROW('9_3nf_customer_history'!$A$2:$A$500))))</f>
        <v/>
      </c>
      <c r="AK332" s="2">
        <f>IF(AI332="NOT FOUND","NOT FOUND",INDEX('9_3nf_customer_history'!$D:$D,SUMPRODUCT(('9_3nf_customer_history'!$A$2:$A$500=AD332)*('9_3nf_customer_history'!$B$2:$B$500=AI332)*ROW('9_3nf_customer_history'!$A$2:$A$500))))</f>
        <v/>
      </c>
      <c r="AL332" s="2">
        <f>UPPER(TRIM(H332))</f>
        <v/>
      </c>
      <c r="AM332" s="30">
        <f>IF(_xlfn.MAXIFS('10_ref_fx_rate'!$B$2:$B$2000,'10_ref_fx_rate'!$A$2:$A$2000,AL332,'10_ref_fx_rate'!$B$2:$B$2000,"&lt;="&amp;L332)=0,"NOT FOUND",_xlfn.MAXIFS('10_ref_fx_rate'!$B$2:$B$2000,'10_ref_fx_rate'!$A$2:$A$2000,AL332,'10_ref_fx_rate'!$B$2:$B$2000,"&lt;="&amp;L332))</f>
        <v/>
      </c>
      <c r="AN332" s="8">
        <f>IF(AM332="NOT FOUND","NOT FOUND",SUMIFS('10_ref_fx_rate'!$D$2:$D$2000,'10_ref_fx_rate'!$A$2:$A$2000,AL332,'10_ref_fx_rate'!$B$2:$B$2000,AM332))</f>
        <v/>
      </c>
      <c r="AO332" s="37">
        <f>IF(ISNUMBER(AN332),I332*AN332,"NOT FOUND")</f>
        <v/>
      </c>
      <c r="AP332" s="2">
        <f>UPPER(TRIM(J332))</f>
        <v/>
      </c>
      <c r="AQ332" s="2">
        <f>IF(AP332="","SELF-DIRECTED",IF(ISNUMBER(MATCH(AP332,'11_3nf_sales_person'!$A:$A,0)),IF(EXACT(AP332,J332),"OK","OK (auto-fixed)"),IF(ISNA(MATCH($A332,'12_sales_person_confirmation'!$A:$A,0)),"CONFIRM (not logged)",IF(INDEX('12_sales_person_confirmation'!$I:$I,MATCH($A332,'12_sales_person_confirmation'!$A:$A,0))="CONFIRMED","CONFIRMED ("&amp;LOWER(INDEX('12_sales_person_confirmation'!$E:$E,MATCH($A332,'12_sales_person_confirmation'!$A:$A,0)))&amp;")","PENDING CONFIRM"))))</f>
        <v/>
      </c>
      <c r="AR332" s="2">
        <f>IF(OR(AQ332="OK",AQ332="OK (auto-fixed)"),AP332,IF(LEFT(AQ332,9)="CONFIRMED",INDEX('12_sales_person_confirmation'!$F:$F,MATCH($A332,'12_sales_person_confirmation'!$A:$A,0)),""))</f>
        <v/>
      </c>
      <c r="AS332" s="2">
        <f>IF(AR332="","",INDEX('11_3nf_sales_person'!$B:$B,MATCH(AR332,'11_3nf_sales_person'!$A:$A,0)))</f>
        <v/>
      </c>
    </row>
    <row r="333">
      <c r="A333" s="2">
        <f>IF(ISBLANK('1_raw_log'!A333),"",'1_raw_log'!A333)</f>
        <v/>
      </c>
      <c r="B333" s="3">
        <f>IF(ISBLANK('1_raw_log'!B333),"",'1_raw_log'!B333)</f>
        <v/>
      </c>
      <c r="C333" s="2">
        <f>IF(ISBLANK('1_raw_log'!C333),"",'1_raw_log'!C333)</f>
        <v/>
      </c>
      <c r="D333" s="2">
        <f>IF(ISBLANK('1_raw_log'!D333),"",'1_raw_log'!D333)</f>
        <v/>
      </c>
      <c r="E333" s="4">
        <f>IF(ISBLANK('1_raw_log'!E333),"",'1_raw_log'!E333)</f>
        <v/>
      </c>
      <c r="F333" s="2">
        <f>IF(ISBLANK('1_raw_log'!F333),"",'1_raw_log'!F333)</f>
        <v/>
      </c>
      <c r="G333" s="2">
        <f>IF(ISBLANK('1_raw_log'!G333),"",'1_raw_log'!G333)</f>
        <v/>
      </c>
      <c r="H333" s="2">
        <f>IF(ISBLANK('1_raw_log'!H333),"",'1_raw_log'!H333)</f>
        <v/>
      </c>
      <c r="I333" s="7">
        <f>IF(ISBLANK('1_raw_log'!I333),"",'1_raw_log'!I333)</f>
        <v/>
      </c>
      <c r="J333" s="2">
        <f>IF(ISBLANK('1_raw_log'!J333),"",'1_raw_log'!J333)</f>
        <v/>
      </c>
      <c r="K333" s="2">
        <f>IF(ISBLANK('1_raw_log'!K333),"",'1_raw_log'!K333)</f>
        <v/>
      </c>
      <c r="L333" s="30">
        <f>INT(B333)</f>
        <v/>
      </c>
      <c r="M333" s="20">
        <f>ROUND(MOD(B333,1)*1440,0)/1440</f>
        <v/>
      </c>
      <c r="N333" s="4">
        <f>IFERROR(INDEX('3_ref_date'!$B:$B,MATCH(L333,'3_ref_date'!$A:$A,0)),"NOT FOUND")</f>
        <v/>
      </c>
      <c r="O333" s="2">
        <f>IFERROR(INDEX('3_ref_date'!$C:$C,MATCH(L333,'3_ref_date'!$A:$A,0)),"NOT FOUND")</f>
        <v/>
      </c>
      <c r="P333" s="4">
        <f>IFERROR(INDEX('3_ref_date'!$D:$D,MATCH(L333,'3_ref_date'!$A:$A,0)),"NOT FOUND")</f>
        <v/>
      </c>
      <c r="Q333" s="4">
        <f>IFERROR(INDEX('3_ref_date'!$E:$E,MATCH(L333,'3_ref_date'!$A:$A,0)),"NOT FOUND")</f>
        <v/>
      </c>
      <c r="R333" s="2">
        <f>IFERROR(INDEX('3_ref_date'!$F:$F,MATCH(L333,'3_ref_date'!$A:$A,0)),"NOT FOUND")</f>
        <v/>
      </c>
      <c r="S333" s="2">
        <f>IFERROR(INDEX('4_ref_time'!$D:$D,MATCH(ROUND(M333*1440,0),'4_ref_time'!$A:$A,0)),"NOT FOUND")</f>
        <v/>
      </c>
      <c r="T333" s="2">
        <f>UPPER(TRIM(C333))</f>
        <v/>
      </c>
      <c r="U333" s="30">
        <f>IF(_xlfn.MAXIFS('6_3nf_branch_history'!$B$2:$B$50,'6_3nf_branch_history'!$A$2:$A$50,T333,'6_3nf_branch_history'!$B$2:$B$50,"&lt;="&amp;L333)=0,"NOT FOUND",_xlfn.MAXIFS('6_3nf_branch_history'!$B$2:$B$50,'6_3nf_branch_history'!$A$2:$A$50,T333,'6_3nf_branch_history'!$B$2:$B$50,"&lt;="&amp;L333))</f>
        <v/>
      </c>
      <c r="V333" s="2">
        <f>IF(U333="NOT FOUND","NOT FOUND",INDEX('6_3nf_branch_history'!$C:$C,SUMPRODUCT(('6_3nf_branch_history'!$A$2:$A$50=T333)*('6_3nf_branch_history'!$B$2:$B$50=U333)*ROW('6_3nf_branch_history'!$A$2:$A$50))))</f>
        <v/>
      </c>
      <c r="W333" s="2">
        <f>IF(U333="NOT FOUND","NOT FOUND",INDEX('6_3nf_branch_history'!$D:$D,SUMPRODUCT(('6_3nf_branch_history'!$A$2:$A$50=T333)*('6_3nf_branch_history'!$B$2:$B$50=U333)*ROW('6_3nf_branch_history'!$A$2:$A$50))))</f>
        <v/>
      </c>
      <c r="X333" s="2">
        <f>IF(U333="NOT FOUND","NOT FOUND",INDEX('6_3nf_branch_history'!$E:$E,SUMPRODUCT(('6_3nf_branch_history'!$A$2:$A$50=T333)*('6_3nf_branch_history'!$B$2:$B$50=U333)*ROW('6_3nf_branch_history'!$A$2:$A$50))))</f>
        <v/>
      </c>
      <c r="Y333" s="2">
        <f>UPPER(TRIM(D333))</f>
        <v/>
      </c>
      <c r="Z333" s="2">
        <f>IFERROR(INDEX('7_3nf_product'!$B:$B,MATCH(Y333,'7_3nf_product'!$A:$A,0)),"NOT FOUND")</f>
        <v/>
      </c>
      <c r="AA333" s="2">
        <f>IFERROR(INDEX('7_3nf_product'!$C:$C,MATCH(Y333,'7_3nf_product'!$A:$A,0)),"NOT FOUND")</f>
        <v/>
      </c>
      <c r="AB333" s="2">
        <f>IFERROR(INDEX('7_3nf_product'!$D:$D,MATCH(Y333,'7_3nf_product'!$A:$A,0)),"NOT FOUND")</f>
        <v/>
      </c>
      <c r="AC333" s="6">
        <f>IFERROR(INDEX('7_3nf_product'!$E:$E,MATCH(Y333,'7_3nf_product'!$A:$A,0)),"NOT FOUND")</f>
        <v/>
      </c>
      <c r="AD333" s="33">
        <f>IF(LEN(TRIM(E333))=10,TRIM(E333),IF(LEN(TRIM(E333))=8,"00"&amp;TRIM(E333),"CHECK"))</f>
        <v/>
      </c>
      <c r="AE333" s="2">
        <f>IFERROR(INDEX('8_3nf_customer'!$C:$C,MATCH(AD333,'8_3nf_customer'!$B:$B,0)),"NOT FOUND")</f>
        <v/>
      </c>
      <c r="AF333" s="30">
        <f>IFERROR(INDEX('8_3nf_customer'!$D:$D,MATCH(AD333,'8_3nf_customer'!$B:$B,0)),"NOT FOUND")</f>
        <v/>
      </c>
      <c r="AG333" s="4">
        <f>IF(ISNUMBER(AF333),DATEDIF(AF333,L333,"y"),"NOT FOUND")</f>
        <v/>
      </c>
      <c r="AH333" s="2">
        <f>IFERROR(INDEX('8_3nf_customer'!$E:$E,MATCH(AD333,'8_3nf_customer'!$B:$B,0)),"NOT FOUND")</f>
        <v/>
      </c>
      <c r="AI333" s="30">
        <f>IF(_xlfn.MAXIFS('9_3nf_customer_history'!$B$2:$B$500,'9_3nf_customer_history'!$A$2:$A$500,AD333,'9_3nf_customer_history'!$B$2:$B$500,"&lt;="&amp;L333)=0,"NOT FOUND",_xlfn.MAXIFS('9_3nf_customer_history'!$B$2:$B$500,'9_3nf_customer_history'!$A$2:$A$500,AD333,'9_3nf_customer_history'!$B$2:$B$500,"&lt;="&amp;L333))</f>
        <v/>
      </c>
      <c r="AJ333" s="2">
        <f>IF(AI333="NOT FOUND","NOT FOUND",INDEX('9_3nf_customer_history'!$C:$C,SUMPRODUCT(('9_3nf_customer_history'!$A$2:$A$500=AD333)*('9_3nf_customer_history'!$B$2:$B$500=AI333)*ROW('9_3nf_customer_history'!$A$2:$A$500))))</f>
        <v/>
      </c>
      <c r="AK333" s="2">
        <f>IF(AI333="NOT FOUND","NOT FOUND",INDEX('9_3nf_customer_history'!$D:$D,SUMPRODUCT(('9_3nf_customer_history'!$A$2:$A$500=AD333)*('9_3nf_customer_history'!$B$2:$B$500=AI333)*ROW('9_3nf_customer_history'!$A$2:$A$500))))</f>
        <v/>
      </c>
      <c r="AL333" s="2">
        <f>UPPER(TRIM(H333))</f>
        <v/>
      </c>
      <c r="AM333" s="30">
        <f>IF(_xlfn.MAXIFS('10_ref_fx_rate'!$B$2:$B$2000,'10_ref_fx_rate'!$A$2:$A$2000,AL333,'10_ref_fx_rate'!$B$2:$B$2000,"&lt;="&amp;L333)=0,"NOT FOUND",_xlfn.MAXIFS('10_ref_fx_rate'!$B$2:$B$2000,'10_ref_fx_rate'!$A$2:$A$2000,AL333,'10_ref_fx_rate'!$B$2:$B$2000,"&lt;="&amp;L333))</f>
        <v/>
      </c>
      <c r="AN333" s="8">
        <f>IF(AM333="NOT FOUND","NOT FOUND",SUMIFS('10_ref_fx_rate'!$D$2:$D$2000,'10_ref_fx_rate'!$A$2:$A$2000,AL333,'10_ref_fx_rate'!$B$2:$B$2000,AM333))</f>
        <v/>
      </c>
      <c r="AO333" s="37">
        <f>IF(ISNUMBER(AN333),I333*AN333,"NOT FOUND")</f>
        <v/>
      </c>
      <c r="AP333" s="2">
        <f>UPPER(TRIM(J333))</f>
        <v/>
      </c>
      <c r="AQ333" s="2">
        <f>IF(AP333="","SELF-DIRECTED",IF(ISNUMBER(MATCH(AP333,'11_3nf_sales_person'!$A:$A,0)),IF(EXACT(AP333,J333),"OK","OK (auto-fixed)"),IF(ISNA(MATCH($A333,'12_sales_person_confirmation'!$A:$A,0)),"CONFIRM (not logged)",IF(INDEX('12_sales_person_confirmation'!$I:$I,MATCH($A333,'12_sales_person_confirmation'!$A:$A,0))="CONFIRMED","CONFIRMED ("&amp;LOWER(INDEX('12_sales_person_confirmation'!$E:$E,MATCH($A333,'12_sales_person_confirmation'!$A:$A,0)))&amp;")","PENDING CONFIRM"))))</f>
        <v/>
      </c>
      <c r="AR333" s="2">
        <f>IF(OR(AQ333="OK",AQ333="OK (auto-fixed)"),AP333,IF(LEFT(AQ333,9)="CONFIRMED",INDEX('12_sales_person_confirmation'!$F:$F,MATCH($A333,'12_sales_person_confirmation'!$A:$A,0)),""))</f>
        <v/>
      </c>
      <c r="AS333" s="2">
        <f>IF(AR333="","",INDEX('11_3nf_sales_person'!$B:$B,MATCH(AR333,'11_3nf_sales_person'!$A:$A,0)))</f>
        <v/>
      </c>
    </row>
    <row r="334">
      <c r="A334" s="2">
        <f>IF(ISBLANK('1_raw_log'!A334),"",'1_raw_log'!A334)</f>
        <v/>
      </c>
      <c r="B334" s="3">
        <f>IF(ISBLANK('1_raw_log'!B334),"",'1_raw_log'!B334)</f>
        <v/>
      </c>
      <c r="C334" s="2">
        <f>IF(ISBLANK('1_raw_log'!C334),"",'1_raw_log'!C334)</f>
        <v/>
      </c>
      <c r="D334" s="2">
        <f>IF(ISBLANK('1_raw_log'!D334),"",'1_raw_log'!D334)</f>
        <v/>
      </c>
      <c r="E334" s="4">
        <f>IF(ISBLANK('1_raw_log'!E334),"",'1_raw_log'!E334)</f>
        <v/>
      </c>
      <c r="F334" s="2">
        <f>IF(ISBLANK('1_raw_log'!F334),"",'1_raw_log'!F334)</f>
        <v/>
      </c>
      <c r="G334" s="2">
        <f>IF(ISBLANK('1_raw_log'!G334),"",'1_raw_log'!G334)</f>
        <v/>
      </c>
      <c r="H334" s="2">
        <f>IF(ISBLANK('1_raw_log'!H334),"",'1_raw_log'!H334)</f>
        <v/>
      </c>
      <c r="I334" s="7">
        <f>IF(ISBLANK('1_raw_log'!I334),"",'1_raw_log'!I334)</f>
        <v/>
      </c>
      <c r="J334" s="2">
        <f>IF(ISBLANK('1_raw_log'!J334),"",'1_raw_log'!J334)</f>
        <v/>
      </c>
      <c r="K334" s="2">
        <f>IF(ISBLANK('1_raw_log'!K334),"",'1_raw_log'!K334)</f>
        <v/>
      </c>
      <c r="L334" s="30">
        <f>INT(B334)</f>
        <v/>
      </c>
      <c r="M334" s="20">
        <f>ROUND(MOD(B334,1)*1440,0)/1440</f>
        <v/>
      </c>
      <c r="N334" s="4">
        <f>IFERROR(INDEX('3_ref_date'!$B:$B,MATCH(L334,'3_ref_date'!$A:$A,0)),"NOT FOUND")</f>
        <v/>
      </c>
      <c r="O334" s="2">
        <f>IFERROR(INDEX('3_ref_date'!$C:$C,MATCH(L334,'3_ref_date'!$A:$A,0)),"NOT FOUND")</f>
        <v/>
      </c>
      <c r="P334" s="4">
        <f>IFERROR(INDEX('3_ref_date'!$D:$D,MATCH(L334,'3_ref_date'!$A:$A,0)),"NOT FOUND")</f>
        <v/>
      </c>
      <c r="Q334" s="4">
        <f>IFERROR(INDEX('3_ref_date'!$E:$E,MATCH(L334,'3_ref_date'!$A:$A,0)),"NOT FOUND")</f>
        <v/>
      </c>
      <c r="R334" s="2">
        <f>IFERROR(INDEX('3_ref_date'!$F:$F,MATCH(L334,'3_ref_date'!$A:$A,0)),"NOT FOUND")</f>
        <v/>
      </c>
      <c r="S334" s="2">
        <f>IFERROR(INDEX('4_ref_time'!$D:$D,MATCH(ROUND(M334*1440,0),'4_ref_time'!$A:$A,0)),"NOT FOUND")</f>
        <v/>
      </c>
      <c r="T334" s="2">
        <f>UPPER(TRIM(C334))</f>
        <v/>
      </c>
      <c r="U334" s="30">
        <f>IF(_xlfn.MAXIFS('6_3nf_branch_history'!$B$2:$B$50,'6_3nf_branch_history'!$A$2:$A$50,T334,'6_3nf_branch_history'!$B$2:$B$50,"&lt;="&amp;L334)=0,"NOT FOUND",_xlfn.MAXIFS('6_3nf_branch_history'!$B$2:$B$50,'6_3nf_branch_history'!$A$2:$A$50,T334,'6_3nf_branch_history'!$B$2:$B$50,"&lt;="&amp;L334))</f>
        <v/>
      </c>
      <c r="V334" s="2">
        <f>IF(U334="NOT FOUND","NOT FOUND",INDEX('6_3nf_branch_history'!$C:$C,SUMPRODUCT(('6_3nf_branch_history'!$A$2:$A$50=T334)*('6_3nf_branch_history'!$B$2:$B$50=U334)*ROW('6_3nf_branch_history'!$A$2:$A$50))))</f>
        <v/>
      </c>
      <c r="W334" s="2">
        <f>IF(U334="NOT FOUND","NOT FOUND",INDEX('6_3nf_branch_history'!$D:$D,SUMPRODUCT(('6_3nf_branch_history'!$A$2:$A$50=T334)*('6_3nf_branch_history'!$B$2:$B$50=U334)*ROW('6_3nf_branch_history'!$A$2:$A$50))))</f>
        <v/>
      </c>
      <c r="X334" s="2">
        <f>IF(U334="NOT FOUND","NOT FOUND",INDEX('6_3nf_branch_history'!$E:$E,SUMPRODUCT(('6_3nf_branch_history'!$A$2:$A$50=T334)*('6_3nf_branch_history'!$B$2:$B$50=U334)*ROW('6_3nf_branch_history'!$A$2:$A$50))))</f>
        <v/>
      </c>
      <c r="Y334" s="2">
        <f>UPPER(TRIM(D334))</f>
        <v/>
      </c>
      <c r="Z334" s="2">
        <f>IFERROR(INDEX('7_3nf_product'!$B:$B,MATCH(Y334,'7_3nf_product'!$A:$A,0)),"NOT FOUND")</f>
        <v/>
      </c>
      <c r="AA334" s="2">
        <f>IFERROR(INDEX('7_3nf_product'!$C:$C,MATCH(Y334,'7_3nf_product'!$A:$A,0)),"NOT FOUND")</f>
        <v/>
      </c>
      <c r="AB334" s="2">
        <f>IFERROR(INDEX('7_3nf_product'!$D:$D,MATCH(Y334,'7_3nf_product'!$A:$A,0)),"NOT FOUND")</f>
        <v/>
      </c>
      <c r="AC334" s="6">
        <f>IFERROR(INDEX('7_3nf_product'!$E:$E,MATCH(Y334,'7_3nf_product'!$A:$A,0)),"NOT FOUND")</f>
        <v/>
      </c>
      <c r="AD334" s="33">
        <f>IF(LEN(TRIM(E334))=10,TRIM(E334),IF(LEN(TRIM(E334))=8,"00"&amp;TRIM(E334),"CHECK"))</f>
        <v/>
      </c>
      <c r="AE334" s="2">
        <f>IFERROR(INDEX('8_3nf_customer'!$C:$C,MATCH(AD334,'8_3nf_customer'!$B:$B,0)),"NOT FOUND")</f>
        <v/>
      </c>
      <c r="AF334" s="30">
        <f>IFERROR(INDEX('8_3nf_customer'!$D:$D,MATCH(AD334,'8_3nf_customer'!$B:$B,0)),"NOT FOUND")</f>
        <v/>
      </c>
      <c r="AG334" s="4">
        <f>IF(ISNUMBER(AF334),DATEDIF(AF334,L334,"y"),"NOT FOUND")</f>
        <v/>
      </c>
      <c r="AH334" s="2">
        <f>IFERROR(INDEX('8_3nf_customer'!$E:$E,MATCH(AD334,'8_3nf_customer'!$B:$B,0)),"NOT FOUND")</f>
        <v/>
      </c>
      <c r="AI334" s="30">
        <f>IF(_xlfn.MAXIFS('9_3nf_customer_history'!$B$2:$B$500,'9_3nf_customer_history'!$A$2:$A$500,AD334,'9_3nf_customer_history'!$B$2:$B$500,"&lt;="&amp;L334)=0,"NOT FOUND",_xlfn.MAXIFS('9_3nf_customer_history'!$B$2:$B$500,'9_3nf_customer_history'!$A$2:$A$500,AD334,'9_3nf_customer_history'!$B$2:$B$500,"&lt;="&amp;L334))</f>
        <v/>
      </c>
      <c r="AJ334" s="2">
        <f>IF(AI334="NOT FOUND","NOT FOUND",INDEX('9_3nf_customer_history'!$C:$C,SUMPRODUCT(('9_3nf_customer_history'!$A$2:$A$500=AD334)*('9_3nf_customer_history'!$B$2:$B$500=AI334)*ROW('9_3nf_customer_history'!$A$2:$A$500))))</f>
        <v/>
      </c>
      <c r="AK334" s="2">
        <f>IF(AI334="NOT FOUND","NOT FOUND",INDEX('9_3nf_customer_history'!$D:$D,SUMPRODUCT(('9_3nf_customer_history'!$A$2:$A$500=AD334)*('9_3nf_customer_history'!$B$2:$B$500=AI334)*ROW('9_3nf_customer_history'!$A$2:$A$500))))</f>
        <v/>
      </c>
      <c r="AL334" s="2">
        <f>UPPER(TRIM(H334))</f>
        <v/>
      </c>
      <c r="AM334" s="30">
        <f>IF(_xlfn.MAXIFS('10_ref_fx_rate'!$B$2:$B$2000,'10_ref_fx_rate'!$A$2:$A$2000,AL334,'10_ref_fx_rate'!$B$2:$B$2000,"&lt;="&amp;L334)=0,"NOT FOUND",_xlfn.MAXIFS('10_ref_fx_rate'!$B$2:$B$2000,'10_ref_fx_rate'!$A$2:$A$2000,AL334,'10_ref_fx_rate'!$B$2:$B$2000,"&lt;="&amp;L334))</f>
        <v/>
      </c>
      <c r="AN334" s="8">
        <f>IF(AM334="NOT FOUND","NOT FOUND",SUMIFS('10_ref_fx_rate'!$D$2:$D$2000,'10_ref_fx_rate'!$A$2:$A$2000,AL334,'10_ref_fx_rate'!$B$2:$B$2000,AM334))</f>
        <v/>
      </c>
      <c r="AO334" s="37">
        <f>IF(ISNUMBER(AN334),I334*AN334,"NOT FOUND")</f>
        <v/>
      </c>
      <c r="AP334" s="2">
        <f>UPPER(TRIM(J334))</f>
        <v/>
      </c>
      <c r="AQ334" s="2">
        <f>IF(AP334="","SELF-DIRECTED",IF(ISNUMBER(MATCH(AP334,'11_3nf_sales_person'!$A:$A,0)),IF(EXACT(AP334,J334),"OK","OK (auto-fixed)"),IF(ISNA(MATCH($A334,'12_sales_person_confirmation'!$A:$A,0)),"CONFIRM (not logged)",IF(INDEX('12_sales_person_confirmation'!$I:$I,MATCH($A334,'12_sales_person_confirmation'!$A:$A,0))="CONFIRMED","CONFIRMED ("&amp;LOWER(INDEX('12_sales_person_confirmation'!$E:$E,MATCH($A334,'12_sales_person_confirmation'!$A:$A,0)))&amp;")","PENDING CONFIRM"))))</f>
        <v/>
      </c>
      <c r="AR334" s="2">
        <f>IF(OR(AQ334="OK",AQ334="OK (auto-fixed)"),AP334,IF(LEFT(AQ334,9)="CONFIRMED",INDEX('12_sales_person_confirmation'!$F:$F,MATCH($A334,'12_sales_person_confirmation'!$A:$A,0)),""))</f>
        <v/>
      </c>
      <c r="AS334" s="2">
        <f>IF(AR334="","",INDEX('11_3nf_sales_person'!$B:$B,MATCH(AR334,'11_3nf_sales_person'!$A:$A,0)))</f>
        <v/>
      </c>
    </row>
    <row r="335">
      <c r="A335" s="2">
        <f>IF(ISBLANK('1_raw_log'!A335),"",'1_raw_log'!A335)</f>
        <v/>
      </c>
      <c r="B335" s="3">
        <f>IF(ISBLANK('1_raw_log'!B335),"",'1_raw_log'!B335)</f>
        <v/>
      </c>
      <c r="C335" s="2">
        <f>IF(ISBLANK('1_raw_log'!C335),"",'1_raw_log'!C335)</f>
        <v/>
      </c>
      <c r="D335" s="2">
        <f>IF(ISBLANK('1_raw_log'!D335),"",'1_raw_log'!D335)</f>
        <v/>
      </c>
      <c r="E335" s="4">
        <f>IF(ISBLANK('1_raw_log'!E335),"",'1_raw_log'!E335)</f>
        <v/>
      </c>
      <c r="F335" s="2">
        <f>IF(ISBLANK('1_raw_log'!F335),"",'1_raw_log'!F335)</f>
        <v/>
      </c>
      <c r="G335" s="2">
        <f>IF(ISBLANK('1_raw_log'!G335),"",'1_raw_log'!G335)</f>
        <v/>
      </c>
      <c r="H335" s="2">
        <f>IF(ISBLANK('1_raw_log'!H335),"",'1_raw_log'!H335)</f>
        <v/>
      </c>
      <c r="I335" s="7">
        <f>IF(ISBLANK('1_raw_log'!I335),"",'1_raw_log'!I335)</f>
        <v/>
      </c>
      <c r="J335" s="2">
        <f>IF(ISBLANK('1_raw_log'!J335),"",'1_raw_log'!J335)</f>
        <v/>
      </c>
      <c r="K335" s="2">
        <f>IF(ISBLANK('1_raw_log'!K335),"",'1_raw_log'!K335)</f>
        <v/>
      </c>
      <c r="L335" s="30">
        <f>INT(B335)</f>
        <v/>
      </c>
      <c r="M335" s="20">
        <f>ROUND(MOD(B335,1)*1440,0)/1440</f>
        <v/>
      </c>
      <c r="N335" s="4">
        <f>IFERROR(INDEX('3_ref_date'!$B:$B,MATCH(L335,'3_ref_date'!$A:$A,0)),"NOT FOUND")</f>
        <v/>
      </c>
      <c r="O335" s="2">
        <f>IFERROR(INDEX('3_ref_date'!$C:$C,MATCH(L335,'3_ref_date'!$A:$A,0)),"NOT FOUND")</f>
        <v/>
      </c>
      <c r="P335" s="4">
        <f>IFERROR(INDEX('3_ref_date'!$D:$D,MATCH(L335,'3_ref_date'!$A:$A,0)),"NOT FOUND")</f>
        <v/>
      </c>
      <c r="Q335" s="4">
        <f>IFERROR(INDEX('3_ref_date'!$E:$E,MATCH(L335,'3_ref_date'!$A:$A,0)),"NOT FOUND")</f>
        <v/>
      </c>
      <c r="R335" s="2">
        <f>IFERROR(INDEX('3_ref_date'!$F:$F,MATCH(L335,'3_ref_date'!$A:$A,0)),"NOT FOUND")</f>
        <v/>
      </c>
      <c r="S335" s="2">
        <f>IFERROR(INDEX('4_ref_time'!$D:$D,MATCH(ROUND(M335*1440,0),'4_ref_time'!$A:$A,0)),"NOT FOUND")</f>
        <v/>
      </c>
      <c r="T335" s="2">
        <f>UPPER(TRIM(C335))</f>
        <v/>
      </c>
      <c r="U335" s="30">
        <f>IF(_xlfn.MAXIFS('6_3nf_branch_history'!$B$2:$B$50,'6_3nf_branch_history'!$A$2:$A$50,T335,'6_3nf_branch_history'!$B$2:$B$50,"&lt;="&amp;L335)=0,"NOT FOUND",_xlfn.MAXIFS('6_3nf_branch_history'!$B$2:$B$50,'6_3nf_branch_history'!$A$2:$A$50,T335,'6_3nf_branch_history'!$B$2:$B$50,"&lt;="&amp;L335))</f>
        <v/>
      </c>
      <c r="V335" s="2">
        <f>IF(U335="NOT FOUND","NOT FOUND",INDEX('6_3nf_branch_history'!$C:$C,SUMPRODUCT(('6_3nf_branch_history'!$A$2:$A$50=T335)*('6_3nf_branch_history'!$B$2:$B$50=U335)*ROW('6_3nf_branch_history'!$A$2:$A$50))))</f>
        <v/>
      </c>
      <c r="W335" s="2">
        <f>IF(U335="NOT FOUND","NOT FOUND",INDEX('6_3nf_branch_history'!$D:$D,SUMPRODUCT(('6_3nf_branch_history'!$A$2:$A$50=T335)*('6_3nf_branch_history'!$B$2:$B$50=U335)*ROW('6_3nf_branch_history'!$A$2:$A$50))))</f>
        <v/>
      </c>
      <c r="X335" s="2">
        <f>IF(U335="NOT FOUND","NOT FOUND",INDEX('6_3nf_branch_history'!$E:$E,SUMPRODUCT(('6_3nf_branch_history'!$A$2:$A$50=T335)*('6_3nf_branch_history'!$B$2:$B$50=U335)*ROW('6_3nf_branch_history'!$A$2:$A$50))))</f>
        <v/>
      </c>
      <c r="Y335" s="2">
        <f>UPPER(TRIM(D335))</f>
        <v/>
      </c>
      <c r="Z335" s="2">
        <f>IFERROR(INDEX('7_3nf_product'!$B:$B,MATCH(Y335,'7_3nf_product'!$A:$A,0)),"NOT FOUND")</f>
        <v/>
      </c>
      <c r="AA335" s="2">
        <f>IFERROR(INDEX('7_3nf_product'!$C:$C,MATCH(Y335,'7_3nf_product'!$A:$A,0)),"NOT FOUND")</f>
        <v/>
      </c>
      <c r="AB335" s="2">
        <f>IFERROR(INDEX('7_3nf_product'!$D:$D,MATCH(Y335,'7_3nf_product'!$A:$A,0)),"NOT FOUND")</f>
        <v/>
      </c>
      <c r="AC335" s="6">
        <f>IFERROR(INDEX('7_3nf_product'!$E:$E,MATCH(Y335,'7_3nf_product'!$A:$A,0)),"NOT FOUND")</f>
        <v/>
      </c>
      <c r="AD335" s="33">
        <f>IF(LEN(TRIM(E335))=10,TRIM(E335),IF(LEN(TRIM(E335))=8,"00"&amp;TRIM(E335),"CHECK"))</f>
        <v/>
      </c>
      <c r="AE335" s="2">
        <f>IFERROR(INDEX('8_3nf_customer'!$C:$C,MATCH(AD335,'8_3nf_customer'!$B:$B,0)),"NOT FOUND")</f>
        <v/>
      </c>
      <c r="AF335" s="30">
        <f>IFERROR(INDEX('8_3nf_customer'!$D:$D,MATCH(AD335,'8_3nf_customer'!$B:$B,0)),"NOT FOUND")</f>
        <v/>
      </c>
      <c r="AG335" s="4">
        <f>IF(ISNUMBER(AF335),DATEDIF(AF335,L335,"y"),"NOT FOUND")</f>
        <v/>
      </c>
      <c r="AH335" s="2">
        <f>IFERROR(INDEX('8_3nf_customer'!$E:$E,MATCH(AD335,'8_3nf_customer'!$B:$B,0)),"NOT FOUND")</f>
        <v/>
      </c>
      <c r="AI335" s="30">
        <f>IF(_xlfn.MAXIFS('9_3nf_customer_history'!$B$2:$B$500,'9_3nf_customer_history'!$A$2:$A$500,AD335,'9_3nf_customer_history'!$B$2:$B$500,"&lt;="&amp;L335)=0,"NOT FOUND",_xlfn.MAXIFS('9_3nf_customer_history'!$B$2:$B$500,'9_3nf_customer_history'!$A$2:$A$500,AD335,'9_3nf_customer_history'!$B$2:$B$500,"&lt;="&amp;L335))</f>
        <v/>
      </c>
      <c r="AJ335" s="2">
        <f>IF(AI335="NOT FOUND","NOT FOUND",INDEX('9_3nf_customer_history'!$C:$C,SUMPRODUCT(('9_3nf_customer_history'!$A$2:$A$500=AD335)*('9_3nf_customer_history'!$B$2:$B$500=AI335)*ROW('9_3nf_customer_history'!$A$2:$A$500))))</f>
        <v/>
      </c>
      <c r="AK335" s="2">
        <f>IF(AI335="NOT FOUND","NOT FOUND",INDEX('9_3nf_customer_history'!$D:$D,SUMPRODUCT(('9_3nf_customer_history'!$A$2:$A$500=AD335)*('9_3nf_customer_history'!$B$2:$B$500=AI335)*ROW('9_3nf_customer_history'!$A$2:$A$500))))</f>
        <v/>
      </c>
      <c r="AL335" s="2">
        <f>UPPER(TRIM(H335))</f>
        <v/>
      </c>
      <c r="AM335" s="30">
        <f>IF(_xlfn.MAXIFS('10_ref_fx_rate'!$B$2:$B$2000,'10_ref_fx_rate'!$A$2:$A$2000,AL335,'10_ref_fx_rate'!$B$2:$B$2000,"&lt;="&amp;L335)=0,"NOT FOUND",_xlfn.MAXIFS('10_ref_fx_rate'!$B$2:$B$2000,'10_ref_fx_rate'!$A$2:$A$2000,AL335,'10_ref_fx_rate'!$B$2:$B$2000,"&lt;="&amp;L335))</f>
        <v/>
      </c>
      <c r="AN335" s="8">
        <f>IF(AM335="NOT FOUND","NOT FOUND",SUMIFS('10_ref_fx_rate'!$D$2:$D$2000,'10_ref_fx_rate'!$A$2:$A$2000,AL335,'10_ref_fx_rate'!$B$2:$B$2000,AM335))</f>
        <v/>
      </c>
      <c r="AO335" s="37">
        <f>IF(ISNUMBER(AN335),I335*AN335,"NOT FOUND")</f>
        <v/>
      </c>
      <c r="AP335" s="2">
        <f>UPPER(TRIM(J335))</f>
        <v/>
      </c>
      <c r="AQ335" s="2">
        <f>IF(AP335="","SELF-DIRECTED",IF(ISNUMBER(MATCH(AP335,'11_3nf_sales_person'!$A:$A,0)),IF(EXACT(AP335,J335),"OK","OK (auto-fixed)"),IF(ISNA(MATCH($A335,'12_sales_person_confirmation'!$A:$A,0)),"CONFIRM (not logged)",IF(INDEX('12_sales_person_confirmation'!$I:$I,MATCH($A335,'12_sales_person_confirmation'!$A:$A,0))="CONFIRMED","CONFIRMED ("&amp;LOWER(INDEX('12_sales_person_confirmation'!$E:$E,MATCH($A335,'12_sales_person_confirmation'!$A:$A,0)))&amp;")","PENDING CONFIRM"))))</f>
        <v/>
      </c>
      <c r="AR335" s="2">
        <f>IF(OR(AQ335="OK",AQ335="OK (auto-fixed)"),AP335,IF(LEFT(AQ335,9)="CONFIRMED",INDEX('12_sales_person_confirmation'!$F:$F,MATCH($A335,'12_sales_person_confirmation'!$A:$A,0)),""))</f>
        <v/>
      </c>
      <c r="AS335" s="2">
        <f>IF(AR335="","",INDEX('11_3nf_sales_person'!$B:$B,MATCH(AR335,'11_3nf_sales_person'!$A:$A,0)))</f>
        <v/>
      </c>
    </row>
    <row r="336">
      <c r="A336" s="2">
        <f>IF(ISBLANK('1_raw_log'!A336),"",'1_raw_log'!A336)</f>
        <v/>
      </c>
      <c r="B336" s="3">
        <f>IF(ISBLANK('1_raw_log'!B336),"",'1_raw_log'!B336)</f>
        <v/>
      </c>
      <c r="C336" s="2">
        <f>IF(ISBLANK('1_raw_log'!C336),"",'1_raw_log'!C336)</f>
        <v/>
      </c>
      <c r="D336" s="2">
        <f>IF(ISBLANK('1_raw_log'!D336),"",'1_raw_log'!D336)</f>
        <v/>
      </c>
      <c r="E336" s="4">
        <f>IF(ISBLANK('1_raw_log'!E336),"",'1_raw_log'!E336)</f>
        <v/>
      </c>
      <c r="F336" s="2">
        <f>IF(ISBLANK('1_raw_log'!F336),"",'1_raw_log'!F336)</f>
        <v/>
      </c>
      <c r="G336" s="2">
        <f>IF(ISBLANK('1_raw_log'!G336),"",'1_raw_log'!G336)</f>
        <v/>
      </c>
      <c r="H336" s="2">
        <f>IF(ISBLANK('1_raw_log'!H336),"",'1_raw_log'!H336)</f>
        <v/>
      </c>
      <c r="I336" s="7">
        <f>IF(ISBLANK('1_raw_log'!I336),"",'1_raw_log'!I336)</f>
        <v/>
      </c>
      <c r="J336" s="2">
        <f>IF(ISBLANK('1_raw_log'!J336),"",'1_raw_log'!J336)</f>
        <v/>
      </c>
      <c r="K336" s="2">
        <f>IF(ISBLANK('1_raw_log'!K336),"",'1_raw_log'!K336)</f>
        <v/>
      </c>
      <c r="L336" s="30">
        <f>INT(B336)</f>
        <v/>
      </c>
      <c r="M336" s="20">
        <f>ROUND(MOD(B336,1)*1440,0)/1440</f>
        <v/>
      </c>
      <c r="N336" s="4">
        <f>IFERROR(INDEX('3_ref_date'!$B:$B,MATCH(L336,'3_ref_date'!$A:$A,0)),"NOT FOUND")</f>
        <v/>
      </c>
      <c r="O336" s="2">
        <f>IFERROR(INDEX('3_ref_date'!$C:$C,MATCH(L336,'3_ref_date'!$A:$A,0)),"NOT FOUND")</f>
        <v/>
      </c>
      <c r="P336" s="4">
        <f>IFERROR(INDEX('3_ref_date'!$D:$D,MATCH(L336,'3_ref_date'!$A:$A,0)),"NOT FOUND")</f>
        <v/>
      </c>
      <c r="Q336" s="4">
        <f>IFERROR(INDEX('3_ref_date'!$E:$E,MATCH(L336,'3_ref_date'!$A:$A,0)),"NOT FOUND")</f>
        <v/>
      </c>
      <c r="R336" s="2">
        <f>IFERROR(INDEX('3_ref_date'!$F:$F,MATCH(L336,'3_ref_date'!$A:$A,0)),"NOT FOUND")</f>
        <v/>
      </c>
      <c r="S336" s="2">
        <f>IFERROR(INDEX('4_ref_time'!$D:$D,MATCH(ROUND(M336*1440,0),'4_ref_time'!$A:$A,0)),"NOT FOUND")</f>
        <v/>
      </c>
      <c r="T336" s="2">
        <f>UPPER(TRIM(C336))</f>
        <v/>
      </c>
      <c r="U336" s="30">
        <f>IF(_xlfn.MAXIFS('6_3nf_branch_history'!$B$2:$B$50,'6_3nf_branch_history'!$A$2:$A$50,T336,'6_3nf_branch_history'!$B$2:$B$50,"&lt;="&amp;L336)=0,"NOT FOUND",_xlfn.MAXIFS('6_3nf_branch_history'!$B$2:$B$50,'6_3nf_branch_history'!$A$2:$A$50,T336,'6_3nf_branch_history'!$B$2:$B$50,"&lt;="&amp;L336))</f>
        <v/>
      </c>
      <c r="V336" s="2">
        <f>IF(U336="NOT FOUND","NOT FOUND",INDEX('6_3nf_branch_history'!$C:$C,SUMPRODUCT(('6_3nf_branch_history'!$A$2:$A$50=T336)*('6_3nf_branch_history'!$B$2:$B$50=U336)*ROW('6_3nf_branch_history'!$A$2:$A$50))))</f>
        <v/>
      </c>
      <c r="W336" s="2">
        <f>IF(U336="NOT FOUND","NOT FOUND",INDEX('6_3nf_branch_history'!$D:$D,SUMPRODUCT(('6_3nf_branch_history'!$A$2:$A$50=T336)*('6_3nf_branch_history'!$B$2:$B$50=U336)*ROW('6_3nf_branch_history'!$A$2:$A$50))))</f>
        <v/>
      </c>
      <c r="X336" s="2">
        <f>IF(U336="NOT FOUND","NOT FOUND",INDEX('6_3nf_branch_history'!$E:$E,SUMPRODUCT(('6_3nf_branch_history'!$A$2:$A$50=T336)*('6_3nf_branch_history'!$B$2:$B$50=U336)*ROW('6_3nf_branch_history'!$A$2:$A$50))))</f>
        <v/>
      </c>
      <c r="Y336" s="2">
        <f>UPPER(TRIM(D336))</f>
        <v/>
      </c>
      <c r="Z336" s="2">
        <f>IFERROR(INDEX('7_3nf_product'!$B:$B,MATCH(Y336,'7_3nf_product'!$A:$A,0)),"NOT FOUND")</f>
        <v/>
      </c>
      <c r="AA336" s="2">
        <f>IFERROR(INDEX('7_3nf_product'!$C:$C,MATCH(Y336,'7_3nf_product'!$A:$A,0)),"NOT FOUND")</f>
        <v/>
      </c>
      <c r="AB336" s="2">
        <f>IFERROR(INDEX('7_3nf_product'!$D:$D,MATCH(Y336,'7_3nf_product'!$A:$A,0)),"NOT FOUND")</f>
        <v/>
      </c>
      <c r="AC336" s="6">
        <f>IFERROR(INDEX('7_3nf_product'!$E:$E,MATCH(Y336,'7_3nf_product'!$A:$A,0)),"NOT FOUND")</f>
        <v/>
      </c>
      <c r="AD336" s="33">
        <f>IF(LEN(TRIM(E336))=10,TRIM(E336),IF(LEN(TRIM(E336))=8,"00"&amp;TRIM(E336),"CHECK"))</f>
        <v/>
      </c>
      <c r="AE336" s="2">
        <f>IFERROR(INDEX('8_3nf_customer'!$C:$C,MATCH(AD336,'8_3nf_customer'!$B:$B,0)),"NOT FOUND")</f>
        <v/>
      </c>
      <c r="AF336" s="30">
        <f>IFERROR(INDEX('8_3nf_customer'!$D:$D,MATCH(AD336,'8_3nf_customer'!$B:$B,0)),"NOT FOUND")</f>
        <v/>
      </c>
      <c r="AG336" s="4">
        <f>IF(ISNUMBER(AF336),DATEDIF(AF336,L336,"y"),"NOT FOUND")</f>
        <v/>
      </c>
      <c r="AH336" s="2">
        <f>IFERROR(INDEX('8_3nf_customer'!$E:$E,MATCH(AD336,'8_3nf_customer'!$B:$B,0)),"NOT FOUND")</f>
        <v/>
      </c>
      <c r="AI336" s="30">
        <f>IF(_xlfn.MAXIFS('9_3nf_customer_history'!$B$2:$B$500,'9_3nf_customer_history'!$A$2:$A$500,AD336,'9_3nf_customer_history'!$B$2:$B$500,"&lt;="&amp;L336)=0,"NOT FOUND",_xlfn.MAXIFS('9_3nf_customer_history'!$B$2:$B$500,'9_3nf_customer_history'!$A$2:$A$500,AD336,'9_3nf_customer_history'!$B$2:$B$500,"&lt;="&amp;L336))</f>
        <v/>
      </c>
      <c r="AJ336" s="2">
        <f>IF(AI336="NOT FOUND","NOT FOUND",INDEX('9_3nf_customer_history'!$C:$C,SUMPRODUCT(('9_3nf_customer_history'!$A$2:$A$500=AD336)*('9_3nf_customer_history'!$B$2:$B$500=AI336)*ROW('9_3nf_customer_history'!$A$2:$A$500))))</f>
        <v/>
      </c>
      <c r="AK336" s="2">
        <f>IF(AI336="NOT FOUND","NOT FOUND",INDEX('9_3nf_customer_history'!$D:$D,SUMPRODUCT(('9_3nf_customer_history'!$A$2:$A$500=AD336)*('9_3nf_customer_history'!$B$2:$B$500=AI336)*ROW('9_3nf_customer_history'!$A$2:$A$500))))</f>
        <v/>
      </c>
      <c r="AL336" s="2">
        <f>UPPER(TRIM(H336))</f>
        <v/>
      </c>
      <c r="AM336" s="30">
        <f>IF(_xlfn.MAXIFS('10_ref_fx_rate'!$B$2:$B$2000,'10_ref_fx_rate'!$A$2:$A$2000,AL336,'10_ref_fx_rate'!$B$2:$B$2000,"&lt;="&amp;L336)=0,"NOT FOUND",_xlfn.MAXIFS('10_ref_fx_rate'!$B$2:$B$2000,'10_ref_fx_rate'!$A$2:$A$2000,AL336,'10_ref_fx_rate'!$B$2:$B$2000,"&lt;="&amp;L336))</f>
        <v/>
      </c>
      <c r="AN336" s="8">
        <f>IF(AM336="NOT FOUND","NOT FOUND",SUMIFS('10_ref_fx_rate'!$D$2:$D$2000,'10_ref_fx_rate'!$A$2:$A$2000,AL336,'10_ref_fx_rate'!$B$2:$B$2000,AM336))</f>
        <v/>
      </c>
      <c r="AO336" s="37">
        <f>IF(ISNUMBER(AN336),I336*AN336,"NOT FOUND")</f>
        <v/>
      </c>
      <c r="AP336" s="2">
        <f>UPPER(TRIM(J336))</f>
        <v/>
      </c>
      <c r="AQ336" s="2">
        <f>IF(AP336="","SELF-DIRECTED",IF(ISNUMBER(MATCH(AP336,'11_3nf_sales_person'!$A:$A,0)),IF(EXACT(AP336,J336),"OK","OK (auto-fixed)"),IF(ISNA(MATCH($A336,'12_sales_person_confirmation'!$A:$A,0)),"CONFIRM (not logged)",IF(INDEX('12_sales_person_confirmation'!$I:$I,MATCH($A336,'12_sales_person_confirmation'!$A:$A,0))="CONFIRMED","CONFIRMED ("&amp;LOWER(INDEX('12_sales_person_confirmation'!$E:$E,MATCH($A336,'12_sales_person_confirmation'!$A:$A,0)))&amp;")","PENDING CONFIRM"))))</f>
        <v/>
      </c>
      <c r="AR336" s="2">
        <f>IF(OR(AQ336="OK",AQ336="OK (auto-fixed)"),AP336,IF(LEFT(AQ336,9)="CONFIRMED",INDEX('12_sales_person_confirmation'!$F:$F,MATCH($A336,'12_sales_person_confirmation'!$A:$A,0)),""))</f>
        <v/>
      </c>
      <c r="AS336" s="2">
        <f>IF(AR336="","",INDEX('11_3nf_sales_person'!$B:$B,MATCH(AR336,'11_3nf_sales_person'!$A:$A,0)))</f>
        <v/>
      </c>
    </row>
    <row r="337">
      <c r="A337" s="2">
        <f>IF(ISBLANK('1_raw_log'!A337),"",'1_raw_log'!A337)</f>
        <v/>
      </c>
      <c r="B337" s="3">
        <f>IF(ISBLANK('1_raw_log'!B337),"",'1_raw_log'!B337)</f>
        <v/>
      </c>
      <c r="C337" s="2">
        <f>IF(ISBLANK('1_raw_log'!C337),"",'1_raw_log'!C337)</f>
        <v/>
      </c>
      <c r="D337" s="2">
        <f>IF(ISBLANK('1_raw_log'!D337),"",'1_raw_log'!D337)</f>
        <v/>
      </c>
      <c r="E337" s="4">
        <f>IF(ISBLANK('1_raw_log'!E337),"",'1_raw_log'!E337)</f>
        <v/>
      </c>
      <c r="F337" s="2">
        <f>IF(ISBLANK('1_raw_log'!F337),"",'1_raw_log'!F337)</f>
        <v/>
      </c>
      <c r="G337" s="2">
        <f>IF(ISBLANK('1_raw_log'!G337),"",'1_raw_log'!G337)</f>
        <v/>
      </c>
      <c r="H337" s="2">
        <f>IF(ISBLANK('1_raw_log'!H337),"",'1_raw_log'!H337)</f>
        <v/>
      </c>
      <c r="I337" s="7">
        <f>IF(ISBLANK('1_raw_log'!I337),"",'1_raw_log'!I337)</f>
        <v/>
      </c>
      <c r="J337" s="2">
        <f>IF(ISBLANK('1_raw_log'!J337),"",'1_raw_log'!J337)</f>
        <v/>
      </c>
      <c r="K337" s="2">
        <f>IF(ISBLANK('1_raw_log'!K337),"",'1_raw_log'!K337)</f>
        <v/>
      </c>
      <c r="L337" s="30">
        <f>INT(B337)</f>
        <v/>
      </c>
      <c r="M337" s="20">
        <f>ROUND(MOD(B337,1)*1440,0)/1440</f>
        <v/>
      </c>
      <c r="N337" s="4">
        <f>IFERROR(INDEX('3_ref_date'!$B:$B,MATCH(L337,'3_ref_date'!$A:$A,0)),"NOT FOUND")</f>
        <v/>
      </c>
      <c r="O337" s="2">
        <f>IFERROR(INDEX('3_ref_date'!$C:$C,MATCH(L337,'3_ref_date'!$A:$A,0)),"NOT FOUND")</f>
        <v/>
      </c>
      <c r="P337" s="4">
        <f>IFERROR(INDEX('3_ref_date'!$D:$D,MATCH(L337,'3_ref_date'!$A:$A,0)),"NOT FOUND")</f>
        <v/>
      </c>
      <c r="Q337" s="4">
        <f>IFERROR(INDEX('3_ref_date'!$E:$E,MATCH(L337,'3_ref_date'!$A:$A,0)),"NOT FOUND")</f>
        <v/>
      </c>
      <c r="R337" s="2">
        <f>IFERROR(INDEX('3_ref_date'!$F:$F,MATCH(L337,'3_ref_date'!$A:$A,0)),"NOT FOUND")</f>
        <v/>
      </c>
      <c r="S337" s="2">
        <f>IFERROR(INDEX('4_ref_time'!$D:$D,MATCH(ROUND(M337*1440,0),'4_ref_time'!$A:$A,0)),"NOT FOUND")</f>
        <v/>
      </c>
      <c r="T337" s="2">
        <f>UPPER(TRIM(C337))</f>
        <v/>
      </c>
      <c r="U337" s="30">
        <f>IF(_xlfn.MAXIFS('6_3nf_branch_history'!$B$2:$B$50,'6_3nf_branch_history'!$A$2:$A$50,T337,'6_3nf_branch_history'!$B$2:$B$50,"&lt;="&amp;L337)=0,"NOT FOUND",_xlfn.MAXIFS('6_3nf_branch_history'!$B$2:$B$50,'6_3nf_branch_history'!$A$2:$A$50,T337,'6_3nf_branch_history'!$B$2:$B$50,"&lt;="&amp;L337))</f>
        <v/>
      </c>
      <c r="V337" s="2">
        <f>IF(U337="NOT FOUND","NOT FOUND",INDEX('6_3nf_branch_history'!$C:$C,SUMPRODUCT(('6_3nf_branch_history'!$A$2:$A$50=T337)*('6_3nf_branch_history'!$B$2:$B$50=U337)*ROW('6_3nf_branch_history'!$A$2:$A$50))))</f>
        <v/>
      </c>
      <c r="W337" s="2">
        <f>IF(U337="NOT FOUND","NOT FOUND",INDEX('6_3nf_branch_history'!$D:$D,SUMPRODUCT(('6_3nf_branch_history'!$A$2:$A$50=T337)*('6_3nf_branch_history'!$B$2:$B$50=U337)*ROW('6_3nf_branch_history'!$A$2:$A$50))))</f>
        <v/>
      </c>
      <c r="X337" s="2">
        <f>IF(U337="NOT FOUND","NOT FOUND",INDEX('6_3nf_branch_history'!$E:$E,SUMPRODUCT(('6_3nf_branch_history'!$A$2:$A$50=T337)*('6_3nf_branch_history'!$B$2:$B$50=U337)*ROW('6_3nf_branch_history'!$A$2:$A$50))))</f>
        <v/>
      </c>
      <c r="Y337" s="2">
        <f>UPPER(TRIM(D337))</f>
        <v/>
      </c>
      <c r="Z337" s="2">
        <f>IFERROR(INDEX('7_3nf_product'!$B:$B,MATCH(Y337,'7_3nf_product'!$A:$A,0)),"NOT FOUND")</f>
        <v/>
      </c>
      <c r="AA337" s="2">
        <f>IFERROR(INDEX('7_3nf_product'!$C:$C,MATCH(Y337,'7_3nf_product'!$A:$A,0)),"NOT FOUND")</f>
        <v/>
      </c>
      <c r="AB337" s="2">
        <f>IFERROR(INDEX('7_3nf_product'!$D:$D,MATCH(Y337,'7_3nf_product'!$A:$A,0)),"NOT FOUND")</f>
        <v/>
      </c>
      <c r="AC337" s="6">
        <f>IFERROR(INDEX('7_3nf_product'!$E:$E,MATCH(Y337,'7_3nf_product'!$A:$A,0)),"NOT FOUND")</f>
        <v/>
      </c>
      <c r="AD337" s="33">
        <f>IF(LEN(TRIM(E337))=10,TRIM(E337),IF(LEN(TRIM(E337))=8,"00"&amp;TRIM(E337),"CHECK"))</f>
        <v/>
      </c>
      <c r="AE337" s="2">
        <f>IFERROR(INDEX('8_3nf_customer'!$C:$C,MATCH(AD337,'8_3nf_customer'!$B:$B,0)),"NOT FOUND")</f>
        <v/>
      </c>
      <c r="AF337" s="30">
        <f>IFERROR(INDEX('8_3nf_customer'!$D:$D,MATCH(AD337,'8_3nf_customer'!$B:$B,0)),"NOT FOUND")</f>
        <v/>
      </c>
      <c r="AG337" s="4">
        <f>IF(ISNUMBER(AF337),DATEDIF(AF337,L337,"y"),"NOT FOUND")</f>
        <v/>
      </c>
      <c r="AH337" s="2">
        <f>IFERROR(INDEX('8_3nf_customer'!$E:$E,MATCH(AD337,'8_3nf_customer'!$B:$B,0)),"NOT FOUND")</f>
        <v/>
      </c>
      <c r="AI337" s="30">
        <f>IF(_xlfn.MAXIFS('9_3nf_customer_history'!$B$2:$B$500,'9_3nf_customer_history'!$A$2:$A$500,AD337,'9_3nf_customer_history'!$B$2:$B$500,"&lt;="&amp;L337)=0,"NOT FOUND",_xlfn.MAXIFS('9_3nf_customer_history'!$B$2:$B$500,'9_3nf_customer_history'!$A$2:$A$500,AD337,'9_3nf_customer_history'!$B$2:$B$500,"&lt;="&amp;L337))</f>
        <v/>
      </c>
      <c r="AJ337" s="2">
        <f>IF(AI337="NOT FOUND","NOT FOUND",INDEX('9_3nf_customer_history'!$C:$C,SUMPRODUCT(('9_3nf_customer_history'!$A$2:$A$500=AD337)*('9_3nf_customer_history'!$B$2:$B$500=AI337)*ROW('9_3nf_customer_history'!$A$2:$A$500))))</f>
        <v/>
      </c>
      <c r="AK337" s="2">
        <f>IF(AI337="NOT FOUND","NOT FOUND",INDEX('9_3nf_customer_history'!$D:$D,SUMPRODUCT(('9_3nf_customer_history'!$A$2:$A$500=AD337)*('9_3nf_customer_history'!$B$2:$B$500=AI337)*ROW('9_3nf_customer_history'!$A$2:$A$500))))</f>
        <v/>
      </c>
      <c r="AL337" s="2">
        <f>UPPER(TRIM(H337))</f>
        <v/>
      </c>
      <c r="AM337" s="30">
        <f>IF(_xlfn.MAXIFS('10_ref_fx_rate'!$B$2:$B$2000,'10_ref_fx_rate'!$A$2:$A$2000,AL337,'10_ref_fx_rate'!$B$2:$B$2000,"&lt;="&amp;L337)=0,"NOT FOUND",_xlfn.MAXIFS('10_ref_fx_rate'!$B$2:$B$2000,'10_ref_fx_rate'!$A$2:$A$2000,AL337,'10_ref_fx_rate'!$B$2:$B$2000,"&lt;="&amp;L337))</f>
        <v/>
      </c>
      <c r="AN337" s="8">
        <f>IF(AM337="NOT FOUND","NOT FOUND",SUMIFS('10_ref_fx_rate'!$D$2:$D$2000,'10_ref_fx_rate'!$A$2:$A$2000,AL337,'10_ref_fx_rate'!$B$2:$B$2000,AM337))</f>
        <v/>
      </c>
      <c r="AO337" s="37">
        <f>IF(ISNUMBER(AN337),I337*AN337,"NOT FOUND")</f>
        <v/>
      </c>
      <c r="AP337" s="2">
        <f>UPPER(TRIM(J337))</f>
        <v/>
      </c>
      <c r="AQ337" s="2">
        <f>IF(AP337="","SELF-DIRECTED",IF(ISNUMBER(MATCH(AP337,'11_3nf_sales_person'!$A:$A,0)),IF(EXACT(AP337,J337),"OK","OK (auto-fixed)"),IF(ISNA(MATCH($A337,'12_sales_person_confirmation'!$A:$A,0)),"CONFIRM (not logged)",IF(INDEX('12_sales_person_confirmation'!$I:$I,MATCH($A337,'12_sales_person_confirmation'!$A:$A,0))="CONFIRMED","CONFIRMED ("&amp;LOWER(INDEX('12_sales_person_confirmation'!$E:$E,MATCH($A337,'12_sales_person_confirmation'!$A:$A,0)))&amp;")","PENDING CONFIRM"))))</f>
        <v/>
      </c>
      <c r="AR337" s="2">
        <f>IF(OR(AQ337="OK",AQ337="OK (auto-fixed)"),AP337,IF(LEFT(AQ337,9)="CONFIRMED",INDEX('12_sales_person_confirmation'!$F:$F,MATCH($A337,'12_sales_person_confirmation'!$A:$A,0)),""))</f>
        <v/>
      </c>
      <c r="AS337" s="2">
        <f>IF(AR337="","",INDEX('11_3nf_sales_person'!$B:$B,MATCH(AR337,'11_3nf_sales_person'!$A:$A,0)))</f>
        <v/>
      </c>
    </row>
    <row r="338">
      <c r="A338" s="2">
        <f>IF(ISBLANK('1_raw_log'!A338),"",'1_raw_log'!A338)</f>
        <v/>
      </c>
      <c r="B338" s="3">
        <f>IF(ISBLANK('1_raw_log'!B338),"",'1_raw_log'!B338)</f>
        <v/>
      </c>
      <c r="C338" s="2">
        <f>IF(ISBLANK('1_raw_log'!C338),"",'1_raw_log'!C338)</f>
        <v/>
      </c>
      <c r="D338" s="2">
        <f>IF(ISBLANK('1_raw_log'!D338),"",'1_raw_log'!D338)</f>
        <v/>
      </c>
      <c r="E338" s="4">
        <f>IF(ISBLANK('1_raw_log'!E338),"",'1_raw_log'!E338)</f>
        <v/>
      </c>
      <c r="F338" s="2">
        <f>IF(ISBLANK('1_raw_log'!F338),"",'1_raw_log'!F338)</f>
        <v/>
      </c>
      <c r="G338" s="2">
        <f>IF(ISBLANK('1_raw_log'!G338),"",'1_raw_log'!G338)</f>
        <v/>
      </c>
      <c r="H338" s="2">
        <f>IF(ISBLANK('1_raw_log'!H338),"",'1_raw_log'!H338)</f>
        <v/>
      </c>
      <c r="I338" s="7">
        <f>IF(ISBLANK('1_raw_log'!I338),"",'1_raw_log'!I338)</f>
        <v/>
      </c>
      <c r="J338" s="2">
        <f>IF(ISBLANK('1_raw_log'!J338),"",'1_raw_log'!J338)</f>
        <v/>
      </c>
      <c r="K338" s="2">
        <f>IF(ISBLANK('1_raw_log'!K338),"",'1_raw_log'!K338)</f>
        <v/>
      </c>
      <c r="L338" s="30">
        <f>INT(B338)</f>
        <v/>
      </c>
      <c r="M338" s="20">
        <f>ROUND(MOD(B338,1)*1440,0)/1440</f>
        <v/>
      </c>
      <c r="N338" s="4">
        <f>IFERROR(INDEX('3_ref_date'!$B:$B,MATCH(L338,'3_ref_date'!$A:$A,0)),"NOT FOUND")</f>
        <v/>
      </c>
      <c r="O338" s="2">
        <f>IFERROR(INDEX('3_ref_date'!$C:$C,MATCH(L338,'3_ref_date'!$A:$A,0)),"NOT FOUND")</f>
        <v/>
      </c>
      <c r="P338" s="4">
        <f>IFERROR(INDEX('3_ref_date'!$D:$D,MATCH(L338,'3_ref_date'!$A:$A,0)),"NOT FOUND")</f>
        <v/>
      </c>
      <c r="Q338" s="4">
        <f>IFERROR(INDEX('3_ref_date'!$E:$E,MATCH(L338,'3_ref_date'!$A:$A,0)),"NOT FOUND")</f>
        <v/>
      </c>
      <c r="R338" s="2">
        <f>IFERROR(INDEX('3_ref_date'!$F:$F,MATCH(L338,'3_ref_date'!$A:$A,0)),"NOT FOUND")</f>
        <v/>
      </c>
      <c r="S338" s="2">
        <f>IFERROR(INDEX('4_ref_time'!$D:$D,MATCH(ROUND(M338*1440,0),'4_ref_time'!$A:$A,0)),"NOT FOUND")</f>
        <v/>
      </c>
      <c r="T338" s="2">
        <f>UPPER(TRIM(C338))</f>
        <v/>
      </c>
      <c r="U338" s="30">
        <f>IF(_xlfn.MAXIFS('6_3nf_branch_history'!$B$2:$B$50,'6_3nf_branch_history'!$A$2:$A$50,T338,'6_3nf_branch_history'!$B$2:$B$50,"&lt;="&amp;L338)=0,"NOT FOUND",_xlfn.MAXIFS('6_3nf_branch_history'!$B$2:$B$50,'6_3nf_branch_history'!$A$2:$A$50,T338,'6_3nf_branch_history'!$B$2:$B$50,"&lt;="&amp;L338))</f>
        <v/>
      </c>
      <c r="V338" s="2">
        <f>IF(U338="NOT FOUND","NOT FOUND",INDEX('6_3nf_branch_history'!$C:$C,SUMPRODUCT(('6_3nf_branch_history'!$A$2:$A$50=T338)*('6_3nf_branch_history'!$B$2:$B$50=U338)*ROW('6_3nf_branch_history'!$A$2:$A$50))))</f>
        <v/>
      </c>
      <c r="W338" s="2">
        <f>IF(U338="NOT FOUND","NOT FOUND",INDEX('6_3nf_branch_history'!$D:$D,SUMPRODUCT(('6_3nf_branch_history'!$A$2:$A$50=T338)*('6_3nf_branch_history'!$B$2:$B$50=U338)*ROW('6_3nf_branch_history'!$A$2:$A$50))))</f>
        <v/>
      </c>
      <c r="X338" s="2">
        <f>IF(U338="NOT FOUND","NOT FOUND",INDEX('6_3nf_branch_history'!$E:$E,SUMPRODUCT(('6_3nf_branch_history'!$A$2:$A$50=T338)*('6_3nf_branch_history'!$B$2:$B$50=U338)*ROW('6_3nf_branch_history'!$A$2:$A$50))))</f>
        <v/>
      </c>
      <c r="Y338" s="2">
        <f>UPPER(TRIM(D338))</f>
        <v/>
      </c>
      <c r="Z338" s="2">
        <f>IFERROR(INDEX('7_3nf_product'!$B:$B,MATCH(Y338,'7_3nf_product'!$A:$A,0)),"NOT FOUND")</f>
        <v/>
      </c>
      <c r="AA338" s="2">
        <f>IFERROR(INDEX('7_3nf_product'!$C:$C,MATCH(Y338,'7_3nf_product'!$A:$A,0)),"NOT FOUND")</f>
        <v/>
      </c>
      <c r="AB338" s="2">
        <f>IFERROR(INDEX('7_3nf_product'!$D:$D,MATCH(Y338,'7_3nf_product'!$A:$A,0)),"NOT FOUND")</f>
        <v/>
      </c>
      <c r="AC338" s="6">
        <f>IFERROR(INDEX('7_3nf_product'!$E:$E,MATCH(Y338,'7_3nf_product'!$A:$A,0)),"NOT FOUND")</f>
        <v/>
      </c>
      <c r="AD338" s="33">
        <f>IF(LEN(TRIM(E338))=10,TRIM(E338),IF(LEN(TRIM(E338))=8,"00"&amp;TRIM(E338),"CHECK"))</f>
        <v/>
      </c>
      <c r="AE338" s="2">
        <f>IFERROR(INDEX('8_3nf_customer'!$C:$C,MATCH(AD338,'8_3nf_customer'!$B:$B,0)),"NOT FOUND")</f>
        <v/>
      </c>
      <c r="AF338" s="30">
        <f>IFERROR(INDEX('8_3nf_customer'!$D:$D,MATCH(AD338,'8_3nf_customer'!$B:$B,0)),"NOT FOUND")</f>
        <v/>
      </c>
      <c r="AG338" s="4">
        <f>IF(ISNUMBER(AF338),DATEDIF(AF338,L338,"y"),"NOT FOUND")</f>
        <v/>
      </c>
      <c r="AH338" s="2">
        <f>IFERROR(INDEX('8_3nf_customer'!$E:$E,MATCH(AD338,'8_3nf_customer'!$B:$B,0)),"NOT FOUND")</f>
        <v/>
      </c>
      <c r="AI338" s="30">
        <f>IF(_xlfn.MAXIFS('9_3nf_customer_history'!$B$2:$B$500,'9_3nf_customer_history'!$A$2:$A$500,AD338,'9_3nf_customer_history'!$B$2:$B$500,"&lt;="&amp;L338)=0,"NOT FOUND",_xlfn.MAXIFS('9_3nf_customer_history'!$B$2:$B$500,'9_3nf_customer_history'!$A$2:$A$500,AD338,'9_3nf_customer_history'!$B$2:$B$500,"&lt;="&amp;L338))</f>
        <v/>
      </c>
      <c r="AJ338" s="2">
        <f>IF(AI338="NOT FOUND","NOT FOUND",INDEX('9_3nf_customer_history'!$C:$C,SUMPRODUCT(('9_3nf_customer_history'!$A$2:$A$500=AD338)*('9_3nf_customer_history'!$B$2:$B$500=AI338)*ROW('9_3nf_customer_history'!$A$2:$A$500))))</f>
        <v/>
      </c>
      <c r="AK338" s="2">
        <f>IF(AI338="NOT FOUND","NOT FOUND",INDEX('9_3nf_customer_history'!$D:$D,SUMPRODUCT(('9_3nf_customer_history'!$A$2:$A$500=AD338)*('9_3nf_customer_history'!$B$2:$B$500=AI338)*ROW('9_3nf_customer_history'!$A$2:$A$500))))</f>
        <v/>
      </c>
      <c r="AL338" s="2">
        <f>UPPER(TRIM(H338))</f>
        <v/>
      </c>
      <c r="AM338" s="30">
        <f>IF(_xlfn.MAXIFS('10_ref_fx_rate'!$B$2:$B$2000,'10_ref_fx_rate'!$A$2:$A$2000,AL338,'10_ref_fx_rate'!$B$2:$B$2000,"&lt;="&amp;L338)=0,"NOT FOUND",_xlfn.MAXIFS('10_ref_fx_rate'!$B$2:$B$2000,'10_ref_fx_rate'!$A$2:$A$2000,AL338,'10_ref_fx_rate'!$B$2:$B$2000,"&lt;="&amp;L338))</f>
        <v/>
      </c>
      <c r="AN338" s="8">
        <f>IF(AM338="NOT FOUND","NOT FOUND",SUMIFS('10_ref_fx_rate'!$D$2:$D$2000,'10_ref_fx_rate'!$A$2:$A$2000,AL338,'10_ref_fx_rate'!$B$2:$B$2000,AM338))</f>
        <v/>
      </c>
      <c r="AO338" s="37">
        <f>IF(ISNUMBER(AN338),I338*AN338,"NOT FOUND")</f>
        <v/>
      </c>
      <c r="AP338" s="2">
        <f>UPPER(TRIM(J338))</f>
        <v/>
      </c>
      <c r="AQ338" s="2">
        <f>IF(AP338="","SELF-DIRECTED",IF(ISNUMBER(MATCH(AP338,'11_3nf_sales_person'!$A:$A,0)),IF(EXACT(AP338,J338),"OK","OK (auto-fixed)"),IF(ISNA(MATCH($A338,'12_sales_person_confirmation'!$A:$A,0)),"CONFIRM (not logged)",IF(INDEX('12_sales_person_confirmation'!$I:$I,MATCH($A338,'12_sales_person_confirmation'!$A:$A,0))="CONFIRMED","CONFIRMED ("&amp;LOWER(INDEX('12_sales_person_confirmation'!$E:$E,MATCH($A338,'12_sales_person_confirmation'!$A:$A,0)))&amp;")","PENDING CONFIRM"))))</f>
        <v/>
      </c>
      <c r="AR338" s="2">
        <f>IF(OR(AQ338="OK",AQ338="OK (auto-fixed)"),AP338,IF(LEFT(AQ338,9)="CONFIRMED",INDEX('12_sales_person_confirmation'!$F:$F,MATCH($A338,'12_sales_person_confirmation'!$A:$A,0)),""))</f>
        <v/>
      </c>
      <c r="AS338" s="2">
        <f>IF(AR338="","",INDEX('11_3nf_sales_person'!$B:$B,MATCH(AR338,'11_3nf_sales_person'!$A:$A,0)))</f>
        <v/>
      </c>
    </row>
    <row r="339">
      <c r="A339" s="2">
        <f>IF(ISBLANK('1_raw_log'!A339),"",'1_raw_log'!A339)</f>
        <v/>
      </c>
      <c r="B339" s="3">
        <f>IF(ISBLANK('1_raw_log'!B339),"",'1_raw_log'!B339)</f>
        <v/>
      </c>
      <c r="C339" s="2">
        <f>IF(ISBLANK('1_raw_log'!C339),"",'1_raw_log'!C339)</f>
        <v/>
      </c>
      <c r="D339" s="2">
        <f>IF(ISBLANK('1_raw_log'!D339),"",'1_raw_log'!D339)</f>
        <v/>
      </c>
      <c r="E339" s="4">
        <f>IF(ISBLANK('1_raw_log'!E339),"",'1_raw_log'!E339)</f>
        <v/>
      </c>
      <c r="F339" s="2">
        <f>IF(ISBLANK('1_raw_log'!F339),"",'1_raw_log'!F339)</f>
        <v/>
      </c>
      <c r="G339" s="2">
        <f>IF(ISBLANK('1_raw_log'!G339),"",'1_raw_log'!G339)</f>
        <v/>
      </c>
      <c r="H339" s="2">
        <f>IF(ISBLANK('1_raw_log'!H339),"",'1_raw_log'!H339)</f>
        <v/>
      </c>
      <c r="I339" s="7">
        <f>IF(ISBLANK('1_raw_log'!I339),"",'1_raw_log'!I339)</f>
        <v/>
      </c>
      <c r="J339" s="2">
        <f>IF(ISBLANK('1_raw_log'!J339),"",'1_raw_log'!J339)</f>
        <v/>
      </c>
      <c r="K339" s="2">
        <f>IF(ISBLANK('1_raw_log'!K339),"",'1_raw_log'!K339)</f>
        <v/>
      </c>
      <c r="L339" s="30">
        <f>INT(B339)</f>
        <v/>
      </c>
      <c r="M339" s="20">
        <f>ROUND(MOD(B339,1)*1440,0)/1440</f>
        <v/>
      </c>
      <c r="N339" s="4">
        <f>IFERROR(INDEX('3_ref_date'!$B:$B,MATCH(L339,'3_ref_date'!$A:$A,0)),"NOT FOUND")</f>
        <v/>
      </c>
      <c r="O339" s="2">
        <f>IFERROR(INDEX('3_ref_date'!$C:$C,MATCH(L339,'3_ref_date'!$A:$A,0)),"NOT FOUND")</f>
        <v/>
      </c>
      <c r="P339" s="4">
        <f>IFERROR(INDEX('3_ref_date'!$D:$D,MATCH(L339,'3_ref_date'!$A:$A,0)),"NOT FOUND")</f>
        <v/>
      </c>
      <c r="Q339" s="4">
        <f>IFERROR(INDEX('3_ref_date'!$E:$E,MATCH(L339,'3_ref_date'!$A:$A,0)),"NOT FOUND")</f>
        <v/>
      </c>
      <c r="R339" s="2">
        <f>IFERROR(INDEX('3_ref_date'!$F:$F,MATCH(L339,'3_ref_date'!$A:$A,0)),"NOT FOUND")</f>
        <v/>
      </c>
      <c r="S339" s="2">
        <f>IFERROR(INDEX('4_ref_time'!$D:$D,MATCH(ROUND(M339*1440,0),'4_ref_time'!$A:$A,0)),"NOT FOUND")</f>
        <v/>
      </c>
      <c r="T339" s="2">
        <f>UPPER(TRIM(C339))</f>
        <v/>
      </c>
      <c r="U339" s="30">
        <f>IF(_xlfn.MAXIFS('6_3nf_branch_history'!$B$2:$B$50,'6_3nf_branch_history'!$A$2:$A$50,T339,'6_3nf_branch_history'!$B$2:$B$50,"&lt;="&amp;L339)=0,"NOT FOUND",_xlfn.MAXIFS('6_3nf_branch_history'!$B$2:$B$50,'6_3nf_branch_history'!$A$2:$A$50,T339,'6_3nf_branch_history'!$B$2:$B$50,"&lt;="&amp;L339))</f>
        <v/>
      </c>
      <c r="V339" s="2">
        <f>IF(U339="NOT FOUND","NOT FOUND",INDEX('6_3nf_branch_history'!$C:$C,SUMPRODUCT(('6_3nf_branch_history'!$A$2:$A$50=T339)*('6_3nf_branch_history'!$B$2:$B$50=U339)*ROW('6_3nf_branch_history'!$A$2:$A$50))))</f>
        <v/>
      </c>
      <c r="W339" s="2">
        <f>IF(U339="NOT FOUND","NOT FOUND",INDEX('6_3nf_branch_history'!$D:$D,SUMPRODUCT(('6_3nf_branch_history'!$A$2:$A$50=T339)*('6_3nf_branch_history'!$B$2:$B$50=U339)*ROW('6_3nf_branch_history'!$A$2:$A$50))))</f>
        <v/>
      </c>
      <c r="X339" s="2">
        <f>IF(U339="NOT FOUND","NOT FOUND",INDEX('6_3nf_branch_history'!$E:$E,SUMPRODUCT(('6_3nf_branch_history'!$A$2:$A$50=T339)*('6_3nf_branch_history'!$B$2:$B$50=U339)*ROW('6_3nf_branch_history'!$A$2:$A$50))))</f>
        <v/>
      </c>
      <c r="Y339" s="2">
        <f>UPPER(TRIM(D339))</f>
        <v/>
      </c>
      <c r="Z339" s="2">
        <f>IFERROR(INDEX('7_3nf_product'!$B:$B,MATCH(Y339,'7_3nf_product'!$A:$A,0)),"NOT FOUND")</f>
        <v/>
      </c>
      <c r="AA339" s="2">
        <f>IFERROR(INDEX('7_3nf_product'!$C:$C,MATCH(Y339,'7_3nf_product'!$A:$A,0)),"NOT FOUND")</f>
        <v/>
      </c>
      <c r="AB339" s="2">
        <f>IFERROR(INDEX('7_3nf_product'!$D:$D,MATCH(Y339,'7_3nf_product'!$A:$A,0)),"NOT FOUND")</f>
        <v/>
      </c>
      <c r="AC339" s="6">
        <f>IFERROR(INDEX('7_3nf_product'!$E:$E,MATCH(Y339,'7_3nf_product'!$A:$A,0)),"NOT FOUND")</f>
        <v/>
      </c>
      <c r="AD339" s="33">
        <f>IF(LEN(TRIM(E339))=10,TRIM(E339),IF(LEN(TRIM(E339))=8,"00"&amp;TRIM(E339),"CHECK"))</f>
        <v/>
      </c>
      <c r="AE339" s="2">
        <f>IFERROR(INDEX('8_3nf_customer'!$C:$C,MATCH(AD339,'8_3nf_customer'!$B:$B,0)),"NOT FOUND")</f>
        <v/>
      </c>
      <c r="AF339" s="30">
        <f>IFERROR(INDEX('8_3nf_customer'!$D:$D,MATCH(AD339,'8_3nf_customer'!$B:$B,0)),"NOT FOUND")</f>
        <v/>
      </c>
      <c r="AG339" s="4">
        <f>IF(ISNUMBER(AF339),DATEDIF(AF339,L339,"y"),"NOT FOUND")</f>
        <v/>
      </c>
      <c r="AH339" s="2">
        <f>IFERROR(INDEX('8_3nf_customer'!$E:$E,MATCH(AD339,'8_3nf_customer'!$B:$B,0)),"NOT FOUND")</f>
        <v/>
      </c>
      <c r="AI339" s="30">
        <f>IF(_xlfn.MAXIFS('9_3nf_customer_history'!$B$2:$B$500,'9_3nf_customer_history'!$A$2:$A$500,AD339,'9_3nf_customer_history'!$B$2:$B$500,"&lt;="&amp;L339)=0,"NOT FOUND",_xlfn.MAXIFS('9_3nf_customer_history'!$B$2:$B$500,'9_3nf_customer_history'!$A$2:$A$500,AD339,'9_3nf_customer_history'!$B$2:$B$500,"&lt;="&amp;L339))</f>
        <v/>
      </c>
      <c r="AJ339" s="2">
        <f>IF(AI339="NOT FOUND","NOT FOUND",INDEX('9_3nf_customer_history'!$C:$C,SUMPRODUCT(('9_3nf_customer_history'!$A$2:$A$500=AD339)*('9_3nf_customer_history'!$B$2:$B$500=AI339)*ROW('9_3nf_customer_history'!$A$2:$A$500))))</f>
        <v/>
      </c>
      <c r="AK339" s="2">
        <f>IF(AI339="NOT FOUND","NOT FOUND",INDEX('9_3nf_customer_history'!$D:$D,SUMPRODUCT(('9_3nf_customer_history'!$A$2:$A$500=AD339)*('9_3nf_customer_history'!$B$2:$B$500=AI339)*ROW('9_3nf_customer_history'!$A$2:$A$500))))</f>
        <v/>
      </c>
      <c r="AL339" s="2">
        <f>UPPER(TRIM(H339))</f>
        <v/>
      </c>
      <c r="AM339" s="30">
        <f>IF(_xlfn.MAXIFS('10_ref_fx_rate'!$B$2:$B$2000,'10_ref_fx_rate'!$A$2:$A$2000,AL339,'10_ref_fx_rate'!$B$2:$B$2000,"&lt;="&amp;L339)=0,"NOT FOUND",_xlfn.MAXIFS('10_ref_fx_rate'!$B$2:$B$2000,'10_ref_fx_rate'!$A$2:$A$2000,AL339,'10_ref_fx_rate'!$B$2:$B$2000,"&lt;="&amp;L339))</f>
        <v/>
      </c>
      <c r="AN339" s="8">
        <f>IF(AM339="NOT FOUND","NOT FOUND",SUMIFS('10_ref_fx_rate'!$D$2:$D$2000,'10_ref_fx_rate'!$A$2:$A$2000,AL339,'10_ref_fx_rate'!$B$2:$B$2000,AM339))</f>
        <v/>
      </c>
      <c r="AO339" s="37">
        <f>IF(ISNUMBER(AN339),I339*AN339,"NOT FOUND")</f>
        <v/>
      </c>
      <c r="AP339" s="2">
        <f>UPPER(TRIM(J339))</f>
        <v/>
      </c>
      <c r="AQ339" s="2">
        <f>IF(AP339="","SELF-DIRECTED",IF(ISNUMBER(MATCH(AP339,'11_3nf_sales_person'!$A:$A,0)),IF(EXACT(AP339,J339),"OK","OK (auto-fixed)"),IF(ISNA(MATCH($A339,'12_sales_person_confirmation'!$A:$A,0)),"CONFIRM (not logged)",IF(INDEX('12_sales_person_confirmation'!$I:$I,MATCH($A339,'12_sales_person_confirmation'!$A:$A,0))="CONFIRMED","CONFIRMED ("&amp;LOWER(INDEX('12_sales_person_confirmation'!$E:$E,MATCH($A339,'12_sales_person_confirmation'!$A:$A,0)))&amp;")","PENDING CONFIRM"))))</f>
        <v/>
      </c>
      <c r="AR339" s="2">
        <f>IF(OR(AQ339="OK",AQ339="OK (auto-fixed)"),AP339,IF(LEFT(AQ339,9)="CONFIRMED",INDEX('12_sales_person_confirmation'!$F:$F,MATCH($A339,'12_sales_person_confirmation'!$A:$A,0)),""))</f>
        <v/>
      </c>
      <c r="AS339" s="2">
        <f>IF(AR339="","",INDEX('11_3nf_sales_person'!$B:$B,MATCH(AR339,'11_3nf_sales_person'!$A:$A,0)))</f>
        <v/>
      </c>
    </row>
    <row r="340">
      <c r="A340" s="2">
        <f>IF(ISBLANK('1_raw_log'!A340),"",'1_raw_log'!A340)</f>
        <v/>
      </c>
      <c r="B340" s="3">
        <f>IF(ISBLANK('1_raw_log'!B340),"",'1_raw_log'!B340)</f>
        <v/>
      </c>
      <c r="C340" s="2">
        <f>IF(ISBLANK('1_raw_log'!C340),"",'1_raw_log'!C340)</f>
        <v/>
      </c>
      <c r="D340" s="2">
        <f>IF(ISBLANK('1_raw_log'!D340),"",'1_raw_log'!D340)</f>
        <v/>
      </c>
      <c r="E340" s="4">
        <f>IF(ISBLANK('1_raw_log'!E340),"",'1_raw_log'!E340)</f>
        <v/>
      </c>
      <c r="F340" s="2">
        <f>IF(ISBLANK('1_raw_log'!F340),"",'1_raw_log'!F340)</f>
        <v/>
      </c>
      <c r="G340" s="2">
        <f>IF(ISBLANK('1_raw_log'!G340),"",'1_raw_log'!G340)</f>
        <v/>
      </c>
      <c r="H340" s="2">
        <f>IF(ISBLANK('1_raw_log'!H340),"",'1_raw_log'!H340)</f>
        <v/>
      </c>
      <c r="I340" s="7">
        <f>IF(ISBLANK('1_raw_log'!I340),"",'1_raw_log'!I340)</f>
        <v/>
      </c>
      <c r="J340" s="2">
        <f>IF(ISBLANK('1_raw_log'!J340),"",'1_raw_log'!J340)</f>
        <v/>
      </c>
      <c r="K340" s="2">
        <f>IF(ISBLANK('1_raw_log'!K340),"",'1_raw_log'!K340)</f>
        <v/>
      </c>
      <c r="L340" s="30">
        <f>INT(B340)</f>
        <v/>
      </c>
      <c r="M340" s="20">
        <f>ROUND(MOD(B340,1)*1440,0)/1440</f>
        <v/>
      </c>
      <c r="N340" s="4">
        <f>IFERROR(INDEX('3_ref_date'!$B:$B,MATCH(L340,'3_ref_date'!$A:$A,0)),"NOT FOUND")</f>
        <v/>
      </c>
      <c r="O340" s="2">
        <f>IFERROR(INDEX('3_ref_date'!$C:$C,MATCH(L340,'3_ref_date'!$A:$A,0)),"NOT FOUND")</f>
        <v/>
      </c>
      <c r="P340" s="4">
        <f>IFERROR(INDEX('3_ref_date'!$D:$D,MATCH(L340,'3_ref_date'!$A:$A,0)),"NOT FOUND")</f>
        <v/>
      </c>
      <c r="Q340" s="4">
        <f>IFERROR(INDEX('3_ref_date'!$E:$E,MATCH(L340,'3_ref_date'!$A:$A,0)),"NOT FOUND")</f>
        <v/>
      </c>
      <c r="R340" s="2">
        <f>IFERROR(INDEX('3_ref_date'!$F:$F,MATCH(L340,'3_ref_date'!$A:$A,0)),"NOT FOUND")</f>
        <v/>
      </c>
      <c r="S340" s="2">
        <f>IFERROR(INDEX('4_ref_time'!$D:$D,MATCH(ROUND(M340*1440,0),'4_ref_time'!$A:$A,0)),"NOT FOUND")</f>
        <v/>
      </c>
      <c r="T340" s="2">
        <f>UPPER(TRIM(C340))</f>
        <v/>
      </c>
      <c r="U340" s="30">
        <f>IF(_xlfn.MAXIFS('6_3nf_branch_history'!$B$2:$B$50,'6_3nf_branch_history'!$A$2:$A$50,T340,'6_3nf_branch_history'!$B$2:$B$50,"&lt;="&amp;L340)=0,"NOT FOUND",_xlfn.MAXIFS('6_3nf_branch_history'!$B$2:$B$50,'6_3nf_branch_history'!$A$2:$A$50,T340,'6_3nf_branch_history'!$B$2:$B$50,"&lt;="&amp;L340))</f>
        <v/>
      </c>
      <c r="V340" s="2">
        <f>IF(U340="NOT FOUND","NOT FOUND",INDEX('6_3nf_branch_history'!$C:$C,SUMPRODUCT(('6_3nf_branch_history'!$A$2:$A$50=T340)*('6_3nf_branch_history'!$B$2:$B$50=U340)*ROW('6_3nf_branch_history'!$A$2:$A$50))))</f>
        <v/>
      </c>
      <c r="W340" s="2">
        <f>IF(U340="NOT FOUND","NOT FOUND",INDEX('6_3nf_branch_history'!$D:$D,SUMPRODUCT(('6_3nf_branch_history'!$A$2:$A$50=T340)*('6_3nf_branch_history'!$B$2:$B$50=U340)*ROW('6_3nf_branch_history'!$A$2:$A$50))))</f>
        <v/>
      </c>
      <c r="X340" s="2">
        <f>IF(U340="NOT FOUND","NOT FOUND",INDEX('6_3nf_branch_history'!$E:$E,SUMPRODUCT(('6_3nf_branch_history'!$A$2:$A$50=T340)*('6_3nf_branch_history'!$B$2:$B$50=U340)*ROW('6_3nf_branch_history'!$A$2:$A$50))))</f>
        <v/>
      </c>
      <c r="Y340" s="2">
        <f>UPPER(TRIM(D340))</f>
        <v/>
      </c>
      <c r="Z340" s="2">
        <f>IFERROR(INDEX('7_3nf_product'!$B:$B,MATCH(Y340,'7_3nf_product'!$A:$A,0)),"NOT FOUND")</f>
        <v/>
      </c>
      <c r="AA340" s="2">
        <f>IFERROR(INDEX('7_3nf_product'!$C:$C,MATCH(Y340,'7_3nf_product'!$A:$A,0)),"NOT FOUND")</f>
        <v/>
      </c>
      <c r="AB340" s="2">
        <f>IFERROR(INDEX('7_3nf_product'!$D:$D,MATCH(Y340,'7_3nf_product'!$A:$A,0)),"NOT FOUND")</f>
        <v/>
      </c>
      <c r="AC340" s="6">
        <f>IFERROR(INDEX('7_3nf_product'!$E:$E,MATCH(Y340,'7_3nf_product'!$A:$A,0)),"NOT FOUND")</f>
        <v/>
      </c>
      <c r="AD340" s="33">
        <f>IF(LEN(TRIM(E340))=10,TRIM(E340),IF(LEN(TRIM(E340))=8,"00"&amp;TRIM(E340),"CHECK"))</f>
        <v/>
      </c>
      <c r="AE340" s="2">
        <f>IFERROR(INDEX('8_3nf_customer'!$C:$C,MATCH(AD340,'8_3nf_customer'!$B:$B,0)),"NOT FOUND")</f>
        <v/>
      </c>
      <c r="AF340" s="30">
        <f>IFERROR(INDEX('8_3nf_customer'!$D:$D,MATCH(AD340,'8_3nf_customer'!$B:$B,0)),"NOT FOUND")</f>
        <v/>
      </c>
      <c r="AG340" s="4">
        <f>IF(ISNUMBER(AF340),DATEDIF(AF340,L340,"y"),"NOT FOUND")</f>
        <v/>
      </c>
      <c r="AH340" s="2">
        <f>IFERROR(INDEX('8_3nf_customer'!$E:$E,MATCH(AD340,'8_3nf_customer'!$B:$B,0)),"NOT FOUND")</f>
        <v/>
      </c>
      <c r="AI340" s="30">
        <f>IF(_xlfn.MAXIFS('9_3nf_customer_history'!$B$2:$B$500,'9_3nf_customer_history'!$A$2:$A$500,AD340,'9_3nf_customer_history'!$B$2:$B$500,"&lt;="&amp;L340)=0,"NOT FOUND",_xlfn.MAXIFS('9_3nf_customer_history'!$B$2:$B$500,'9_3nf_customer_history'!$A$2:$A$500,AD340,'9_3nf_customer_history'!$B$2:$B$500,"&lt;="&amp;L340))</f>
        <v/>
      </c>
      <c r="AJ340" s="2">
        <f>IF(AI340="NOT FOUND","NOT FOUND",INDEX('9_3nf_customer_history'!$C:$C,SUMPRODUCT(('9_3nf_customer_history'!$A$2:$A$500=AD340)*('9_3nf_customer_history'!$B$2:$B$500=AI340)*ROW('9_3nf_customer_history'!$A$2:$A$500))))</f>
        <v/>
      </c>
      <c r="AK340" s="2">
        <f>IF(AI340="NOT FOUND","NOT FOUND",INDEX('9_3nf_customer_history'!$D:$D,SUMPRODUCT(('9_3nf_customer_history'!$A$2:$A$500=AD340)*('9_3nf_customer_history'!$B$2:$B$500=AI340)*ROW('9_3nf_customer_history'!$A$2:$A$500))))</f>
        <v/>
      </c>
      <c r="AL340" s="2">
        <f>UPPER(TRIM(H340))</f>
        <v/>
      </c>
      <c r="AM340" s="30">
        <f>IF(_xlfn.MAXIFS('10_ref_fx_rate'!$B$2:$B$2000,'10_ref_fx_rate'!$A$2:$A$2000,AL340,'10_ref_fx_rate'!$B$2:$B$2000,"&lt;="&amp;L340)=0,"NOT FOUND",_xlfn.MAXIFS('10_ref_fx_rate'!$B$2:$B$2000,'10_ref_fx_rate'!$A$2:$A$2000,AL340,'10_ref_fx_rate'!$B$2:$B$2000,"&lt;="&amp;L340))</f>
        <v/>
      </c>
      <c r="AN340" s="8">
        <f>IF(AM340="NOT FOUND","NOT FOUND",SUMIFS('10_ref_fx_rate'!$D$2:$D$2000,'10_ref_fx_rate'!$A$2:$A$2000,AL340,'10_ref_fx_rate'!$B$2:$B$2000,AM340))</f>
        <v/>
      </c>
      <c r="AO340" s="37">
        <f>IF(ISNUMBER(AN340),I340*AN340,"NOT FOUND")</f>
        <v/>
      </c>
      <c r="AP340" s="2">
        <f>UPPER(TRIM(J340))</f>
        <v/>
      </c>
      <c r="AQ340" s="2">
        <f>IF(AP340="","SELF-DIRECTED",IF(ISNUMBER(MATCH(AP340,'11_3nf_sales_person'!$A:$A,0)),IF(EXACT(AP340,J340),"OK","OK (auto-fixed)"),IF(ISNA(MATCH($A340,'12_sales_person_confirmation'!$A:$A,0)),"CONFIRM (not logged)",IF(INDEX('12_sales_person_confirmation'!$I:$I,MATCH($A340,'12_sales_person_confirmation'!$A:$A,0))="CONFIRMED","CONFIRMED ("&amp;LOWER(INDEX('12_sales_person_confirmation'!$E:$E,MATCH($A340,'12_sales_person_confirmation'!$A:$A,0)))&amp;")","PENDING CONFIRM"))))</f>
        <v/>
      </c>
      <c r="AR340" s="2">
        <f>IF(OR(AQ340="OK",AQ340="OK (auto-fixed)"),AP340,IF(LEFT(AQ340,9)="CONFIRMED",INDEX('12_sales_person_confirmation'!$F:$F,MATCH($A340,'12_sales_person_confirmation'!$A:$A,0)),""))</f>
        <v/>
      </c>
      <c r="AS340" s="2">
        <f>IF(AR340="","",INDEX('11_3nf_sales_person'!$B:$B,MATCH(AR340,'11_3nf_sales_person'!$A:$A,0)))</f>
        <v/>
      </c>
    </row>
    <row r="341">
      <c r="A341" s="2">
        <f>IF(ISBLANK('1_raw_log'!A341),"",'1_raw_log'!A341)</f>
        <v/>
      </c>
      <c r="B341" s="3">
        <f>IF(ISBLANK('1_raw_log'!B341),"",'1_raw_log'!B341)</f>
        <v/>
      </c>
      <c r="C341" s="2">
        <f>IF(ISBLANK('1_raw_log'!C341),"",'1_raw_log'!C341)</f>
        <v/>
      </c>
      <c r="D341" s="2">
        <f>IF(ISBLANK('1_raw_log'!D341),"",'1_raw_log'!D341)</f>
        <v/>
      </c>
      <c r="E341" s="4">
        <f>IF(ISBLANK('1_raw_log'!E341),"",'1_raw_log'!E341)</f>
        <v/>
      </c>
      <c r="F341" s="2">
        <f>IF(ISBLANK('1_raw_log'!F341),"",'1_raw_log'!F341)</f>
        <v/>
      </c>
      <c r="G341" s="2">
        <f>IF(ISBLANK('1_raw_log'!G341),"",'1_raw_log'!G341)</f>
        <v/>
      </c>
      <c r="H341" s="2">
        <f>IF(ISBLANK('1_raw_log'!H341),"",'1_raw_log'!H341)</f>
        <v/>
      </c>
      <c r="I341" s="7">
        <f>IF(ISBLANK('1_raw_log'!I341),"",'1_raw_log'!I341)</f>
        <v/>
      </c>
      <c r="J341" s="2">
        <f>IF(ISBLANK('1_raw_log'!J341),"",'1_raw_log'!J341)</f>
        <v/>
      </c>
      <c r="K341" s="2">
        <f>IF(ISBLANK('1_raw_log'!K341),"",'1_raw_log'!K341)</f>
        <v/>
      </c>
      <c r="L341" s="30">
        <f>INT(B341)</f>
        <v/>
      </c>
      <c r="M341" s="20">
        <f>ROUND(MOD(B341,1)*1440,0)/1440</f>
        <v/>
      </c>
      <c r="N341" s="4">
        <f>IFERROR(INDEX('3_ref_date'!$B:$B,MATCH(L341,'3_ref_date'!$A:$A,0)),"NOT FOUND")</f>
        <v/>
      </c>
      <c r="O341" s="2">
        <f>IFERROR(INDEX('3_ref_date'!$C:$C,MATCH(L341,'3_ref_date'!$A:$A,0)),"NOT FOUND")</f>
        <v/>
      </c>
      <c r="P341" s="4">
        <f>IFERROR(INDEX('3_ref_date'!$D:$D,MATCH(L341,'3_ref_date'!$A:$A,0)),"NOT FOUND")</f>
        <v/>
      </c>
      <c r="Q341" s="4">
        <f>IFERROR(INDEX('3_ref_date'!$E:$E,MATCH(L341,'3_ref_date'!$A:$A,0)),"NOT FOUND")</f>
        <v/>
      </c>
      <c r="R341" s="2">
        <f>IFERROR(INDEX('3_ref_date'!$F:$F,MATCH(L341,'3_ref_date'!$A:$A,0)),"NOT FOUND")</f>
        <v/>
      </c>
      <c r="S341" s="2">
        <f>IFERROR(INDEX('4_ref_time'!$D:$D,MATCH(ROUND(M341*1440,0),'4_ref_time'!$A:$A,0)),"NOT FOUND")</f>
        <v/>
      </c>
      <c r="T341" s="2">
        <f>UPPER(TRIM(C341))</f>
        <v/>
      </c>
      <c r="U341" s="30">
        <f>IF(_xlfn.MAXIFS('6_3nf_branch_history'!$B$2:$B$50,'6_3nf_branch_history'!$A$2:$A$50,T341,'6_3nf_branch_history'!$B$2:$B$50,"&lt;="&amp;L341)=0,"NOT FOUND",_xlfn.MAXIFS('6_3nf_branch_history'!$B$2:$B$50,'6_3nf_branch_history'!$A$2:$A$50,T341,'6_3nf_branch_history'!$B$2:$B$50,"&lt;="&amp;L341))</f>
        <v/>
      </c>
      <c r="V341" s="2">
        <f>IF(U341="NOT FOUND","NOT FOUND",INDEX('6_3nf_branch_history'!$C:$C,SUMPRODUCT(('6_3nf_branch_history'!$A$2:$A$50=T341)*('6_3nf_branch_history'!$B$2:$B$50=U341)*ROW('6_3nf_branch_history'!$A$2:$A$50))))</f>
        <v/>
      </c>
      <c r="W341" s="2">
        <f>IF(U341="NOT FOUND","NOT FOUND",INDEX('6_3nf_branch_history'!$D:$D,SUMPRODUCT(('6_3nf_branch_history'!$A$2:$A$50=T341)*('6_3nf_branch_history'!$B$2:$B$50=U341)*ROW('6_3nf_branch_history'!$A$2:$A$50))))</f>
        <v/>
      </c>
      <c r="X341" s="2">
        <f>IF(U341="NOT FOUND","NOT FOUND",INDEX('6_3nf_branch_history'!$E:$E,SUMPRODUCT(('6_3nf_branch_history'!$A$2:$A$50=T341)*('6_3nf_branch_history'!$B$2:$B$50=U341)*ROW('6_3nf_branch_history'!$A$2:$A$50))))</f>
        <v/>
      </c>
      <c r="Y341" s="2">
        <f>UPPER(TRIM(D341))</f>
        <v/>
      </c>
      <c r="Z341" s="2">
        <f>IFERROR(INDEX('7_3nf_product'!$B:$B,MATCH(Y341,'7_3nf_product'!$A:$A,0)),"NOT FOUND")</f>
        <v/>
      </c>
      <c r="AA341" s="2">
        <f>IFERROR(INDEX('7_3nf_product'!$C:$C,MATCH(Y341,'7_3nf_product'!$A:$A,0)),"NOT FOUND")</f>
        <v/>
      </c>
      <c r="AB341" s="2">
        <f>IFERROR(INDEX('7_3nf_product'!$D:$D,MATCH(Y341,'7_3nf_product'!$A:$A,0)),"NOT FOUND")</f>
        <v/>
      </c>
      <c r="AC341" s="6">
        <f>IFERROR(INDEX('7_3nf_product'!$E:$E,MATCH(Y341,'7_3nf_product'!$A:$A,0)),"NOT FOUND")</f>
        <v/>
      </c>
      <c r="AD341" s="33">
        <f>IF(LEN(TRIM(E341))=10,TRIM(E341),IF(LEN(TRIM(E341))=8,"00"&amp;TRIM(E341),"CHECK"))</f>
        <v/>
      </c>
      <c r="AE341" s="2">
        <f>IFERROR(INDEX('8_3nf_customer'!$C:$C,MATCH(AD341,'8_3nf_customer'!$B:$B,0)),"NOT FOUND")</f>
        <v/>
      </c>
      <c r="AF341" s="30">
        <f>IFERROR(INDEX('8_3nf_customer'!$D:$D,MATCH(AD341,'8_3nf_customer'!$B:$B,0)),"NOT FOUND")</f>
        <v/>
      </c>
      <c r="AG341" s="4">
        <f>IF(ISNUMBER(AF341),DATEDIF(AF341,L341,"y"),"NOT FOUND")</f>
        <v/>
      </c>
      <c r="AH341" s="2">
        <f>IFERROR(INDEX('8_3nf_customer'!$E:$E,MATCH(AD341,'8_3nf_customer'!$B:$B,0)),"NOT FOUND")</f>
        <v/>
      </c>
      <c r="AI341" s="30">
        <f>IF(_xlfn.MAXIFS('9_3nf_customer_history'!$B$2:$B$500,'9_3nf_customer_history'!$A$2:$A$500,AD341,'9_3nf_customer_history'!$B$2:$B$500,"&lt;="&amp;L341)=0,"NOT FOUND",_xlfn.MAXIFS('9_3nf_customer_history'!$B$2:$B$500,'9_3nf_customer_history'!$A$2:$A$500,AD341,'9_3nf_customer_history'!$B$2:$B$500,"&lt;="&amp;L341))</f>
        <v/>
      </c>
      <c r="AJ341" s="2">
        <f>IF(AI341="NOT FOUND","NOT FOUND",INDEX('9_3nf_customer_history'!$C:$C,SUMPRODUCT(('9_3nf_customer_history'!$A$2:$A$500=AD341)*('9_3nf_customer_history'!$B$2:$B$500=AI341)*ROW('9_3nf_customer_history'!$A$2:$A$500))))</f>
        <v/>
      </c>
      <c r="AK341" s="2">
        <f>IF(AI341="NOT FOUND","NOT FOUND",INDEX('9_3nf_customer_history'!$D:$D,SUMPRODUCT(('9_3nf_customer_history'!$A$2:$A$500=AD341)*('9_3nf_customer_history'!$B$2:$B$500=AI341)*ROW('9_3nf_customer_history'!$A$2:$A$500))))</f>
        <v/>
      </c>
      <c r="AL341" s="2">
        <f>UPPER(TRIM(H341))</f>
        <v/>
      </c>
      <c r="AM341" s="30">
        <f>IF(_xlfn.MAXIFS('10_ref_fx_rate'!$B$2:$B$2000,'10_ref_fx_rate'!$A$2:$A$2000,AL341,'10_ref_fx_rate'!$B$2:$B$2000,"&lt;="&amp;L341)=0,"NOT FOUND",_xlfn.MAXIFS('10_ref_fx_rate'!$B$2:$B$2000,'10_ref_fx_rate'!$A$2:$A$2000,AL341,'10_ref_fx_rate'!$B$2:$B$2000,"&lt;="&amp;L341))</f>
        <v/>
      </c>
      <c r="AN341" s="8">
        <f>IF(AM341="NOT FOUND","NOT FOUND",SUMIFS('10_ref_fx_rate'!$D$2:$D$2000,'10_ref_fx_rate'!$A$2:$A$2000,AL341,'10_ref_fx_rate'!$B$2:$B$2000,AM341))</f>
        <v/>
      </c>
      <c r="AO341" s="37">
        <f>IF(ISNUMBER(AN341),I341*AN341,"NOT FOUND")</f>
        <v/>
      </c>
      <c r="AP341" s="2">
        <f>UPPER(TRIM(J341))</f>
        <v/>
      </c>
      <c r="AQ341" s="2">
        <f>IF(AP341="","SELF-DIRECTED",IF(ISNUMBER(MATCH(AP341,'11_3nf_sales_person'!$A:$A,0)),IF(EXACT(AP341,J341),"OK","OK (auto-fixed)"),IF(ISNA(MATCH($A341,'12_sales_person_confirmation'!$A:$A,0)),"CONFIRM (not logged)",IF(INDEX('12_sales_person_confirmation'!$I:$I,MATCH($A341,'12_sales_person_confirmation'!$A:$A,0))="CONFIRMED","CONFIRMED ("&amp;LOWER(INDEX('12_sales_person_confirmation'!$E:$E,MATCH($A341,'12_sales_person_confirmation'!$A:$A,0)))&amp;")","PENDING CONFIRM"))))</f>
        <v/>
      </c>
      <c r="AR341" s="2">
        <f>IF(OR(AQ341="OK",AQ341="OK (auto-fixed)"),AP341,IF(LEFT(AQ341,9)="CONFIRMED",INDEX('12_sales_person_confirmation'!$F:$F,MATCH($A341,'12_sales_person_confirmation'!$A:$A,0)),""))</f>
        <v/>
      </c>
      <c r="AS341" s="2">
        <f>IF(AR341="","",INDEX('11_3nf_sales_person'!$B:$B,MATCH(AR341,'11_3nf_sales_person'!$A:$A,0)))</f>
        <v/>
      </c>
    </row>
    <row r="342">
      <c r="A342" s="2">
        <f>IF(ISBLANK('1_raw_log'!A342),"",'1_raw_log'!A342)</f>
        <v/>
      </c>
      <c r="B342" s="3">
        <f>IF(ISBLANK('1_raw_log'!B342),"",'1_raw_log'!B342)</f>
        <v/>
      </c>
      <c r="C342" s="2">
        <f>IF(ISBLANK('1_raw_log'!C342),"",'1_raw_log'!C342)</f>
        <v/>
      </c>
      <c r="D342" s="2">
        <f>IF(ISBLANK('1_raw_log'!D342),"",'1_raw_log'!D342)</f>
        <v/>
      </c>
      <c r="E342" s="4">
        <f>IF(ISBLANK('1_raw_log'!E342),"",'1_raw_log'!E342)</f>
        <v/>
      </c>
      <c r="F342" s="2">
        <f>IF(ISBLANK('1_raw_log'!F342),"",'1_raw_log'!F342)</f>
        <v/>
      </c>
      <c r="G342" s="2">
        <f>IF(ISBLANK('1_raw_log'!G342),"",'1_raw_log'!G342)</f>
        <v/>
      </c>
      <c r="H342" s="2">
        <f>IF(ISBLANK('1_raw_log'!H342),"",'1_raw_log'!H342)</f>
        <v/>
      </c>
      <c r="I342" s="7">
        <f>IF(ISBLANK('1_raw_log'!I342),"",'1_raw_log'!I342)</f>
        <v/>
      </c>
      <c r="J342" s="2">
        <f>IF(ISBLANK('1_raw_log'!J342),"",'1_raw_log'!J342)</f>
        <v/>
      </c>
      <c r="K342" s="2">
        <f>IF(ISBLANK('1_raw_log'!K342),"",'1_raw_log'!K342)</f>
        <v/>
      </c>
      <c r="L342" s="30">
        <f>INT(B342)</f>
        <v/>
      </c>
      <c r="M342" s="20">
        <f>ROUND(MOD(B342,1)*1440,0)/1440</f>
        <v/>
      </c>
      <c r="N342" s="4">
        <f>IFERROR(INDEX('3_ref_date'!$B:$B,MATCH(L342,'3_ref_date'!$A:$A,0)),"NOT FOUND")</f>
        <v/>
      </c>
      <c r="O342" s="2">
        <f>IFERROR(INDEX('3_ref_date'!$C:$C,MATCH(L342,'3_ref_date'!$A:$A,0)),"NOT FOUND")</f>
        <v/>
      </c>
      <c r="P342" s="4">
        <f>IFERROR(INDEX('3_ref_date'!$D:$D,MATCH(L342,'3_ref_date'!$A:$A,0)),"NOT FOUND")</f>
        <v/>
      </c>
      <c r="Q342" s="4">
        <f>IFERROR(INDEX('3_ref_date'!$E:$E,MATCH(L342,'3_ref_date'!$A:$A,0)),"NOT FOUND")</f>
        <v/>
      </c>
      <c r="R342" s="2">
        <f>IFERROR(INDEX('3_ref_date'!$F:$F,MATCH(L342,'3_ref_date'!$A:$A,0)),"NOT FOUND")</f>
        <v/>
      </c>
      <c r="S342" s="2">
        <f>IFERROR(INDEX('4_ref_time'!$D:$D,MATCH(ROUND(M342*1440,0),'4_ref_time'!$A:$A,0)),"NOT FOUND")</f>
        <v/>
      </c>
      <c r="T342" s="2">
        <f>UPPER(TRIM(C342))</f>
        <v/>
      </c>
      <c r="U342" s="30">
        <f>IF(_xlfn.MAXIFS('6_3nf_branch_history'!$B$2:$B$50,'6_3nf_branch_history'!$A$2:$A$50,T342,'6_3nf_branch_history'!$B$2:$B$50,"&lt;="&amp;L342)=0,"NOT FOUND",_xlfn.MAXIFS('6_3nf_branch_history'!$B$2:$B$50,'6_3nf_branch_history'!$A$2:$A$50,T342,'6_3nf_branch_history'!$B$2:$B$50,"&lt;="&amp;L342))</f>
        <v/>
      </c>
      <c r="V342" s="2">
        <f>IF(U342="NOT FOUND","NOT FOUND",INDEX('6_3nf_branch_history'!$C:$C,SUMPRODUCT(('6_3nf_branch_history'!$A$2:$A$50=T342)*('6_3nf_branch_history'!$B$2:$B$50=U342)*ROW('6_3nf_branch_history'!$A$2:$A$50))))</f>
        <v/>
      </c>
      <c r="W342" s="2">
        <f>IF(U342="NOT FOUND","NOT FOUND",INDEX('6_3nf_branch_history'!$D:$D,SUMPRODUCT(('6_3nf_branch_history'!$A$2:$A$50=T342)*('6_3nf_branch_history'!$B$2:$B$50=U342)*ROW('6_3nf_branch_history'!$A$2:$A$50))))</f>
        <v/>
      </c>
      <c r="X342" s="2">
        <f>IF(U342="NOT FOUND","NOT FOUND",INDEX('6_3nf_branch_history'!$E:$E,SUMPRODUCT(('6_3nf_branch_history'!$A$2:$A$50=T342)*('6_3nf_branch_history'!$B$2:$B$50=U342)*ROW('6_3nf_branch_history'!$A$2:$A$50))))</f>
        <v/>
      </c>
      <c r="Y342" s="2">
        <f>UPPER(TRIM(D342))</f>
        <v/>
      </c>
      <c r="Z342" s="2">
        <f>IFERROR(INDEX('7_3nf_product'!$B:$B,MATCH(Y342,'7_3nf_product'!$A:$A,0)),"NOT FOUND")</f>
        <v/>
      </c>
      <c r="AA342" s="2">
        <f>IFERROR(INDEX('7_3nf_product'!$C:$C,MATCH(Y342,'7_3nf_product'!$A:$A,0)),"NOT FOUND")</f>
        <v/>
      </c>
      <c r="AB342" s="2">
        <f>IFERROR(INDEX('7_3nf_product'!$D:$D,MATCH(Y342,'7_3nf_product'!$A:$A,0)),"NOT FOUND")</f>
        <v/>
      </c>
      <c r="AC342" s="6">
        <f>IFERROR(INDEX('7_3nf_product'!$E:$E,MATCH(Y342,'7_3nf_product'!$A:$A,0)),"NOT FOUND")</f>
        <v/>
      </c>
      <c r="AD342" s="33">
        <f>IF(LEN(TRIM(E342))=10,TRIM(E342),IF(LEN(TRIM(E342))=8,"00"&amp;TRIM(E342),"CHECK"))</f>
        <v/>
      </c>
      <c r="AE342" s="2">
        <f>IFERROR(INDEX('8_3nf_customer'!$C:$C,MATCH(AD342,'8_3nf_customer'!$B:$B,0)),"NOT FOUND")</f>
        <v/>
      </c>
      <c r="AF342" s="30">
        <f>IFERROR(INDEX('8_3nf_customer'!$D:$D,MATCH(AD342,'8_3nf_customer'!$B:$B,0)),"NOT FOUND")</f>
        <v/>
      </c>
      <c r="AG342" s="4">
        <f>IF(ISNUMBER(AF342),DATEDIF(AF342,L342,"y"),"NOT FOUND")</f>
        <v/>
      </c>
      <c r="AH342" s="2">
        <f>IFERROR(INDEX('8_3nf_customer'!$E:$E,MATCH(AD342,'8_3nf_customer'!$B:$B,0)),"NOT FOUND")</f>
        <v/>
      </c>
      <c r="AI342" s="30">
        <f>IF(_xlfn.MAXIFS('9_3nf_customer_history'!$B$2:$B$500,'9_3nf_customer_history'!$A$2:$A$500,AD342,'9_3nf_customer_history'!$B$2:$B$500,"&lt;="&amp;L342)=0,"NOT FOUND",_xlfn.MAXIFS('9_3nf_customer_history'!$B$2:$B$500,'9_3nf_customer_history'!$A$2:$A$500,AD342,'9_3nf_customer_history'!$B$2:$B$500,"&lt;="&amp;L342))</f>
        <v/>
      </c>
      <c r="AJ342" s="2">
        <f>IF(AI342="NOT FOUND","NOT FOUND",INDEX('9_3nf_customer_history'!$C:$C,SUMPRODUCT(('9_3nf_customer_history'!$A$2:$A$500=AD342)*('9_3nf_customer_history'!$B$2:$B$500=AI342)*ROW('9_3nf_customer_history'!$A$2:$A$500))))</f>
        <v/>
      </c>
      <c r="AK342" s="2">
        <f>IF(AI342="NOT FOUND","NOT FOUND",INDEX('9_3nf_customer_history'!$D:$D,SUMPRODUCT(('9_3nf_customer_history'!$A$2:$A$500=AD342)*('9_3nf_customer_history'!$B$2:$B$500=AI342)*ROW('9_3nf_customer_history'!$A$2:$A$500))))</f>
        <v/>
      </c>
      <c r="AL342" s="2">
        <f>UPPER(TRIM(H342))</f>
        <v/>
      </c>
      <c r="AM342" s="30">
        <f>IF(_xlfn.MAXIFS('10_ref_fx_rate'!$B$2:$B$2000,'10_ref_fx_rate'!$A$2:$A$2000,AL342,'10_ref_fx_rate'!$B$2:$B$2000,"&lt;="&amp;L342)=0,"NOT FOUND",_xlfn.MAXIFS('10_ref_fx_rate'!$B$2:$B$2000,'10_ref_fx_rate'!$A$2:$A$2000,AL342,'10_ref_fx_rate'!$B$2:$B$2000,"&lt;="&amp;L342))</f>
        <v/>
      </c>
      <c r="AN342" s="8">
        <f>IF(AM342="NOT FOUND","NOT FOUND",SUMIFS('10_ref_fx_rate'!$D$2:$D$2000,'10_ref_fx_rate'!$A$2:$A$2000,AL342,'10_ref_fx_rate'!$B$2:$B$2000,AM342))</f>
        <v/>
      </c>
      <c r="AO342" s="37">
        <f>IF(ISNUMBER(AN342),I342*AN342,"NOT FOUND")</f>
        <v/>
      </c>
      <c r="AP342" s="2">
        <f>UPPER(TRIM(J342))</f>
        <v/>
      </c>
      <c r="AQ342" s="2">
        <f>IF(AP342="","SELF-DIRECTED",IF(ISNUMBER(MATCH(AP342,'11_3nf_sales_person'!$A:$A,0)),IF(EXACT(AP342,J342),"OK","OK (auto-fixed)"),IF(ISNA(MATCH($A342,'12_sales_person_confirmation'!$A:$A,0)),"CONFIRM (not logged)",IF(INDEX('12_sales_person_confirmation'!$I:$I,MATCH($A342,'12_sales_person_confirmation'!$A:$A,0))="CONFIRMED","CONFIRMED ("&amp;LOWER(INDEX('12_sales_person_confirmation'!$E:$E,MATCH($A342,'12_sales_person_confirmation'!$A:$A,0)))&amp;")","PENDING CONFIRM"))))</f>
        <v/>
      </c>
      <c r="AR342" s="2">
        <f>IF(OR(AQ342="OK",AQ342="OK (auto-fixed)"),AP342,IF(LEFT(AQ342,9)="CONFIRMED",INDEX('12_sales_person_confirmation'!$F:$F,MATCH($A342,'12_sales_person_confirmation'!$A:$A,0)),""))</f>
        <v/>
      </c>
      <c r="AS342" s="2">
        <f>IF(AR342="","",INDEX('11_3nf_sales_person'!$B:$B,MATCH(AR342,'11_3nf_sales_person'!$A:$A,0)))</f>
        <v/>
      </c>
    </row>
    <row r="343">
      <c r="A343" s="2">
        <f>IF(ISBLANK('1_raw_log'!A343),"",'1_raw_log'!A343)</f>
        <v/>
      </c>
      <c r="B343" s="3">
        <f>IF(ISBLANK('1_raw_log'!B343),"",'1_raw_log'!B343)</f>
        <v/>
      </c>
      <c r="C343" s="2">
        <f>IF(ISBLANK('1_raw_log'!C343),"",'1_raw_log'!C343)</f>
        <v/>
      </c>
      <c r="D343" s="2">
        <f>IF(ISBLANK('1_raw_log'!D343),"",'1_raw_log'!D343)</f>
        <v/>
      </c>
      <c r="E343" s="4">
        <f>IF(ISBLANK('1_raw_log'!E343),"",'1_raw_log'!E343)</f>
        <v/>
      </c>
      <c r="F343" s="2">
        <f>IF(ISBLANK('1_raw_log'!F343),"",'1_raw_log'!F343)</f>
        <v/>
      </c>
      <c r="G343" s="2">
        <f>IF(ISBLANK('1_raw_log'!G343),"",'1_raw_log'!G343)</f>
        <v/>
      </c>
      <c r="H343" s="2">
        <f>IF(ISBLANK('1_raw_log'!H343),"",'1_raw_log'!H343)</f>
        <v/>
      </c>
      <c r="I343" s="7">
        <f>IF(ISBLANK('1_raw_log'!I343),"",'1_raw_log'!I343)</f>
        <v/>
      </c>
      <c r="J343" s="2">
        <f>IF(ISBLANK('1_raw_log'!J343),"",'1_raw_log'!J343)</f>
        <v/>
      </c>
      <c r="K343" s="2">
        <f>IF(ISBLANK('1_raw_log'!K343),"",'1_raw_log'!K343)</f>
        <v/>
      </c>
      <c r="L343" s="30">
        <f>INT(B343)</f>
        <v/>
      </c>
      <c r="M343" s="20">
        <f>ROUND(MOD(B343,1)*1440,0)/1440</f>
        <v/>
      </c>
      <c r="N343" s="4">
        <f>IFERROR(INDEX('3_ref_date'!$B:$B,MATCH(L343,'3_ref_date'!$A:$A,0)),"NOT FOUND")</f>
        <v/>
      </c>
      <c r="O343" s="2">
        <f>IFERROR(INDEX('3_ref_date'!$C:$C,MATCH(L343,'3_ref_date'!$A:$A,0)),"NOT FOUND")</f>
        <v/>
      </c>
      <c r="P343" s="4">
        <f>IFERROR(INDEX('3_ref_date'!$D:$D,MATCH(L343,'3_ref_date'!$A:$A,0)),"NOT FOUND")</f>
        <v/>
      </c>
      <c r="Q343" s="4">
        <f>IFERROR(INDEX('3_ref_date'!$E:$E,MATCH(L343,'3_ref_date'!$A:$A,0)),"NOT FOUND")</f>
        <v/>
      </c>
      <c r="R343" s="2">
        <f>IFERROR(INDEX('3_ref_date'!$F:$F,MATCH(L343,'3_ref_date'!$A:$A,0)),"NOT FOUND")</f>
        <v/>
      </c>
      <c r="S343" s="2">
        <f>IFERROR(INDEX('4_ref_time'!$D:$D,MATCH(ROUND(M343*1440,0),'4_ref_time'!$A:$A,0)),"NOT FOUND")</f>
        <v/>
      </c>
      <c r="T343" s="2">
        <f>UPPER(TRIM(C343))</f>
        <v/>
      </c>
      <c r="U343" s="30">
        <f>IF(_xlfn.MAXIFS('6_3nf_branch_history'!$B$2:$B$50,'6_3nf_branch_history'!$A$2:$A$50,T343,'6_3nf_branch_history'!$B$2:$B$50,"&lt;="&amp;L343)=0,"NOT FOUND",_xlfn.MAXIFS('6_3nf_branch_history'!$B$2:$B$50,'6_3nf_branch_history'!$A$2:$A$50,T343,'6_3nf_branch_history'!$B$2:$B$50,"&lt;="&amp;L343))</f>
        <v/>
      </c>
      <c r="V343" s="2">
        <f>IF(U343="NOT FOUND","NOT FOUND",INDEX('6_3nf_branch_history'!$C:$C,SUMPRODUCT(('6_3nf_branch_history'!$A$2:$A$50=T343)*('6_3nf_branch_history'!$B$2:$B$50=U343)*ROW('6_3nf_branch_history'!$A$2:$A$50))))</f>
        <v/>
      </c>
      <c r="W343" s="2">
        <f>IF(U343="NOT FOUND","NOT FOUND",INDEX('6_3nf_branch_history'!$D:$D,SUMPRODUCT(('6_3nf_branch_history'!$A$2:$A$50=T343)*('6_3nf_branch_history'!$B$2:$B$50=U343)*ROW('6_3nf_branch_history'!$A$2:$A$50))))</f>
        <v/>
      </c>
      <c r="X343" s="2">
        <f>IF(U343="NOT FOUND","NOT FOUND",INDEX('6_3nf_branch_history'!$E:$E,SUMPRODUCT(('6_3nf_branch_history'!$A$2:$A$50=T343)*('6_3nf_branch_history'!$B$2:$B$50=U343)*ROW('6_3nf_branch_history'!$A$2:$A$50))))</f>
        <v/>
      </c>
      <c r="Y343" s="2">
        <f>UPPER(TRIM(D343))</f>
        <v/>
      </c>
      <c r="Z343" s="2">
        <f>IFERROR(INDEX('7_3nf_product'!$B:$B,MATCH(Y343,'7_3nf_product'!$A:$A,0)),"NOT FOUND")</f>
        <v/>
      </c>
      <c r="AA343" s="2">
        <f>IFERROR(INDEX('7_3nf_product'!$C:$C,MATCH(Y343,'7_3nf_product'!$A:$A,0)),"NOT FOUND")</f>
        <v/>
      </c>
      <c r="AB343" s="2">
        <f>IFERROR(INDEX('7_3nf_product'!$D:$D,MATCH(Y343,'7_3nf_product'!$A:$A,0)),"NOT FOUND")</f>
        <v/>
      </c>
      <c r="AC343" s="6">
        <f>IFERROR(INDEX('7_3nf_product'!$E:$E,MATCH(Y343,'7_3nf_product'!$A:$A,0)),"NOT FOUND")</f>
        <v/>
      </c>
      <c r="AD343" s="33">
        <f>IF(LEN(TRIM(E343))=10,TRIM(E343),IF(LEN(TRIM(E343))=8,"00"&amp;TRIM(E343),"CHECK"))</f>
        <v/>
      </c>
      <c r="AE343" s="2">
        <f>IFERROR(INDEX('8_3nf_customer'!$C:$C,MATCH(AD343,'8_3nf_customer'!$B:$B,0)),"NOT FOUND")</f>
        <v/>
      </c>
      <c r="AF343" s="30">
        <f>IFERROR(INDEX('8_3nf_customer'!$D:$D,MATCH(AD343,'8_3nf_customer'!$B:$B,0)),"NOT FOUND")</f>
        <v/>
      </c>
      <c r="AG343" s="4">
        <f>IF(ISNUMBER(AF343),DATEDIF(AF343,L343,"y"),"NOT FOUND")</f>
        <v/>
      </c>
      <c r="AH343" s="2">
        <f>IFERROR(INDEX('8_3nf_customer'!$E:$E,MATCH(AD343,'8_3nf_customer'!$B:$B,0)),"NOT FOUND")</f>
        <v/>
      </c>
      <c r="AI343" s="30">
        <f>IF(_xlfn.MAXIFS('9_3nf_customer_history'!$B$2:$B$500,'9_3nf_customer_history'!$A$2:$A$500,AD343,'9_3nf_customer_history'!$B$2:$B$500,"&lt;="&amp;L343)=0,"NOT FOUND",_xlfn.MAXIFS('9_3nf_customer_history'!$B$2:$B$500,'9_3nf_customer_history'!$A$2:$A$500,AD343,'9_3nf_customer_history'!$B$2:$B$500,"&lt;="&amp;L343))</f>
        <v/>
      </c>
      <c r="AJ343" s="2">
        <f>IF(AI343="NOT FOUND","NOT FOUND",INDEX('9_3nf_customer_history'!$C:$C,SUMPRODUCT(('9_3nf_customer_history'!$A$2:$A$500=AD343)*('9_3nf_customer_history'!$B$2:$B$500=AI343)*ROW('9_3nf_customer_history'!$A$2:$A$500))))</f>
        <v/>
      </c>
      <c r="AK343" s="2">
        <f>IF(AI343="NOT FOUND","NOT FOUND",INDEX('9_3nf_customer_history'!$D:$D,SUMPRODUCT(('9_3nf_customer_history'!$A$2:$A$500=AD343)*('9_3nf_customer_history'!$B$2:$B$500=AI343)*ROW('9_3nf_customer_history'!$A$2:$A$500))))</f>
        <v/>
      </c>
      <c r="AL343" s="2">
        <f>UPPER(TRIM(H343))</f>
        <v/>
      </c>
      <c r="AM343" s="30">
        <f>IF(_xlfn.MAXIFS('10_ref_fx_rate'!$B$2:$B$2000,'10_ref_fx_rate'!$A$2:$A$2000,AL343,'10_ref_fx_rate'!$B$2:$B$2000,"&lt;="&amp;L343)=0,"NOT FOUND",_xlfn.MAXIFS('10_ref_fx_rate'!$B$2:$B$2000,'10_ref_fx_rate'!$A$2:$A$2000,AL343,'10_ref_fx_rate'!$B$2:$B$2000,"&lt;="&amp;L343))</f>
        <v/>
      </c>
      <c r="AN343" s="8">
        <f>IF(AM343="NOT FOUND","NOT FOUND",SUMIFS('10_ref_fx_rate'!$D$2:$D$2000,'10_ref_fx_rate'!$A$2:$A$2000,AL343,'10_ref_fx_rate'!$B$2:$B$2000,AM343))</f>
        <v/>
      </c>
      <c r="AO343" s="37">
        <f>IF(ISNUMBER(AN343),I343*AN343,"NOT FOUND")</f>
        <v/>
      </c>
      <c r="AP343" s="2">
        <f>UPPER(TRIM(J343))</f>
        <v/>
      </c>
      <c r="AQ343" s="2">
        <f>IF(AP343="","SELF-DIRECTED",IF(ISNUMBER(MATCH(AP343,'11_3nf_sales_person'!$A:$A,0)),IF(EXACT(AP343,J343),"OK","OK (auto-fixed)"),IF(ISNA(MATCH($A343,'12_sales_person_confirmation'!$A:$A,0)),"CONFIRM (not logged)",IF(INDEX('12_sales_person_confirmation'!$I:$I,MATCH($A343,'12_sales_person_confirmation'!$A:$A,0))="CONFIRMED","CONFIRMED ("&amp;LOWER(INDEX('12_sales_person_confirmation'!$E:$E,MATCH($A343,'12_sales_person_confirmation'!$A:$A,0)))&amp;")","PENDING CONFIRM"))))</f>
        <v/>
      </c>
      <c r="AR343" s="2">
        <f>IF(OR(AQ343="OK",AQ343="OK (auto-fixed)"),AP343,IF(LEFT(AQ343,9)="CONFIRMED",INDEX('12_sales_person_confirmation'!$F:$F,MATCH($A343,'12_sales_person_confirmation'!$A:$A,0)),""))</f>
        <v/>
      </c>
      <c r="AS343" s="2">
        <f>IF(AR343="","",INDEX('11_3nf_sales_person'!$B:$B,MATCH(AR343,'11_3nf_sales_person'!$A:$A,0)))</f>
        <v/>
      </c>
    </row>
    <row r="344">
      <c r="A344" s="2">
        <f>IF(ISBLANK('1_raw_log'!A344),"",'1_raw_log'!A344)</f>
        <v/>
      </c>
      <c r="B344" s="3">
        <f>IF(ISBLANK('1_raw_log'!B344),"",'1_raw_log'!B344)</f>
        <v/>
      </c>
      <c r="C344" s="2">
        <f>IF(ISBLANK('1_raw_log'!C344),"",'1_raw_log'!C344)</f>
        <v/>
      </c>
      <c r="D344" s="2">
        <f>IF(ISBLANK('1_raw_log'!D344),"",'1_raw_log'!D344)</f>
        <v/>
      </c>
      <c r="E344" s="4">
        <f>IF(ISBLANK('1_raw_log'!E344),"",'1_raw_log'!E344)</f>
        <v/>
      </c>
      <c r="F344" s="2">
        <f>IF(ISBLANK('1_raw_log'!F344),"",'1_raw_log'!F344)</f>
        <v/>
      </c>
      <c r="G344" s="2">
        <f>IF(ISBLANK('1_raw_log'!G344),"",'1_raw_log'!G344)</f>
        <v/>
      </c>
      <c r="H344" s="2">
        <f>IF(ISBLANK('1_raw_log'!H344),"",'1_raw_log'!H344)</f>
        <v/>
      </c>
      <c r="I344" s="7">
        <f>IF(ISBLANK('1_raw_log'!I344),"",'1_raw_log'!I344)</f>
        <v/>
      </c>
      <c r="J344" s="2">
        <f>IF(ISBLANK('1_raw_log'!J344),"",'1_raw_log'!J344)</f>
        <v/>
      </c>
      <c r="K344" s="2">
        <f>IF(ISBLANK('1_raw_log'!K344),"",'1_raw_log'!K344)</f>
        <v/>
      </c>
      <c r="L344" s="30">
        <f>INT(B344)</f>
        <v/>
      </c>
      <c r="M344" s="20">
        <f>ROUND(MOD(B344,1)*1440,0)/1440</f>
        <v/>
      </c>
      <c r="N344" s="4">
        <f>IFERROR(INDEX('3_ref_date'!$B:$B,MATCH(L344,'3_ref_date'!$A:$A,0)),"NOT FOUND")</f>
        <v/>
      </c>
      <c r="O344" s="2">
        <f>IFERROR(INDEX('3_ref_date'!$C:$C,MATCH(L344,'3_ref_date'!$A:$A,0)),"NOT FOUND")</f>
        <v/>
      </c>
      <c r="P344" s="4">
        <f>IFERROR(INDEX('3_ref_date'!$D:$D,MATCH(L344,'3_ref_date'!$A:$A,0)),"NOT FOUND")</f>
        <v/>
      </c>
      <c r="Q344" s="4">
        <f>IFERROR(INDEX('3_ref_date'!$E:$E,MATCH(L344,'3_ref_date'!$A:$A,0)),"NOT FOUND")</f>
        <v/>
      </c>
      <c r="R344" s="2">
        <f>IFERROR(INDEX('3_ref_date'!$F:$F,MATCH(L344,'3_ref_date'!$A:$A,0)),"NOT FOUND")</f>
        <v/>
      </c>
      <c r="S344" s="2">
        <f>IFERROR(INDEX('4_ref_time'!$D:$D,MATCH(ROUND(M344*1440,0),'4_ref_time'!$A:$A,0)),"NOT FOUND")</f>
        <v/>
      </c>
      <c r="T344" s="2">
        <f>UPPER(TRIM(C344))</f>
        <v/>
      </c>
      <c r="U344" s="30">
        <f>IF(_xlfn.MAXIFS('6_3nf_branch_history'!$B$2:$B$50,'6_3nf_branch_history'!$A$2:$A$50,T344,'6_3nf_branch_history'!$B$2:$B$50,"&lt;="&amp;L344)=0,"NOT FOUND",_xlfn.MAXIFS('6_3nf_branch_history'!$B$2:$B$50,'6_3nf_branch_history'!$A$2:$A$50,T344,'6_3nf_branch_history'!$B$2:$B$50,"&lt;="&amp;L344))</f>
        <v/>
      </c>
      <c r="V344" s="2">
        <f>IF(U344="NOT FOUND","NOT FOUND",INDEX('6_3nf_branch_history'!$C:$C,SUMPRODUCT(('6_3nf_branch_history'!$A$2:$A$50=T344)*('6_3nf_branch_history'!$B$2:$B$50=U344)*ROW('6_3nf_branch_history'!$A$2:$A$50))))</f>
        <v/>
      </c>
      <c r="W344" s="2">
        <f>IF(U344="NOT FOUND","NOT FOUND",INDEX('6_3nf_branch_history'!$D:$D,SUMPRODUCT(('6_3nf_branch_history'!$A$2:$A$50=T344)*('6_3nf_branch_history'!$B$2:$B$50=U344)*ROW('6_3nf_branch_history'!$A$2:$A$50))))</f>
        <v/>
      </c>
      <c r="X344" s="2">
        <f>IF(U344="NOT FOUND","NOT FOUND",INDEX('6_3nf_branch_history'!$E:$E,SUMPRODUCT(('6_3nf_branch_history'!$A$2:$A$50=T344)*('6_3nf_branch_history'!$B$2:$B$50=U344)*ROW('6_3nf_branch_history'!$A$2:$A$50))))</f>
        <v/>
      </c>
      <c r="Y344" s="2">
        <f>UPPER(TRIM(D344))</f>
        <v/>
      </c>
      <c r="Z344" s="2">
        <f>IFERROR(INDEX('7_3nf_product'!$B:$B,MATCH(Y344,'7_3nf_product'!$A:$A,0)),"NOT FOUND")</f>
        <v/>
      </c>
      <c r="AA344" s="2">
        <f>IFERROR(INDEX('7_3nf_product'!$C:$C,MATCH(Y344,'7_3nf_product'!$A:$A,0)),"NOT FOUND")</f>
        <v/>
      </c>
      <c r="AB344" s="2">
        <f>IFERROR(INDEX('7_3nf_product'!$D:$D,MATCH(Y344,'7_3nf_product'!$A:$A,0)),"NOT FOUND")</f>
        <v/>
      </c>
      <c r="AC344" s="6">
        <f>IFERROR(INDEX('7_3nf_product'!$E:$E,MATCH(Y344,'7_3nf_product'!$A:$A,0)),"NOT FOUND")</f>
        <v/>
      </c>
      <c r="AD344" s="33">
        <f>IF(LEN(TRIM(E344))=10,TRIM(E344),IF(LEN(TRIM(E344))=8,"00"&amp;TRIM(E344),"CHECK"))</f>
        <v/>
      </c>
      <c r="AE344" s="2">
        <f>IFERROR(INDEX('8_3nf_customer'!$C:$C,MATCH(AD344,'8_3nf_customer'!$B:$B,0)),"NOT FOUND")</f>
        <v/>
      </c>
      <c r="AF344" s="30">
        <f>IFERROR(INDEX('8_3nf_customer'!$D:$D,MATCH(AD344,'8_3nf_customer'!$B:$B,0)),"NOT FOUND")</f>
        <v/>
      </c>
      <c r="AG344" s="4">
        <f>IF(ISNUMBER(AF344),DATEDIF(AF344,L344,"y"),"NOT FOUND")</f>
        <v/>
      </c>
      <c r="AH344" s="2">
        <f>IFERROR(INDEX('8_3nf_customer'!$E:$E,MATCH(AD344,'8_3nf_customer'!$B:$B,0)),"NOT FOUND")</f>
        <v/>
      </c>
      <c r="AI344" s="30">
        <f>IF(_xlfn.MAXIFS('9_3nf_customer_history'!$B$2:$B$500,'9_3nf_customer_history'!$A$2:$A$500,AD344,'9_3nf_customer_history'!$B$2:$B$500,"&lt;="&amp;L344)=0,"NOT FOUND",_xlfn.MAXIFS('9_3nf_customer_history'!$B$2:$B$500,'9_3nf_customer_history'!$A$2:$A$500,AD344,'9_3nf_customer_history'!$B$2:$B$500,"&lt;="&amp;L344))</f>
        <v/>
      </c>
      <c r="AJ344" s="2">
        <f>IF(AI344="NOT FOUND","NOT FOUND",INDEX('9_3nf_customer_history'!$C:$C,SUMPRODUCT(('9_3nf_customer_history'!$A$2:$A$500=AD344)*('9_3nf_customer_history'!$B$2:$B$500=AI344)*ROW('9_3nf_customer_history'!$A$2:$A$500))))</f>
        <v/>
      </c>
      <c r="AK344" s="2">
        <f>IF(AI344="NOT FOUND","NOT FOUND",INDEX('9_3nf_customer_history'!$D:$D,SUMPRODUCT(('9_3nf_customer_history'!$A$2:$A$500=AD344)*('9_3nf_customer_history'!$B$2:$B$500=AI344)*ROW('9_3nf_customer_history'!$A$2:$A$500))))</f>
        <v/>
      </c>
      <c r="AL344" s="2">
        <f>UPPER(TRIM(H344))</f>
        <v/>
      </c>
      <c r="AM344" s="30">
        <f>IF(_xlfn.MAXIFS('10_ref_fx_rate'!$B$2:$B$2000,'10_ref_fx_rate'!$A$2:$A$2000,AL344,'10_ref_fx_rate'!$B$2:$B$2000,"&lt;="&amp;L344)=0,"NOT FOUND",_xlfn.MAXIFS('10_ref_fx_rate'!$B$2:$B$2000,'10_ref_fx_rate'!$A$2:$A$2000,AL344,'10_ref_fx_rate'!$B$2:$B$2000,"&lt;="&amp;L344))</f>
        <v/>
      </c>
      <c r="AN344" s="8">
        <f>IF(AM344="NOT FOUND","NOT FOUND",SUMIFS('10_ref_fx_rate'!$D$2:$D$2000,'10_ref_fx_rate'!$A$2:$A$2000,AL344,'10_ref_fx_rate'!$B$2:$B$2000,AM344))</f>
        <v/>
      </c>
      <c r="AO344" s="37">
        <f>IF(ISNUMBER(AN344),I344*AN344,"NOT FOUND")</f>
        <v/>
      </c>
      <c r="AP344" s="2">
        <f>UPPER(TRIM(J344))</f>
        <v/>
      </c>
      <c r="AQ344" s="2">
        <f>IF(AP344="","SELF-DIRECTED",IF(ISNUMBER(MATCH(AP344,'11_3nf_sales_person'!$A:$A,0)),IF(EXACT(AP344,J344),"OK","OK (auto-fixed)"),IF(ISNA(MATCH($A344,'12_sales_person_confirmation'!$A:$A,0)),"CONFIRM (not logged)",IF(INDEX('12_sales_person_confirmation'!$I:$I,MATCH($A344,'12_sales_person_confirmation'!$A:$A,0))="CONFIRMED","CONFIRMED ("&amp;LOWER(INDEX('12_sales_person_confirmation'!$E:$E,MATCH($A344,'12_sales_person_confirmation'!$A:$A,0)))&amp;")","PENDING CONFIRM"))))</f>
        <v/>
      </c>
      <c r="AR344" s="2">
        <f>IF(OR(AQ344="OK",AQ344="OK (auto-fixed)"),AP344,IF(LEFT(AQ344,9)="CONFIRMED",INDEX('12_sales_person_confirmation'!$F:$F,MATCH($A344,'12_sales_person_confirmation'!$A:$A,0)),""))</f>
        <v/>
      </c>
      <c r="AS344" s="2">
        <f>IF(AR344="","",INDEX('11_3nf_sales_person'!$B:$B,MATCH(AR344,'11_3nf_sales_person'!$A:$A,0)))</f>
        <v/>
      </c>
    </row>
    <row r="345">
      <c r="A345" s="2">
        <f>IF(ISBLANK('1_raw_log'!A345),"",'1_raw_log'!A345)</f>
        <v/>
      </c>
      <c r="B345" s="3">
        <f>IF(ISBLANK('1_raw_log'!B345),"",'1_raw_log'!B345)</f>
        <v/>
      </c>
      <c r="C345" s="2">
        <f>IF(ISBLANK('1_raw_log'!C345),"",'1_raw_log'!C345)</f>
        <v/>
      </c>
      <c r="D345" s="2">
        <f>IF(ISBLANK('1_raw_log'!D345),"",'1_raw_log'!D345)</f>
        <v/>
      </c>
      <c r="E345" s="4">
        <f>IF(ISBLANK('1_raw_log'!E345),"",'1_raw_log'!E345)</f>
        <v/>
      </c>
      <c r="F345" s="2">
        <f>IF(ISBLANK('1_raw_log'!F345),"",'1_raw_log'!F345)</f>
        <v/>
      </c>
      <c r="G345" s="2">
        <f>IF(ISBLANK('1_raw_log'!G345),"",'1_raw_log'!G345)</f>
        <v/>
      </c>
      <c r="H345" s="2">
        <f>IF(ISBLANK('1_raw_log'!H345),"",'1_raw_log'!H345)</f>
        <v/>
      </c>
      <c r="I345" s="7">
        <f>IF(ISBLANK('1_raw_log'!I345),"",'1_raw_log'!I345)</f>
        <v/>
      </c>
      <c r="J345" s="2">
        <f>IF(ISBLANK('1_raw_log'!J345),"",'1_raw_log'!J345)</f>
        <v/>
      </c>
      <c r="K345" s="2">
        <f>IF(ISBLANK('1_raw_log'!K345),"",'1_raw_log'!K345)</f>
        <v/>
      </c>
      <c r="L345" s="30">
        <f>INT(B345)</f>
        <v/>
      </c>
      <c r="M345" s="20">
        <f>ROUND(MOD(B345,1)*1440,0)/1440</f>
        <v/>
      </c>
      <c r="N345" s="4">
        <f>IFERROR(INDEX('3_ref_date'!$B:$B,MATCH(L345,'3_ref_date'!$A:$A,0)),"NOT FOUND")</f>
        <v/>
      </c>
      <c r="O345" s="2">
        <f>IFERROR(INDEX('3_ref_date'!$C:$C,MATCH(L345,'3_ref_date'!$A:$A,0)),"NOT FOUND")</f>
        <v/>
      </c>
      <c r="P345" s="4">
        <f>IFERROR(INDEX('3_ref_date'!$D:$D,MATCH(L345,'3_ref_date'!$A:$A,0)),"NOT FOUND")</f>
        <v/>
      </c>
      <c r="Q345" s="4">
        <f>IFERROR(INDEX('3_ref_date'!$E:$E,MATCH(L345,'3_ref_date'!$A:$A,0)),"NOT FOUND")</f>
        <v/>
      </c>
      <c r="R345" s="2">
        <f>IFERROR(INDEX('3_ref_date'!$F:$F,MATCH(L345,'3_ref_date'!$A:$A,0)),"NOT FOUND")</f>
        <v/>
      </c>
      <c r="S345" s="2">
        <f>IFERROR(INDEX('4_ref_time'!$D:$D,MATCH(ROUND(M345*1440,0),'4_ref_time'!$A:$A,0)),"NOT FOUND")</f>
        <v/>
      </c>
      <c r="T345" s="2">
        <f>UPPER(TRIM(C345))</f>
        <v/>
      </c>
      <c r="U345" s="30">
        <f>IF(_xlfn.MAXIFS('6_3nf_branch_history'!$B$2:$B$50,'6_3nf_branch_history'!$A$2:$A$50,T345,'6_3nf_branch_history'!$B$2:$B$50,"&lt;="&amp;L345)=0,"NOT FOUND",_xlfn.MAXIFS('6_3nf_branch_history'!$B$2:$B$50,'6_3nf_branch_history'!$A$2:$A$50,T345,'6_3nf_branch_history'!$B$2:$B$50,"&lt;="&amp;L345))</f>
        <v/>
      </c>
      <c r="V345" s="2">
        <f>IF(U345="NOT FOUND","NOT FOUND",INDEX('6_3nf_branch_history'!$C:$C,SUMPRODUCT(('6_3nf_branch_history'!$A$2:$A$50=T345)*('6_3nf_branch_history'!$B$2:$B$50=U345)*ROW('6_3nf_branch_history'!$A$2:$A$50))))</f>
        <v/>
      </c>
      <c r="W345" s="2">
        <f>IF(U345="NOT FOUND","NOT FOUND",INDEX('6_3nf_branch_history'!$D:$D,SUMPRODUCT(('6_3nf_branch_history'!$A$2:$A$50=T345)*('6_3nf_branch_history'!$B$2:$B$50=U345)*ROW('6_3nf_branch_history'!$A$2:$A$50))))</f>
        <v/>
      </c>
      <c r="X345" s="2">
        <f>IF(U345="NOT FOUND","NOT FOUND",INDEX('6_3nf_branch_history'!$E:$E,SUMPRODUCT(('6_3nf_branch_history'!$A$2:$A$50=T345)*('6_3nf_branch_history'!$B$2:$B$50=U345)*ROW('6_3nf_branch_history'!$A$2:$A$50))))</f>
        <v/>
      </c>
      <c r="Y345" s="2">
        <f>UPPER(TRIM(D345))</f>
        <v/>
      </c>
      <c r="Z345" s="2">
        <f>IFERROR(INDEX('7_3nf_product'!$B:$B,MATCH(Y345,'7_3nf_product'!$A:$A,0)),"NOT FOUND")</f>
        <v/>
      </c>
      <c r="AA345" s="2">
        <f>IFERROR(INDEX('7_3nf_product'!$C:$C,MATCH(Y345,'7_3nf_product'!$A:$A,0)),"NOT FOUND")</f>
        <v/>
      </c>
      <c r="AB345" s="2">
        <f>IFERROR(INDEX('7_3nf_product'!$D:$D,MATCH(Y345,'7_3nf_product'!$A:$A,0)),"NOT FOUND")</f>
        <v/>
      </c>
      <c r="AC345" s="6">
        <f>IFERROR(INDEX('7_3nf_product'!$E:$E,MATCH(Y345,'7_3nf_product'!$A:$A,0)),"NOT FOUND")</f>
        <v/>
      </c>
      <c r="AD345" s="33">
        <f>IF(LEN(TRIM(E345))=10,TRIM(E345),IF(LEN(TRIM(E345))=8,"00"&amp;TRIM(E345),"CHECK"))</f>
        <v/>
      </c>
      <c r="AE345" s="2">
        <f>IFERROR(INDEX('8_3nf_customer'!$C:$C,MATCH(AD345,'8_3nf_customer'!$B:$B,0)),"NOT FOUND")</f>
        <v/>
      </c>
      <c r="AF345" s="30">
        <f>IFERROR(INDEX('8_3nf_customer'!$D:$D,MATCH(AD345,'8_3nf_customer'!$B:$B,0)),"NOT FOUND")</f>
        <v/>
      </c>
      <c r="AG345" s="4">
        <f>IF(ISNUMBER(AF345),DATEDIF(AF345,L345,"y"),"NOT FOUND")</f>
        <v/>
      </c>
      <c r="AH345" s="2">
        <f>IFERROR(INDEX('8_3nf_customer'!$E:$E,MATCH(AD345,'8_3nf_customer'!$B:$B,0)),"NOT FOUND")</f>
        <v/>
      </c>
      <c r="AI345" s="30">
        <f>IF(_xlfn.MAXIFS('9_3nf_customer_history'!$B$2:$B$500,'9_3nf_customer_history'!$A$2:$A$500,AD345,'9_3nf_customer_history'!$B$2:$B$500,"&lt;="&amp;L345)=0,"NOT FOUND",_xlfn.MAXIFS('9_3nf_customer_history'!$B$2:$B$500,'9_3nf_customer_history'!$A$2:$A$500,AD345,'9_3nf_customer_history'!$B$2:$B$500,"&lt;="&amp;L345))</f>
        <v/>
      </c>
      <c r="AJ345" s="2">
        <f>IF(AI345="NOT FOUND","NOT FOUND",INDEX('9_3nf_customer_history'!$C:$C,SUMPRODUCT(('9_3nf_customer_history'!$A$2:$A$500=AD345)*('9_3nf_customer_history'!$B$2:$B$500=AI345)*ROW('9_3nf_customer_history'!$A$2:$A$500))))</f>
        <v/>
      </c>
      <c r="AK345" s="2">
        <f>IF(AI345="NOT FOUND","NOT FOUND",INDEX('9_3nf_customer_history'!$D:$D,SUMPRODUCT(('9_3nf_customer_history'!$A$2:$A$500=AD345)*('9_3nf_customer_history'!$B$2:$B$500=AI345)*ROW('9_3nf_customer_history'!$A$2:$A$500))))</f>
        <v/>
      </c>
      <c r="AL345" s="2">
        <f>UPPER(TRIM(H345))</f>
        <v/>
      </c>
      <c r="AM345" s="30">
        <f>IF(_xlfn.MAXIFS('10_ref_fx_rate'!$B$2:$B$2000,'10_ref_fx_rate'!$A$2:$A$2000,AL345,'10_ref_fx_rate'!$B$2:$B$2000,"&lt;="&amp;L345)=0,"NOT FOUND",_xlfn.MAXIFS('10_ref_fx_rate'!$B$2:$B$2000,'10_ref_fx_rate'!$A$2:$A$2000,AL345,'10_ref_fx_rate'!$B$2:$B$2000,"&lt;="&amp;L345))</f>
        <v/>
      </c>
      <c r="AN345" s="8">
        <f>IF(AM345="NOT FOUND","NOT FOUND",SUMIFS('10_ref_fx_rate'!$D$2:$D$2000,'10_ref_fx_rate'!$A$2:$A$2000,AL345,'10_ref_fx_rate'!$B$2:$B$2000,AM345))</f>
        <v/>
      </c>
      <c r="AO345" s="37">
        <f>IF(ISNUMBER(AN345),I345*AN345,"NOT FOUND")</f>
        <v/>
      </c>
      <c r="AP345" s="2">
        <f>UPPER(TRIM(J345))</f>
        <v/>
      </c>
      <c r="AQ345" s="2">
        <f>IF(AP345="","SELF-DIRECTED",IF(ISNUMBER(MATCH(AP345,'11_3nf_sales_person'!$A:$A,0)),IF(EXACT(AP345,J345),"OK","OK (auto-fixed)"),IF(ISNA(MATCH($A345,'12_sales_person_confirmation'!$A:$A,0)),"CONFIRM (not logged)",IF(INDEX('12_sales_person_confirmation'!$I:$I,MATCH($A345,'12_sales_person_confirmation'!$A:$A,0))="CONFIRMED","CONFIRMED ("&amp;LOWER(INDEX('12_sales_person_confirmation'!$E:$E,MATCH($A345,'12_sales_person_confirmation'!$A:$A,0)))&amp;")","PENDING CONFIRM"))))</f>
        <v/>
      </c>
      <c r="AR345" s="2">
        <f>IF(OR(AQ345="OK",AQ345="OK (auto-fixed)"),AP345,IF(LEFT(AQ345,9)="CONFIRMED",INDEX('12_sales_person_confirmation'!$F:$F,MATCH($A345,'12_sales_person_confirmation'!$A:$A,0)),""))</f>
        <v/>
      </c>
      <c r="AS345" s="2">
        <f>IF(AR345="","",INDEX('11_3nf_sales_person'!$B:$B,MATCH(AR345,'11_3nf_sales_person'!$A:$A,0)))</f>
        <v/>
      </c>
    </row>
    <row r="346">
      <c r="A346" s="2">
        <f>IF(ISBLANK('1_raw_log'!A346),"",'1_raw_log'!A346)</f>
        <v/>
      </c>
      <c r="B346" s="3">
        <f>IF(ISBLANK('1_raw_log'!B346),"",'1_raw_log'!B346)</f>
        <v/>
      </c>
      <c r="C346" s="2">
        <f>IF(ISBLANK('1_raw_log'!C346),"",'1_raw_log'!C346)</f>
        <v/>
      </c>
      <c r="D346" s="2">
        <f>IF(ISBLANK('1_raw_log'!D346),"",'1_raw_log'!D346)</f>
        <v/>
      </c>
      <c r="E346" s="4">
        <f>IF(ISBLANK('1_raw_log'!E346),"",'1_raw_log'!E346)</f>
        <v/>
      </c>
      <c r="F346" s="2">
        <f>IF(ISBLANK('1_raw_log'!F346),"",'1_raw_log'!F346)</f>
        <v/>
      </c>
      <c r="G346" s="2">
        <f>IF(ISBLANK('1_raw_log'!G346),"",'1_raw_log'!G346)</f>
        <v/>
      </c>
      <c r="H346" s="2">
        <f>IF(ISBLANK('1_raw_log'!H346),"",'1_raw_log'!H346)</f>
        <v/>
      </c>
      <c r="I346" s="7">
        <f>IF(ISBLANK('1_raw_log'!I346),"",'1_raw_log'!I346)</f>
        <v/>
      </c>
      <c r="J346" s="2">
        <f>IF(ISBLANK('1_raw_log'!J346),"",'1_raw_log'!J346)</f>
        <v/>
      </c>
      <c r="K346" s="2">
        <f>IF(ISBLANK('1_raw_log'!K346),"",'1_raw_log'!K346)</f>
        <v/>
      </c>
      <c r="L346" s="30">
        <f>INT(B346)</f>
        <v/>
      </c>
      <c r="M346" s="20">
        <f>ROUND(MOD(B346,1)*1440,0)/1440</f>
        <v/>
      </c>
      <c r="N346" s="4">
        <f>IFERROR(INDEX('3_ref_date'!$B:$B,MATCH(L346,'3_ref_date'!$A:$A,0)),"NOT FOUND")</f>
        <v/>
      </c>
      <c r="O346" s="2">
        <f>IFERROR(INDEX('3_ref_date'!$C:$C,MATCH(L346,'3_ref_date'!$A:$A,0)),"NOT FOUND")</f>
        <v/>
      </c>
      <c r="P346" s="4">
        <f>IFERROR(INDEX('3_ref_date'!$D:$D,MATCH(L346,'3_ref_date'!$A:$A,0)),"NOT FOUND")</f>
        <v/>
      </c>
      <c r="Q346" s="4">
        <f>IFERROR(INDEX('3_ref_date'!$E:$E,MATCH(L346,'3_ref_date'!$A:$A,0)),"NOT FOUND")</f>
        <v/>
      </c>
      <c r="R346" s="2">
        <f>IFERROR(INDEX('3_ref_date'!$F:$F,MATCH(L346,'3_ref_date'!$A:$A,0)),"NOT FOUND")</f>
        <v/>
      </c>
      <c r="S346" s="2">
        <f>IFERROR(INDEX('4_ref_time'!$D:$D,MATCH(ROUND(M346*1440,0),'4_ref_time'!$A:$A,0)),"NOT FOUND")</f>
        <v/>
      </c>
      <c r="T346" s="2">
        <f>UPPER(TRIM(C346))</f>
        <v/>
      </c>
      <c r="U346" s="30">
        <f>IF(_xlfn.MAXIFS('6_3nf_branch_history'!$B$2:$B$50,'6_3nf_branch_history'!$A$2:$A$50,T346,'6_3nf_branch_history'!$B$2:$B$50,"&lt;="&amp;L346)=0,"NOT FOUND",_xlfn.MAXIFS('6_3nf_branch_history'!$B$2:$B$50,'6_3nf_branch_history'!$A$2:$A$50,T346,'6_3nf_branch_history'!$B$2:$B$50,"&lt;="&amp;L346))</f>
        <v/>
      </c>
      <c r="V346" s="2">
        <f>IF(U346="NOT FOUND","NOT FOUND",INDEX('6_3nf_branch_history'!$C:$C,SUMPRODUCT(('6_3nf_branch_history'!$A$2:$A$50=T346)*('6_3nf_branch_history'!$B$2:$B$50=U346)*ROW('6_3nf_branch_history'!$A$2:$A$50))))</f>
        <v/>
      </c>
      <c r="W346" s="2">
        <f>IF(U346="NOT FOUND","NOT FOUND",INDEX('6_3nf_branch_history'!$D:$D,SUMPRODUCT(('6_3nf_branch_history'!$A$2:$A$50=T346)*('6_3nf_branch_history'!$B$2:$B$50=U346)*ROW('6_3nf_branch_history'!$A$2:$A$50))))</f>
        <v/>
      </c>
      <c r="X346" s="2">
        <f>IF(U346="NOT FOUND","NOT FOUND",INDEX('6_3nf_branch_history'!$E:$E,SUMPRODUCT(('6_3nf_branch_history'!$A$2:$A$50=T346)*('6_3nf_branch_history'!$B$2:$B$50=U346)*ROW('6_3nf_branch_history'!$A$2:$A$50))))</f>
        <v/>
      </c>
      <c r="Y346" s="2">
        <f>UPPER(TRIM(D346))</f>
        <v/>
      </c>
      <c r="Z346" s="2">
        <f>IFERROR(INDEX('7_3nf_product'!$B:$B,MATCH(Y346,'7_3nf_product'!$A:$A,0)),"NOT FOUND")</f>
        <v/>
      </c>
      <c r="AA346" s="2">
        <f>IFERROR(INDEX('7_3nf_product'!$C:$C,MATCH(Y346,'7_3nf_product'!$A:$A,0)),"NOT FOUND")</f>
        <v/>
      </c>
      <c r="AB346" s="2">
        <f>IFERROR(INDEX('7_3nf_product'!$D:$D,MATCH(Y346,'7_3nf_product'!$A:$A,0)),"NOT FOUND")</f>
        <v/>
      </c>
      <c r="AC346" s="6">
        <f>IFERROR(INDEX('7_3nf_product'!$E:$E,MATCH(Y346,'7_3nf_product'!$A:$A,0)),"NOT FOUND")</f>
        <v/>
      </c>
      <c r="AD346" s="33">
        <f>IF(LEN(TRIM(E346))=10,TRIM(E346),IF(LEN(TRIM(E346))=8,"00"&amp;TRIM(E346),"CHECK"))</f>
        <v/>
      </c>
      <c r="AE346" s="2">
        <f>IFERROR(INDEX('8_3nf_customer'!$C:$C,MATCH(AD346,'8_3nf_customer'!$B:$B,0)),"NOT FOUND")</f>
        <v/>
      </c>
      <c r="AF346" s="30">
        <f>IFERROR(INDEX('8_3nf_customer'!$D:$D,MATCH(AD346,'8_3nf_customer'!$B:$B,0)),"NOT FOUND")</f>
        <v/>
      </c>
      <c r="AG346" s="4">
        <f>IF(ISNUMBER(AF346),DATEDIF(AF346,L346,"y"),"NOT FOUND")</f>
        <v/>
      </c>
      <c r="AH346" s="2">
        <f>IFERROR(INDEX('8_3nf_customer'!$E:$E,MATCH(AD346,'8_3nf_customer'!$B:$B,0)),"NOT FOUND")</f>
        <v/>
      </c>
      <c r="AI346" s="30">
        <f>IF(_xlfn.MAXIFS('9_3nf_customer_history'!$B$2:$B$500,'9_3nf_customer_history'!$A$2:$A$500,AD346,'9_3nf_customer_history'!$B$2:$B$500,"&lt;="&amp;L346)=0,"NOT FOUND",_xlfn.MAXIFS('9_3nf_customer_history'!$B$2:$B$500,'9_3nf_customer_history'!$A$2:$A$500,AD346,'9_3nf_customer_history'!$B$2:$B$500,"&lt;="&amp;L346))</f>
        <v/>
      </c>
      <c r="AJ346" s="2">
        <f>IF(AI346="NOT FOUND","NOT FOUND",INDEX('9_3nf_customer_history'!$C:$C,SUMPRODUCT(('9_3nf_customer_history'!$A$2:$A$500=AD346)*('9_3nf_customer_history'!$B$2:$B$500=AI346)*ROW('9_3nf_customer_history'!$A$2:$A$500))))</f>
        <v/>
      </c>
      <c r="AK346" s="2">
        <f>IF(AI346="NOT FOUND","NOT FOUND",INDEX('9_3nf_customer_history'!$D:$D,SUMPRODUCT(('9_3nf_customer_history'!$A$2:$A$500=AD346)*('9_3nf_customer_history'!$B$2:$B$500=AI346)*ROW('9_3nf_customer_history'!$A$2:$A$500))))</f>
        <v/>
      </c>
      <c r="AL346" s="2">
        <f>UPPER(TRIM(H346))</f>
        <v/>
      </c>
      <c r="AM346" s="30">
        <f>IF(_xlfn.MAXIFS('10_ref_fx_rate'!$B$2:$B$2000,'10_ref_fx_rate'!$A$2:$A$2000,AL346,'10_ref_fx_rate'!$B$2:$B$2000,"&lt;="&amp;L346)=0,"NOT FOUND",_xlfn.MAXIFS('10_ref_fx_rate'!$B$2:$B$2000,'10_ref_fx_rate'!$A$2:$A$2000,AL346,'10_ref_fx_rate'!$B$2:$B$2000,"&lt;="&amp;L346))</f>
        <v/>
      </c>
      <c r="AN346" s="8">
        <f>IF(AM346="NOT FOUND","NOT FOUND",SUMIFS('10_ref_fx_rate'!$D$2:$D$2000,'10_ref_fx_rate'!$A$2:$A$2000,AL346,'10_ref_fx_rate'!$B$2:$B$2000,AM346))</f>
        <v/>
      </c>
      <c r="AO346" s="37">
        <f>IF(ISNUMBER(AN346),I346*AN346,"NOT FOUND")</f>
        <v/>
      </c>
      <c r="AP346" s="2">
        <f>UPPER(TRIM(J346))</f>
        <v/>
      </c>
      <c r="AQ346" s="2">
        <f>IF(AP346="","SELF-DIRECTED",IF(ISNUMBER(MATCH(AP346,'11_3nf_sales_person'!$A:$A,0)),IF(EXACT(AP346,J346),"OK","OK (auto-fixed)"),IF(ISNA(MATCH($A346,'12_sales_person_confirmation'!$A:$A,0)),"CONFIRM (not logged)",IF(INDEX('12_sales_person_confirmation'!$I:$I,MATCH($A346,'12_sales_person_confirmation'!$A:$A,0))="CONFIRMED","CONFIRMED ("&amp;LOWER(INDEX('12_sales_person_confirmation'!$E:$E,MATCH($A346,'12_sales_person_confirmation'!$A:$A,0)))&amp;")","PENDING CONFIRM"))))</f>
        <v/>
      </c>
      <c r="AR346" s="2">
        <f>IF(OR(AQ346="OK",AQ346="OK (auto-fixed)"),AP346,IF(LEFT(AQ346,9)="CONFIRMED",INDEX('12_sales_person_confirmation'!$F:$F,MATCH($A346,'12_sales_person_confirmation'!$A:$A,0)),""))</f>
        <v/>
      </c>
      <c r="AS346" s="2">
        <f>IF(AR346="","",INDEX('11_3nf_sales_person'!$B:$B,MATCH(AR346,'11_3nf_sales_person'!$A:$A,0)))</f>
        <v/>
      </c>
    </row>
    <row r="347">
      <c r="A347" s="2">
        <f>IF(ISBLANK('1_raw_log'!A347),"",'1_raw_log'!A347)</f>
        <v/>
      </c>
      <c r="B347" s="3">
        <f>IF(ISBLANK('1_raw_log'!B347),"",'1_raw_log'!B347)</f>
        <v/>
      </c>
      <c r="C347" s="2">
        <f>IF(ISBLANK('1_raw_log'!C347),"",'1_raw_log'!C347)</f>
        <v/>
      </c>
      <c r="D347" s="2">
        <f>IF(ISBLANK('1_raw_log'!D347),"",'1_raw_log'!D347)</f>
        <v/>
      </c>
      <c r="E347" s="4">
        <f>IF(ISBLANK('1_raw_log'!E347),"",'1_raw_log'!E347)</f>
        <v/>
      </c>
      <c r="F347" s="2">
        <f>IF(ISBLANK('1_raw_log'!F347),"",'1_raw_log'!F347)</f>
        <v/>
      </c>
      <c r="G347" s="2">
        <f>IF(ISBLANK('1_raw_log'!G347),"",'1_raw_log'!G347)</f>
        <v/>
      </c>
      <c r="H347" s="2">
        <f>IF(ISBLANK('1_raw_log'!H347),"",'1_raw_log'!H347)</f>
        <v/>
      </c>
      <c r="I347" s="7">
        <f>IF(ISBLANK('1_raw_log'!I347),"",'1_raw_log'!I347)</f>
        <v/>
      </c>
      <c r="J347" s="2">
        <f>IF(ISBLANK('1_raw_log'!J347),"",'1_raw_log'!J347)</f>
        <v/>
      </c>
      <c r="K347" s="2">
        <f>IF(ISBLANK('1_raw_log'!K347),"",'1_raw_log'!K347)</f>
        <v/>
      </c>
      <c r="L347" s="30">
        <f>INT(B347)</f>
        <v/>
      </c>
      <c r="M347" s="20">
        <f>ROUND(MOD(B347,1)*1440,0)/1440</f>
        <v/>
      </c>
      <c r="N347" s="4">
        <f>IFERROR(INDEX('3_ref_date'!$B:$B,MATCH(L347,'3_ref_date'!$A:$A,0)),"NOT FOUND")</f>
        <v/>
      </c>
      <c r="O347" s="2">
        <f>IFERROR(INDEX('3_ref_date'!$C:$C,MATCH(L347,'3_ref_date'!$A:$A,0)),"NOT FOUND")</f>
        <v/>
      </c>
      <c r="P347" s="4">
        <f>IFERROR(INDEX('3_ref_date'!$D:$D,MATCH(L347,'3_ref_date'!$A:$A,0)),"NOT FOUND")</f>
        <v/>
      </c>
      <c r="Q347" s="4">
        <f>IFERROR(INDEX('3_ref_date'!$E:$E,MATCH(L347,'3_ref_date'!$A:$A,0)),"NOT FOUND")</f>
        <v/>
      </c>
      <c r="R347" s="2">
        <f>IFERROR(INDEX('3_ref_date'!$F:$F,MATCH(L347,'3_ref_date'!$A:$A,0)),"NOT FOUND")</f>
        <v/>
      </c>
      <c r="S347" s="2">
        <f>IFERROR(INDEX('4_ref_time'!$D:$D,MATCH(ROUND(M347*1440,0),'4_ref_time'!$A:$A,0)),"NOT FOUND")</f>
        <v/>
      </c>
      <c r="T347" s="2">
        <f>UPPER(TRIM(C347))</f>
        <v/>
      </c>
      <c r="U347" s="30">
        <f>IF(_xlfn.MAXIFS('6_3nf_branch_history'!$B$2:$B$50,'6_3nf_branch_history'!$A$2:$A$50,T347,'6_3nf_branch_history'!$B$2:$B$50,"&lt;="&amp;L347)=0,"NOT FOUND",_xlfn.MAXIFS('6_3nf_branch_history'!$B$2:$B$50,'6_3nf_branch_history'!$A$2:$A$50,T347,'6_3nf_branch_history'!$B$2:$B$50,"&lt;="&amp;L347))</f>
        <v/>
      </c>
      <c r="V347" s="2">
        <f>IF(U347="NOT FOUND","NOT FOUND",INDEX('6_3nf_branch_history'!$C:$C,SUMPRODUCT(('6_3nf_branch_history'!$A$2:$A$50=T347)*('6_3nf_branch_history'!$B$2:$B$50=U347)*ROW('6_3nf_branch_history'!$A$2:$A$50))))</f>
        <v/>
      </c>
      <c r="W347" s="2">
        <f>IF(U347="NOT FOUND","NOT FOUND",INDEX('6_3nf_branch_history'!$D:$D,SUMPRODUCT(('6_3nf_branch_history'!$A$2:$A$50=T347)*('6_3nf_branch_history'!$B$2:$B$50=U347)*ROW('6_3nf_branch_history'!$A$2:$A$50))))</f>
        <v/>
      </c>
      <c r="X347" s="2">
        <f>IF(U347="NOT FOUND","NOT FOUND",INDEX('6_3nf_branch_history'!$E:$E,SUMPRODUCT(('6_3nf_branch_history'!$A$2:$A$50=T347)*('6_3nf_branch_history'!$B$2:$B$50=U347)*ROW('6_3nf_branch_history'!$A$2:$A$50))))</f>
        <v/>
      </c>
      <c r="Y347" s="2">
        <f>UPPER(TRIM(D347))</f>
        <v/>
      </c>
      <c r="Z347" s="2">
        <f>IFERROR(INDEX('7_3nf_product'!$B:$B,MATCH(Y347,'7_3nf_product'!$A:$A,0)),"NOT FOUND")</f>
        <v/>
      </c>
      <c r="AA347" s="2">
        <f>IFERROR(INDEX('7_3nf_product'!$C:$C,MATCH(Y347,'7_3nf_product'!$A:$A,0)),"NOT FOUND")</f>
        <v/>
      </c>
      <c r="AB347" s="2">
        <f>IFERROR(INDEX('7_3nf_product'!$D:$D,MATCH(Y347,'7_3nf_product'!$A:$A,0)),"NOT FOUND")</f>
        <v/>
      </c>
      <c r="AC347" s="6">
        <f>IFERROR(INDEX('7_3nf_product'!$E:$E,MATCH(Y347,'7_3nf_product'!$A:$A,0)),"NOT FOUND")</f>
        <v/>
      </c>
      <c r="AD347" s="33">
        <f>IF(LEN(TRIM(E347))=10,TRIM(E347),IF(LEN(TRIM(E347))=8,"00"&amp;TRIM(E347),"CHECK"))</f>
        <v/>
      </c>
      <c r="AE347" s="2">
        <f>IFERROR(INDEX('8_3nf_customer'!$C:$C,MATCH(AD347,'8_3nf_customer'!$B:$B,0)),"NOT FOUND")</f>
        <v/>
      </c>
      <c r="AF347" s="30">
        <f>IFERROR(INDEX('8_3nf_customer'!$D:$D,MATCH(AD347,'8_3nf_customer'!$B:$B,0)),"NOT FOUND")</f>
        <v/>
      </c>
      <c r="AG347" s="4">
        <f>IF(ISNUMBER(AF347),DATEDIF(AF347,L347,"y"),"NOT FOUND")</f>
        <v/>
      </c>
      <c r="AH347" s="2">
        <f>IFERROR(INDEX('8_3nf_customer'!$E:$E,MATCH(AD347,'8_3nf_customer'!$B:$B,0)),"NOT FOUND")</f>
        <v/>
      </c>
      <c r="AI347" s="30">
        <f>IF(_xlfn.MAXIFS('9_3nf_customer_history'!$B$2:$B$500,'9_3nf_customer_history'!$A$2:$A$500,AD347,'9_3nf_customer_history'!$B$2:$B$500,"&lt;="&amp;L347)=0,"NOT FOUND",_xlfn.MAXIFS('9_3nf_customer_history'!$B$2:$B$500,'9_3nf_customer_history'!$A$2:$A$500,AD347,'9_3nf_customer_history'!$B$2:$B$500,"&lt;="&amp;L347))</f>
        <v/>
      </c>
      <c r="AJ347" s="2">
        <f>IF(AI347="NOT FOUND","NOT FOUND",INDEX('9_3nf_customer_history'!$C:$C,SUMPRODUCT(('9_3nf_customer_history'!$A$2:$A$500=AD347)*('9_3nf_customer_history'!$B$2:$B$500=AI347)*ROW('9_3nf_customer_history'!$A$2:$A$500))))</f>
        <v/>
      </c>
      <c r="AK347" s="2">
        <f>IF(AI347="NOT FOUND","NOT FOUND",INDEX('9_3nf_customer_history'!$D:$D,SUMPRODUCT(('9_3nf_customer_history'!$A$2:$A$500=AD347)*('9_3nf_customer_history'!$B$2:$B$500=AI347)*ROW('9_3nf_customer_history'!$A$2:$A$500))))</f>
        <v/>
      </c>
      <c r="AL347" s="2">
        <f>UPPER(TRIM(H347))</f>
        <v/>
      </c>
      <c r="AM347" s="30">
        <f>IF(_xlfn.MAXIFS('10_ref_fx_rate'!$B$2:$B$2000,'10_ref_fx_rate'!$A$2:$A$2000,AL347,'10_ref_fx_rate'!$B$2:$B$2000,"&lt;="&amp;L347)=0,"NOT FOUND",_xlfn.MAXIFS('10_ref_fx_rate'!$B$2:$B$2000,'10_ref_fx_rate'!$A$2:$A$2000,AL347,'10_ref_fx_rate'!$B$2:$B$2000,"&lt;="&amp;L347))</f>
        <v/>
      </c>
      <c r="AN347" s="8">
        <f>IF(AM347="NOT FOUND","NOT FOUND",SUMIFS('10_ref_fx_rate'!$D$2:$D$2000,'10_ref_fx_rate'!$A$2:$A$2000,AL347,'10_ref_fx_rate'!$B$2:$B$2000,AM347))</f>
        <v/>
      </c>
      <c r="AO347" s="37">
        <f>IF(ISNUMBER(AN347),I347*AN347,"NOT FOUND")</f>
        <v/>
      </c>
      <c r="AP347" s="2">
        <f>UPPER(TRIM(J347))</f>
        <v/>
      </c>
      <c r="AQ347" s="2">
        <f>IF(AP347="","SELF-DIRECTED",IF(ISNUMBER(MATCH(AP347,'11_3nf_sales_person'!$A:$A,0)),IF(EXACT(AP347,J347),"OK","OK (auto-fixed)"),IF(ISNA(MATCH($A347,'12_sales_person_confirmation'!$A:$A,0)),"CONFIRM (not logged)",IF(INDEX('12_sales_person_confirmation'!$I:$I,MATCH($A347,'12_sales_person_confirmation'!$A:$A,0))="CONFIRMED","CONFIRMED ("&amp;LOWER(INDEX('12_sales_person_confirmation'!$E:$E,MATCH($A347,'12_sales_person_confirmation'!$A:$A,0)))&amp;")","PENDING CONFIRM"))))</f>
        <v/>
      </c>
      <c r="AR347" s="2">
        <f>IF(OR(AQ347="OK",AQ347="OK (auto-fixed)"),AP347,IF(LEFT(AQ347,9)="CONFIRMED",INDEX('12_sales_person_confirmation'!$F:$F,MATCH($A347,'12_sales_person_confirmation'!$A:$A,0)),""))</f>
        <v/>
      </c>
      <c r="AS347" s="2">
        <f>IF(AR347="","",INDEX('11_3nf_sales_person'!$B:$B,MATCH(AR347,'11_3nf_sales_person'!$A:$A,0)))</f>
        <v/>
      </c>
    </row>
    <row r="348">
      <c r="A348" s="2">
        <f>IF(ISBLANK('1_raw_log'!A348),"",'1_raw_log'!A348)</f>
        <v/>
      </c>
      <c r="B348" s="3">
        <f>IF(ISBLANK('1_raw_log'!B348),"",'1_raw_log'!B348)</f>
        <v/>
      </c>
      <c r="C348" s="2">
        <f>IF(ISBLANK('1_raw_log'!C348),"",'1_raw_log'!C348)</f>
        <v/>
      </c>
      <c r="D348" s="2">
        <f>IF(ISBLANK('1_raw_log'!D348),"",'1_raw_log'!D348)</f>
        <v/>
      </c>
      <c r="E348" s="4">
        <f>IF(ISBLANK('1_raw_log'!E348),"",'1_raw_log'!E348)</f>
        <v/>
      </c>
      <c r="F348" s="2">
        <f>IF(ISBLANK('1_raw_log'!F348),"",'1_raw_log'!F348)</f>
        <v/>
      </c>
      <c r="G348" s="2">
        <f>IF(ISBLANK('1_raw_log'!G348),"",'1_raw_log'!G348)</f>
        <v/>
      </c>
      <c r="H348" s="2">
        <f>IF(ISBLANK('1_raw_log'!H348),"",'1_raw_log'!H348)</f>
        <v/>
      </c>
      <c r="I348" s="7">
        <f>IF(ISBLANK('1_raw_log'!I348),"",'1_raw_log'!I348)</f>
        <v/>
      </c>
      <c r="J348" s="2">
        <f>IF(ISBLANK('1_raw_log'!J348),"",'1_raw_log'!J348)</f>
        <v/>
      </c>
      <c r="K348" s="2">
        <f>IF(ISBLANK('1_raw_log'!K348),"",'1_raw_log'!K348)</f>
        <v/>
      </c>
      <c r="L348" s="30">
        <f>INT(B348)</f>
        <v/>
      </c>
      <c r="M348" s="20">
        <f>ROUND(MOD(B348,1)*1440,0)/1440</f>
        <v/>
      </c>
      <c r="N348" s="4">
        <f>IFERROR(INDEX('3_ref_date'!$B:$B,MATCH(L348,'3_ref_date'!$A:$A,0)),"NOT FOUND")</f>
        <v/>
      </c>
      <c r="O348" s="2">
        <f>IFERROR(INDEX('3_ref_date'!$C:$C,MATCH(L348,'3_ref_date'!$A:$A,0)),"NOT FOUND")</f>
        <v/>
      </c>
      <c r="P348" s="4">
        <f>IFERROR(INDEX('3_ref_date'!$D:$D,MATCH(L348,'3_ref_date'!$A:$A,0)),"NOT FOUND")</f>
        <v/>
      </c>
      <c r="Q348" s="4">
        <f>IFERROR(INDEX('3_ref_date'!$E:$E,MATCH(L348,'3_ref_date'!$A:$A,0)),"NOT FOUND")</f>
        <v/>
      </c>
      <c r="R348" s="2">
        <f>IFERROR(INDEX('3_ref_date'!$F:$F,MATCH(L348,'3_ref_date'!$A:$A,0)),"NOT FOUND")</f>
        <v/>
      </c>
      <c r="S348" s="2">
        <f>IFERROR(INDEX('4_ref_time'!$D:$D,MATCH(ROUND(M348*1440,0),'4_ref_time'!$A:$A,0)),"NOT FOUND")</f>
        <v/>
      </c>
      <c r="T348" s="2">
        <f>UPPER(TRIM(C348))</f>
        <v/>
      </c>
      <c r="U348" s="30">
        <f>IF(_xlfn.MAXIFS('6_3nf_branch_history'!$B$2:$B$50,'6_3nf_branch_history'!$A$2:$A$50,T348,'6_3nf_branch_history'!$B$2:$B$50,"&lt;="&amp;L348)=0,"NOT FOUND",_xlfn.MAXIFS('6_3nf_branch_history'!$B$2:$B$50,'6_3nf_branch_history'!$A$2:$A$50,T348,'6_3nf_branch_history'!$B$2:$B$50,"&lt;="&amp;L348))</f>
        <v/>
      </c>
      <c r="V348" s="2">
        <f>IF(U348="NOT FOUND","NOT FOUND",INDEX('6_3nf_branch_history'!$C:$C,SUMPRODUCT(('6_3nf_branch_history'!$A$2:$A$50=T348)*('6_3nf_branch_history'!$B$2:$B$50=U348)*ROW('6_3nf_branch_history'!$A$2:$A$50))))</f>
        <v/>
      </c>
      <c r="W348" s="2">
        <f>IF(U348="NOT FOUND","NOT FOUND",INDEX('6_3nf_branch_history'!$D:$D,SUMPRODUCT(('6_3nf_branch_history'!$A$2:$A$50=T348)*('6_3nf_branch_history'!$B$2:$B$50=U348)*ROW('6_3nf_branch_history'!$A$2:$A$50))))</f>
        <v/>
      </c>
      <c r="X348" s="2">
        <f>IF(U348="NOT FOUND","NOT FOUND",INDEX('6_3nf_branch_history'!$E:$E,SUMPRODUCT(('6_3nf_branch_history'!$A$2:$A$50=T348)*('6_3nf_branch_history'!$B$2:$B$50=U348)*ROW('6_3nf_branch_history'!$A$2:$A$50))))</f>
        <v/>
      </c>
      <c r="Y348" s="2">
        <f>UPPER(TRIM(D348))</f>
        <v/>
      </c>
      <c r="Z348" s="2">
        <f>IFERROR(INDEX('7_3nf_product'!$B:$B,MATCH(Y348,'7_3nf_product'!$A:$A,0)),"NOT FOUND")</f>
        <v/>
      </c>
      <c r="AA348" s="2">
        <f>IFERROR(INDEX('7_3nf_product'!$C:$C,MATCH(Y348,'7_3nf_product'!$A:$A,0)),"NOT FOUND")</f>
        <v/>
      </c>
      <c r="AB348" s="2">
        <f>IFERROR(INDEX('7_3nf_product'!$D:$D,MATCH(Y348,'7_3nf_product'!$A:$A,0)),"NOT FOUND")</f>
        <v/>
      </c>
      <c r="AC348" s="6">
        <f>IFERROR(INDEX('7_3nf_product'!$E:$E,MATCH(Y348,'7_3nf_product'!$A:$A,0)),"NOT FOUND")</f>
        <v/>
      </c>
      <c r="AD348" s="33">
        <f>IF(LEN(TRIM(E348))=10,TRIM(E348),IF(LEN(TRIM(E348))=8,"00"&amp;TRIM(E348),"CHECK"))</f>
        <v/>
      </c>
      <c r="AE348" s="2">
        <f>IFERROR(INDEX('8_3nf_customer'!$C:$C,MATCH(AD348,'8_3nf_customer'!$B:$B,0)),"NOT FOUND")</f>
        <v/>
      </c>
      <c r="AF348" s="30">
        <f>IFERROR(INDEX('8_3nf_customer'!$D:$D,MATCH(AD348,'8_3nf_customer'!$B:$B,0)),"NOT FOUND")</f>
        <v/>
      </c>
      <c r="AG348" s="4">
        <f>IF(ISNUMBER(AF348),DATEDIF(AF348,L348,"y"),"NOT FOUND")</f>
        <v/>
      </c>
      <c r="AH348" s="2">
        <f>IFERROR(INDEX('8_3nf_customer'!$E:$E,MATCH(AD348,'8_3nf_customer'!$B:$B,0)),"NOT FOUND")</f>
        <v/>
      </c>
      <c r="AI348" s="30">
        <f>IF(_xlfn.MAXIFS('9_3nf_customer_history'!$B$2:$B$500,'9_3nf_customer_history'!$A$2:$A$500,AD348,'9_3nf_customer_history'!$B$2:$B$500,"&lt;="&amp;L348)=0,"NOT FOUND",_xlfn.MAXIFS('9_3nf_customer_history'!$B$2:$B$500,'9_3nf_customer_history'!$A$2:$A$500,AD348,'9_3nf_customer_history'!$B$2:$B$500,"&lt;="&amp;L348))</f>
        <v/>
      </c>
      <c r="AJ348" s="2">
        <f>IF(AI348="NOT FOUND","NOT FOUND",INDEX('9_3nf_customer_history'!$C:$C,SUMPRODUCT(('9_3nf_customer_history'!$A$2:$A$500=AD348)*('9_3nf_customer_history'!$B$2:$B$500=AI348)*ROW('9_3nf_customer_history'!$A$2:$A$500))))</f>
        <v/>
      </c>
      <c r="AK348" s="2">
        <f>IF(AI348="NOT FOUND","NOT FOUND",INDEX('9_3nf_customer_history'!$D:$D,SUMPRODUCT(('9_3nf_customer_history'!$A$2:$A$500=AD348)*('9_3nf_customer_history'!$B$2:$B$500=AI348)*ROW('9_3nf_customer_history'!$A$2:$A$500))))</f>
        <v/>
      </c>
      <c r="AL348" s="2">
        <f>UPPER(TRIM(H348))</f>
        <v/>
      </c>
      <c r="AM348" s="30">
        <f>IF(_xlfn.MAXIFS('10_ref_fx_rate'!$B$2:$B$2000,'10_ref_fx_rate'!$A$2:$A$2000,AL348,'10_ref_fx_rate'!$B$2:$B$2000,"&lt;="&amp;L348)=0,"NOT FOUND",_xlfn.MAXIFS('10_ref_fx_rate'!$B$2:$B$2000,'10_ref_fx_rate'!$A$2:$A$2000,AL348,'10_ref_fx_rate'!$B$2:$B$2000,"&lt;="&amp;L348))</f>
        <v/>
      </c>
      <c r="AN348" s="8">
        <f>IF(AM348="NOT FOUND","NOT FOUND",SUMIFS('10_ref_fx_rate'!$D$2:$D$2000,'10_ref_fx_rate'!$A$2:$A$2000,AL348,'10_ref_fx_rate'!$B$2:$B$2000,AM348))</f>
        <v/>
      </c>
      <c r="AO348" s="37">
        <f>IF(ISNUMBER(AN348),I348*AN348,"NOT FOUND")</f>
        <v/>
      </c>
      <c r="AP348" s="2">
        <f>UPPER(TRIM(J348))</f>
        <v/>
      </c>
      <c r="AQ348" s="2">
        <f>IF(AP348="","SELF-DIRECTED",IF(ISNUMBER(MATCH(AP348,'11_3nf_sales_person'!$A:$A,0)),IF(EXACT(AP348,J348),"OK","OK (auto-fixed)"),IF(ISNA(MATCH($A348,'12_sales_person_confirmation'!$A:$A,0)),"CONFIRM (not logged)",IF(INDEX('12_sales_person_confirmation'!$I:$I,MATCH($A348,'12_sales_person_confirmation'!$A:$A,0))="CONFIRMED","CONFIRMED ("&amp;LOWER(INDEX('12_sales_person_confirmation'!$E:$E,MATCH($A348,'12_sales_person_confirmation'!$A:$A,0)))&amp;")","PENDING CONFIRM"))))</f>
        <v/>
      </c>
      <c r="AR348" s="2">
        <f>IF(OR(AQ348="OK",AQ348="OK (auto-fixed)"),AP348,IF(LEFT(AQ348,9)="CONFIRMED",INDEX('12_sales_person_confirmation'!$F:$F,MATCH($A348,'12_sales_person_confirmation'!$A:$A,0)),""))</f>
        <v/>
      </c>
      <c r="AS348" s="2">
        <f>IF(AR348="","",INDEX('11_3nf_sales_person'!$B:$B,MATCH(AR348,'11_3nf_sales_person'!$A:$A,0)))</f>
        <v/>
      </c>
    </row>
    <row r="349">
      <c r="A349" s="2">
        <f>IF(ISBLANK('1_raw_log'!A349),"",'1_raw_log'!A349)</f>
        <v/>
      </c>
      <c r="B349" s="3">
        <f>IF(ISBLANK('1_raw_log'!B349),"",'1_raw_log'!B349)</f>
        <v/>
      </c>
      <c r="C349" s="2">
        <f>IF(ISBLANK('1_raw_log'!C349),"",'1_raw_log'!C349)</f>
        <v/>
      </c>
      <c r="D349" s="2">
        <f>IF(ISBLANK('1_raw_log'!D349),"",'1_raw_log'!D349)</f>
        <v/>
      </c>
      <c r="E349" s="4">
        <f>IF(ISBLANK('1_raw_log'!E349),"",'1_raw_log'!E349)</f>
        <v/>
      </c>
      <c r="F349" s="2">
        <f>IF(ISBLANK('1_raw_log'!F349),"",'1_raw_log'!F349)</f>
        <v/>
      </c>
      <c r="G349" s="2">
        <f>IF(ISBLANK('1_raw_log'!G349),"",'1_raw_log'!G349)</f>
        <v/>
      </c>
      <c r="H349" s="2">
        <f>IF(ISBLANK('1_raw_log'!H349),"",'1_raw_log'!H349)</f>
        <v/>
      </c>
      <c r="I349" s="7">
        <f>IF(ISBLANK('1_raw_log'!I349),"",'1_raw_log'!I349)</f>
        <v/>
      </c>
      <c r="J349" s="2">
        <f>IF(ISBLANK('1_raw_log'!J349),"",'1_raw_log'!J349)</f>
        <v/>
      </c>
      <c r="K349" s="2">
        <f>IF(ISBLANK('1_raw_log'!K349),"",'1_raw_log'!K349)</f>
        <v/>
      </c>
      <c r="L349" s="30">
        <f>INT(B349)</f>
        <v/>
      </c>
      <c r="M349" s="20">
        <f>ROUND(MOD(B349,1)*1440,0)/1440</f>
        <v/>
      </c>
      <c r="N349" s="4">
        <f>IFERROR(INDEX('3_ref_date'!$B:$B,MATCH(L349,'3_ref_date'!$A:$A,0)),"NOT FOUND")</f>
        <v/>
      </c>
      <c r="O349" s="2">
        <f>IFERROR(INDEX('3_ref_date'!$C:$C,MATCH(L349,'3_ref_date'!$A:$A,0)),"NOT FOUND")</f>
        <v/>
      </c>
      <c r="P349" s="4">
        <f>IFERROR(INDEX('3_ref_date'!$D:$D,MATCH(L349,'3_ref_date'!$A:$A,0)),"NOT FOUND")</f>
        <v/>
      </c>
      <c r="Q349" s="4">
        <f>IFERROR(INDEX('3_ref_date'!$E:$E,MATCH(L349,'3_ref_date'!$A:$A,0)),"NOT FOUND")</f>
        <v/>
      </c>
      <c r="R349" s="2">
        <f>IFERROR(INDEX('3_ref_date'!$F:$F,MATCH(L349,'3_ref_date'!$A:$A,0)),"NOT FOUND")</f>
        <v/>
      </c>
      <c r="S349" s="2">
        <f>IFERROR(INDEX('4_ref_time'!$D:$D,MATCH(ROUND(M349*1440,0),'4_ref_time'!$A:$A,0)),"NOT FOUND")</f>
        <v/>
      </c>
      <c r="T349" s="2">
        <f>UPPER(TRIM(C349))</f>
        <v/>
      </c>
      <c r="U349" s="30">
        <f>IF(_xlfn.MAXIFS('6_3nf_branch_history'!$B$2:$B$50,'6_3nf_branch_history'!$A$2:$A$50,T349,'6_3nf_branch_history'!$B$2:$B$50,"&lt;="&amp;L349)=0,"NOT FOUND",_xlfn.MAXIFS('6_3nf_branch_history'!$B$2:$B$50,'6_3nf_branch_history'!$A$2:$A$50,T349,'6_3nf_branch_history'!$B$2:$B$50,"&lt;="&amp;L349))</f>
        <v/>
      </c>
      <c r="V349" s="2">
        <f>IF(U349="NOT FOUND","NOT FOUND",INDEX('6_3nf_branch_history'!$C:$C,SUMPRODUCT(('6_3nf_branch_history'!$A$2:$A$50=T349)*('6_3nf_branch_history'!$B$2:$B$50=U349)*ROW('6_3nf_branch_history'!$A$2:$A$50))))</f>
        <v/>
      </c>
      <c r="W349" s="2">
        <f>IF(U349="NOT FOUND","NOT FOUND",INDEX('6_3nf_branch_history'!$D:$D,SUMPRODUCT(('6_3nf_branch_history'!$A$2:$A$50=T349)*('6_3nf_branch_history'!$B$2:$B$50=U349)*ROW('6_3nf_branch_history'!$A$2:$A$50))))</f>
        <v/>
      </c>
      <c r="X349" s="2">
        <f>IF(U349="NOT FOUND","NOT FOUND",INDEX('6_3nf_branch_history'!$E:$E,SUMPRODUCT(('6_3nf_branch_history'!$A$2:$A$50=T349)*('6_3nf_branch_history'!$B$2:$B$50=U349)*ROW('6_3nf_branch_history'!$A$2:$A$50))))</f>
        <v/>
      </c>
      <c r="Y349" s="2">
        <f>UPPER(TRIM(D349))</f>
        <v/>
      </c>
      <c r="Z349" s="2">
        <f>IFERROR(INDEX('7_3nf_product'!$B:$B,MATCH(Y349,'7_3nf_product'!$A:$A,0)),"NOT FOUND")</f>
        <v/>
      </c>
      <c r="AA349" s="2">
        <f>IFERROR(INDEX('7_3nf_product'!$C:$C,MATCH(Y349,'7_3nf_product'!$A:$A,0)),"NOT FOUND")</f>
        <v/>
      </c>
      <c r="AB349" s="2">
        <f>IFERROR(INDEX('7_3nf_product'!$D:$D,MATCH(Y349,'7_3nf_product'!$A:$A,0)),"NOT FOUND")</f>
        <v/>
      </c>
      <c r="AC349" s="6">
        <f>IFERROR(INDEX('7_3nf_product'!$E:$E,MATCH(Y349,'7_3nf_product'!$A:$A,0)),"NOT FOUND")</f>
        <v/>
      </c>
      <c r="AD349" s="33">
        <f>IF(LEN(TRIM(E349))=10,TRIM(E349),IF(LEN(TRIM(E349))=8,"00"&amp;TRIM(E349),"CHECK"))</f>
        <v/>
      </c>
      <c r="AE349" s="2">
        <f>IFERROR(INDEX('8_3nf_customer'!$C:$C,MATCH(AD349,'8_3nf_customer'!$B:$B,0)),"NOT FOUND")</f>
        <v/>
      </c>
      <c r="AF349" s="30">
        <f>IFERROR(INDEX('8_3nf_customer'!$D:$D,MATCH(AD349,'8_3nf_customer'!$B:$B,0)),"NOT FOUND")</f>
        <v/>
      </c>
      <c r="AG349" s="4">
        <f>IF(ISNUMBER(AF349),DATEDIF(AF349,L349,"y"),"NOT FOUND")</f>
        <v/>
      </c>
      <c r="AH349" s="2">
        <f>IFERROR(INDEX('8_3nf_customer'!$E:$E,MATCH(AD349,'8_3nf_customer'!$B:$B,0)),"NOT FOUND")</f>
        <v/>
      </c>
      <c r="AI349" s="30">
        <f>IF(_xlfn.MAXIFS('9_3nf_customer_history'!$B$2:$B$500,'9_3nf_customer_history'!$A$2:$A$500,AD349,'9_3nf_customer_history'!$B$2:$B$500,"&lt;="&amp;L349)=0,"NOT FOUND",_xlfn.MAXIFS('9_3nf_customer_history'!$B$2:$B$500,'9_3nf_customer_history'!$A$2:$A$500,AD349,'9_3nf_customer_history'!$B$2:$B$500,"&lt;="&amp;L349))</f>
        <v/>
      </c>
      <c r="AJ349" s="2">
        <f>IF(AI349="NOT FOUND","NOT FOUND",INDEX('9_3nf_customer_history'!$C:$C,SUMPRODUCT(('9_3nf_customer_history'!$A$2:$A$500=AD349)*('9_3nf_customer_history'!$B$2:$B$500=AI349)*ROW('9_3nf_customer_history'!$A$2:$A$500))))</f>
        <v/>
      </c>
      <c r="AK349" s="2">
        <f>IF(AI349="NOT FOUND","NOT FOUND",INDEX('9_3nf_customer_history'!$D:$D,SUMPRODUCT(('9_3nf_customer_history'!$A$2:$A$500=AD349)*('9_3nf_customer_history'!$B$2:$B$500=AI349)*ROW('9_3nf_customer_history'!$A$2:$A$500))))</f>
        <v/>
      </c>
      <c r="AL349" s="2">
        <f>UPPER(TRIM(H349))</f>
        <v/>
      </c>
      <c r="AM349" s="30">
        <f>IF(_xlfn.MAXIFS('10_ref_fx_rate'!$B$2:$B$2000,'10_ref_fx_rate'!$A$2:$A$2000,AL349,'10_ref_fx_rate'!$B$2:$B$2000,"&lt;="&amp;L349)=0,"NOT FOUND",_xlfn.MAXIFS('10_ref_fx_rate'!$B$2:$B$2000,'10_ref_fx_rate'!$A$2:$A$2000,AL349,'10_ref_fx_rate'!$B$2:$B$2000,"&lt;="&amp;L349))</f>
        <v/>
      </c>
      <c r="AN349" s="8">
        <f>IF(AM349="NOT FOUND","NOT FOUND",SUMIFS('10_ref_fx_rate'!$D$2:$D$2000,'10_ref_fx_rate'!$A$2:$A$2000,AL349,'10_ref_fx_rate'!$B$2:$B$2000,AM349))</f>
        <v/>
      </c>
      <c r="AO349" s="37">
        <f>IF(ISNUMBER(AN349),I349*AN349,"NOT FOUND")</f>
        <v/>
      </c>
      <c r="AP349" s="2">
        <f>UPPER(TRIM(J349))</f>
        <v/>
      </c>
      <c r="AQ349" s="2">
        <f>IF(AP349="","SELF-DIRECTED",IF(ISNUMBER(MATCH(AP349,'11_3nf_sales_person'!$A:$A,0)),IF(EXACT(AP349,J349),"OK","OK (auto-fixed)"),IF(ISNA(MATCH($A349,'12_sales_person_confirmation'!$A:$A,0)),"CONFIRM (not logged)",IF(INDEX('12_sales_person_confirmation'!$I:$I,MATCH($A349,'12_sales_person_confirmation'!$A:$A,0))="CONFIRMED","CONFIRMED ("&amp;LOWER(INDEX('12_sales_person_confirmation'!$E:$E,MATCH($A349,'12_sales_person_confirmation'!$A:$A,0)))&amp;")","PENDING CONFIRM"))))</f>
        <v/>
      </c>
      <c r="AR349" s="2">
        <f>IF(OR(AQ349="OK",AQ349="OK (auto-fixed)"),AP349,IF(LEFT(AQ349,9)="CONFIRMED",INDEX('12_sales_person_confirmation'!$F:$F,MATCH($A349,'12_sales_person_confirmation'!$A:$A,0)),""))</f>
        <v/>
      </c>
      <c r="AS349" s="2">
        <f>IF(AR349="","",INDEX('11_3nf_sales_person'!$B:$B,MATCH(AR349,'11_3nf_sales_person'!$A:$A,0)))</f>
        <v/>
      </c>
    </row>
    <row r="350">
      <c r="A350" s="2">
        <f>IF(ISBLANK('1_raw_log'!A350),"",'1_raw_log'!A350)</f>
        <v/>
      </c>
      <c r="B350" s="3">
        <f>IF(ISBLANK('1_raw_log'!B350),"",'1_raw_log'!B350)</f>
        <v/>
      </c>
      <c r="C350" s="2">
        <f>IF(ISBLANK('1_raw_log'!C350),"",'1_raw_log'!C350)</f>
        <v/>
      </c>
      <c r="D350" s="2">
        <f>IF(ISBLANK('1_raw_log'!D350),"",'1_raw_log'!D350)</f>
        <v/>
      </c>
      <c r="E350" s="4">
        <f>IF(ISBLANK('1_raw_log'!E350),"",'1_raw_log'!E350)</f>
        <v/>
      </c>
      <c r="F350" s="2">
        <f>IF(ISBLANK('1_raw_log'!F350),"",'1_raw_log'!F350)</f>
        <v/>
      </c>
      <c r="G350" s="2">
        <f>IF(ISBLANK('1_raw_log'!G350),"",'1_raw_log'!G350)</f>
        <v/>
      </c>
      <c r="H350" s="2">
        <f>IF(ISBLANK('1_raw_log'!H350),"",'1_raw_log'!H350)</f>
        <v/>
      </c>
      <c r="I350" s="7">
        <f>IF(ISBLANK('1_raw_log'!I350),"",'1_raw_log'!I350)</f>
        <v/>
      </c>
      <c r="J350" s="2">
        <f>IF(ISBLANK('1_raw_log'!J350),"",'1_raw_log'!J350)</f>
        <v/>
      </c>
      <c r="K350" s="2">
        <f>IF(ISBLANK('1_raw_log'!K350),"",'1_raw_log'!K350)</f>
        <v/>
      </c>
      <c r="L350" s="30">
        <f>INT(B350)</f>
        <v/>
      </c>
      <c r="M350" s="20">
        <f>ROUND(MOD(B350,1)*1440,0)/1440</f>
        <v/>
      </c>
      <c r="N350" s="4">
        <f>IFERROR(INDEX('3_ref_date'!$B:$B,MATCH(L350,'3_ref_date'!$A:$A,0)),"NOT FOUND")</f>
        <v/>
      </c>
      <c r="O350" s="2">
        <f>IFERROR(INDEX('3_ref_date'!$C:$C,MATCH(L350,'3_ref_date'!$A:$A,0)),"NOT FOUND")</f>
        <v/>
      </c>
      <c r="P350" s="4">
        <f>IFERROR(INDEX('3_ref_date'!$D:$D,MATCH(L350,'3_ref_date'!$A:$A,0)),"NOT FOUND")</f>
        <v/>
      </c>
      <c r="Q350" s="4">
        <f>IFERROR(INDEX('3_ref_date'!$E:$E,MATCH(L350,'3_ref_date'!$A:$A,0)),"NOT FOUND")</f>
        <v/>
      </c>
      <c r="R350" s="2">
        <f>IFERROR(INDEX('3_ref_date'!$F:$F,MATCH(L350,'3_ref_date'!$A:$A,0)),"NOT FOUND")</f>
        <v/>
      </c>
      <c r="S350" s="2">
        <f>IFERROR(INDEX('4_ref_time'!$D:$D,MATCH(ROUND(M350*1440,0),'4_ref_time'!$A:$A,0)),"NOT FOUND")</f>
        <v/>
      </c>
      <c r="T350" s="2">
        <f>UPPER(TRIM(C350))</f>
        <v/>
      </c>
      <c r="U350" s="30">
        <f>IF(_xlfn.MAXIFS('6_3nf_branch_history'!$B$2:$B$50,'6_3nf_branch_history'!$A$2:$A$50,T350,'6_3nf_branch_history'!$B$2:$B$50,"&lt;="&amp;L350)=0,"NOT FOUND",_xlfn.MAXIFS('6_3nf_branch_history'!$B$2:$B$50,'6_3nf_branch_history'!$A$2:$A$50,T350,'6_3nf_branch_history'!$B$2:$B$50,"&lt;="&amp;L350))</f>
        <v/>
      </c>
      <c r="V350" s="2">
        <f>IF(U350="NOT FOUND","NOT FOUND",INDEX('6_3nf_branch_history'!$C:$C,SUMPRODUCT(('6_3nf_branch_history'!$A$2:$A$50=T350)*('6_3nf_branch_history'!$B$2:$B$50=U350)*ROW('6_3nf_branch_history'!$A$2:$A$50))))</f>
        <v/>
      </c>
      <c r="W350" s="2">
        <f>IF(U350="NOT FOUND","NOT FOUND",INDEX('6_3nf_branch_history'!$D:$D,SUMPRODUCT(('6_3nf_branch_history'!$A$2:$A$50=T350)*('6_3nf_branch_history'!$B$2:$B$50=U350)*ROW('6_3nf_branch_history'!$A$2:$A$50))))</f>
        <v/>
      </c>
      <c r="X350" s="2">
        <f>IF(U350="NOT FOUND","NOT FOUND",INDEX('6_3nf_branch_history'!$E:$E,SUMPRODUCT(('6_3nf_branch_history'!$A$2:$A$50=T350)*('6_3nf_branch_history'!$B$2:$B$50=U350)*ROW('6_3nf_branch_history'!$A$2:$A$50))))</f>
        <v/>
      </c>
      <c r="Y350" s="2">
        <f>UPPER(TRIM(D350))</f>
        <v/>
      </c>
      <c r="Z350" s="2">
        <f>IFERROR(INDEX('7_3nf_product'!$B:$B,MATCH(Y350,'7_3nf_product'!$A:$A,0)),"NOT FOUND")</f>
        <v/>
      </c>
      <c r="AA350" s="2">
        <f>IFERROR(INDEX('7_3nf_product'!$C:$C,MATCH(Y350,'7_3nf_product'!$A:$A,0)),"NOT FOUND")</f>
        <v/>
      </c>
      <c r="AB350" s="2">
        <f>IFERROR(INDEX('7_3nf_product'!$D:$D,MATCH(Y350,'7_3nf_product'!$A:$A,0)),"NOT FOUND")</f>
        <v/>
      </c>
      <c r="AC350" s="6">
        <f>IFERROR(INDEX('7_3nf_product'!$E:$E,MATCH(Y350,'7_3nf_product'!$A:$A,0)),"NOT FOUND")</f>
        <v/>
      </c>
      <c r="AD350" s="33">
        <f>IF(LEN(TRIM(E350))=10,TRIM(E350),IF(LEN(TRIM(E350))=8,"00"&amp;TRIM(E350),"CHECK"))</f>
        <v/>
      </c>
      <c r="AE350" s="2">
        <f>IFERROR(INDEX('8_3nf_customer'!$C:$C,MATCH(AD350,'8_3nf_customer'!$B:$B,0)),"NOT FOUND")</f>
        <v/>
      </c>
      <c r="AF350" s="30">
        <f>IFERROR(INDEX('8_3nf_customer'!$D:$D,MATCH(AD350,'8_3nf_customer'!$B:$B,0)),"NOT FOUND")</f>
        <v/>
      </c>
      <c r="AG350" s="4">
        <f>IF(ISNUMBER(AF350),DATEDIF(AF350,L350,"y"),"NOT FOUND")</f>
        <v/>
      </c>
      <c r="AH350" s="2">
        <f>IFERROR(INDEX('8_3nf_customer'!$E:$E,MATCH(AD350,'8_3nf_customer'!$B:$B,0)),"NOT FOUND")</f>
        <v/>
      </c>
      <c r="AI350" s="30">
        <f>IF(_xlfn.MAXIFS('9_3nf_customer_history'!$B$2:$B$500,'9_3nf_customer_history'!$A$2:$A$500,AD350,'9_3nf_customer_history'!$B$2:$B$500,"&lt;="&amp;L350)=0,"NOT FOUND",_xlfn.MAXIFS('9_3nf_customer_history'!$B$2:$B$500,'9_3nf_customer_history'!$A$2:$A$500,AD350,'9_3nf_customer_history'!$B$2:$B$500,"&lt;="&amp;L350))</f>
        <v/>
      </c>
      <c r="AJ350" s="2">
        <f>IF(AI350="NOT FOUND","NOT FOUND",INDEX('9_3nf_customer_history'!$C:$C,SUMPRODUCT(('9_3nf_customer_history'!$A$2:$A$500=AD350)*('9_3nf_customer_history'!$B$2:$B$500=AI350)*ROW('9_3nf_customer_history'!$A$2:$A$500))))</f>
        <v/>
      </c>
      <c r="AK350" s="2">
        <f>IF(AI350="NOT FOUND","NOT FOUND",INDEX('9_3nf_customer_history'!$D:$D,SUMPRODUCT(('9_3nf_customer_history'!$A$2:$A$500=AD350)*('9_3nf_customer_history'!$B$2:$B$500=AI350)*ROW('9_3nf_customer_history'!$A$2:$A$500))))</f>
        <v/>
      </c>
      <c r="AL350" s="2">
        <f>UPPER(TRIM(H350))</f>
        <v/>
      </c>
      <c r="AM350" s="30">
        <f>IF(_xlfn.MAXIFS('10_ref_fx_rate'!$B$2:$B$2000,'10_ref_fx_rate'!$A$2:$A$2000,AL350,'10_ref_fx_rate'!$B$2:$B$2000,"&lt;="&amp;L350)=0,"NOT FOUND",_xlfn.MAXIFS('10_ref_fx_rate'!$B$2:$B$2000,'10_ref_fx_rate'!$A$2:$A$2000,AL350,'10_ref_fx_rate'!$B$2:$B$2000,"&lt;="&amp;L350))</f>
        <v/>
      </c>
      <c r="AN350" s="8">
        <f>IF(AM350="NOT FOUND","NOT FOUND",SUMIFS('10_ref_fx_rate'!$D$2:$D$2000,'10_ref_fx_rate'!$A$2:$A$2000,AL350,'10_ref_fx_rate'!$B$2:$B$2000,AM350))</f>
        <v/>
      </c>
      <c r="AO350" s="37">
        <f>IF(ISNUMBER(AN350),I350*AN350,"NOT FOUND")</f>
        <v/>
      </c>
      <c r="AP350" s="2">
        <f>UPPER(TRIM(J350))</f>
        <v/>
      </c>
      <c r="AQ350" s="2">
        <f>IF(AP350="","SELF-DIRECTED",IF(ISNUMBER(MATCH(AP350,'11_3nf_sales_person'!$A:$A,0)),IF(EXACT(AP350,J350),"OK","OK (auto-fixed)"),IF(ISNA(MATCH($A350,'12_sales_person_confirmation'!$A:$A,0)),"CONFIRM (not logged)",IF(INDEX('12_sales_person_confirmation'!$I:$I,MATCH($A350,'12_sales_person_confirmation'!$A:$A,0))="CONFIRMED","CONFIRMED ("&amp;LOWER(INDEX('12_sales_person_confirmation'!$E:$E,MATCH($A350,'12_sales_person_confirmation'!$A:$A,0)))&amp;")","PENDING CONFIRM"))))</f>
        <v/>
      </c>
      <c r="AR350" s="2">
        <f>IF(OR(AQ350="OK",AQ350="OK (auto-fixed)"),AP350,IF(LEFT(AQ350,9)="CONFIRMED",INDEX('12_sales_person_confirmation'!$F:$F,MATCH($A350,'12_sales_person_confirmation'!$A:$A,0)),""))</f>
        <v/>
      </c>
      <c r="AS350" s="2">
        <f>IF(AR350="","",INDEX('11_3nf_sales_person'!$B:$B,MATCH(AR350,'11_3nf_sales_person'!$A:$A,0)))</f>
        <v/>
      </c>
    </row>
    <row r="351">
      <c r="A351" s="2">
        <f>IF(ISBLANK('1_raw_log'!A351),"",'1_raw_log'!A351)</f>
        <v/>
      </c>
      <c r="B351" s="3">
        <f>IF(ISBLANK('1_raw_log'!B351),"",'1_raw_log'!B351)</f>
        <v/>
      </c>
      <c r="C351" s="2">
        <f>IF(ISBLANK('1_raw_log'!C351),"",'1_raw_log'!C351)</f>
        <v/>
      </c>
      <c r="D351" s="2">
        <f>IF(ISBLANK('1_raw_log'!D351),"",'1_raw_log'!D351)</f>
        <v/>
      </c>
      <c r="E351" s="4">
        <f>IF(ISBLANK('1_raw_log'!E351),"",'1_raw_log'!E351)</f>
        <v/>
      </c>
      <c r="F351" s="2">
        <f>IF(ISBLANK('1_raw_log'!F351),"",'1_raw_log'!F351)</f>
        <v/>
      </c>
      <c r="G351" s="2">
        <f>IF(ISBLANK('1_raw_log'!G351),"",'1_raw_log'!G351)</f>
        <v/>
      </c>
      <c r="H351" s="2">
        <f>IF(ISBLANK('1_raw_log'!H351),"",'1_raw_log'!H351)</f>
        <v/>
      </c>
      <c r="I351" s="7">
        <f>IF(ISBLANK('1_raw_log'!I351),"",'1_raw_log'!I351)</f>
        <v/>
      </c>
      <c r="J351" s="2">
        <f>IF(ISBLANK('1_raw_log'!J351),"",'1_raw_log'!J351)</f>
        <v/>
      </c>
      <c r="K351" s="2">
        <f>IF(ISBLANK('1_raw_log'!K351),"",'1_raw_log'!K351)</f>
        <v/>
      </c>
      <c r="L351" s="30">
        <f>INT(B351)</f>
        <v/>
      </c>
      <c r="M351" s="20">
        <f>ROUND(MOD(B351,1)*1440,0)/1440</f>
        <v/>
      </c>
      <c r="N351" s="4">
        <f>IFERROR(INDEX('3_ref_date'!$B:$B,MATCH(L351,'3_ref_date'!$A:$A,0)),"NOT FOUND")</f>
        <v/>
      </c>
      <c r="O351" s="2">
        <f>IFERROR(INDEX('3_ref_date'!$C:$C,MATCH(L351,'3_ref_date'!$A:$A,0)),"NOT FOUND")</f>
        <v/>
      </c>
      <c r="P351" s="4">
        <f>IFERROR(INDEX('3_ref_date'!$D:$D,MATCH(L351,'3_ref_date'!$A:$A,0)),"NOT FOUND")</f>
        <v/>
      </c>
      <c r="Q351" s="4">
        <f>IFERROR(INDEX('3_ref_date'!$E:$E,MATCH(L351,'3_ref_date'!$A:$A,0)),"NOT FOUND")</f>
        <v/>
      </c>
      <c r="R351" s="2">
        <f>IFERROR(INDEX('3_ref_date'!$F:$F,MATCH(L351,'3_ref_date'!$A:$A,0)),"NOT FOUND")</f>
        <v/>
      </c>
      <c r="S351" s="2">
        <f>IFERROR(INDEX('4_ref_time'!$D:$D,MATCH(ROUND(M351*1440,0),'4_ref_time'!$A:$A,0)),"NOT FOUND")</f>
        <v/>
      </c>
      <c r="T351" s="2">
        <f>UPPER(TRIM(C351))</f>
        <v/>
      </c>
      <c r="U351" s="30">
        <f>IF(_xlfn.MAXIFS('6_3nf_branch_history'!$B$2:$B$50,'6_3nf_branch_history'!$A$2:$A$50,T351,'6_3nf_branch_history'!$B$2:$B$50,"&lt;="&amp;L351)=0,"NOT FOUND",_xlfn.MAXIFS('6_3nf_branch_history'!$B$2:$B$50,'6_3nf_branch_history'!$A$2:$A$50,T351,'6_3nf_branch_history'!$B$2:$B$50,"&lt;="&amp;L351))</f>
        <v/>
      </c>
      <c r="V351" s="2">
        <f>IF(U351="NOT FOUND","NOT FOUND",INDEX('6_3nf_branch_history'!$C:$C,SUMPRODUCT(('6_3nf_branch_history'!$A$2:$A$50=T351)*('6_3nf_branch_history'!$B$2:$B$50=U351)*ROW('6_3nf_branch_history'!$A$2:$A$50))))</f>
        <v/>
      </c>
      <c r="W351" s="2">
        <f>IF(U351="NOT FOUND","NOT FOUND",INDEX('6_3nf_branch_history'!$D:$D,SUMPRODUCT(('6_3nf_branch_history'!$A$2:$A$50=T351)*('6_3nf_branch_history'!$B$2:$B$50=U351)*ROW('6_3nf_branch_history'!$A$2:$A$50))))</f>
        <v/>
      </c>
      <c r="X351" s="2">
        <f>IF(U351="NOT FOUND","NOT FOUND",INDEX('6_3nf_branch_history'!$E:$E,SUMPRODUCT(('6_3nf_branch_history'!$A$2:$A$50=T351)*('6_3nf_branch_history'!$B$2:$B$50=U351)*ROW('6_3nf_branch_history'!$A$2:$A$50))))</f>
        <v/>
      </c>
      <c r="Y351" s="2">
        <f>UPPER(TRIM(D351))</f>
        <v/>
      </c>
      <c r="Z351" s="2">
        <f>IFERROR(INDEX('7_3nf_product'!$B:$B,MATCH(Y351,'7_3nf_product'!$A:$A,0)),"NOT FOUND")</f>
        <v/>
      </c>
      <c r="AA351" s="2">
        <f>IFERROR(INDEX('7_3nf_product'!$C:$C,MATCH(Y351,'7_3nf_product'!$A:$A,0)),"NOT FOUND")</f>
        <v/>
      </c>
      <c r="AB351" s="2">
        <f>IFERROR(INDEX('7_3nf_product'!$D:$D,MATCH(Y351,'7_3nf_product'!$A:$A,0)),"NOT FOUND")</f>
        <v/>
      </c>
      <c r="AC351" s="6">
        <f>IFERROR(INDEX('7_3nf_product'!$E:$E,MATCH(Y351,'7_3nf_product'!$A:$A,0)),"NOT FOUND")</f>
        <v/>
      </c>
      <c r="AD351" s="33">
        <f>IF(LEN(TRIM(E351))=10,TRIM(E351),IF(LEN(TRIM(E351))=8,"00"&amp;TRIM(E351),"CHECK"))</f>
        <v/>
      </c>
      <c r="AE351" s="2">
        <f>IFERROR(INDEX('8_3nf_customer'!$C:$C,MATCH(AD351,'8_3nf_customer'!$B:$B,0)),"NOT FOUND")</f>
        <v/>
      </c>
      <c r="AF351" s="30">
        <f>IFERROR(INDEX('8_3nf_customer'!$D:$D,MATCH(AD351,'8_3nf_customer'!$B:$B,0)),"NOT FOUND")</f>
        <v/>
      </c>
      <c r="AG351" s="4">
        <f>IF(ISNUMBER(AF351),DATEDIF(AF351,L351,"y"),"NOT FOUND")</f>
        <v/>
      </c>
      <c r="AH351" s="2">
        <f>IFERROR(INDEX('8_3nf_customer'!$E:$E,MATCH(AD351,'8_3nf_customer'!$B:$B,0)),"NOT FOUND")</f>
        <v/>
      </c>
      <c r="AI351" s="30">
        <f>IF(_xlfn.MAXIFS('9_3nf_customer_history'!$B$2:$B$500,'9_3nf_customer_history'!$A$2:$A$500,AD351,'9_3nf_customer_history'!$B$2:$B$500,"&lt;="&amp;L351)=0,"NOT FOUND",_xlfn.MAXIFS('9_3nf_customer_history'!$B$2:$B$500,'9_3nf_customer_history'!$A$2:$A$500,AD351,'9_3nf_customer_history'!$B$2:$B$500,"&lt;="&amp;L351))</f>
        <v/>
      </c>
      <c r="AJ351" s="2">
        <f>IF(AI351="NOT FOUND","NOT FOUND",INDEX('9_3nf_customer_history'!$C:$C,SUMPRODUCT(('9_3nf_customer_history'!$A$2:$A$500=AD351)*('9_3nf_customer_history'!$B$2:$B$500=AI351)*ROW('9_3nf_customer_history'!$A$2:$A$500))))</f>
        <v/>
      </c>
      <c r="AK351" s="2">
        <f>IF(AI351="NOT FOUND","NOT FOUND",INDEX('9_3nf_customer_history'!$D:$D,SUMPRODUCT(('9_3nf_customer_history'!$A$2:$A$500=AD351)*('9_3nf_customer_history'!$B$2:$B$500=AI351)*ROW('9_3nf_customer_history'!$A$2:$A$500))))</f>
        <v/>
      </c>
      <c r="AL351" s="2">
        <f>UPPER(TRIM(H351))</f>
        <v/>
      </c>
      <c r="AM351" s="30">
        <f>IF(_xlfn.MAXIFS('10_ref_fx_rate'!$B$2:$B$2000,'10_ref_fx_rate'!$A$2:$A$2000,AL351,'10_ref_fx_rate'!$B$2:$B$2000,"&lt;="&amp;L351)=0,"NOT FOUND",_xlfn.MAXIFS('10_ref_fx_rate'!$B$2:$B$2000,'10_ref_fx_rate'!$A$2:$A$2000,AL351,'10_ref_fx_rate'!$B$2:$B$2000,"&lt;="&amp;L351))</f>
        <v/>
      </c>
      <c r="AN351" s="8">
        <f>IF(AM351="NOT FOUND","NOT FOUND",SUMIFS('10_ref_fx_rate'!$D$2:$D$2000,'10_ref_fx_rate'!$A$2:$A$2000,AL351,'10_ref_fx_rate'!$B$2:$B$2000,AM351))</f>
        <v/>
      </c>
      <c r="AO351" s="37">
        <f>IF(ISNUMBER(AN351),I351*AN351,"NOT FOUND")</f>
        <v/>
      </c>
      <c r="AP351" s="2">
        <f>UPPER(TRIM(J351))</f>
        <v/>
      </c>
      <c r="AQ351" s="2">
        <f>IF(AP351="","SELF-DIRECTED",IF(ISNUMBER(MATCH(AP351,'11_3nf_sales_person'!$A:$A,0)),IF(EXACT(AP351,J351),"OK","OK (auto-fixed)"),IF(ISNA(MATCH($A351,'12_sales_person_confirmation'!$A:$A,0)),"CONFIRM (not logged)",IF(INDEX('12_sales_person_confirmation'!$I:$I,MATCH($A351,'12_sales_person_confirmation'!$A:$A,0))="CONFIRMED","CONFIRMED ("&amp;LOWER(INDEX('12_sales_person_confirmation'!$E:$E,MATCH($A351,'12_sales_person_confirmation'!$A:$A,0)))&amp;")","PENDING CONFIRM"))))</f>
        <v/>
      </c>
      <c r="AR351" s="2">
        <f>IF(OR(AQ351="OK",AQ351="OK (auto-fixed)"),AP351,IF(LEFT(AQ351,9)="CONFIRMED",INDEX('12_sales_person_confirmation'!$F:$F,MATCH($A351,'12_sales_person_confirmation'!$A:$A,0)),""))</f>
        <v/>
      </c>
      <c r="AS351" s="2">
        <f>IF(AR351="","",INDEX('11_3nf_sales_person'!$B:$B,MATCH(AR351,'11_3nf_sales_person'!$A:$A,0)))</f>
        <v/>
      </c>
    </row>
    <row r="352">
      <c r="A352" s="2">
        <f>IF(ISBLANK('1_raw_log'!A352),"",'1_raw_log'!A352)</f>
        <v/>
      </c>
      <c r="B352" s="3">
        <f>IF(ISBLANK('1_raw_log'!B352),"",'1_raw_log'!B352)</f>
        <v/>
      </c>
      <c r="C352" s="2">
        <f>IF(ISBLANK('1_raw_log'!C352),"",'1_raw_log'!C352)</f>
        <v/>
      </c>
      <c r="D352" s="2">
        <f>IF(ISBLANK('1_raw_log'!D352),"",'1_raw_log'!D352)</f>
        <v/>
      </c>
      <c r="E352" s="4">
        <f>IF(ISBLANK('1_raw_log'!E352),"",'1_raw_log'!E352)</f>
        <v/>
      </c>
      <c r="F352" s="2">
        <f>IF(ISBLANK('1_raw_log'!F352),"",'1_raw_log'!F352)</f>
        <v/>
      </c>
      <c r="G352" s="2">
        <f>IF(ISBLANK('1_raw_log'!G352),"",'1_raw_log'!G352)</f>
        <v/>
      </c>
      <c r="H352" s="2">
        <f>IF(ISBLANK('1_raw_log'!H352),"",'1_raw_log'!H352)</f>
        <v/>
      </c>
      <c r="I352" s="7">
        <f>IF(ISBLANK('1_raw_log'!I352),"",'1_raw_log'!I352)</f>
        <v/>
      </c>
      <c r="J352" s="2">
        <f>IF(ISBLANK('1_raw_log'!J352),"",'1_raw_log'!J352)</f>
        <v/>
      </c>
      <c r="K352" s="2">
        <f>IF(ISBLANK('1_raw_log'!K352),"",'1_raw_log'!K352)</f>
        <v/>
      </c>
      <c r="L352" s="30">
        <f>INT(B352)</f>
        <v/>
      </c>
      <c r="M352" s="20">
        <f>ROUND(MOD(B352,1)*1440,0)/1440</f>
        <v/>
      </c>
      <c r="N352" s="4">
        <f>IFERROR(INDEX('3_ref_date'!$B:$B,MATCH(L352,'3_ref_date'!$A:$A,0)),"NOT FOUND")</f>
        <v/>
      </c>
      <c r="O352" s="2">
        <f>IFERROR(INDEX('3_ref_date'!$C:$C,MATCH(L352,'3_ref_date'!$A:$A,0)),"NOT FOUND")</f>
        <v/>
      </c>
      <c r="P352" s="4">
        <f>IFERROR(INDEX('3_ref_date'!$D:$D,MATCH(L352,'3_ref_date'!$A:$A,0)),"NOT FOUND")</f>
        <v/>
      </c>
      <c r="Q352" s="4">
        <f>IFERROR(INDEX('3_ref_date'!$E:$E,MATCH(L352,'3_ref_date'!$A:$A,0)),"NOT FOUND")</f>
        <v/>
      </c>
      <c r="R352" s="2">
        <f>IFERROR(INDEX('3_ref_date'!$F:$F,MATCH(L352,'3_ref_date'!$A:$A,0)),"NOT FOUND")</f>
        <v/>
      </c>
      <c r="S352" s="2">
        <f>IFERROR(INDEX('4_ref_time'!$D:$D,MATCH(ROUND(M352*1440,0),'4_ref_time'!$A:$A,0)),"NOT FOUND")</f>
        <v/>
      </c>
      <c r="T352" s="2">
        <f>UPPER(TRIM(C352))</f>
        <v/>
      </c>
      <c r="U352" s="30">
        <f>IF(_xlfn.MAXIFS('6_3nf_branch_history'!$B$2:$B$50,'6_3nf_branch_history'!$A$2:$A$50,T352,'6_3nf_branch_history'!$B$2:$B$50,"&lt;="&amp;L352)=0,"NOT FOUND",_xlfn.MAXIFS('6_3nf_branch_history'!$B$2:$B$50,'6_3nf_branch_history'!$A$2:$A$50,T352,'6_3nf_branch_history'!$B$2:$B$50,"&lt;="&amp;L352))</f>
        <v/>
      </c>
      <c r="V352" s="2">
        <f>IF(U352="NOT FOUND","NOT FOUND",INDEX('6_3nf_branch_history'!$C:$C,SUMPRODUCT(('6_3nf_branch_history'!$A$2:$A$50=T352)*('6_3nf_branch_history'!$B$2:$B$50=U352)*ROW('6_3nf_branch_history'!$A$2:$A$50))))</f>
        <v/>
      </c>
      <c r="W352" s="2">
        <f>IF(U352="NOT FOUND","NOT FOUND",INDEX('6_3nf_branch_history'!$D:$D,SUMPRODUCT(('6_3nf_branch_history'!$A$2:$A$50=T352)*('6_3nf_branch_history'!$B$2:$B$50=U352)*ROW('6_3nf_branch_history'!$A$2:$A$50))))</f>
        <v/>
      </c>
      <c r="X352" s="2">
        <f>IF(U352="NOT FOUND","NOT FOUND",INDEX('6_3nf_branch_history'!$E:$E,SUMPRODUCT(('6_3nf_branch_history'!$A$2:$A$50=T352)*('6_3nf_branch_history'!$B$2:$B$50=U352)*ROW('6_3nf_branch_history'!$A$2:$A$50))))</f>
        <v/>
      </c>
      <c r="Y352" s="2">
        <f>UPPER(TRIM(D352))</f>
        <v/>
      </c>
      <c r="Z352" s="2">
        <f>IFERROR(INDEX('7_3nf_product'!$B:$B,MATCH(Y352,'7_3nf_product'!$A:$A,0)),"NOT FOUND")</f>
        <v/>
      </c>
      <c r="AA352" s="2">
        <f>IFERROR(INDEX('7_3nf_product'!$C:$C,MATCH(Y352,'7_3nf_product'!$A:$A,0)),"NOT FOUND")</f>
        <v/>
      </c>
      <c r="AB352" s="2">
        <f>IFERROR(INDEX('7_3nf_product'!$D:$D,MATCH(Y352,'7_3nf_product'!$A:$A,0)),"NOT FOUND")</f>
        <v/>
      </c>
      <c r="AC352" s="6">
        <f>IFERROR(INDEX('7_3nf_product'!$E:$E,MATCH(Y352,'7_3nf_product'!$A:$A,0)),"NOT FOUND")</f>
        <v/>
      </c>
      <c r="AD352" s="33">
        <f>IF(LEN(TRIM(E352))=10,TRIM(E352),IF(LEN(TRIM(E352))=8,"00"&amp;TRIM(E352),"CHECK"))</f>
        <v/>
      </c>
      <c r="AE352" s="2">
        <f>IFERROR(INDEX('8_3nf_customer'!$C:$C,MATCH(AD352,'8_3nf_customer'!$B:$B,0)),"NOT FOUND")</f>
        <v/>
      </c>
      <c r="AF352" s="30">
        <f>IFERROR(INDEX('8_3nf_customer'!$D:$D,MATCH(AD352,'8_3nf_customer'!$B:$B,0)),"NOT FOUND")</f>
        <v/>
      </c>
      <c r="AG352" s="4">
        <f>IF(ISNUMBER(AF352),DATEDIF(AF352,L352,"y"),"NOT FOUND")</f>
        <v/>
      </c>
      <c r="AH352" s="2">
        <f>IFERROR(INDEX('8_3nf_customer'!$E:$E,MATCH(AD352,'8_3nf_customer'!$B:$B,0)),"NOT FOUND")</f>
        <v/>
      </c>
      <c r="AI352" s="30">
        <f>IF(_xlfn.MAXIFS('9_3nf_customer_history'!$B$2:$B$500,'9_3nf_customer_history'!$A$2:$A$500,AD352,'9_3nf_customer_history'!$B$2:$B$500,"&lt;="&amp;L352)=0,"NOT FOUND",_xlfn.MAXIFS('9_3nf_customer_history'!$B$2:$B$500,'9_3nf_customer_history'!$A$2:$A$500,AD352,'9_3nf_customer_history'!$B$2:$B$500,"&lt;="&amp;L352))</f>
        <v/>
      </c>
      <c r="AJ352" s="2">
        <f>IF(AI352="NOT FOUND","NOT FOUND",INDEX('9_3nf_customer_history'!$C:$C,SUMPRODUCT(('9_3nf_customer_history'!$A$2:$A$500=AD352)*('9_3nf_customer_history'!$B$2:$B$500=AI352)*ROW('9_3nf_customer_history'!$A$2:$A$500))))</f>
        <v/>
      </c>
      <c r="AK352" s="2">
        <f>IF(AI352="NOT FOUND","NOT FOUND",INDEX('9_3nf_customer_history'!$D:$D,SUMPRODUCT(('9_3nf_customer_history'!$A$2:$A$500=AD352)*('9_3nf_customer_history'!$B$2:$B$500=AI352)*ROW('9_3nf_customer_history'!$A$2:$A$500))))</f>
        <v/>
      </c>
      <c r="AL352" s="2">
        <f>UPPER(TRIM(H352))</f>
        <v/>
      </c>
      <c r="AM352" s="30">
        <f>IF(_xlfn.MAXIFS('10_ref_fx_rate'!$B$2:$B$2000,'10_ref_fx_rate'!$A$2:$A$2000,AL352,'10_ref_fx_rate'!$B$2:$B$2000,"&lt;="&amp;L352)=0,"NOT FOUND",_xlfn.MAXIFS('10_ref_fx_rate'!$B$2:$B$2000,'10_ref_fx_rate'!$A$2:$A$2000,AL352,'10_ref_fx_rate'!$B$2:$B$2000,"&lt;="&amp;L352))</f>
        <v/>
      </c>
      <c r="AN352" s="8">
        <f>IF(AM352="NOT FOUND","NOT FOUND",SUMIFS('10_ref_fx_rate'!$D$2:$D$2000,'10_ref_fx_rate'!$A$2:$A$2000,AL352,'10_ref_fx_rate'!$B$2:$B$2000,AM352))</f>
        <v/>
      </c>
      <c r="AO352" s="37">
        <f>IF(ISNUMBER(AN352),I352*AN352,"NOT FOUND")</f>
        <v/>
      </c>
      <c r="AP352" s="2">
        <f>UPPER(TRIM(J352))</f>
        <v/>
      </c>
      <c r="AQ352" s="2">
        <f>IF(AP352="","SELF-DIRECTED",IF(ISNUMBER(MATCH(AP352,'11_3nf_sales_person'!$A:$A,0)),IF(EXACT(AP352,J352),"OK","OK (auto-fixed)"),IF(ISNA(MATCH($A352,'12_sales_person_confirmation'!$A:$A,0)),"CONFIRM (not logged)",IF(INDEX('12_sales_person_confirmation'!$I:$I,MATCH($A352,'12_sales_person_confirmation'!$A:$A,0))="CONFIRMED","CONFIRMED ("&amp;LOWER(INDEX('12_sales_person_confirmation'!$E:$E,MATCH($A352,'12_sales_person_confirmation'!$A:$A,0)))&amp;")","PENDING CONFIRM"))))</f>
        <v/>
      </c>
      <c r="AR352" s="2">
        <f>IF(OR(AQ352="OK",AQ352="OK (auto-fixed)"),AP352,IF(LEFT(AQ352,9)="CONFIRMED",INDEX('12_sales_person_confirmation'!$F:$F,MATCH($A352,'12_sales_person_confirmation'!$A:$A,0)),""))</f>
        <v/>
      </c>
      <c r="AS352" s="2">
        <f>IF(AR352="","",INDEX('11_3nf_sales_person'!$B:$B,MATCH(AR352,'11_3nf_sales_person'!$A:$A,0)))</f>
        <v/>
      </c>
    </row>
    <row r="353">
      <c r="A353" s="2">
        <f>IF(ISBLANK('1_raw_log'!A353),"",'1_raw_log'!A353)</f>
        <v/>
      </c>
      <c r="B353" s="3">
        <f>IF(ISBLANK('1_raw_log'!B353),"",'1_raw_log'!B353)</f>
        <v/>
      </c>
      <c r="C353" s="2">
        <f>IF(ISBLANK('1_raw_log'!C353),"",'1_raw_log'!C353)</f>
        <v/>
      </c>
      <c r="D353" s="2">
        <f>IF(ISBLANK('1_raw_log'!D353),"",'1_raw_log'!D353)</f>
        <v/>
      </c>
      <c r="E353" s="4">
        <f>IF(ISBLANK('1_raw_log'!E353),"",'1_raw_log'!E353)</f>
        <v/>
      </c>
      <c r="F353" s="2">
        <f>IF(ISBLANK('1_raw_log'!F353),"",'1_raw_log'!F353)</f>
        <v/>
      </c>
      <c r="G353" s="2">
        <f>IF(ISBLANK('1_raw_log'!G353),"",'1_raw_log'!G353)</f>
        <v/>
      </c>
      <c r="H353" s="2">
        <f>IF(ISBLANK('1_raw_log'!H353),"",'1_raw_log'!H353)</f>
        <v/>
      </c>
      <c r="I353" s="7">
        <f>IF(ISBLANK('1_raw_log'!I353),"",'1_raw_log'!I353)</f>
        <v/>
      </c>
      <c r="J353" s="2">
        <f>IF(ISBLANK('1_raw_log'!J353),"",'1_raw_log'!J353)</f>
        <v/>
      </c>
      <c r="K353" s="2">
        <f>IF(ISBLANK('1_raw_log'!K353),"",'1_raw_log'!K353)</f>
        <v/>
      </c>
      <c r="L353" s="30">
        <f>INT(B353)</f>
        <v/>
      </c>
      <c r="M353" s="20">
        <f>ROUND(MOD(B353,1)*1440,0)/1440</f>
        <v/>
      </c>
      <c r="N353" s="4">
        <f>IFERROR(INDEX('3_ref_date'!$B:$B,MATCH(L353,'3_ref_date'!$A:$A,0)),"NOT FOUND")</f>
        <v/>
      </c>
      <c r="O353" s="2">
        <f>IFERROR(INDEX('3_ref_date'!$C:$C,MATCH(L353,'3_ref_date'!$A:$A,0)),"NOT FOUND")</f>
        <v/>
      </c>
      <c r="P353" s="4">
        <f>IFERROR(INDEX('3_ref_date'!$D:$D,MATCH(L353,'3_ref_date'!$A:$A,0)),"NOT FOUND")</f>
        <v/>
      </c>
      <c r="Q353" s="4">
        <f>IFERROR(INDEX('3_ref_date'!$E:$E,MATCH(L353,'3_ref_date'!$A:$A,0)),"NOT FOUND")</f>
        <v/>
      </c>
      <c r="R353" s="2">
        <f>IFERROR(INDEX('3_ref_date'!$F:$F,MATCH(L353,'3_ref_date'!$A:$A,0)),"NOT FOUND")</f>
        <v/>
      </c>
      <c r="S353" s="2">
        <f>IFERROR(INDEX('4_ref_time'!$D:$D,MATCH(ROUND(M353*1440,0),'4_ref_time'!$A:$A,0)),"NOT FOUND")</f>
        <v/>
      </c>
      <c r="T353" s="2">
        <f>UPPER(TRIM(C353))</f>
        <v/>
      </c>
      <c r="U353" s="30">
        <f>IF(_xlfn.MAXIFS('6_3nf_branch_history'!$B$2:$B$50,'6_3nf_branch_history'!$A$2:$A$50,T353,'6_3nf_branch_history'!$B$2:$B$50,"&lt;="&amp;L353)=0,"NOT FOUND",_xlfn.MAXIFS('6_3nf_branch_history'!$B$2:$B$50,'6_3nf_branch_history'!$A$2:$A$50,T353,'6_3nf_branch_history'!$B$2:$B$50,"&lt;="&amp;L353))</f>
        <v/>
      </c>
      <c r="V353" s="2">
        <f>IF(U353="NOT FOUND","NOT FOUND",INDEX('6_3nf_branch_history'!$C:$C,SUMPRODUCT(('6_3nf_branch_history'!$A$2:$A$50=T353)*('6_3nf_branch_history'!$B$2:$B$50=U353)*ROW('6_3nf_branch_history'!$A$2:$A$50))))</f>
        <v/>
      </c>
      <c r="W353" s="2">
        <f>IF(U353="NOT FOUND","NOT FOUND",INDEX('6_3nf_branch_history'!$D:$D,SUMPRODUCT(('6_3nf_branch_history'!$A$2:$A$50=T353)*('6_3nf_branch_history'!$B$2:$B$50=U353)*ROW('6_3nf_branch_history'!$A$2:$A$50))))</f>
        <v/>
      </c>
      <c r="X353" s="2">
        <f>IF(U353="NOT FOUND","NOT FOUND",INDEX('6_3nf_branch_history'!$E:$E,SUMPRODUCT(('6_3nf_branch_history'!$A$2:$A$50=T353)*('6_3nf_branch_history'!$B$2:$B$50=U353)*ROW('6_3nf_branch_history'!$A$2:$A$50))))</f>
        <v/>
      </c>
      <c r="Y353" s="2">
        <f>UPPER(TRIM(D353))</f>
        <v/>
      </c>
      <c r="Z353" s="2">
        <f>IFERROR(INDEX('7_3nf_product'!$B:$B,MATCH(Y353,'7_3nf_product'!$A:$A,0)),"NOT FOUND")</f>
        <v/>
      </c>
      <c r="AA353" s="2">
        <f>IFERROR(INDEX('7_3nf_product'!$C:$C,MATCH(Y353,'7_3nf_product'!$A:$A,0)),"NOT FOUND")</f>
        <v/>
      </c>
      <c r="AB353" s="2">
        <f>IFERROR(INDEX('7_3nf_product'!$D:$D,MATCH(Y353,'7_3nf_product'!$A:$A,0)),"NOT FOUND")</f>
        <v/>
      </c>
      <c r="AC353" s="6">
        <f>IFERROR(INDEX('7_3nf_product'!$E:$E,MATCH(Y353,'7_3nf_product'!$A:$A,0)),"NOT FOUND")</f>
        <v/>
      </c>
      <c r="AD353" s="33">
        <f>IF(LEN(TRIM(E353))=10,TRIM(E353),IF(LEN(TRIM(E353))=8,"00"&amp;TRIM(E353),"CHECK"))</f>
        <v/>
      </c>
      <c r="AE353" s="2">
        <f>IFERROR(INDEX('8_3nf_customer'!$C:$C,MATCH(AD353,'8_3nf_customer'!$B:$B,0)),"NOT FOUND")</f>
        <v/>
      </c>
      <c r="AF353" s="30">
        <f>IFERROR(INDEX('8_3nf_customer'!$D:$D,MATCH(AD353,'8_3nf_customer'!$B:$B,0)),"NOT FOUND")</f>
        <v/>
      </c>
      <c r="AG353" s="4">
        <f>IF(ISNUMBER(AF353),DATEDIF(AF353,L353,"y"),"NOT FOUND")</f>
        <v/>
      </c>
      <c r="AH353" s="2">
        <f>IFERROR(INDEX('8_3nf_customer'!$E:$E,MATCH(AD353,'8_3nf_customer'!$B:$B,0)),"NOT FOUND")</f>
        <v/>
      </c>
      <c r="AI353" s="30">
        <f>IF(_xlfn.MAXIFS('9_3nf_customer_history'!$B$2:$B$500,'9_3nf_customer_history'!$A$2:$A$500,AD353,'9_3nf_customer_history'!$B$2:$B$500,"&lt;="&amp;L353)=0,"NOT FOUND",_xlfn.MAXIFS('9_3nf_customer_history'!$B$2:$B$500,'9_3nf_customer_history'!$A$2:$A$500,AD353,'9_3nf_customer_history'!$B$2:$B$500,"&lt;="&amp;L353))</f>
        <v/>
      </c>
      <c r="AJ353" s="2">
        <f>IF(AI353="NOT FOUND","NOT FOUND",INDEX('9_3nf_customer_history'!$C:$C,SUMPRODUCT(('9_3nf_customer_history'!$A$2:$A$500=AD353)*('9_3nf_customer_history'!$B$2:$B$500=AI353)*ROW('9_3nf_customer_history'!$A$2:$A$500))))</f>
        <v/>
      </c>
      <c r="AK353" s="2">
        <f>IF(AI353="NOT FOUND","NOT FOUND",INDEX('9_3nf_customer_history'!$D:$D,SUMPRODUCT(('9_3nf_customer_history'!$A$2:$A$500=AD353)*('9_3nf_customer_history'!$B$2:$B$500=AI353)*ROW('9_3nf_customer_history'!$A$2:$A$500))))</f>
        <v/>
      </c>
      <c r="AL353" s="2">
        <f>UPPER(TRIM(H353))</f>
        <v/>
      </c>
      <c r="AM353" s="30">
        <f>IF(_xlfn.MAXIFS('10_ref_fx_rate'!$B$2:$B$2000,'10_ref_fx_rate'!$A$2:$A$2000,AL353,'10_ref_fx_rate'!$B$2:$B$2000,"&lt;="&amp;L353)=0,"NOT FOUND",_xlfn.MAXIFS('10_ref_fx_rate'!$B$2:$B$2000,'10_ref_fx_rate'!$A$2:$A$2000,AL353,'10_ref_fx_rate'!$B$2:$B$2000,"&lt;="&amp;L353))</f>
        <v/>
      </c>
      <c r="AN353" s="8">
        <f>IF(AM353="NOT FOUND","NOT FOUND",SUMIFS('10_ref_fx_rate'!$D$2:$D$2000,'10_ref_fx_rate'!$A$2:$A$2000,AL353,'10_ref_fx_rate'!$B$2:$B$2000,AM353))</f>
        <v/>
      </c>
      <c r="AO353" s="37">
        <f>IF(ISNUMBER(AN353),I353*AN353,"NOT FOUND")</f>
        <v/>
      </c>
      <c r="AP353" s="2">
        <f>UPPER(TRIM(J353))</f>
        <v/>
      </c>
      <c r="AQ353" s="2">
        <f>IF(AP353="","SELF-DIRECTED",IF(ISNUMBER(MATCH(AP353,'11_3nf_sales_person'!$A:$A,0)),IF(EXACT(AP353,J353),"OK","OK (auto-fixed)"),IF(ISNA(MATCH($A353,'12_sales_person_confirmation'!$A:$A,0)),"CONFIRM (not logged)",IF(INDEX('12_sales_person_confirmation'!$I:$I,MATCH($A353,'12_sales_person_confirmation'!$A:$A,0))="CONFIRMED","CONFIRMED ("&amp;LOWER(INDEX('12_sales_person_confirmation'!$E:$E,MATCH($A353,'12_sales_person_confirmation'!$A:$A,0)))&amp;")","PENDING CONFIRM"))))</f>
        <v/>
      </c>
      <c r="AR353" s="2">
        <f>IF(OR(AQ353="OK",AQ353="OK (auto-fixed)"),AP353,IF(LEFT(AQ353,9)="CONFIRMED",INDEX('12_sales_person_confirmation'!$F:$F,MATCH($A353,'12_sales_person_confirmation'!$A:$A,0)),""))</f>
        <v/>
      </c>
      <c r="AS353" s="2">
        <f>IF(AR353="","",INDEX('11_3nf_sales_person'!$B:$B,MATCH(AR353,'11_3nf_sales_person'!$A:$A,0)))</f>
        <v/>
      </c>
    </row>
    <row r="354">
      <c r="A354" s="2">
        <f>IF(ISBLANK('1_raw_log'!A354),"",'1_raw_log'!A354)</f>
        <v/>
      </c>
      <c r="B354" s="3">
        <f>IF(ISBLANK('1_raw_log'!B354),"",'1_raw_log'!B354)</f>
        <v/>
      </c>
      <c r="C354" s="2">
        <f>IF(ISBLANK('1_raw_log'!C354),"",'1_raw_log'!C354)</f>
        <v/>
      </c>
      <c r="D354" s="2">
        <f>IF(ISBLANK('1_raw_log'!D354),"",'1_raw_log'!D354)</f>
        <v/>
      </c>
      <c r="E354" s="4">
        <f>IF(ISBLANK('1_raw_log'!E354),"",'1_raw_log'!E354)</f>
        <v/>
      </c>
      <c r="F354" s="2">
        <f>IF(ISBLANK('1_raw_log'!F354),"",'1_raw_log'!F354)</f>
        <v/>
      </c>
      <c r="G354" s="2">
        <f>IF(ISBLANK('1_raw_log'!G354),"",'1_raw_log'!G354)</f>
        <v/>
      </c>
      <c r="H354" s="2">
        <f>IF(ISBLANK('1_raw_log'!H354),"",'1_raw_log'!H354)</f>
        <v/>
      </c>
      <c r="I354" s="7">
        <f>IF(ISBLANK('1_raw_log'!I354),"",'1_raw_log'!I354)</f>
        <v/>
      </c>
      <c r="J354" s="2">
        <f>IF(ISBLANK('1_raw_log'!J354),"",'1_raw_log'!J354)</f>
        <v/>
      </c>
      <c r="K354" s="2">
        <f>IF(ISBLANK('1_raw_log'!K354),"",'1_raw_log'!K354)</f>
        <v/>
      </c>
      <c r="L354" s="30">
        <f>INT(B354)</f>
        <v/>
      </c>
      <c r="M354" s="20">
        <f>ROUND(MOD(B354,1)*1440,0)/1440</f>
        <v/>
      </c>
      <c r="N354" s="4">
        <f>IFERROR(INDEX('3_ref_date'!$B:$B,MATCH(L354,'3_ref_date'!$A:$A,0)),"NOT FOUND")</f>
        <v/>
      </c>
      <c r="O354" s="2">
        <f>IFERROR(INDEX('3_ref_date'!$C:$C,MATCH(L354,'3_ref_date'!$A:$A,0)),"NOT FOUND")</f>
        <v/>
      </c>
      <c r="P354" s="4">
        <f>IFERROR(INDEX('3_ref_date'!$D:$D,MATCH(L354,'3_ref_date'!$A:$A,0)),"NOT FOUND")</f>
        <v/>
      </c>
      <c r="Q354" s="4">
        <f>IFERROR(INDEX('3_ref_date'!$E:$E,MATCH(L354,'3_ref_date'!$A:$A,0)),"NOT FOUND")</f>
        <v/>
      </c>
      <c r="R354" s="2">
        <f>IFERROR(INDEX('3_ref_date'!$F:$F,MATCH(L354,'3_ref_date'!$A:$A,0)),"NOT FOUND")</f>
        <v/>
      </c>
      <c r="S354" s="2">
        <f>IFERROR(INDEX('4_ref_time'!$D:$D,MATCH(ROUND(M354*1440,0),'4_ref_time'!$A:$A,0)),"NOT FOUND")</f>
        <v/>
      </c>
      <c r="T354" s="2">
        <f>UPPER(TRIM(C354))</f>
        <v/>
      </c>
      <c r="U354" s="30">
        <f>IF(_xlfn.MAXIFS('6_3nf_branch_history'!$B$2:$B$50,'6_3nf_branch_history'!$A$2:$A$50,T354,'6_3nf_branch_history'!$B$2:$B$50,"&lt;="&amp;L354)=0,"NOT FOUND",_xlfn.MAXIFS('6_3nf_branch_history'!$B$2:$B$50,'6_3nf_branch_history'!$A$2:$A$50,T354,'6_3nf_branch_history'!$B$2:$B$50,"&lt;="&amp;L354))</f>
        <v/>
      </c>
      <c r="V354" s="2">
        <f>IF(U354="NOT FOUND","NOT FOUND",INDEX('6_3nf_branch_history'!$C:$C,SUMPRODUCT(('6_3nf_branch_history'!$A$2:$A$50=T354)*('6_3nf_branch_history'!$B$2:$B$50=U354)*ROW('6_3nf_branch_history'!$A$2:$A$50))))</f>
        <v/>
      </c>
      <c r="W354" s="2">
        <f>IF(U354="NOT FOUND","NOT FOUND",INDEX('6_3nf_branch_history'!$D:$D,SUMPRODUCT(('6_3nf_branch_history'!$A$2:$A$50=T354)*('6_3nf_branch_history'!$B$2:$B$50=U354)*ROW('6_3nf_branch_history'!$A$2:$A$50))))</f>
        <v/>
      </c>
      <c r="X354" s="2">
        <f>IF(U354="NOT FOUND","NOT FOUND",INDEX('6_3nf_branch_history'!$E:$E,SUMPRODUCT(('6_3nf_branch_history'!$A$2:$A$50=T354)*('6_3nf_branch_history'!$B$2:$B$50=U354)*ROW('6_3nf_branch_history'!$A$2:$A$50))))</f>
        <v/>
      </c>
      <c r="Y354" s="2">
        <f>UPPER(TRIM(D354))</f>
        <v/>
      </c>
      <c r="Z354" s="2">
        <f>IFERROR(INDEX('7_3nf_product'!$B:$B,MATCH(Y354,'7_3nf_product'!$A:$A,0)),"NOT FOUND")</f>
        <v/>
      </c>
      <c r="AA354" s="2">
        <f>IFERROR(INDEX('7_3nf_product'!$C:$C,MATCH(Y354,'7_3nf_product'!$A:$A,0)),"NOT FOUND")</f>
        <v/>
      </c>
      <c r="AB354" s="2">
        <f>IFERROR(INDEX('7_3nf_product'!$D:$D,MATCH(Y354,'7_3nf_product'!$A:$A,0)),"NOT FOUND")</f>
        <v/>
      </c>
      <c r="AC354" s="6">
        <f>IFERROR(INDEX('7_3nf_product'!$E:$E,MATCH(Y354,'7_3nf_product'!$A:$A,0)),"NOT FOUND")</f>
        <v/>
      </c>
      <c r="AD354" s="33">
        <f>IF(LEN(TRIM(E354))=10,TRIM(E354),IF(LEN(TRIM(E354))=8,"00"&amp;TRIM(E354),"CHECK"))</f>
        <v/>
      </c>
      <c r="AE354" s="2">
        <f>IFERROR(INDEX('8_3nf_customer'!$C:$C,MATCH(AD354,'8_3nf_customer'!$B:$B,0)),"NOT FOUND")</f>
        <v/>
      </c>
      <c r="AF354" s="30">
        <f>IFERROR(INDEX('8_3nf_customer'!$D:$D,MATCH(AD354,'8_3nf_customer'!$B:$B,0)),"NOT FOUND")</f>
        <v/>
      </c>
      <c r="AG354" s="4">
        <f>IF(ISNUMBER(AF354),DATEDIF(AF354,L354,"y"),"NOT FOUND")</f>
        <v/>
      </c>
      <c r="AH354" s="2">
        <f>IFERROR(INDEX('8_3nf_customer'!$E:$E,MATCH(AD354,'8_3nf_customer'!$B:$B,0)),"NOT FOUND")</f>
        <v/>
      </c>
      <c r="AI354" s="30">
        <f>IF(_xlfn.MAXIFS('9_3nf_customer_history'!$B$2:$B$500,'9_3nf_customer_history'!$A$2:$A$500,AD354,'9_3nf_customer_history'!$B$2:$B$500,"&lt;="&amp;L354)=0,"NOT FOUND",_xlfn.MAXIFS('9_3nf_customer_history'!$B$2:$B$500,'9_3nf_customer_history'!$A$2:$A$500,AD354,'9_3nf_customer_history'!$B$2:$B$500,"&lt;="&amp;L354))</f>
        <v/>
      </c>
      <c r="AJ354" s="2">
        <f>IF(AI354="NOT FOUND","NOT FOUND",INDEX('9_3nf_customer_history'!$C:$C,SUMPRODUCT(('9_3nf_customer_history'!$A$2:$A$500=AD354)*('9_3nf_customer_history'!$B$2:$B$500=AI354)*ROW('9_3nf_customer_history'!$A$2:$A$500))))</f>
        <v/>
      </c>
      <c r="AK354" s="2">
        <f>IF(AI354="NOT FOUND","NOT FOUND",INDEX('9_3nf_customer_history'!$D:$D,SUMPRODUCT(('9_3nf_customer_history'!$A$2:$A$500=AD354)*('9_3nf_customer_history'!$B$2:$B$500=AI354)*ROW('9_3nf_customer_history'!$A$2:$A$500))))</f>
        <v/>
      </c>
      <c r="AL354" s="2">
        <f>UPPER(TRIM(H354))</f>
        <v/>
      </c>
      <c r="AM354" s="30">
        <f>IF(_xlfn.MAXIFS('10_ref_fx_rate'!$B$2:$B$2000,'10_ref_fx_rate'!$A$2:$A$2000,AL354,'10_ref_fx_rate'!$B$2:$B$2000,"&lt;="&amp;L354)=0,"NOT FOUND",_xlfn.MAXIFS('10_ref_fx_rate'!$B$2:$B$2000,'10_ref_fx_rate'!$A$2:$A$2000,AL354,'10_ref_fx_rate'!$B$2:$B$2000,"&lt;="&amp;L354))</f>
        <v/>
      </c>
      <c r="AN354" s="8">
        <f>IF(AM354="NOT FOUND","NOT FOUND",SUMIFS('10_ref_fx_rate'!$D$2:$D$2000,'10_ref_fx_rate'!$A$2:$A$2000,AL354,'10_ref_fx_rate'!$B$2:$B$2000,AM354))</f>
        <v/>
      </c>
      <c r="AO354" s="37">
        <f>IF(ISNUMBER(AN354),I354*AN354,"NOT FOUND")</f>
        <v/>
      </c>
      <c r="AP354" s="2">
        <f>UPPER(TRIM(J354))</f>
        <v/>
      </c>
      <c r="AQ354" s="2">
        <f>IF(AP354="","SELF-DIRECTED",IF(ISNUMBER(MATCH(AP354,'11_3nf_sales_person'!$A:$A,0)),IF(EXACT(AP354,J354),"OK","OK (auto-fixed)"),IF(ISNA(MATCH($A354,'12_sales_person_confirmation'!$A:$A,0)),"CONFIRM (not logged)",IF(INDEX('12_sales_person_confirmation'!$I:$I,MATCH($A354,'12_sales_person_confirmation'!$A:$A,0))="CONFIRMED","CONFIRMED ("&amp;LOWER(INDEX('12_sales_person_confirmation'!$E:$E,MATCH($A354,'12_sales_person_confirmation'!$A:$A,0)))&amp;")","PENDING CONFIRM"))))</f>
        <v/>
      </c>
      <c r="AR354" s="2">
        <f>IF(OR(AQ354="OK",AQ354="OK (auto-fixed)"),AP354,IF(LEFT(AQ354,9)="CONFIRMED",INDEX('12_sales_person_confirmation'!$F:$F,MATCH($A354,'12_sales_person_confirmation'!$A:$A,0)),""))</f>
        <v/>
      </c>
      <c r="AS354" s="2">
        <f>IF(AR354="","",INDEX('11_3nf_sales_person'!$B:$B,MATCH(AR354,'11_3nf_sales_person'!$A:$A,0)))</f>
        <v/>
      </c>
    </row>
    <row r="355">
      <c r="A355" s="2">
        <f>IF(ISBLANK('1_raw_log'!A355),"",'1_raw_log'!A355)</f>
        <v/>
      </c>
      <c r="B355" s="3">
        <f>IF(ISBLANK('1_raw_log'!B355),"",'1_raw_log'!B355)</f>
        <v/>
      </c>
      <c r="C355" s="2">
        <f>IF(ISBLANK('1_raw_log'!C355),"",'1_raw_log'!C355)</f>
        <v/>
      </c>
      <c r="D355" s="2">
        <f>IF(ISBLANK('1_raw_log'!D355),"",'1_raw_log'!D355)</f>
        <v/>
      </c>
      <c r="E355" s="4">
        <f>IF(ISBLANK('1_raw_log'!E355),"",'1_raw_log'!E355)</f>
        <v/>
      </c>
      <c r="F355" s="2">
        <f>IF(ISBLANK('1_raw_log'!F355),"",'1_raw_log'!F355)</f>
        <v/>
      </c>
      <c r="G355" s="2">
        <f>IF(ISBLANK('1_raw_log'!G355),"",'1_raw_log'!G355)</f>
        <v/>
      </c>
      <c r="H355" s="2">
        <f>IF(ISBLANK('1_raw_log'!H355),"",'1_raw_log'!H355)</f>
        <v/>
      </c>
      <c r="I355" s="7">
        <f>IF(ISBLANK('1_raw_log'!I355),"",'1_raw_log'!I355)</f>
        <v/>
      </c>
      <c r="J355" s="2">
        <f>IF(ISBLANK('1_raw_log'!J355),"",'1_raw_log'!J355)</f>
        <v/>
      </c>
      <c r="K355" s="2">
        <f>IF(ISBLANK('1_raw_log'!K355),"",'1_raw_log'!K355)</f>
        <v/>
      </c>
      <c r="L355" s="30">
        <f>INT(B355)</f>
        <v/>
      </c>
      <c r="M355" s="20">
        <f>ROUND(MOD(B355,1)*1440,0)/1440</f>
        <v/>
      </c>
      <c r="N355" s="4">
        <f>IFERROR(INDEX('3_ref_date'!$B:$B,MATCH(L355,'3_ref_date'!$A:$A,0)),"NOT FOUND")</f>
        <v/>
      </c>
      <c r="O355" s="2">
        <f>IFERROR(INDEX('3_ref_date'!$C:$C,MATCH(L355,'3_ref_date'!$A:$A,0)),"NOT FOUND")</f>
        <v/>
      </c>
      <c r="P355" s="4">
        <f>IFERROR(INDEX('3_ref_date'!$D:$D,MATCH(L355,'3_ref_date'!$A:$A,0)),"NOT FOUND")</f>
        <v/>
      </c>
      <c r="Q355" s="4">
        <f>IFERROR(INDEX('3_ref_date'!$E:$E,MATCH(L355,'3_ref_date'!$A:$A,0)),"NOT FOUND")</f>
        <v/>
      </c>
      <c r="R355" s="2">
        <f>IFERROR(INDEX('3_ref_date'!$F:$F,MATCH(L355,'3_ref_date'!$A:$A,0)),"NOT FOUND")</f>
        <v/>
      </c>
      <c r="S355" s="2">
        <f>IFERROR(INDEX('4_ref_time'!$D:$D,MATCH(ROUND(M355*1440,0),'4_ref_time'!$A:$A,0)),"NOT FOUND")</f>
        <v/>
      </c>
      <c r="T355" s="2">
        <f>UPPER(TRIM(C355))</f>
        <v/>
      </c>
      <c r="U355" s="30">
        <f>IF(_xlfn.MAXIFS('6_3nf_branch_history'!$B$2:$B$50,'6_3nf_branch_history'!$A$2:$A$50,T355,'6_3nf_branch_history'!$B$2:$B$50,"&lt;="&amp;L355)=0,"NOT FOUND",_xlfn.MAXIFS('6_3nf_branch_history'!$B$2:$B$50,'6_3nf_branch_history'!$A$2:$A$50,T355,'6_3nf_branch_history'!$B$2:$B$50,"&lt;="&amp;L355))</f>
        <v/>
      </c>
      <c r="V355" s="2">
        <f>IF(U355="NOT FOUND","NOT FOUND",INDEX('6_3nf_branch_history'!$C:$C,SUMPRODUCT(('6_3nf_branch_history'!$A$2:$A$50=T355)*('6_3nf_branch_history'!$B$2:$B$50=U355)*ROW('6_3nf_branch_history'!$A$2:$A$50))))</f>
        <v/>
      </c>
      <c r="W355" s="2">
        <f>IF(U355="NOT FOUND","NOT FOUND",INDEX('6_3nf_branch_history'!$D:$D,SUMPRODUCT(('6_3nf_branch_history'!$A$2:$A$50=T355)*('6_3nf_branch_history'!$B$2:$B$50=U355)*ROW('6_3nf_branch_history'!$A$2:$A$50))))</f>
        <v/>
      </c>
      <c r="X355" s="2">
        <f>IF(U355="NOT FOUND","NOT FOUND",INDEX('6_3nf_branch_history'!$E:$E,SUMPRODUCT(('6_3nf_branch_history'!$A$2:$A$50=T355)*('6_3nf_branch_history'!$B$2:$B$50=U355)*ROW('6_3nf_branch_history'!$A$2:$A$50))))</f>
        <v/>
      </c>
      <c r="Y355" s="2">
        <f>UPPER(TRIM(D355))</f>
        <v/>
      </c>
      <c r="Z355" s="2">
        <f>IFERROR(INDEX('7_3nf_product'!$B:$B,MATCH(Y355,'7_3nf_product'!$A:$A,0)),"NOT FOUND")</f>
        <v/>
      </c>
      <c r="AA355" s="2">
        <f>IFERROR(INDEX('7_3nf_product'!$C:$C,MATCH(Y355,'7_3nf_product'!$A:$A,0)),"NOT FOUND")</f>
        <v/>
      </c>
      <c r="AB355" s="2">
        <f>IFERROR(INDEX('7_3nf_product'!$D:$D,MATCH(Y355,'7_3nf_product'!$A:$A,0)),"NOT FOUND")</f>
        <v/>
      </c>
      <c r="AC355" s="6">
        <f>IFERROR(INDEX('7_3nf_product'!$E:$E,MATCH(Y355,'7_3nf_product'!$A:$A,0)),"NOT FOUND")</f>
        <v/>
      </c>
      <c r="AD355" s="33">
        <f>IF(LEN(TRIM(E355))=10,TRIM(E355),IF(LEN(TRIM(E355))=8,"00"&amp;TRIM(E355),"CHECK"))</f>
        <v/>
      </c>
      <c r="AE355" s="2">
        <f>IFERROR(INDEX('8_3nf_customer'!$C:$C,MATCH(AD355,'8_3nf_customer'!$B:$B,0)),"NOT FOUND")</f>
        <v/>
      </c>
      <c r="AF355" s="30">
        <f>IFERROR(INDEX('8_3nf_customer'!$D:$D,MATCH(AD355,'8_3nf_customer'!$B:$B,0)),"NOT FOUND")</f>
        <v/>
      </c>
      <c r="AG355" s="4">
        <f>IF(ISNUMBER(AF355),DATEDIF(AF355,L355,"y"),"NOT FOUND")</f>
        <v/>
      </c>
      <c r="AH355" s="2">
        <f>IFERROR(INDEX('8_3nf_customer'!$E:$E,MATCH(AD355,'8_3nf_customer'!$B:$B,0)),"NOT FOUND")</f>
        <v/>
      </c>
      <c r="AI355" s="30">
        <f>IF(_xlfn.MAXIFS('9_3nf_customer_history'!$B$2:$B$500,'9_3nf_customer_history'!$A$2:$A$500,AD355,'9_3nf_customer_history'!$B$2:$B$500,"&lt;="&amp;L355)=0,"NOT FOUND",_xlfn.MAXIFS('9_3nf_customer_history'!$B$2:$B$500,'9_3nf_customer_history'!$A$2:$A$500,AD355,'9_3nf_customer_history'!$B$2:$B$500,"&lt;="&amp;L355))</f>
        <v/>
      </c>
      <c r="AJ355" s="2">
        <f>IF(AI355="NOT FOUND","NOT FOUND",INDEX('9_3nf_customer_history'!$C:$C,SUMPRODUCT(('9_3nf_customer_history'!$A$2:$A$500=AD355)*('9_3nf_customer_history'!$B$2:$B$500=AI355)*ROW('9_3nf_customer_history'!$A$2:$A$500))))</f>
        <v/>
      </c>
      <c r="AK355" s="2">
        <f>IF(AI355="NOT FOUND","NOT FOUND",INDEX('9_3nf_customer_history'!$D:$D,SUMPRODUCT(('9_3nf_customer_history'!$A$2:$A$500=AD355)*('9_3nf_customer_history'!$B$2:$B$500=AI355)*ROW('9_3nf_customer_history'!$A$2:$A$500))))</f>
        <v/>
      </c>
      <c r="AL355" s="2">
        <f>UPPER(TRIM(H355))</f>
        <v/>
      </c>
      <c r="AM355" s="30">
        <f>IF(_xlfn.MAXIFS('10_ref_fx_rate'!$B$2:$B$2000,'10_ref_fx_rate'!$A$2:$A$2000,AL355,'10_ref_fx_rate'!$B$2:$B$2000,"&lt;="&amp;L355)=0,"NOT FOUND",_xlfn.MAXIFS('10_ref_fx_rate'!$B$2:$B$2000,'10_ref_fx_rate'!$A$2:$A$2000,AL355,'10_ref_fx_rate'!$B$2:$B$2000,"&lt;="&amp;L355))</f>
        <v/>
      </c>
      <c r="AN355" s="8">
        <f>IF(AM355="NOT FOUND","NOT FOUND",SUMIFS('10_ref_fx_rate'!$D$2:$D$2000,'10_ref_fx_rate'!$A$2:$A$2000,AL355,'10_ref_fx_rate'!$B$2:$B$2000,AM355))</f>
        <v/>
      </c>
      <c r="AO355" s="37">
        <f>IF(ISNUMBER(AN355),I355*AN355,"NOT FOUND")</f>
        <v/>
      </c>
      <c r="AP355" s="2">
        <f>UPPER(TRIM(J355))</f>
        <v/>
      </c>
      <c r="AQ355" s="2">
        <f>IF(AP355="","SELF-DIRECTED",IF(ISNUMBER(MATCH(AP355,'11_3nf_sales_person'!$A:$A,0)),IF(EXACT(AP355,J355),"OK","OK (auto-fixed)"),IF(ISNA(MATCH($A355,'12_sales_person_confirmation'!$A:$A,0)),"CONFIRM (not logged)",IF(INDEX('12_sales_person_confirmation'!$I:$I,MATCH($A355,'12_sales_person_confirmation'!$A:$A,0))="CONFIRMED","CONFIRMED ("&amp;LOWER(INDEX('12_sales_person_confirmation'!$E:$E,MATCH($A355,'12_sales_person_confirmation'!$A:$A,0)))&amp;")","PENDING CONFIRM"))))</f>
        <v/>
      </c>
      <c r="AR355" s="2">
        <f>IF(OR(AQ355="OK",AQ355="OK (auto-fixed)"),AP355,IF(LEFT(AQ355,9)="CONFIRMED",INDEX('12_sales_person_confirmation'!$F:$F,MATCH($A355,'12_sales_person_confirmation'!$A:$A,0)),""))</f>
        <v/>
      </c>
      <c r="AS355" s="2">
        <f>IF(AR355="","",INDEX('11_3nf_sales_person'!$B:$B,MATCH(AR355,'11_3nf_sales_person'!$A:$A,0)))</f>
        <v/>
      </c>
    </row>
    <row r="356">
      <c r="A356" s="2">
        <f>IF(ISBLANK('1_raw_log'!A356),"",'1_raw_log'!A356)</f>
        <v/>
      </c>
      <c r="B356" s="3">
        <f>IF(ISBLANK('1_raw_log'!B356),"",'1_raw_log'!B356)</f>
        <v/>
      </c>
      <c r="C356" s="2">
        <f>IF(ISBLANK('1_raw_log'!C356),"",'1_raw_log'!C356)</f>
        <v/>
      </c>
      <c r="D356" s="2">
        <f>IF(ISBLANK('1_raw_log'!D356),"",'1_raw_log'!D356)</f>
        <v/>
      </c>
      <c r="E356" s="4">
        <f>IF(ISBLANK('1_raw_log'!E356),"",'1_raw_log'!E356)</f>
        <v/>
      </c>
      <c r="F356" s="2">
        <f>IF(ISBLANK('1_raw_log'!F356),"",'1_raw_log'!F356)</f>
        <v/>
      </c>
      <c r="G356" s="2">
        <f>IF(ISBLANK('1_raw_log'!G356),"",'1_raw_log'!G356)</f>
        <v/>
      </c>
      <c r="H356" s="2">
        <f>IF(ISBLANK('1_raw_log'!H356),"",'1_raw_log'!H356)</f>
        <v/>
      </c>
      <c r="I356" s="7">
        <f>IF(ISBLANK('1_raw_log'!I356),"",'1_raw_log'!I356)</f>
        <v/>
      </c>
      <c r="J356" s="2">
        <f>IF(ISBLANK('1_raw_log'!J356),"",'1_raw_log'!J356)</f>
        <v/>
      </c>
      <c r="K356" s="2">
        <f>IF(ISBLANK('1_raw_log'!K356),"",'1_raw_log'!K356)</f>
        <v/>
      </c>
      <c r="L356" s="30">
        <f>INT(B356)</f>
        <v/>
      </c>
      <c r="M356" s="20">
        <f>ROUND(MOD(B356,1)*1440,0)/1440</f>
        <v/>
      </c>
      <c r="N356" s="4">
        <f>IFERROR(INDEX('3_ref_date'!$B:$B,MATCH(L356,'3_ref_date'!$A:$A,0)),"NOT FOUND")</f>
        <v/>
      </c>
      <c r="O356" s="2">
        <f>IFERROR(INDEX('3_ref_date'!$C:$C,MATCH(L356,'3_ref_date'!$A:$A,0)),"NOT FOUND")</f>
        <v/>
      </c>
      <c r="P356" s="4">
        <f>IFERROR(INDEX('3_ref_date'!$D:$D,MATCH(L356,'3_ref_date'!$A:$A,0)),"NOT FOUND")</f>
        <v/>
      </c>
      <c r="Q356" s="4">
        <f>IFERROR(INDEX('3_ref_date'!$E:$E,MATCH(L356,'3_ref_date'!$A:$A,0)),"NOT FOUND")</f>
        <v/>
      </c>
      <c r="R356" s="2">
        <f>IFERROR(INDEX('3_ref_date'!$F:$F,MATCH(L356,'3_ref_date'!$A:$A,0)),"NOT FOUND")</f>
        <v/>
      </c>
      <c r="S356" s="2">
        <f>IFERROR(INDEX('4_ref_time'!$D:$D,MATCH(ROUND(M356*1440,0),'4_ref_time'!$A:$A,0)),"NOT FOUND")</f>
        <v/>
      </c>
      <c r="T356" s="2">
        <f>UPPER(TRIM(C356))</f>
        <v/>
      </c>
      <c r="U356" s="30">
        <f>IF(_xlfn.MAXIFS('6_3nf_branch_history'!$B$2:$B$50,'6_3nf_branch_history'!$A$2:$A$50,T356,'6_3nf_branch_history'!$B$2:$B$50,"&lt;="&amp;L356)=0,"NOT FOUND",_xlfn.MAXIFS('6_3nf_branch_history'!$B$2:$B$50,'6_3nf_branch_history'!$A$2:$A$50,T356,'6_3nf_branch_history'!$B$2:$B$50,"&lt;="&amp;L356))</f>
        <v/>
      </c>
      <c r="V356" s="2">
        <f>IF(U356="NOT FOUND","NOT FOUND",INDEX('6_3nf_branch_history'!$C:$C,SUMPRODUCT(('6_3nf_branch_history'!$A$2:$A$50=T356)*('6_3nf_branch_history'!$B$2:$B$50=U356)*ROW('6_3nf_branch_history'!$A$2:$A$50))))</f>
        <v/>
      </c>
      <c r="W356" s="2">
        <f>IF(U356="NOT FOUND","NOT FOUND",INDEX('6_3nf_branch_history'!$D:$D,SUMPRODUCT(('6_3nf_branch_history'!$A$2:$A$50=T356)*('6_3nf_branch_history'!$B$2:$B$50=U356)*ROW('6_3nf_branch_history'!$A$2:$A$50))))</f>
        <v/>
      </c>
      <c r="X356" s="2">
        <f>IF(U356="NOT FOUND","NOT FOUND",INDEX('6_3nf_branch_history'!$E:$E,SUMPRODUCT(('6_3nf_branch_history'!$A$2:$A$50=T356)*('6_3nf_branch_history'!$B$2:$B$50=U356)*ROW('6_3nf_branch_history'!$A$2:$A$50))))</f>
        <v/>
      </c>
      <c r="Y356" s="2">
        <f>UPPER(TRIM(D356))</f>
        <v/>
      </c>
      <c r="Z356" s="2">
        <f>IFERROR(INDEX('7_3nf_product'!$B:$B,MATCH(Y356,'7_3nf_product'!$A:$A,0)),"NOT FOUND")</f>
        <v/>
      </c>
      <c r="AA356" s="2">
        <f>IFERROR(INDEX('7_3nf_product'!$C:$C,MATCH(Y356,'7_3nf_product'!$A:$A,0)),"NOT FOUND")</f>
        <v/>
      </c>
      <c r="AB356" s="2">
        <f>IFERROR(INDEX('7_3nf_product'!$D:$D,MATCH(Y356,'7_3nf_product'!$A:$A,0)),"NOT FOUND")</f>
        <v/>
      </c>
      <c r="AC356" s="6">
        <f>IFERROR(INDEX('7_3nf_product'!$E:$E,MATCH(Y356,'7_3nf_product'!$A:$A,0)),"NOT FOUND")</f>
        <v/>
      </c>
      <c r="AD356" s="33">
        <f>IF(LEN(TRIM(E356))=10,TRIM(E356),IF(LEN(TRIM(E356))=8,"00"&amp;TRIM(E356),"CHECK"))</f>
        <v/>
      </c>
      <c r="AE356" s="2">
        <f>IFERROR(INDEX('8_3nf_customer'!$C:$C,MATCH(AD356,'8_3nf_customer'!$B:$B,0)),"NOT FOUND")</f>
        <v/>
      </c>
      <c r="AF356" s="30">
        <f>IFERROR(INDEX('8_3nf_customer'!$D:$D,MATCH(AD356,'8_3nf_customer'!$B:$B,0)),"NOT FOUND")</f>
        <v/>
      </c>
      <c r="AG356" s="4">
        <f>IF(ISNUMBER(AF356),DATEDIF(AF356,L356,"y"),"NOT FOUND")</f>
        <v/>
      </c>
      <c r="AH356" s="2">
        <f>IFERROR(INDEX('8_3nf_customer'!$E:$E,MATCH(AD356,'8_3nf_customer'!$B:$B,0)),"NOT FOUND")</f>
        <v/>
      </c>
      <c r="AI356" s="30">
        <f>IF(_xlfn.MAXIFS('9_3nf_customer_history'!$B$2:$B$500,'9_3nf_customer_history'!$A$2:$A$500,AD356,'9_3nf_customer_history'!$B$2:$B$500,"&lt;="&amp;L356)=0,"NOT FOUND",_xlfn.MAXIFS('9_3nf_customer_history'!$B$2:$B$500,'9_3nf_customer_history'!$A$2:$A$500,AD356,'9_3nf_customer_history'!$B$2:$B$500,"&lt;="&amp;L356))</f>
        <v/>
      </c>
      <c r="AJ356" s="2">
        <f>IF(AI356="NOT FOUND","NOT FOUND",INDEX('9_3nf_customer_history'!$C:$C,SUMPRODUCT(('9_3nf_customer_history'!$A$2:$A$500=AD356)*('9_3nf_customer_history'!$B$2:$B$500=AI356)*ROW('9_3nf_customer_history'!$A$2:$A$500))))</f>
        <v/>
      </c>
      <c r="AK356" s="2">
        <f>IF(AI356="NOT FOUND","NOT FOUND",INDEX('9_3nf_customer_history'!$D:$D,SUMPRODUCT(('9_3nf_customer_history'!$A$2:$A$500=AD356)*('9_3nf_customer_history'!$B$2:$B$500=AI356)*ROW('9_3nf_customer_history'!$A$2:$A$500))))</f>
        <v/>
      </c>
      <c r="AL356" s="2">
        <f>UPPER(TRIM(H356))</f>
        <v/>
      </c>
      <c r="AM356" s="30">
        <f>IF(_xlfn.MAXIFS('10_ref_fx_rate'!$B$2:$B$2000,'10_ref_fx_rate'!$A$2:$A$2000,AL356,'10_ref_fx_rate'!$B$2:$B$2000,"&lt;="&amp;L356)=0,"NOT FOUND",_xlfn.MAXIFS('10_ref_fx_rate'!$B$2:$B$2000,'10_ref_fx_rate'!$A$2:$A$2000,AL356,'10_ref_fx_rate'!$B$2:$B$2000,"&lt;="&amp;L356))</f>
        <v/>
      </c>
      <c r="AN356" s="8">
        <f>IF(AM356="NOT FOUND","NOT FOUND",SUMIFS('10_ref_fx_rate'!$D$2:$D$2000,'10_ref_fx_rate'!$A$2:$A$2000,AL356,'10_ref_fx_rate'!$B$2:$B$2000,AM356))</f>
        <v/>
      </c>
      <c r="AO356" s="37">
        <f>IF(ISNUMBER(AN356),I356*AN356,"NOT FOUND")</f>
        <v/>
      </c>
      <c r="AP356" s="2">
        <f>UPPER(TRIM(J356))</f>
        <v/>
      </c>
      <c r="AQ356" s="2">
        <f>IF(AP356="","SELF-DIRECTED",IF(ISNUMBER(MATCH(AP356,'11_3nf_sales_person'!$A:$A,0)),IF(EXACT(AP356,J356),"OK","OK (auto-fixed)"),IF(ISNA(MATCH($A356,'12_sales_person_confirmation'!$A:$A,0)),"CONFIRM (not logged)",IF(INDEX('12_sales_person_confirmation'!$I:$I,MATCH($A356,'12_sales_person_confirmation'!$A:$A,0))="CONFIRMED","CONFIRMED ("&amp;LOWER(INDEX('12_sales_person_confirmation'!$E:$E,MATCH($A356,'12_sales_person_confirmation'!$A:$A,0)))&amp;")","PENDING CONFIRM"))))</f>
        <v/>
      </c>
      <c r="AR356" s="2">
        <f>IF(OR(AQ356="OK",AQ356="OK (auto-fixed)"),AP356,IF(LEFT(AQ356,9)="CONFIRMED",INDEX('12_sales_person_confirmation'!$F:$F,MATCH($A356,'12_sales_person_confirmation'!$A:$A,0)),""))</f>
        <v/>
      </c>
      <c r="AS356" s="2">
        <f>IF(AR356="","",INDEX('11_3nf_sales_person'!$B:$B,MATCH(AR356,'11_3nf_sales_person'!$A:$A,0)))</f>
        <v/>
      </c>
    </row>
    <row r="357">
      <c r="A357" s="2">
        <f>IF(ISBLANK('1_raw_log'!A357),"",'1_raw_log'!A357)</f>
        <v/>
      </c>
      <c r="B357" s="3">
        <f>IF(ISBLANK('1_raw_log'!B357),"",'1_raw_log'!B357)</f>
        <v/>
      </c>
      <c r="C357" s="2">
        <f>IF(ISBLANK('1_raw_log'!C357),"",'1_raw_log'!C357)</f>
        <v/>
      </c>
      <c r="D357" s="2">
        <f>IF(ISBLANK('1_raw_log'!D357),"",'1_raw_log'!D357)</f>
        <v/>
      </c>
      <c r="E357" s="4">
        <f>IF(ISBLANK('1_raw_log'!E357),"",'1_raw_log'!E357)</f>
        <v/>
      </c>
      <c r="F357" s="2">
        <f>IF(ISBLANK('1_raw_log'!F357),"",'1_raw_log'!F357)</f>
        <v/>
      </c>
      <c r="G357" s="2">
        <f>IF(ISBLANK('1_raw_log'!G357),"",'1_raw_log'!G357)</f>
        <v/>
      </c>
      <c r="H357" s="2">
        <f>IF(ISBLANK('1_raw_log'!H357),"",'1_raw_log'!H357)</f>
        <v/>
      </c>
      <c r="I357" s="7">
        <f>IF(ISBLANK('1_raw_log'!I357),"",'1_raw_log'!I357)</f>
        <v/>
      </c>
      <c r="J357" s="2">
        <f>IF(ISBLANK('1_raw_log'!J357),"",'1_raw_log'!J357)</f>
        <v/>
      </c>
      <c r="K357" s="2">
        <f>IF(ISBLANK('1_raw_log'!K357),"",'1_raw_log'!K357)</f>
        <v/>
      </c>
      <c r="L357" s="30">
        <f>INT(B357)</f>
        <v/>
      </c>
      <c r="M357" s="20">
        <f>ROUND(MOD(B357,1)*1440,0)/1440</f>
        <v/>
      </c>
      <c r="N357" s="4">
        <f>IFERROR(INDEX('3_ref_date'!$B:$B,MATCH(L357,'3_ref_date'!$A:$A,0)),"NOT FOUND")</f>
        <v/>
      </c>
      <c r="O357" s="2">
        <f>IFERROR(INDEX('3_ref_date'!$C:$C,MATCH(L357,'3_ref_date'!$A:$A,0)),"NOT FOUND")</f>
        <v/>
      </c>
      <c r="P357" s="4">
        <f>IFERROR(INDEX('3_ref_date'!$D:$D,MATCH(L357,'3_ref_date'!$A:$A,0)),"NOT FOUND")</f>
        <v/>
      </c>
      <c r="Q357" s="4">
        <f>IFERROR(INDEX('3_ref_date'!$E:$E,MATCH(L357,'3_ref_date'!$A:$A,0)),"NOT FOUND")</f>
        <v/>
      </c>
      <c r="R357" s="2">
        <f>IFERROR(INDEX('3_ref_date'!$F:$F,MATCH(L357,'3_ref_date'!$A:$A,0)),"NOT FOUND")</f>
        <v/>
      </c>
      <c r="S357" s="2">
        <f>IFERROR(INDEX('4_ref_time'!$D:$D,MATCH(ROUND(M357*1440,0),'4_ref_time'!$A:$A,0)),"NOT FOUND")</f>
        <v/>
      </c>
      <c r="T357" s="2">
        <f>UPPER(TRIM(C357))</f>
        <v/>
      </c>
      <c r="U357" s="30">
        <f>IF(_xlfn.MAXIFS('6_3nf_branch_history'!$B$2:$B$50,'6_3nf_branch_history'!$A$2:$A$50,T357,'6_3nf_branch_history'!$B$2:$B$50,"&lt;="&amp;L357)=0,"NOT FOUND",_xlfn.MAXIFS('6_3nf_branch_history'!$B$2:$B$50,'6_3nf_branch_history'!$A$2:$A$50,T357,'6_3nf_branch_history'!$B$2:$B$50,"&lt;="&amp;L357))</f>
        <v/>
      </c>
      <c r="V357" s="2">
        <f>IF(U357="NOT FOUND","NOT FOUND",INDEX('6_3nf_branch_history'!$C:$C,SUMPRODUCT(('6_3nf_branch_history'!$A$2:$A$50=T357)*('6_3nf_branch_history'!$B$2:$B$50=U357)*ROW('6_3nf_branch_history'!$A$2:$A$50))))</f>
        <v/>
      </c>
      <c r="W357" s="2">
        <f>IF(U357="NOT FOUND","NOT FOUND",INDEX('6_3nf_branch_history'!$D:$D,SUMPRODUCT(('6_3nf_branch_history'!$A$2:$A$50=T357)*('6_3nf_branch_history'!$B$2:$B$50=U357)*ROW('6_3nf_branch_history'!$A$2:$A$50))))</f>
        <v/>
      </c>
      <c r="X357" s="2">
        <f>IF(U357="NOT FOUND","NOT FOUND",INDEX('6_3nf_branch_history'!$E:$E,SUMPRODUCT(('6_3nf_branch_history'!$A$2:$A$50=T357)*('6_3nf_branch_history'!$B$2:$B$50=U357)*ROW('6_3nf_branch_history'!$A$2:$A$50))))</f>
        <v/>
      </c>
      <c r="Y357" s="2">
        <f>UPPER(TRIM(D357))</f>
        <v/>
      </c>
      <c r="Z357" s="2">
        <f>IFERROR(INDEX('7_3nf_product'!$B:$B,MATCH(Y357,'7_3nf_product'!$A:$A,0)),"NOT FOUND")</f>
        <v/>
      </c>
      <c r="AA357" s="2">
        <f>IFERROR(INDEX('7_3nf_product'!$C:$C,MATCH(Y357,'7_3nf_product'!$A:$A,0)),"NOT FOUND")</f>
        <v/>
      </c>
      <c r="AB357" s="2">
        <f>IFERROR(INDEX('7_3nf_product'!$D:$D,MATCH(Y357,'7_3nf_product'!$A:$A,0)),"NOT FOUND")</f>
        <v/>
      </c>
      <c r="AC357" s="6">
        <f>IFERROR(INDEX('7_3nf_product'!$E:$E,MATCH(Y357,'7_3nf_product'!$A:$A,0)),"NOT FOUND")</f>
        <v/>
      </c>
      <c r="AD357" s="33">
        <f>IF(LEN(TRIM(E357))=10,TRIM(E357),IF(LEN(TRIM(E357))=8,"00"&amp;TRIM(E357),"CHECK"))</f>
        <v/>
      </c>
      <c r="AE357" s="2">
        <f>IFERROR(INDEX('8_3nf_customer'!$C:$C,MATCH(AD357,'8_3nf_customer'!$B:$B,0)),"NOT FOUND")</f>
        <v/>
      </c>
      <c r="AF357" s="30">
        <f>IFERROR(INDEX('8_3nf_customer'!$D:$D,MATCH(AD357,'8_3nf_customer'!$B:$B,0)),"NOT FOUND")</f>
        <v/>
      </c>
      <c r="AG357" s="4">
        <f>IF(ISNUMBER(AF357),DATEDIF(AF357,L357,"y"),"NOT FOUND")</f>
        <v/>
      </c>
      <c r="AH357" s="2">
        <f>IFERROR(INDEX('8_3nf_customer'!$E:$E,MATCH(AD357,'8_3nf_customer'!$B:$B,0)),"NOT FOUND")</f>
        <v/>
      </c>
      <c r="AI357" s="30">
        <f>IF(_xlfn.MAXIFS('9_3nf_customer_history'!$B$2:$B$500,'9_3nf_customer_history'!$A$2:$A$500,AD357,'9_3nf_customer_history'!$B$2:$B$500,"&lt;="&amp;L357)=0,"NOT FOUND",_xlfn.MAXIFS('9_3nf_customer_history'!$B$2:$B$500,'9_3nf_customer_history'!$A$2:$A$500,AD357,'9_3nf_customer_history'!$B$2:$B$500,"&lt;="&amp;L357))</f>
        <v/>
      </c>
      <c r="AJ357" s="2">
        <f>IF(AI357="NOT FOUND","NOT FOUND",INDEX('9_3nf_customer_history'!$C:$C,SUMPRODUCT(('9_3nf_customer_history'!$A$2:$A$500=AD357)*('9_3nf_customer_history'!$B$2:$B$500=AI357)*ROW('9_3nf_customer_history'!$A$2:$A$500))))</f>
        <v/>
      </c>
      <c r="AK357" s="2">
        <f>IF(AI357="NOT FOUND","NOT FOUND",INDEX('9_3nf_customer_history'!$D:$D,SUMPRODUCT(('9_3nf_customer_history'!$A$2:$A$500=AD357)*('9_3nf_customer_history'!$B$2:$B$500=AI357)*ROW('9_3nf_customer_history'!$A$2:$A$500))))</f>
        <v/>
      </c>
      <c r="AL357" s="2">
        <f>UPPER(TRIM(H357))</f>
        <v/>
      </c>
      <c r="AM357" s="30">
        <f>IF(_xlfn.MAXIFS('10_ref_fx_rate'!$B$2:$B$2000,'10_ref_fx_rate'!$A$2:$A$2000,AL357,'10_ref_fx_rate'!$B$2:$B$2000,"&lt;="&amp;L357)=0,"NOT FOUND",_xlfn.MAXIFS('10_ref_fx_rate'!$B$2:$B$2000,'10_ref_fx_rate'!$A$2:$A$2000,AL357,'10_ref_fx_rate'!$B$2:$B$2000,"&lt;="&amp;L357))</f>
        <v/>
      </c>
      <c r="AN357" s="8">
        <f>IF(AM357="NOT FOUND","NOT FOUND",SUMIFS('10_ref_fx_rate'!$D$2:$D$2000,'10_ref_fx_rate'!$A$2:$A$2000,AL357,'10_ref_fx_rate'!$B$2:$B$2000,AM357))</f>
        <v/>
      </c>
      <c r="AO357" s="37">
        <f>IF(ISNUMBER(AN357),I357*AN357,"NOT FOUND")</f>
        <v/>
      </c>
      <c r="AP357" s="2">
        <f>UPPER(TRIM(J357))</f>
        <v/>
      </c>
      <c r="AQ357" s="2">
        <f>IF(AP357="","SELF-DIRECTED",IF(ISNUMBER(MATCH(AP357,'11_3nf_sales_person'!$A:$A,0)),IF(EXACT(AP357,J357),"OK","OK (auto-fixed)"),IF(ISNA(MATCH($A357,'12_sales_person_confirmation'!$A:$A,0)),"CONFIRM (not logged)",IF(INDEX('12_sales_person_confirmation'!$I:$I,MATCH($A357,'12_sales_person_confirmation'!$A:$A,0))="CONFIRMED","CONFIRMED ("&amp;LOWER(INDEX('12_sales_person_confirmation'!$E:$E,MATCH($A357,'12_sales_person_confirmation'!$A:$A,0)))&amp;")","PENDING CONFIRM"))))</f>
        <v/>
      </c>
      <c r="AR357" s="2">
        <f>IF(OR(AQ357="OK",AQ357="OK (auto-fixed)"),AP357,IF(LEFT(AQ357,9)="CONFIRMED",INDEX('12_sales_person_confirmation'!$F:$F,MATCH($A357,'12_sales_person_confirmation'!$A:$A,0)),""))</f>
        <v/>
      </c>
      <c r="AS357" s="2">
        <f>IF(AR357="","",INDEX('11_3nf_sales_person'!$B:$B,MATCH(AR357,'11_3nf_sales_person'!$A:$A,0)))</f>
        <v/>
      </c>
    </row>
    <row r="358">
      <c r="A358" s="2">
        <f>IF(ISBLANK('1_raw_log'!A358),"",'1_raw_log'!A358)</f>
        <v/>
      </c>
      <c r="B358" s="3">
        <f>IF(ISBLANK('1_raw_log'!B358),"",'1_raw_log'!B358)</f>
        <v/>
      </c>
      <c r="C358" s="2">
        <f>IF(ISBLANK('1_raw_log'!C358),"",'1_raw_log'!C358)</f>
        <v/>
      </c>
      <c r="D358" s="2">
        <f>IF(ISBLANK('1_raw_log'!D358),"",'1_raw_log'!D358)</f>
        <v/>
      </c>
      <c r="E358" s="4">
        <f>IF(ISBLANK('1_raw_log'!E358),"",'1_raw_log'!E358)</f>
        <v/>
      </c>
      <c r="F358" s="2">
        <f>IF(ISBLANK('1_raw_log'!F358),"",'1_raw_log'!F358)</f>
        <v/>
      </c>
      <c r="G358" s="2">
        <f>IF(ISBLANK('1_raw_log'!G358),"",'1_raw_log'!G358)</f>
        <v/>
      </c>
      <c r="H358" s="2">
        <f>IF(ISBLANK('1_raw_log'!H358),"",'1_raw_log'!H358)</f>
        <v/>
      </c>
      <c r="I358" s="7">
        <f>IF(ISBLANK('1_raw_log'!I358),"",'1_raw_log'!I358)</f>
        <v/>
      </c>
      <c r="J358" s="2">
        <f>IF(ISBLANK('1_raw_log'!J358),"",'1_raw_log'!J358)</f>
        <v/>
      </c>
      <c r="K358" s="2">
        <f>IF(ISBLANK('1_raw_log'!K358),"",'1_raw_log'!K358)</f>
        <v/>
      </c>
      <c r="L358" s="30">
        <f>INT(B358)</f>
        <v/>
      </c>
      <c r="M358" s="20">
        <f>ROUND(MOD(B358,1)*1440,0)/1440</f>
        <v/>
      </c>
      <c r="N358" s="4">
        <f>IFERROR(INDEX('3_ref_date'!$B:$B,MATCH(L358,'3_ref_date'!$A:$A,0)),"NOT FOUND")</f>
        <v/>
      </c>
      <c r="O358" s="2">
        <f>IFERROR(INDEX('3_ref_date'!$C:$C,MATCH(L358,'3_ref_date'!$A:$A,0)),"NOT FOUND")</f>
        <v/>
      </c>
      <c r="P358" s="4">
        <f>IFERROR(INDEX('3_ref_date'!$D:$D,MATCH(L358,'3_ref_date'!$A:$A,0)),"NOT FOUND")</f>
        <v/>
      </c>
      <c r="Q358" s="4">
        <f>IFERROR(INDEX('3_ref_date'!$E:$E,MATCH(L358,'3_ref_date'!$A:$A,0)),"NOT FOUND")</f>
        <v/>
      </c>
      <c r="R358" s="2">
        <f>IFERROR(INDEX('3_ref_date'!$F:$F,MATCH(L358,'3_ref_date'!$A:$A,0)),"NOT FOUND")</f>
        <v/>
      </c>
      <c r="S358" s="2">
        <f>IFERROR(INDEX('4_ref_time'!$D:$D,MATCH(ROUND(M358*1440,0),'4_ref_time'!$A:$A,0)),"NOT FOUND")</f>
        <v/>
      </c>
      <c r="T358" s="2">
        <f>UPPER(TRIM(C358))</f>
        <v/>
      </c>
      <c r="U358" s="30">
        <f>IF(_xlfn.MAXIFS('6_3nf_branch_history'!$B$2:$B$50,'6_3nf_branch_history'!$A$2:$A$50,T358,'6_3nf_branch_history'!$B$2:$B$50,"&lt;="&amp;L358)=0,"NOT FOUND",_xlfn.MAXIFS('6_3nf_branch_history'!$B$2:$B$50,'6_3nf_branch_history'!$A$2:$A$50,T358,'6_3nf_branch_history'!$B$2:$B$50,"&lt;="&amp;L358))</f>
        <v/>
      </c>
      <c r="V358" s="2">
        <f>IF(U358="NOT FOUND","NOT FOUND",INDEX('6_3nf_branch_history'!$C:$C,SUMPRODUCT(('6_3nf_branch_history'!$A$2:$A$50=T358)*('6_3nf_branch_history'!$B$2:$B$50=U358)*ROW('6_3nf_branch_history'!$A$2:$A$50))))</f>
        <v/>
      </c>
      <c r="W358" s="2">
        <f>IF(U358="NOT FOUND","NOT FOUND",INDEX('6_3nf_branch_history'!$D:$D,SUMPRODUCT(('6_3nf_branch_history'!$A$2:$A$50=T358)*('6_3nf_branch_history'!$B$2:$B$50=U358)*ROW('6_3nf_branch_history'!$A$2:$A$50))))</f>
        <v/>
      </c>
      <c r="X358" s="2">
        <f>IF(U358="NOT FOUND","NOT FOUND",INDEX('6_3nf_branch_history'!$E:$E,SUMPRODUCT(('6_3nf_branch_history'!$A$2:$A$50=T358)*('6_3nf_branch_history'!$B$2:$B$50=U358)*ROW('6_3nf_branch_history'!$A$2:$A$50))))</f>
        <v/>
      </c>
      <c r="Y358" s="2">
        <f>UPPER(TRIM(D358))</f>
        <v/>
      </c>
      <c r="Z358" s="2">
        <f>IFERROR(INDEX('7_3nf_product'!$B:$B,MATCH(Y358,'7_3nf_product'!$A:$A,0)),"NOT FOUND")</f>
        <v/>
      </c>
      <c r="AA358" s="2">
        <f>IFERROR(INDEX('7_3nf_product'!$C:$C,MATCH(Y358,'7_3nf_product'!$A:$A,0)),"NOT FOUND")</f>
        <v/>
      </c>
      <c r="AB358" s="2">
        <f>IFERROR(INDEX('7_3nf_product'!$D:$D,MATCH(Y358,'7_3nf_product'!$A:$A,0)),"NOT FOUND")</f>
        <v/>
      </c>
      <c r="AC358" s="6">
        <f>IFERROR(INDEX('7_3nf_product'!$E:$E,MATCH(Y358,'7_3nf_product'!$A:$A,0)),"NOT FOUND")</f>
        <v/>
      </c>
      <c r="AD358" s="33">
        <f>IF(LEN(TRIM(E358))=10,TRIM(E358),IF(LEN(TRIM(E358))=8,"00"&amp;TRIM(E358),"CHECK"))</f>
        <v/>
      </c>
      <c r="AE358" s="2">
        <f>IFERROR(INDEX('8_3nf_customer'!$C:$C,MATCH(AD358,'8_3nf_customer'!$B:$B,0)),"NOT FOUND")</f>
        <v/>
      </c>
      <c r="AF358" s="30">
        <f>IFERROR(INDEX('8_3nf_customer'!$D:$D,MATCH(AD358,'8_3nf_customer'!$B:$B,0)),"NOT FOUND")</f>
        <v/>
      </c>
      <c r="AG358" s="4">
        <f>IF(ISNUMBER(AF358),DATEDIF(AF358,L358,"y"),"NOT FOUND")</f>
        <v/>
      </c>
      <c r="AH358" s="2">
        <f>IFERROR(INDEX('8_3nf_customer'!$E:$E,MATCH(AD358,'8_3nf_customer'!$B:$B,0)),"NOT FOUND")</f>
        <v/>
      </c>
      <c r="AI358" s="30">
        <f>IF(_xlfn.MAXIFS('9_3nf_customer_history'!$B$2:$B$500,'9_3nf_customer_history'!$A$2:$A$500,AD358,'9_3nf_customer_history'!$B$2:$B$500,"&lt;="&amp;L358)=0,"NOT FOUND",_xlfn.MAXIFS('9_3nf_customer_history'!$B$2:$B$500,'9_3nf_customer_history'!$A$2:$A$500,AD358,'9_3nf_customer_history'!$B$2:$B$500,"&lt;="&amp;L358))</f>
        <v/>
      </c>
      <c r="AJ358" s="2">
        <f>IF(AI358="NOT FOUND","NOT FOUND",INDEX('9_3nf_customer_history'!$C:$C,SUMPRODUCT(('9_3nf_customer_history'!$A$2:$A$500=AD358)*('9_3nf_customer_history'!$B$2:$B$500=AI358)*ROW('9_3nf_customer_history'!$A$2:$A$500))))</f>
        <v/>
      </c>
      <c r="AK358" s="2">
        <f>IF(AI358="NOT FOUND","NOT FOUND",INDEX('9_3nf_customer_history'!$D:$D,SUMPRODUCT(('9_3nf_customer_history'!$A$2:$A$500=AD358)*('9_3nf_customer_history'!$B$2:$B$500=AI358)*ROW('9_3nf_customer_history'!$A$2:$A$500))))</f>
        <v/>
      </c>
      <c r="AL358" s="2">
        <f>UPPER(TRIM(H358))</f>
        <v/>
      </c>
      <c r="AM358" s="30">
        <f>IF(_xlfn.MAXIFS('10_ref_fx_rate'!$B$2:$B$2000,'10_ref_fx_rate'!$A$2:$A$2000,AL358,'10_ref_fx_rate'!$B$2:$B$2000,"&lt;="&amp;L358)=0,"NOT FOUND",_xlfn.MAXIFS('10_ref_fx_rate'!$B$2:$B$2000,'10_ref_fx_rate'!$A$2:$A$2000,AL358,'10_ref_fx_rate'!$B$2:$B$2000,"&lt;="&amp;L358))</f>
        <v/>
      </c>
      <c r="AN358" s="8">
        <f>IF(AM358="NOT FOUND","NOT FOUND",SUMIFS('10_ref_fx_rate'!$D$2:$D$2000,'10_ref_fx_rate'!$A$2:$A$2000,AL358,'10_ref_fx_rate'!$B$2:$B$2000,AM358))</f>
        <v/>
      </c>
      <c r="AO358" s="37">
        <f>IF(ISNUMBER(AN358),I358*AN358,"NOT FOUND")</f>
        <v/>
      </c>
      <c r="AP358" s="2">
        <f>UPPER(TRIM(J358))</f>
        <v/>
      </c>
      <c r="AQ358" s="2">
        <f>IF(AP358="","SELF-DIRECTED",IF(ISNUMBER(MATCH(AP358,'11_3nf_sales_person'!$A:$A,0)),IF(EXACT(AP358,J358),"OK","OK (auto-fixed)"),IF(ISNA(MATCH($A358,'12_sales_person_confirmation'!$A:$A,0)),"CONFIRM (not logged)",IF(INDEX('12_sales_person_confirmation'!$I:$I,MATCH($A358,'12_sales_person_confirmation'!$A:$A,0))="CONFIRMED","CONFIRMED ("&amp;LOWER(INDEX('12_sales_person_confirmation'!$E:$E,MATCH($A358,'12_sales_person_confirmation'!$A:$A,0)))&amp;")","PENDING CONFIRM"))))</f>
        <v/>
      </c>
      <c r="AR358" s="2">
        <f>IF(OR(AQ358="OK",AQ358="OK (auto-fixed)"),AP358,IF(LEFT(AQ358,9)="CONFIRMED",INDEX('12_sales_person_confirmation'!$F:$F,MATCH($A358,'12_sales_person_confirmation'!$A:$A,0)),""))</f>
        <v/>
      </c>
      <c r="AS358" s="2">
        <f>IF(AR358="","",INDEX('11_3nf_sales_person'!$B:$B,MATCH(AR358,'11_3nf_sales_person'!$A:$A,0)))</f>
        <v/>
      </c>
    </row>
    <row r="359">
      <c r="A359" s="2">
        <f>IF(ISBLANK('1_raw_log'!A359),"",'1_raw_log'!A359)</f>
        <v/>
      </c>
      <c r="B359" s="3">
        <f>IF(ISBLANK('1_raw_log'!B359),"",'1_raw_log'!B359)</f>
        <v/>
      </c>
      <c r="C359" s="2">
        <f>IF(ISBLANK('1_raw_log'!C359),"",'1_raw_log'!C359)</f>
        <v/>
      </c>
      <c r="D359" s="2">
        <f>IF(ISBLANK('1_raw_log'!D359),"",'1_raw_log'!D359)</f>
        <v/>
      </c>
      <c r="E359" s="4">
        <f>IF(ISBLANK('1_raw_log'!E359),"",'1_raw_log'!E359)</f>
        <v/>
      </c>
      <c r="F359" s="2">
        <f>IF(ISBLANK('1_raw_log'!F359),"",'1_raw_log'!F359)</f>
        <v/>
      </c>
      <c r="G359" s="2">
        <f>IF(ISBLANK('1_raw_log'!G359),"",'1_raw_log'!G359)</f>
        <v/>
      </c>
      <c r="H359" s="2">
        <f>IF(ISBLANK('1_raw_log'!H359),"",'1_raw_log'!H359)</f>
        <v/>
      </c>
      <c r="I359" s="7">
        <f>IF(ISBLANK('1_raw_log'!I359),"",'1_raw_log'!I359)</f>
        <v/>
      </c>
      <c r="J359" s="2">
        <f>IF(ISBLANK('1_raw_log'!J359),"",'1_raw_log'!J359)</f>
        <v/>
      </c>
      <c r="K359" s="2">
        <f>IF(ISBLANK('1_raw_log'!K359),"",'1_raw_log'!K359)</f>
        <v/>
      </c>
      <c r="L359" s="30">
        <f>INT(B359)</f>
        <v/>
      </c>
      <c r="M359" s="20">
        <f>ROUND(MOD(B359,1)*1440,0)/1440</f>
        <v/>
      </c>
      <c r="N359" s="4">
        <f>IFERROR(INDEX('3_ref_date'!$B:$B,MATCH(L359,'3_ref_date'!$A:$A,0)),"NOT FOUND")</f>
        <v/>
      </c>
      <c r="O359" s="2">
        <f>IFERROR(INDEX('3_ref_date'!$C:$C,MATCH(L359,'3_ref_date'!$A:$A,0)),"NOT FOUND")</f>
        <v/>
      </c>
      <c r="P359" s="4">
        <f>IFERROR(INDEX('3_ref_date'!$D:$D,MATCH(L359,'3_ref_date'!$A:$A,0)),"NOT FOUND")</f>
        <v/>
      </c>
      <c r="Q359" s="4">
        <f>IFERROR(INDEX('3_ref_date'!$E:$E,MATCH(L359,'3_ref_date'!$A:$A,0)),"NOT FOUND")</f>
        <v/>
      </c>
      <c r="R359" s="2">
        <f>IFERROR(INDEX('3_ref_date'!$F:$F,MATCH(L359,'3_ref_date'!$A:$A,0)),"NOT FOUND")</f>
        <v/>
      </c>
      <c r="S359" s="2">
        <f>IFERROR(INDEX('4_ref_time'!$D:$D,MATCH(ROUND(M359*1440,0),'4_ref_time'!$A:$A,0)),"NOT FOUND")</f>
        <v/>
      </c>
      <c r="T359" s="2">
        <f>UPPER(TRIM(C359))</f>
        <v/>
      </c>
      <c r="U359" s="30">
        <f>IF(_xlfn.MAXIFS('6_3nf_branch_history'!$B$2:$B$50,'6_3nf_branch_history'!$A$2:$A$50,T359,'6_3nf_branch_history'!$B$2:$B$50,"&lt;="&amp;L359)=0,"NOT FOUND",_xlfn.MAXIFS('6_3nf_branch_history'!$B$2:$B$50,'6_3nf_branch_history'!$A$2:$A$50,T359,'6_3nf_branch_history'!$B$2:$B$50,"&lt;="&amp;L359))</f>
        <v/>
      </c>
      <c r="V359" s="2">
        <f>IF(U359="NOT FOUND","NOT FOUND",INDEX('6_3nf_branch_history'!$C:$C,SUMPRODUCT(('6_3nf_branch_history'!$A$2:$A$50=T359)*('6_3nf_branch_history'!$B$2:$B$50=U359)*ROW('6_3nf_branch_history'!$A$2:$A$50))))</f>
        <v/>
      </c>
      <c r="W359" s="2">
        <f>IF(U359="NOT FOUND","NOT FOUND",INDEX('6_3nf_branch_history'!$D:$D,SUMPRODUCT(('6_3nf_branch_history'!$A$2:$A$50=T359)*('6_3nf_branch_history'!$B$2:$B$50=U359)*ROW('6_3nf_branch_history'!$A$2:$A$50))))</f>
        <v/>
      </c>
      <c r="X359" s="2">
        <f>IF(U359="NOT FOUND","NOT FOUND",INDEX('6_3nf_branch_history'!$E:$E,SUMPRODUCT(('6_3nf_branch_history'!$A$2:$A$50=T359)*('6_3nf_branch_history'!$B$2:$B$50=U359)*ROW('6_3nf_branch_history'!$A$2:$A$50))))</f>
        <v/>
      </c>
      <c r="Y359" s="2">
        <f>UPPER(TRIM(D359))</f>
        <v/>
      </c>
      <c r="Z359" s="2">
        <f>IFERROR(INDEX('7_3nf_product'!$B:$B,MATCH(Y359,'7_3nf_product'!$A:$A,0)),"NOT FOUND")</f>
        <v/>
      </c>
      <c r="AA359" s="2">
        <f>IFERROR(INDEX('7_3nf_product'!$C:$C,MATCH(Y359,'7_3nf_product'!$A:$A,0)),"NOT FOUND")</f>
        <v/>
      </c>
      <c r="AB359" s="2">
        <f>IFERROR(INDEX('7_3nf_product'!$D:$D,MATCH(Y359,'7_3nf_product'!$A:$A,0)),"NOT FOUND")</f>
        <v/>
      </c>
      <c r="AC359" s="6">
        <f>IFERROR(INDEX('7_3nf_product'!$E:$E,MATCH(Y359,'7_3nf_product'!$A:$A,0)),"NOT FOUND")</f>
        <v/>
      </c>
      <c r="AD359" s="33">
        <f>IF(LEN(TRIM(E359))=10,TRIM(E359),IF(LEN(TRIM(E359))=8,"00"&amp;TRIM(E359),"CHECK"))</f>
        <v/>
      </c>
      <c r="AE359" s="2">
        <f>IFERROR(INDEX('8_3nf_customer'!$C:$C,MATCH(AD359,'8_3nf_customer'!$B:$B,0)),"NOT FOUND")</f>
        <v/>
      </c>
      <c r="AF359" s="30">
        <f>IFERROR(INDEX('8_3nf_customer'!$D:$D,MATCH(AD359,'8_3nf_customer'!$B:$B,0)),"NOT FOUND")</f>
        <v/>
      </c>
      <c r="AG359" s="4">
        <f>IF(ISNUMBER(AF359),DATEDIF(AF359,L359,"y"),"NOT FOUND")</f>
        <v/>
      </c>
      <c r="AH359" s="2">
        <f>IFERROR(INDEX('8_3nf_customer'!$E:$E,MATCH(AD359,'8_3nf_customer'!$B:$B,0)),"NOT FOUND")</f>
        <v/>
      </c>
      <c r="AI359" s="30">
        <f>IF(_xlfn.MAXIFS('9_3nf_customer_history'!$B$2:$B$500,'9_3nf_customer_history'!$A$2:$A$500,AD359,'9_3nf_customer_history'!$B$2:$B$500,"&lt;="&amp;L359)=0,"NOT FOUND",_xlfn.MAXIFS('9_3nf_customer_history'!$B$2:$B$500,'9_3nf_customer_history'!$A$2:$A$500,AD359,'9_3nf_customer_history'!$B$2:$B$500,"&lt;="&amp;L359))</f>
        <v/>
      </c>
      <c r="AJ359" s="2">
        <f>IF(AI359="NOT FOUND","NOT FOUND",INDEX('9_3nf_customer_history'!$C:$C,SUMPRODUCT(('9_3nf_customer_history'!$A$2:$A$500=AD359)*('9_3nf_customer_history'!$B$2:$B$500=AI359)*ROW('9_3nf_customer_history'!$A$2:$A$500))))</f>
        <v/>
      </c>
      <c r="AK359" s="2">
        <f>IF(AI359="NOT FOUND","NOT FOUND",INDEX('9_3nf_customer_history'!$D:$D,SUMPRODUCT(('9_3nf_customer_history'!$A$2:$A$500=AD359)*('9_3nf_customer_history'!$B$2:$B$500=AI359)*ROW('9_3nf_customer_history'!$A$2:$A$500))))</f>
        <v/>
      </c>
      <c r="AL359" s="2">
        <f>UPPER(TRIM(H359))</f>
        <v/>
      </c>
      <c r="AM359" s="30">
        <f>IF(_xlfn.MAXIFS('10_ref_fx_rate'!$B$2:$B$2000,'10_ref_fx_rate'!$A$2:$A$2000,AL359,'10_ref_fx_rate'!$B$2:$B$2000,"&lt;="&amp;L359)=0,"NOT FOUND",_xlfn.MAXIFS('10_ref_fx_rate'!$B$2:$B$2000,'10_ref_fx_rate'!$A$2:$A$2000,AL359,'10_ref_fx_rate'!$B$2:$B$2000,"&lt;="&amp;L359))</f>
        <v/>
      </c>
      <c r="AN359" s="8">
        <f>IF(AM359="NOT FOUND","NOT FOUND",SUMIFS('10_ref_fx_rate'!$D$2:$D$2000,'10_ref_fx_rate'!$A$2:$A$2000,AL359,'10_ref_fx_rate'!$B$2:$B$2000,AM359))</f>
        <v/>
      </c>
      <c r="AO359" s="37">
        <f>IF(ISNUMBER(AN359),I359*AN359,"NOT FOUND")</f>
        <v/>
      </c>
      <c r="AP359" s="2">
        <f>UPPER(TRIM(J359))</f>
        <v/>
      </c>
      <c r="AQ359" s="2">
        <f>IF(AP359="","SELF-DIRECTED",IF(ISNUMBER(MATCH(AP359,'11_3nf_sales_person'!$A:$A,0)),IF(EXACT(AP359,J359),"OK","OK (auto-fixed)"),IF(ISNA(MATCH($A359,'12_sales_person_confirmation'!$A:$A,0)),"CONFIRM (not logged)",IF(INDEX('12_sales_person_confirmation'!$I:$I,MATCH($A359,'12_sales_person_confirmation'!$A:$A,0))="CONFIRMED","CONFIRMED ("&amp;LOWER(INDEX('12_sales_person_confirmation'!$E:$E,MATCH($A359,'12_sales_person_confirmation'!$A:$A,0)))&amp;")","PENDING CONFIRM"))))</f>
        <v/>
      </c>
      <c r="AR359" s="2">
        <f>IF(OR(AQ359="OK",AQ359="OK (auto-fixed)"),AP359,IF(LEFT(AQ359,9)="CONFIRMED",INDEX('12_sales_person_confirmation'!$F:$F,MATCH($A359,'12_sales_person_confirmation'!$A:$A,0)),""))</f>
        <v/>
      </c>
      <c r="AS359" s="2">
        <f>IF(AR359="","",INDEX('11_3nf_sales_person'!$B:$B,MATCH(AR359,'11_3nf_sales_person'!$A:$A,0)))</f>
        <v/>
      </c>
    </row>
    <row r="360">
      <c r="A360" s="2">
        <f>IF(ISBLANK('1_raw_log'!A360),"",'1_raw_log'!A360)</f>
        <v/>
      </c>
      <c r="B360" s="3">
        <f>IF(ISBLANK('1_raw_log'!B360),"",'1_raw_log'!B360)</f>
        <v/>
      </c>
      <c r="C360" s="2">
        <f>IF(ISBLANK('1_raw_log'!C360),"",'1_raw_log'!C360)</f>
        <v/>
      </c>
      <c r="D360" s="2">
        <f>IF(ISBLANK('1_raw_log'!D360),"",'1_raw_log'!D360)</f>
        <v/>
      </c>
      <c r="E360" s="4">
        <f>IF(ISBLANK('1_raw_log'!E360),"",'1_raw_log'!E360)</f>
        <v/>
      </c>
      <c r="F360" s="2">
        <f>IF(ISBLANK('1_raw_log'!F360),"",'1_raw_log'!F360)</f>
        <v/>
      </c>
      <c r="G360" s="2">
        <f>IF(ISBLANK('1_raw_log'!G360),"",'1_raw_log'!G360)</f>
        <v/>
      </c>
      <c r="H360" s="2">
        <f>IF(ISBLANK('1_raw_log'!H360),"",'1_raw_log'!H360)</f>
        <v/>
      </c>
      <c r="I360" s="7">
        <f>IF(ISBLANK('1_raw_log'!I360),"",'1_raw_log'!I360)</f>
        <v/>
      </c>
      <c r="J360" s="2">
        <f>IF(ISBLANK('1_raw_log'!J360),"",'1_raw_log'!J360)</f>
        <v/>
      </c>
      <c r="K360" s="2">
        <f>IF(ISBLANK('1_raw_log'!K360),"",'1_raw_log'!K360)</f>
        <v/>
      </c>
      <c r="L360" s="30">
        <f>INT(B360)</f>
        <v/>
      </c>
      <c r="M360" s="20">
        <f>ROUND(MOD(B360,1)*1440,0)/1440</f>
        <v/>
      </c>
      <c r="N360" s="4">
        <f>IFERROR(INDEX('3_ref_date'!$B:$B,MATCH(L360,'3_ref_date'!$A:$A,0)),"NOT FOUND")</f>
        <v/>
      </c>
      <c r="O360" s="2">
        <f>IFERROR(INDEX('3_ref_date'!$C:$C,MATCH(L360,'3_ref_date'!$A:$A,0)),"NOT FOUND")</f>
        <v/>
      </c>
      <c r="P360" s="4">
        <f>IFERROR(INDEX('3_ref_date'!$D:$D,MATCH(L360,'3_ref_date'!$A:$A,0)),"NOT FOUND")</f>
        <v/>
      </c>
      <c r="Q360" s="4">
        <f>IFERROR(INDEX('3_ref_date'!$E:$E,MATCH(L360,'3_ref_date'!$A:$A,0)),"NOT FOUND")</f>
        <v/>
      </c>
      <c r="R360" s="2">
        <f>IFERROR(INDEX('3_ref_date'!$F:$F,MATCH(L360,'3_ref_date'!$A:$A,0)),"NOT FOUND")</f>
        <v/>
      </c>
      <c r="S360" s="2">
        <f>IFERROR(INDEX('4_ref_time'!$D:$D,MATCH(ROUND(M360*1440,0),'4_ref_time'!$A:$A,0)),"NOT FOUND")</f>
        <v/>
      </c>
      <c r="T360" s="2">
        <f>UPPER(TRIM(C360))</f>
        <v/>
      </c>
      <c r="U360" s="30">
        <f>IF(_xlfn.MAXIFS('6_3nf_branch_history'!$B$2:$B$50,'6_3nf_branch_history'!$A$2:$A$50,T360,'6_3nf_branch_history'!$B$2:$B$50,"&lt;="&amp;L360)=0,"NOT FOUND",_xlfn.MAXIFS('6_3nf_branch_history'!$B$2:$B$50,'6_3nf_branch_history'!$A$2:$A$50,T360,'6_3nf_branch_history'!$B$2:$B$50,"&lt;="&amp;L360))</f>
        <v/>
      </c>
      <c r="V360" s="2">
        <f>IF(U360="NOT FOUND","NOT FOUND",INDEX('6_3nf_branch_history'!$C:$C,SUMPRODUCT(('6_3nf_branch_history'!$A$2:$A$50=T360)*('6_3nf_branch_history'!$B$2:$B$50=U360)*ROW('6_3nf_branch_history'!$A$2:$A$50))))</f>
        <v/>
      </c>
      <c r="W360" s="2">
        <f>IF(U360="NOT FOUND","NOT FOUND",INDEX('6_3nf_branch_history'!$D:$D,SUMPRODUCT(('6_3nf_branch_history'!$A$2:$A$50=T360)*('6_3nf_branch_history'!$B$2:$B$50=U360)*ROW('6_3nf_branch_history'!$A$2:$A$50))))</f>
        <v/>
      </c>
      <c r="X360" s="2">
        <f>IF(U360="NOT FOUND","NOT FOUND",INDEX('6_3nf_branch_history'!$E:$E,SUMPRODUCT(('6_3nf_branch_history'!$A$2:$A$50=T360)*('6_3nf_branch_history'!$B$2:$B$50=U360)*ROW('6_3nf_branch_history'!$A$2:$A$50))))</f>
        <v/>
      </c>
      <c r="Y360" s="2">
        <f>UPPER(TRIM(D360))</f>
        <v/>
      </c>
      <c r="Z360" s="2">
        <f>IFERROR(INDEX('7_3nf_product'!$B:$B,MATCH(Y360,'7_3nf_product'!$A:$A,0)),"NOT FOUND")</f>
        <v/>
      </c>
      <c r="AA360" s="2">
        <f>IFERROR(INDEX('7_3nf_product'!$C:$C,MATCH(Y360,'7_3nf_product'!$A:$A,0)),"NOT FOUND")</f>
        <v/>
      </c>
      <c r="AB360" s="2">
        <f>IFERROR(INDEX('7_3nf_product'!$D:$D,MATCH(Y360,'7_3nf_product'!$A:$A,0)),"NOT FOUND")</f>
        <v/>
      </c>
      <c r="AC360" s="6">
        <f>IFERROR(INDEX('7_3nf_product'!$E:$E,MATCH(Y360,'7_3nf_product'!$A:$A,0)),"NOT FOUND")</f>
        <v/>
      </c>
      <c r="AD360" s="33">
        <f>IF(LEN(TRIM(E360))=10,TRIM(E360),IF(LEN(TRIM(E360))=8,"00"&amp;TRIM(E360),"CHECK"))</f>
        <v/>
      </c>
      <c r="AE360" s="2">
        <f>IFERROR(INDEX('8_3nf_customer'!$C:$C,MATCH(AD360,'8_3nf_customer'!$B:$B,0)),"NOT FOUND")</f>
        <v/>
      </c>
      <c r="AF360" s="30">
        <f>IFERROR(INDEX('8_3nf_customer'!$D:$D,MATCH(AD360,'8_3nf_customer'!$B:$B,0)),"NOT FOUND")</f>
        <v/>
      </c>
      <c r="AG360" s="4">
        <f>IF(ISNUMBER(AF360),DATEDIF(AF360,L360,"y"),"NOT FOUND")</f>
        <v/>
      </c>
      <c r="AH360" s="2">
        <f>IFERROR(INDEX('8_3nf_customer'!$E:$E,MATCH(AD360,'8_3nf_customer'!$B:$B,0)),"NOT FOUND")</f>
        <v/>
      </c>
      <c r="AI360" s="30">
        <f>IF(_xlfn.MAXIFS('9_3nf_customer_history'!$B$2:$B$500,'9_3nf_customer_history'!$A$2:$A$500,AD360,'9_3nf_customer_history'!$B$2:$B$500,"&lt;="&amp;L360)=0,"NOT FOUND",_xlfn.MAXIFS('9_3nf_customer_history'!$B$2:$B$500,'9_3nf_customer_history'!$A$2:$A$500,AD360,'9_3nf_customer_history'!$B$2:$B$500,"&lt;="&amp;L360))</f>
        <v/>
      </c>
      <c r="AJ360" s="2">
        <f>IF(AI360="NOT FOUND","NOT FOUND",INDEX('9_3nf_customer_history'!$C:$C,SUMPRODUCT(('9_3nf_customer_history'!$A$2:$A$500=AD360)*('9_3nf_customer_history'!$B$2:$B$500=AI360)*ROW('9_3nf_customer_history'!$A$2:$A$500))))</f>
        <v/>
      </c>
      <c r="AK360" s="2">
        <f>IF(AI360="NOT FOUND","NOT FOUND",INDEX('9_3nf_customer_history'!$D:$D,SUMPRODUCT(('9_3nf_customer_history'!$A$2:$A$500=AD360)*('9_3nf_customer_history'!$B$2:$B$500=AI360)*ROW('9_3nf_customer_history'!$A$2:$A$500))))</f>
        <v/>
      </c>
      <c r="AL360" s="2">
        <f>UPPER(TRIM(H360))</f>
        <v/>
      </c>
      <c r="AM360" s="30">
        <f>IF(_xlfn.MAXIFS('10_ref_fx_rate'!$B$2:$B$2000,'10_ref_fx_rate'!$A$2:$A$2000,AL360,'10_ref_fx_rate'!$B$2:$B$2000,"&lt;="&amp;L360)=0,"NOT FOUND",_xlfn.MAXIFS('10_ref_fx_rate'!$B$2:$B$2000,'10_ref_fx_rate'!$A$2:$A$2000,AL360,'10_ref_fx_rate'!$B$2:$B$2000,"&lt;="&amp;L360))</f>
        <v/>
      </c>
      <c r="AN360" s="8">
        <f>IF(AM360="NOT FOUND","NOT FOUND",SUMIFS('10_ref_fx_rate'!$D$2:$D$2000,'10_ref_fx_rate'!$A$2:$A$2000,AL360,'10_ref_fx_rate'!$B$2:$B$2000,AM360))</f>
        <v/>
      </c>
      <c r="AO360" s="37">
        <f>IF(ISNUMBER(AN360),I360*AN360,"NOT FOUND")</f>
        <v/>
      </c>
      <c r="AP360" s="2">
        <f>UPPER(TRIM(J360))</f>
        <v/>
      </c>
      <c r="AQ360" s="2">
        <f>IF(AP360="","SELF-DIRECTED",IF(ISNUMBER(MATCH(AP360,'11_3nf_sales_person'!$A:$A,0)),IF(EXACT(AP360,J360),"OK","OK (auto-fixed)"),IF(ISNA(MATCH($A360,'12_sales_person_confirmation'!$A:$A,0)),"CONFIRM (not logged)",IF(INDEX('12_sales_person_confirmation'!$I:$I,MATCH($A360,'12_sales_person_confirmation'!$A:$A,0))="CONFIRMED","CONFIRMED ("&amp;LOWER(INDEX('12_sales_person_confirmation'!$E:$E,MATCH($A360,'12_sales_person_confirmation'!$A:$A,0)))&amp;")","PENDING CONFIRM"))))</f>
        <v/>
      </c>
      <c r="AR360" s="2">
        <f>IF(OR(AQ360="OK",AQ360="OK (auto-fixed)"),AP360,IF(LEFT(AQ360,9)="CONFIRMED",INDEX('12_sales_person_confirmation'!$F:$F,MATCH($A360,'12_sales_person_confirmation'!$A:$A,0)),""))</f>
        <v/>
      </c>
      <c r="AS360" s="2">
        <f>IF(AR360="","",INDEX('11_3nf_sales_person'!$B:$B,MATCH(AR360,'11_3nf_sales_person'!$A:$A,0)))</f>
        <v/>
      </c>
    </row>
    <row r="361">
      <c r="A361" s="2">
        <f>IF(ISBLANK('1_raw_log'!A361),"",'1_raw_log'!A361)</f>
        <v/>
      </c>
      <c r="B361" s="3">
        <f>IF(ISBLANK('1_raw_log'!B361),"",'1_raw_log'!B361)</f>
        <v/>
      </c>
      <c r="C361" s="2">
        <f>IF(ISBLANK('1_raw_log'!C361),"",'1_raw_log'!C361)</f>
        <v/>
      </c>
      <c r="D361" s="2">
        <f>IF(ISBLANK('1_raw_log'!D361),"",'1_raw_log'!D361)</f>
        <v/>
      </c>
      <c r="E361" s="4">
        <f>IF(ISBLANK('1_raw_log'!E361),"",'1_raw_log'!E361)</f>
        <v/>
      </c>
      <c r="F361" s="2">
        <f>IF(ISBLANK('1_raw_log'!F361),"",'1_raw_log'!F361)</f>
        <v/>
      </c>
      <c r="G361" s="2">
        <f>IF(ISBLANK('1_raw_log'!G361),"",'1_raw_log'!G361)</f>
        <v/>
      </c>
      <c r="H361" s="2">
        <f>IF(ISBLANK('1_raw_log'!H361),"",'1_raw_log'!H361)</f>
        <v/>
      </c>
      <c r="I361" s="7">
        <f>IF(ISBLANK('1_raw_log'!I361),"",'1_raw_log'!I361)</f>
        <v/>
      </c>
      <c r="J361" s="2">
        <f>IF(ISBLANK('1_raw_log'!J361),"",'1_raw_log'!J361)</f>
        <v/>
      </c>
      <c r="K361" s="2">
        <f>IF(ISBLANK('1_raw_log'!K361),"",'1_raw_log'!K361)</f>
        <v/>
      </c>
      <c r="L361" s="30">
        <f>INT(B361)</f>
        <v/>
      </c>
      <c r="M361" s="20">
        <f>ROUND(MOD(B361,1)*1440,0)/1440</f>
        <v/>
      </c>
      <c r="N361" s="4">
        <f>IFERROR(INDEX('3_ref_date'!$B:$B,MATCH(L361,'3_ref_date'!$A:$A,0)),"NOT FOUND")</f>
        <v/>
      </c>
      <c r="O361" s="2">
        <f>IFERROR(INDEX('3_ref_date'!$C:$C,MATCH(L361,'3_ref_date'!$A:$A,0)),"NOT FOUND")</f>
        <v/>
      </c>
      <c r="P361" s="4">
        <f>IFERROR(INDEX('3_ref_date'!$D:$D,MATCH(L361,'3_ref_date'!$A:$A,0)),"NOT FOUND")</f>
        <v/>
      </c>
      <c r="Q361" s="4">
        <f>IFERROR(INDEX('3_ref_date'!$E:$E,MATCH(L361,'3_ref_date'!$A:$A,0)),"NOT FOUND")</f>
        <v/>
      </c>
      <c r="R361" s="2">
        <f>IFERROR(INDEX('3_ref_date'!$F:$F,MATCH(L361,'3_ref_date'!$A:$A,0)),"NOT FOUND")</f>
        <v/>
      </c>
      <c r="S361" s="2">
        <f>IFERROR(INDEX('4_ref_time'!$D:$D,MATCH(ROUND(M361*1440,0),'4_ref_time'!$A:$A,0)),"NOT FOUND")</f>
        <v/>
      </c>
      <c r="T361" s="2">
        <f>UPPER(TRIM(C361))</f>
        <v/>
      </c>
      <c r="U361" s="30">
        <f>IF(_xlfn.MAXIFS('6_3nf_branch_history'!$B$2:$B$50,'6_3nf_branch_history'!$A$2:$A$50,T361,'6_3nf_branch_history'!$B$2:$B$50,"&lt;="&amp;L361)=0,"NOT FOUND",_xlfn.MAXIFS('6_3nf_branch_history'!$B$2:$B$50,'6_3nf_branch_history'!$A$2:$A$50,T361,'6_3nf_branch_history'!$B$2:$B$50,"&lt;="&amp;L361))</f>
        <v/>
      </c>
      <c r="V361" s="2">
        <f>IF(U361="NOT FOUND","NOT FOUND",INDEX('6_3nf_branch_history'!$C:$C,SUMPRODUCT(('6_3nf_branch_history'!$A$2:$A$50=T361)*('6_3nf_branch_history'!$B$2:$B$50=U361)*ROW('6_3nf_branch_history'!$A$2:$A$50))))</f>
        <v/>
      </c>
      <c r="W361" s="2">
        <f>IF(U361="NOT FOUND","NOT FOUND",INDEX('6_3nf_branch_history'!$D:$D,SUMPRODUCT(('6_3nf_branch_history'!$A$2:$A$50=T361)*('6_3nf_branch_history'!$B$2:$B$50=U361)*ROW('6_3nf_branch_history'!$A$2:$A$50))))</f>
        <v/>
      </c>
      <c r="X361" s="2">
        <f>IF(U361="NOT FOUND","NOT FOUND",INDEX('6_3nf_branch_history'!$E:$E,SUMPRODUCT(('6_3nf_branch_history'!$A$2:$A$50=T361)*('6_3nf_branch_history'!$B$2:$B$50=U361)*ROW('6_3nf_branch_history'!$A$2:$A$50))))</f>
        <v/>
      </c>
      <c r="Y361" s="2">
        <f>UPPER(TRIM(D361))</f>
        <v/>
      </c>
      <c r="Z361" s="2">
        <f>IFERROR(INDEX('7_3nf_product'!$B:$B,MATCH(Y361,'7_3nf_product'!$A:$A,0)),"NOT FOUND")</f>
        <v/>
      </c>
      <c r="AA361" s="2">
        <f>IFERROR(INDEX('7_3nf_product'!$C:$C,MATCH(Y361,'7_3nf_product'!$A:$A,0)),"NOT FOUND")</f>
        <v/>
      </c>
      <c r="AB361" s="2">
        <f>IFERROR(INDEX('7_3nf_product'!$D:$D,MATCH(Y361,'7_3nf_product'!$A:$A,0)),"NOT FOUND")</f>
        <v/>
      </c>
      <c r="AC361" s="6">
        <f>IFERROR(INDEX('7_3nf_product'!$E:$E,MATCH(Y361,'7_3nf_product'!$A:$A,0)),"NOT FOUND")</f>
        <v/>
      </c>
      <c r="AD361" s="33">
        <f>IF(LEN(TRIM(E361))=10,TRIM(E361),IF(LEN(TRIM(E361))=8,"00"&amp;TRIM(E361),"CHECK"))</f>
        <v/>
      </c>
      <c r="AE361" s="2">
        <f>IFERROR(INDEX('8_3nf_customer'!$C:$C,MATCH(AD361,'8_3nf_customer'!$B:$B,0)),"NOT FOUND")</f>
        <v/>
      </c>
      <c r="AF361" s="30">
        <f>IFERROR(INDEX('8_3nf_customer'!$D:$D,MATCH(AD361,'8_3nf_customer'!$B:$B,0)),"NOT FOUND")</f>
        <v/>
      </c>
      <c r="AG361" s="4">
        <f>IF(ISNUMBER(AF361),DATEDIF(AF361,L361,"y"),"NOT FOUND")</f>
        <v/>
      </c>
      <c r="AH361" s="2">
        <f>IFERROR(INDEX('8_3nf_customer'!$E:$E,MATCH(AD361,'8_3nf_customer'!$B:$B,0)),"NOT FOUND")</f>
        <v/>
      </c>
      <c r="AI361" s="30">
        <f>IF(_xlfn.MAXIFS('9_3nf_customer_history'!$B$2:$B$500,'9_3nf_customer_history'!$A$2:$A$500,AD361,'9_3nf_customer_history'!$B$2:$B$500,"&lt;="&amp;L361)=0,"NOT FOUND",_xlfn.MAXIFS('9_3nf_customer_history'!$B$2:$B$500,'9_3nf_customer_history'!$A$2:$A$500,AD361,'9_3nf_customer_history'!$B$2:$B$500,"&lt;="&amp;L361))</f>
        <v/>
      </c>
      <c r="AJ361" s="2">
        <f>IF(AI361="NOT FOUND","NOT FOUND",INDEX('9_3nf_customer_history'!$C:$C,SUMPRODUCT(('9_3nf_customer_history'!$A$2:$A$500=AD361)*('9_3nf_customer_history'!$B$2:$B$500=AI361)*ROW('9_3nf_customer_history'!$A$2:$A$500))))</f>
        <v/>
      </c>
      <c r="AK361" s="2">
        <f>IF(AI361="NOT FOUND","NOT FOUND",INDEX('9_3nf_customer_history'!$D:$D,SUMPRODUCT(('9_3nf_customer_history'!$A$2:$A$500=AD361)*('9_3nf_customer_history'!$B$2:$B$500=AI361)*ROW('9_3nf_customer_history'!$A$2:$A$500))))</f>
        <v/>
      </c>
      <c r="AL361" s="2">
        <f>UPPER(TRIM(H361))</f>
        <v/>
      </c>
      <c r="AM361" s="30">
        <f>IF(_xlfn.MAXIFS('10_ref_fx_rate'!$B$2:$B$2000,'10_ref_fx_rate'!$A$2:$A$2000,AL361,'10_ref_fx_rate'!$B$2:$B$2000,"&lt;="&amp;L361)=0,"NOT FOUND",_xlfn.MAXIFS('10_ref_fx_rate'!$B$2:$B$2000,'10_ref_fx_rate'!$A$2:$A$2000,AL361,'10_ref_fx_rate'!$B$2:$B$2000,"&lt;="&amp;L361))</f>
        <v/>
      </c>
      <c r="AN361" s="8">
        <f>IF(AM361="NOT FOUND","NOT FOUND",SUMIFS('10_ref_fx_rate'!$D$2:$D$2000,'10_ref_fx_rate'!$A$2:$A$2000,AL361,'10_ref_fx_rate'!$B$2:$B$2000,AM361))</f>
        <v/>
      </c>
      <c r="AO361" s="37">
        <f>IF(ISNUMBER(AN361),I361*AN361,"NOT FOUND")</f>
        <v/>
      </c>
      <c r="AP361" s="2">
        <f>UPPER(TRIM(J361))</f>
        <v/>
      </c>
      <c r="AQ361" s="2">
        <f>IF(AP361="","SELF-DIRECTED",IF(ISNUMBER(MATCH(AP361,'11_3nf_sales_person'!$A:$A,0)),IF(EXACT(AP361,J361),"OK","OK (auto-fixed)"),IF(ISNA(MATCH($A361,'12_sales_person_confirmation'!$A:$A,0)),"CONFIRM (not logged)",IF(INDEX('12_sales_person_confirmation'!$I:$I,MATCH($A361,'12_sales_person_confirmation'!$A:$A,0))="CONFIRMED","CONFIRMED ("&amp;LOWER(INDEX('12_sales_person_confirmation'!$E:$E,MATCH($A361,'12_sales_person_confirmation'!$A:$A,0)))&amp;")","PENDING CONFIRM"))))</f>
        <v/>
      </c>
      <c r="AR361" s="2">
        <f>IF(OR(AQ361="OK",AQ361="OK (auto-fixed)"),AP361,IF(LEFT(AQ361,9)="CONFIRMED",INDEX('12_sales_person_confirmation'!$F:$F,MATCH($A361,'12_sales_person_confirmation'!$A:$A,0)),""))</f>
        <v/>
      </c>
      <c r="AS361" s="2">
        <f>IF(AR361="","",INDEX('11_3nf_sales_person'!$B:$B,MATCH(AR361,'11_3nf_sales_person'!$A:$A,0)))</f>
        <v/>
      </c>
    </row>
    <row r="362">
      <c r="A362" s="2">
        <f>IF(ISBLANK('1_raw_log'!A362),"",'1_raw_log'!A362)</f>
        <v/>
      </c>
      <c r="B362" s="3">
        <f>IF(ISBLANK('1_raw_log'!B362),"",'1_raw_log'!B362)</f>
        <v/>
      </c>
      <c r="C362" s="2">
        <f>IF(ISBLANK('1_raw_log'!C362),"",'1_raw_log'!C362)</f>
        <v/>
      </c>
      <c r="D362" s="2">
        <f>IF(ISBLANK('1_raw_log'!D362),"",'1_raw_log'!D362)</f>
        <v/>
      </c>
      <c r="E362" s="4">
        <f>IF(ISBLANK('1_raw_log'!E362),"",'1_raw_log'!E362)</f>
        <v/>
      </c>
      <c r="F362" s="2">
        <f>IF(ISBLANK('1_raw_log'!F362),"",'1_raw_log'!F362)</f>
        <v/>
      </c>
      <c r="G362" s="2">
        <f>IF(ISBLANK('1_raw_log'!G362),"",'1_raw_log'!G362)</f>
        <v/>
      </c>
      <c r="H362" s="2">
        <f>IF(ISBLANK('1_raw_log'!H362),"",'1_raw_log'!H362)</f>
        <v/>
      </c>
      <c r="I362" s="7">
        <f>IF(ISBLANK('1_raw_log'!I362),"",'1_raw_log'!I362)</f>
        <v/>
      </c>
      <c r="J362" s="2">
        <f>IF(ISBLANK('1_raw_log'!J362),"",'1_raw_log'!J362)</f>
        <v/>
      </c>
      <c r="K362" s="2">
        <f>IF(ISBLANK('1_raw_log'!K362),"",'1_raw_log'!K362)</f>
        <v/>
      </c>
      <c r="L362" s="30">
        <f>INT(B362)</f>
        <v/>
      </c>
      <c r="M362" s="20">
        <f>ROUND(MOD(B362,1)*1440,0)/1440</f>
        <v/>
      </c>
      <c r="N362" s="4">
        <f>IFERROR(INDEX('3_ref_date'!$B:$B,MATCH(L362,'3_ref_date'!$A:$A,0)),"NOT FOUND")</f>
        <v/>
      </c>
      <c r="O362" s="2">
        <f>IFERROR(INDEX('3_ref_date'!$C:$C,MATCH(L362,'3_ref_date'!$A:$A,0)),"NOT FOUND")</f>
        <v/>
      </c>
      <c r="P362" s="4">
        <f>IFERROR(INDEX('3_ref_date'!$D:$D,MATCH(L362,'3_ref_date'!$A:$A,0)),"NOT FOUND")</f>
        <v/>
      </c>
      <c r="Q362" s="4">
        <f>IFERROR(INDEX('3_ref_date'!$E:$E,MATCH(L362,'3_ref_date'!$A:$A,0)),"NOT FOUND")</f>
        <v/>
      </c>
      <c r="R362" s="2">
        <f>IFERROR(INDEX('3_ref_date'!$F:$F,MATCH(L362,'3_ref_date'!$A:$A,0)),"NOT FOUND")</f>
        <v/>
      </c>
      <c r="S362" s="2">
        <f>IFERROR(INDEX('4_ref_time'!$D:$D,MATCH(ROUND(M362*1440,0),'4_ref_time'!$A:$A,0)),"NOT FOUND")</f>
        <v/>
      </c>
      <c r="T362" s="2">
        <f>UPPER(TRIM(C362))</f>
        <v/>
      </c>
      <c r="U362" s="30">
        <f>IF(_xlfn.MAXIFS('6_3nf_branch_history'!$B$2:$B$50,'6_3nf_branch_history'!$A$2:$A$50,T362,'6_3nf_branch_history'!$B$2:$B$50,"&lt;="&amp;L362)=0,"NOT FOUND",_xlfn.MAXIFS('6_3nf_branch_history'!$B$2:$B$50,'6_3nf_branch_history'!$A$2:$A$50,T362,'6_3nf_branch_history'!$B$2:$B$50,"&lt;="&amp;L362))</f>
        <v/>
      </c>
      <c r="V362" s="2">
        <f>IF(U362="NOT FOUND","NOT FOUND",INDEX('6_3nf_branch_history'!$C:$C,SUMPRODUCT(('6_3nf_branch_history'!$A$2:$A$50=T362)*('6_3nf_branch_history'!$B$2:$B$50=U362)*ROW('6_3nf_branch_history'!$A$2:$A$50))))</f>
        <v/>
      </c>
      <c r="W362" s="2">
        <f>IF(U362="NOT FOUND","NOT FOUND",INDEX('6_3nf_branch_history'!$D:$D,SUMPRODUCT(('6_3nf_branch_history'!$A$2:$A$50=T362)*('6_3nf_branch_history'!$B$2:$B$50=U362)*ROW('6_3nf_branch_history'!$A$2:$A$50))))</f>
        <v/>
      </c>
      <c r="X362" s="2">
        <f>IF(U362="NOT FOUND","NOT FOUND",INDEX('6_3nf_branch_history'!$E:$E,SUMPRODUCT(('6_3nf_branch_history'!$A$2:$A$50=T362)*('6_3nf_branch_history'!$B$2:$B$50=U362)*ROW('6_3nf_branch_history'!$A$2:$A$50))))</f>
        <v/>
      </c>
      <c r="Y362" s="2">
        <f>UPPER(TRIM(D362))</f>
        <v/>
      </c>
      <c r="Z362" s="2">
        <f>IFERROR(INDEX('7_3nf_product'!$B:$B,MATCH(Y362,'7_3nf_product'!$A:$A,0)),"NOT FOUND")</f>
        <v/>
      </c>
      <c r="AA362" s="2">
        <f>IFERROR(INDEX('7_3nf_product'!$C:$C,MATCH(Y362,'7_3nf_product'!$A:$A,0)),"NOT FOUND")</f>
        <v/>
      </c>
      <c r="AB362" s="2">
        <f>IFERROR(INDEX('7_3nf_product'!$D:$D,MATCH(Y362,'7_3nf_product'!$A:$A,0)),"NOT FOUND")</f>
        <v/>
      </c>
      <c r="AC362" s="6">
        <f>IFERROR(INDEX('7_3nf_product'!$E:$E,MATCH(Y362,'7_3nf_product'!$A:$A,0)),"NOT FOUND")</f>
        <v/>
      </c>
      <c r="AD362" s="33">
        <f>IF(LEN(TRIM(E362))=10,TRIM(E362),IF(LEN(TRIM(E362))=8,"00"&amp;TRIM(E362),"CHECK"))</f>
        <v/>
      </c>
      <c r="AE362" s="2">
        <f>IFERROR(INDEX('8_3nf_customer'!$C:$C,MATCH(AD362,'8_3nf_customer'!$B:$B,0)),"NOT FOUND")</f>
        <v/>
      </c>
      <c r="AF362" s="30">
        <f>IFERROR(INDEX('8_3nf_customer'!$D:$D,MATCH(AD362,'8_3nf_customer'!$B:$B,0)),"NOT FOUND")</f>
        <v/>
      </c>
      <c r="AG362" s="4">
        <f>IF(ISNUMBER(AF362),DATEDIF(AF362,L362,"y"),"NOT FOUND")</f>
        <v/>
      </c>
      <c r="AH362" s="2">
        <f>IFERROR(INDEX('8_3nf_customer'!$E:$E,MATCH(AD362,'8_3nf_customer'!$B:$B,0)),"NOT FOUND")</f>
        <v/>
      </c>
      <c r="AI362" s="30">
        <f>IF(_xlfn.MAXIFS('9_3nf_customer_history'!$B$2:$B$500,'9_3nf_customer_history'!$A$2:$A$500,AD362,'9_3nf_customer_history'!$B$2:$B$500,"&lt;="&amp;L362)=0,"NOT FOUND",_xlfn.MAXIFS('9_3nf_customer_history'!$B$2:$B$500,'9_3nf_customer_history'!$A$2:$A$500,AD362,'9_3nf_customer_history'!$B$2:$B$500,"&lt;="&amp;L362))</f>
        <v/>
      </c>
      <c r="AJ362" s="2">
        <f>IF(AI362="NOT FOUND","NOT FOUND",INDEX('9_3nf_customer_history'!$C:$C,SUMPRODUCT(('9_3nf_customer_history'!$A$2:$A$500=AD362)*('9_3nf_customer_history'!$B$2:$B$500=AI362)*ROW('9_3nf_customer_history'!$A$2:$A$500))))</f>
        <v/>
      </c>
      <c r="AK362" s="2">
        <f>IF(AI362="NOT FOUND","NOT FOUND",INDEX('9_3nf_customer_history'!$D:$D,SUMPRODUCT(('9_3nf_customer_history'!$A$2:$A$500=AD362)*('9_3nf_customer_history'!$B$2:$B$500=AI362)*ROW('9_3nf_customer_history'!$A$2:$A$500))))</f>
        <v/>
      </c>
      <c r="AL362" s="2">
        <f>UPPER(TRIM(H362))</f>
        <v/>
      </c>
      <c r="AM362" s="30">
        <f>IF(_xlfn.MAXIFS('10_ref_fx_rate'!$B$2:$B$2000,'10_ref_fx_rate'!$A$2:$A$2000,AL362,'10_ref_fx_rate'!$B$2:$B$2000,"&lt;="&amp;L362)=0,"NOT FOUND",_xlfn.MAXIFS('10_ref_fx_rate'!$B$2:$B$2000,'10_ref_fx_rate'!$A$2:$A$2000,AL362,'10_ref_fx_rate'!$B$2:$B$2000,"&lt;="&amp;L362))</f>
        <v/>
      </c>
      <c r="AN362" s="8">
        <f>IF(AM362="NOT FOUND","NOT FOUND",SUMIFS('10_ref_fx_rate'!$D$2:$D$2000,'10_ref_fx_rate'!$A$2:$A$2000,AL362,'10_ref_fx_rate'!$B$2:$B$2000,AM362))</f>
        <v/>
      </c>
      <c r="AO362" s="37">
        <f>IF(ISNUMBER(AN362),I362*AN362,"NOT FOUND")</f>
        <v/>
      </c>
      <c r="AP362" s="2">
        <f>UPPER(TRIM(J362))</f>
        <v/>
      </c>
      <c r="AQ362" s="2">
        <f>IF(AP362="","SELF-DIRECTED",IF(ISNUMBER(MATCH(AP362,'11_3nf_sales_person'!$A:$A,0)),IF(EXACT(AP362,J362),"OK","OK (auto-fixed)"),IF(ISNA(MATCH($A362,'12_sales_person_confirmation'!$A:$A,0)),"CONFIRM (not logged)",IF(INDEX('12_sales_person_confirmation'!$I:$I,MATCH($A362,'12_sales_person_confirmation'!$A:$A,0))="CONFIRMED","CONFIRMED ("&amp;LOWER(INDEX('12_sales_person_confirmation'!$E:$E,MATCH($A362,'12_sales_person_confirmation'!$A:$A,0)))&amp;")","PENDING CONFIRM"))))</f>
        <v/>
      </c>
      <c r="AR362" s="2">
        <f>IF(OR(AQ362="OK",AQ362="OK (auto-fixed)"),AP362,IF(LEFT(AQ362,9)="CONFIRMED",INDEX('12_sales_person_confirmation'!$F:$F,MATCH($A362,'12_sales_person_confirmation'!$A:$A,0)),""))</f>
        <v/>
      </c>
      <c r="AS362" s="2">
        <f>IF(AR362="","",INDEX('11_3nf_sales_person'!$B:$B,MATCH(AR362,'11_3nf_sales_person'!$A:$A,0)))</f>
        <v/>
      </c>
    </row>
    <row r="363">
      <c r="A363" s="2">
        <f>IF(ISBLANK('1_raw_log'!A363),"",'1_raw_log'!A363)</f>
        <v/>
      </c>
      <c r="B363" s="3">
        <f>IF(ISBLANK('1_raw_log'!B363),"",'1_raw_log'!B363)</f>
        <v/>
      </c>
      <c r="C363" s="2">
        <f>IF(ISBLANK('1_raw_log'!C363),"",'1_raw_log'!C363)</f>
        <v/>
      </c>
      <c r="D363" s="2">
        <f>IF(ISBLANK('1_raw_log'!D363),"",'1_raw_log'!D363)</f>
        <v/>
      </c>
      <c r="E363" s="4">
        <f>IF(ISBLANK('1_raw_log'!E363),"",'1_raw_log'!E363)</f>
        <v/>
      </c>
      <c r="F363" s="2">
        <f>IF(ISBLANK('1_raw_log'!F363),"",'1_raw_log'!F363)</f>
        <v/>
      </c>
      <c r="G363" s="2">
        <f>IF(ISBLANK('1_raw_log'!G363),"",'1_raw_log'!G363)</f>
        <v/>
      </c>
      <c r="H363" s="2">
        <f>IF(ISBLANK('1_raw_log'!H363),"",'1_raw_log'!H363)</f>
        <v/>
      </c>
      <c r="I363" s="7">
        <f>IF(ISBLANK('1_raw_log'!I363),"",'1_raw_log'!I363)</f>
        <v/>
      </c>
      <c r="J363" s="2">
        <f>IF(ISBLANK('1_raw_log'!J363),"",'1_raw_log'!J363)</f>
        <v/>
      </c>
      <c r="K363" s="2">
        <f>IF(ISBLANK('1_raw_log'!K363),"",'1_raw_log'!K363)</f>
        <v/>
      </c>
      <c r="L363" s="30">
        <f>INT(B363)</f>
        <v/>
      </c>
      <c r="M363" s="20">
        <f>ROUND(MOD(B363,1)*1440,0)/1440</f>
        <v/>
      </c>
      <c r="N363" s="4">
        <f>IFERROR(INDEX('3_ref_date'!$B:$B,MATCH(L363,'3_ref_date'!$A:$A,0)),"NOT FOUND")</f>
        <v/>
      </c>
      <c r="O363" s="2">
        <f>IFERROR(INDEX('3_ref_date'!$C:$C,MATCH(L363,'3_ref_date'!$A:$A,0)),"NOT FOUND")</f>
        <v/>
      </c>
      <c r="P363" s="4">
        <f>IFERROR(INDEX('3_ref_date'!$D:$D,MATCH(L363,'3_ref_date'!$A:$A,0)),"NOT FOUND")</f>
        <v/>
      </c>
      <c r="Q363" s="4">
        <f>IFERROR(INDEX('3_ref_date'!$E:$E,MATCH(L363,'3_ref_date'!$A:$A,0)),"NOT FOUND")</f>
        <v/>
      </c>
      <c r="R363" s="2">
        <f>IFERROR(INDEX('3_ref_date'!$F:$F,MATCH(L363,'3_ref_date'!$A:$A,0)),"NOT FOUND")</f>
        <v/>
      </c>
      <c r="S363" s="2">
        <f>IFERROR(INDEX('4_ref_time'!$D:$D,MATCH(ROUND(M363*1440,0),'4_ref_time'!$A:$A,0)),"NOT FOUND")</f>
        <v/>
      </c>
      <c r="T363" s="2">
        <f>UPPER(TRIM(C363))</f>
        <v/>
      </c>
      <c r="U363" s="30">
        <f>IF(_xlfn.MAXIFS('6_3nf_branch_history'!$B$2:$B$50,'6_3nf_branch_history'!$A$2:$A$50,T363,'6_3nf_branch_history'!$B$2:$B$50,"&lt;="&amp;L363)=0,"NOT FOUND",_xlfn.MAXIFS('6_3nf_branch_history'!$B$2:$B$50,'6_3nf_branch_history'!$A$2:$A$50,T363,'6_3nf_branch_history'!$B$2:$B$50,"&lt;="&amp;L363))</f>
        <v/>
      </c>
      <c r="V363" s="2">
        <f>IF(U363="NOT FOUND","NOT FOUND",INDEX('6_3nf_branch_history'!$C:$C,SUMPRODUCT(('6_3nf_branch_history'!$A$2:$A$50=T363)*('6_3nf_branch_history'!$B$2:$B$50=U363)*ROW('6_3nf_branch_history'!$A$2:$A$50))))</f>
        <v/>
      </c>
      <c r="W363" s="2">
        <f>IF(U363="NOT FOUND","NOT FOUND",INDEX('6_3nf_branch_history'!$D:$D,SUMPRODUCT(('6_3nf_branch_history'!$A$2:$A$50=T363)*('6_3nf_branch_history'!$B$2:$B$50=U363)*ROW('6_3nf_branch_history'!$A$2:$A$50))))</f>
        <v/>
      </c>
      <c r="X363" s="2">
        <f>IF(U363="NOT FOUND","NOT FOUND",INDEX('6_3nf_branch_history'!$E:$E,SUMPRODUCT(('6_3nf_branch_history'!$A$2:$A$50=T363)*('6_3nf_branch_history'!$B$2:$B$50=U363)*ROW('6_3nf_branch_history'!$A$2:$A$50))))</f>
        <v/>
      </c>
      <c r="Y363" s="2">
        <f>UPPER(TRIM(D363))</f>
        <v/>
      </c>
      <c r="Z363" s="2">
        <f>IFERROR(INDEX('7_3nf_product'!$B:$B,MATCH(Y363,'7_3nf_product'!$A:$A,0)),"NOT FOUND")</f>
        <v/>
      </c>
      <c r="AA363" s="2">
        <f>IFERROR(INDEX('7_3nf_product'!$C:$C,MATCH(Y363,'7_3nf_product'!$A:$A,0)),"NOT FOUND")</f>
        <v/>
      </c>
      <c r="AB363" s="2">
        <f>IFERROR(INDEX('7_3nf_product'!$D:$D,MATCH(Y363,'7_3nf_product'!$A:$A,0)),"NOT FOUND")</f>
        <v/>
      </c>
      <c r="AC363" s="6">
        <f>IFERROR(INDEX('7_3nf_product'!$E:$E,MATCH(Y363,'7_3nf_product'!$A:$A,0)),"NOT FOUND")</f>
        <v/>
      </c>
      <c r="AD363" s="33">
        <f>IF(LEN(TRIM(E363))=10,TRIM(E363),IF(LEN(TRIM(E363))=8,"00"&amp;TRIM(E363),"CHECK"))</f>
        <v/>
      </c>
      <c r="AE363" s="2">
        <f>IFERROR(INDEX('8_3nf_customer'!$C:$C,MATCH(AD363,'8_3nf_customer'!$B:$B,0)),"NOT FOUND")</f>
        <v/>
      </c>
      <c r="AF363" s="30">
        <f>IFERROR(INDEX('8_3nf_customer'!$D:$D,MATCH(AD363,'8_3nf_customer'!$B:$B,0)),"NOT FOUND")</f>
        <v/>
      </c>
      <c r="AG363" s="4">
        <f>IF(ISNUMBER(AF363),DATEDIF(AF363,L363,"y"),"NOT FOUND")</f>
        <v/>
      </c>
      <c r="AH363" s="2">
        <f>IFERROR(INDEX('8_3nf_customer'!$E:$E,MATCH(AD363,'8_3nf_customer'!$B:$B,0)),"NOT FOUND")</f>
        <v/>
      </c>
      <c r="AI363" s="30">
        <f>IF(_xlfn.MAXIFS('9_3nf_customer_history'!$B$2:$B$500,'9_3nf_customer_history'!$A$2:$A$500,AD363,'9_3nf_customer_history'!$B$2:$B$500,"&lt;="&amp;L363)=0,"NOT FOUND",_xlfn.MAXIFS('9_3nf_customer_history'!$B$2:$B$500,'9_3nf_customer_history'!$A$2:$A$500,AD363,'9_3nf_customer_history'!$B$2:$B$500,"&lt;="&amp;L363))</f>
        <v/>
      </c>
      <c r="AJ363" s="2">
        <f>IF(AI363="NOT FOUND","NOT FOUND",INDEX('9_3nf_customer_history'!$C:$C,SUMPRODUCT(('9_3nf_customer_history'!$A$2:$A$500=AD363)*('9_3nf_customer_history'!$B$2:$B$500=AI363)*ROW('9_3nf_customer_history'!$A$2:$A$500))))</f>
        <v/>
      </c>
      <c r="AK363" s="2">
        <f>IF(AI363="NOT FOUND","NOT FOUND",INDEX('9_3nf_customer_history'!$D:$D,SUMPRODUCT(('9_3nf_customer_history'!$A$2:$A$500=AD363)*('9_3nf_customer_history'!$B$2:$B$500=AI363)*ROW('9_3nf_customer_history'!$A$2:$A$500))))</f>
        <v/>
      </c>
      <c r="AL363" s="2">
        <f>UPPER(TRIM(H363))</f>
        <v/>
      </c>
      <c r="AM363" s="30">
        <f>IF(_xlfn.MAXIFS('10_ref_fx_rate'!$B$2:$B$2000,'10_ref_fx_rate'!$A$2:$A$2000,AL363,'10_ref_fx_rate'!$B$2:$B$2000,"&lt;="&amp;L363)=0,"NOT FOUND",_xlfn.MAXIFS('10_ref_fx_rate'!$B$2:$B$2000,'10_ref_fx_rate'!$A$2:$A$2000,AL363,'10_ref_fx_rate'!$B$2:$B$2000,"&lt;="&amp;L363))</f>
        <v/>
      </c>
      <c r="AN363" s="8">
        <f>IF(AM363="NOT FOUND","NOT FOUND",SUMIFS('10_ref_fx_rate'!$D$2:$D$2000,'10_ref_fx_rate'!$A$2:$A$2000,AL363,'10_ref_fx_rate'!$B$2:$B$2000,AM363))</f>
        <v/>
      </c>
      <c r="AO363" s="37">
        <f>IF(ISNUMBER(AN363),I363*AN363,"NOT FOUND")</f>
        <v/>
      </c>
      <c r="AP363" s="2">
        <f>UPPER(TRIM(J363))</f>
        <v/>
      </c>
      <c r="AQ363" s="2">
        <f>IF(AP363="","SELF-DIRECTED",IF(ISNUMBER(MATCH(AP363,'11_3nf_sales_person'!$A:$A,0)),IF(EXACT(AP363,J363),"OK","OK (auto-fixed)"),IF(ISNA(MATCH($A363,'12_sales_person_confirmation'!$A:$A,0)),"CONFIRM (not logged)",IF(INDEX('12_sales_person_confirmation'!$I:$I,MATCH($A363,'12_sales_person_confirmation'!$A:$A,0))="CONFIRMED","CONFIRMED ("&amp;LOWER(INDEX('12_sales_person_confirmation'!$E:$E,MATCH($A363,'12_sales_person_confirmation'!$A:$A,0)))&amp;")","PENDING CONFIRM"))))</f>
        <v/>
      </c>
      <c r="AR363" s="2">
        <f>IF(OR(AQ363="OK",AQ363="OK (auto-fixed)"),AP363,IF(LEFT(AQ363,9)="CONFIRMED",INDEX('12_sales_person_confirmation'!$F:$F,MATCH($A363,'12_sales_person_confirmation'!$A:$A,0)),""))</f>
        <v/>
      </c>
      <c r="AS363" s="2">
        <f>IF(AR363="","",INDEX('11_3nf_sales_person'!$B:$B,MATCH(AR363,'11_3nf_sales_person'!$A:$A,0)))</f>
        <v/>
      </c>
    </row>
    <row r="364">
      <c r="A364" s="2">
        <f>IF(ISBLANK('1_raw_log'!A364),"",'1_raw_log'!A364)</f>
        <v/>
      </c>
      <c r="B364" s="3">
        <f>IF(ISBLANK('1_raw_log'!B364),"",'1_raw_log'!B364)</f>
        <v/>
      </c>
      <c r="C364" s="2">
        <f>IF(ISBLANK('1_raw_log'!C364),"",'1_raw_log'!C364)</f>
        <v/>
      </c>
      <c r="D364" s="2">
        <f>IF(ISBLANK('1_raw_log'!D364),"",'1_raw_log'!D364)</f>
        <v/>
      </c>
      <c r="E364" s="4">
        <f>IF(ISBLANK('1_raw_log'!E364),"",'1_raw_log'!E364)</f>
        <v/>
      </c>
      <c r="F364" s="2">
        <f>IF(ISBLANK('1_raw_log'!F364),"",'1_raw_log'!F364)</f>
        <v/>
      </c>
      <c r="G364" s="2">
        <f>IF(ISBLANK('1_raw_log'!G364),"",'1_raw_log'!G364)</f>
        <v/>
      </c>
      <c r="H364" s="2">
        <f>IF(ISBLANK('1_raw_log'!H364),"",'1_raw_log'!H364)</f>
        <v/>
      </c>
      <c r="I364" s="7">
        <f>IF(ISBLANK('1_raw_log'!I364),"",'1_raw_log'!I364)</f>
        <v/>
      </c>
      <c r="J364" s="2">
        <f>IF(ISBLANK('1_raw_log'!J364),"",'1_raw_log'!J364)</f>
        <v/>
      </c>
      <c r="K364" s="2">
        <f>IF(ISBLANK('1_raw_log'!K364),"",'1_raw_log'!K364)</f>
        <v/>
      </c>
      <c r="L364" s="30">
        <f>INT(B364)</f>
        <v/>
      </c>
      <c r="M364" s="20">
        <f>ROUND(MOD(B364,1)*1440,0)/1440</f>
        <v/>
      </c>
      <c r="N364" s="4">
        <f>IFERROR(INDEX('3_ref_date'!$B:$B,MATCH(L364,'3_ref_date'!$A:$A,0)),"NOT FOUND")</f>
        <v/>
      </c>
      <c r="O364" s="2">
        <f>IFERROR(INDEX('3_ref_date'!$C:$C,MATCH(L364,'3_ref_date'!$A:$A,0)),"NOT FOUND")</f>
        <v/>
      </c>
      <c r="P364" s="4">
        <f>IFERROR(INDEX('3_ref_date'!$D:$D,MATCH(L364,'3_ref_date'!$A:$A,0)),"NOT FOUND")</f>
        <v/>
      </c>
      <c r="Q364" s="4">
        <f>IFERROR(INDEX('3_ref_date'!$E:$E,MATCH(L364,'3_ref_date'!$A:$A,0)),"NOT FOUND")</f>
        <v/>
      </c>
      <c r="R364" s="2">
        <f>IFERROR(INDEX('3_ref_date'!$F:$F,MATCH(L364,'3_ref_date'!$A:$A,0)),"NOT FOUND")</f>
        <v/>
      </c>
      <c r="S364" s="2">
        <f>IFERROR(INDEX('4_ref_time'!$D:$D,MATCH(ROUND(M364*1440,0),'4_ref_time'!$A:$A,0)),"NOT FOUND")</f>
        <v/>
      </c>
      <c r="T364" s="2">
        <f>UPPER(TRIM(C364))</f>
        <v/>
      </c>
      <c r="U364" s="30">
        <f>IF(_xlfn.MAXIFS('6_3nf_branch_history'!$B$2:$B$50,'6_3nf_branch_history'!$A$2:$A$50,T364,'6_3nf_branch_history'!$B$2:$B$50,"&lt;="&amp;L364)=0,"NOT FOUND",_xlfn.MAXIFS('6_3nf_branch_history'!$B$2:$B$50,'6_3nf_branch_history'!$A$2:$A$50,T364,'6_3nf_branch_history'!$B$2:$B$50,"&lt;="&amp;L364))</f>
        <v/>
      </c>
      <c r="V364" s="2">
        <f>IF(U364="NOT FOUND","NOT FOUND",INDEX('6_3nf_branch_history'!$C:$C,SUMPRODUCT(('6_3nf_branch_history'!$A$2:$A$50=T364)*('6_3nf_branch_history'!$B$2:$B$50=U364)*ROW('6_3nf_branch_history'!$A$2:$A$50))))</f>
        <v/>
      </c>
      <c r="W364" s="2">
        <f>IF(U364="NOT FOUND","NOT FOUND",INDEX('6_3nf_branch_history'!$D:$D,SUMPRODUCT(('6_3nf_branch_history'!$A$2:$A$50=T364)*('6_3nf_branch_history'!$B$2:$B$50=U364)*ROW('6_3nf_branch_history'!$A$2:$A$50))))</f>
        <v/>
      </c>
      <c r="X364" s="2">
        <f>IF(U364="NOT FOUND","NOT FOUND",INDEX('6_3nf_branch_history'!$E:$E,SUMPRODUCT(('6_3nf_branch_history'!$A$2:$A$50=T364)*('6_3nf_branch_history'!$B$2:$B$50=U364)*ROW('6_3nf_branch_history'!$A$2:$A$50))))</f>
        <v/>
      </c>
      <c r="Y364" s="2">
        <f>UPPER(TRIM(D364))</f>
        <v/>
      </c>
      <c r="Z364" s="2">
        <f>IFERROR(INDEX('7_3nf_product'!$B:$B,MATCH(Y364,'7_3nf_product'!$A:$A,0)),"NOT FOUND")</f>
        <v/>
      </c>
      <c r="AA364" s="2">
        <f>IFERROR(INDEX('7_3nf_product'!$C:$C,MATCH(Y364,'7_3nf_product'!$A:$A,0)),"NOT FOUND")</f>
        <v/>
      </c>
      <c r="AB364" s="2">
        <f>IFERROR(INDEX('7_3nf_product'!$D:$D,MATCH(Y364,'7_3nf_product'!$A:$A,0)),"NOT FOUND")</f>
        <v/>
      </c>
      <c r="AC364" s="6">
        <f>IFERROR(INDEX('7_3nf_product'!$E:$E,MATCH(Y364,'7_3nf_product'!$A:$A,0)),"NOT FOUND")</f>
        <v/>
      </c>
      <c r="AD364" s="33">
        <f>IF(LEN(TRIM(E364))=10,TRIM(E364),IF(LEN(TRIM(E364))=8,"00"&amp;TRIM(E364),"CHECK"))</f>
        <v/>
      </c>
      <c r="AE364" s="2">
        <f>IFERROR(INDEX('8_3nf_customer'!$C:$C,MATCH(AD364,'8_3nf_customer'!$B:$B,0)),"NOT FOUND")</f>
        <v/>
      </c>
      <c r="AF364" s="30">
        <f>IFERROR(INDEX('8_3nf_customer'!$D:$D,MATCH(AD364,'8_3nf_customer'!$B:$B,0)),"NOT FOUND")</f>
        <v/>
      </c>
      <c r="AG364" s="4">
        <f>IF(ISNUMBER(AF364),DATEDIF(AF364,L364,"y"),"NOT FOUND")</f>
        <v/>
      </c>
      <c r="AH364" s="2">
        <f>IFERROR(INDEX('8_3nf_customer'!$E:$E,MATCH(AD364,'8_3nf_customer'!$B:$B,0)),"NOT FOUND")</f>
        <v/>
      </c>
      <c r="AI364" s="30">
        <f>IF(_xlfn.MAXIFS('9_3nf_customer_history'!$B$2:$B$500,'9_3nf_customer_history'!$A$2:$A$500,AD364,'9_3nf_customer_history'!$B$2:$B$500,"&lt;="&amp;L364)=0,"NOT FOUND",_xlfn.MAXIFS('9_3nf_customer_history'!$B$2:$B$500,'9_3nf_customer_history'!$A$2:$A$500,AD364,'9_3nf_customer_history'!$B$2:$B$500,"&lt;="&amp;L364))</f>
        <v/>
      </c>
      <c r="AJ364" s="2">
        <f>IF(AI364="NOT FOUND","NOT FOUND",INDEX('9_3nf_customer_history'!$C:$C,SUMPRODUCT(('9_3nf_customer_history'!$A$2:$A$500=AD364)*('9_3nf_customer_history'!$B$2:$B$500=AI364)*ROW('9_3nf_customer_history'!$A$2:$A$500))))</f>
        <v/>
      </c>
      <c r="AK364" s="2">
        <f>IF(AI364="NOT FOUND","NOT FOUND",INDEX('9_3nf_customer_history'!$D:$D,SUMPRODUCT(('9_3nf_customer_history'!$A$2:$A$500=AD364)*('9_3nf_customer_history'!$B$2:$B$500=AI364)*ROW('9_3nf_customer_history'!$A$2:$A$500))))</f>
        <v/>
      </c>
      <c r="AL364" s="2">
        <f>UPPER(TRIM(H364))</f>
        <v/>
      </c>
      <c r="AM364" s="30">
        <f>IF(_xlfn.MAXIFS('10_ref_fx_rate'!$B$2:$B$2000,'10_ref_fx_rate'!$A$2:$A$2000,AL364,'10_ref_fx_rate'!$B$2:$B$2000,"&lt;="&amp;L364)=0,"NOT FOUND",_xlfn.MAXIFS('10_ref_fx_rate'!$B$2:$B$2000,'10_ref_fx_rate'!$A$2:$A$2000,AL364,'10_ref_fx_rate'!$B$2:$B$2000,"&lt;="&amp;L364))</f>
        <v/>
      </c>
      <c r="AN364" s="8">
        <f>IF(AM364="NOT FOUND","NOT FOUND",SUMIFS('10_ref_fx_rate'!$D$2:$D$2000,'10_ref_fx_rate'!$A$2:$A$2000,AL364,'10_ref_fx_rate'!$B$2:$B$2000,AM364))</f>
        <v/>
      </c>
      <c r="AO364" s="37">
        <f>IF(ISNUMBER(AN364),I364*AN364,"NOT FOUND")</f>
        <v/>
      </c>
      <c r="AP364" s="2">
        <f>UPPER(TRIM(J364))</f>
        <v/>
      </c>
      <c r="AQ364" s="2">
        <f>IF(AP364="","SELF-DIRECTED",IF(ISNUMBER(MATCH(AP364,'11_3nf_sales_person'!$A:$A,0)),IF(EXACT(AP364,J364),"OK","OK (auto-fixed)"),IF(ISNA(MATCH($A364,'12_sales_person_confirmation'!$A:$A,0)),"CONFIRM (not logged)",IF(INDEX('12_sales_person_confirmation'!$I:$I,MATCH($A364,'12_sales_person_confirmation'!$A:$A,0))="CONFIRMED","CONFIRMED ("&amp;LOWER(INDEX('12_sales_person_confirmation'!$E:$E,MATCH($A364,'12_sales_person_confirmation'!$A:$A,0)))&amp;")","PENDING CONFIRM"))))</f>
        <v/>
      </c>
      <c r="AR364" s="2">
        <f>IF(OR(AQ364="OK",AQ364="OK (auto-fixed)"),AP364,IF(LEFT(AQ364,9)="CONFIRMED",INDEX('12_sales_person_confirmation'!$F:$F,MATCH($A364,'12_sales_person_confirmation'!$A:$A,0)),""))</f>
        <v/>
      </c>
      <c r="AS364" s="2">
        <f>IF(AR364="","",INDEX('11_3nf_sales_person'!$B:$B,MATCH(AR364,'11_3nf_sales_person'!$A:$A,0)))</f>
        <v/>
      </c>
    </row>
    <row r="365">
      <c r="A365" s="2">
        <f>IF(ISBLANK('1_raw_log'!A365),"",'1_raw_log'!A365)</f>
        <v/>
      </c>
      <c r="B365" s="3">
        <f>IF(ISBLANK('1_raw_log'!B365),"",'1_raw_log'!B365)</f>
        <v/>
      </c>
      <c r="C365" s="2">
        <f>IF(ISBLANK('1_raw_log'!C365),"",'1_raw_log'!C365)</f>
        <v/>
      </c>
      <c r="D365" s="2">
        <f>IF(ISBLANK('1_raw_log'!D365),"",'1_raw_log'!D365)</f>
        <v/>
      </c>
      <c r="E365" s="4">
        <f>IF(ISBLANK('1_raw_log'!E365),"",'1_raw_log'!E365)</f>
        <v/>
      </c>
      <c r="F365" s="2">
        <f>IF(ISBLANK('1_raw_log'!F365),"",'1_raw_log'!F365)</f>
        <v/>
      </c>
      <c r="G365" s="2">
        <f>IF(ISBLANK('1_raw_log'!G365),"",'1_raw_log'!G365)</f>
        <v/>
      </c>
      <c r="H365" s="2">
        <f>IF(ISBLANK('1_raw_log'!H365),"",'1_raw_log'!H365)</f>
        <v/>
      </c>
      <c r="I365" s="7">
        <f>IF(ISBLANK('1_raw_log'!I365),"",'1_raw_log'!I365)</f>
        <v/>
      </c>
      <c r="J365" s="2">
        <f>IF(ISBLANK('1_raw_log'!J365),"",'1_raw_log'!J365)</f>
        <v/>
      </c>
      <c r="K365" s="2">
        <f>IF(ISBLANK('1_raw_log'!K365),"",'1_raw_log'!K365)</f>
        <v/>
      </c>
      <c r="L365" s="30">
        <f>INT(B365)</f>
        <v/>
      </c>
      <c r="M365" s="20">
        <f>ROUND(MOD(B365,1)*1440,0)/1440</f>
        <v/>
      </c>
      <c r="N365" s="4">
        <f>IFERROR(INDEX('3_ref_date'!$B:$B,MATCH(L365,'3_ref_date'!$A:$A,0)),"NOT FOUND")</f>
        <v/>
      </c>
      <c r="O365" s="2">
        <f>IFERROR(INDEX('3_ref_date'!$C:$C,MATCH(L365,'3_ref_date'!$A:$A,0)),"NOT FOUND")</f>
        <v/>
      </c>
      <c r="P365" s="4">
        <f>IFERROR(INDEX('3_ref_date'!$D:$D,MATCH(L365,'3_ref_date'!$A:$A,0)),"NOT FOUND")</f>
        <v/>
      </c>
      <c r="Q365" s="4">
        <f>IFERROR(INDEX('3_ref_date'!$E:$E,MATCH(L365,'3_ref_date'!$A:$A,0)),"NOT FOUND")</f>
        <v/>
      </c>
      <c r="R365" s="2">
        <f>IFERROR(INDEX('3_ref_date'!$F:$F,MATCH(L365,'3_ref_date'!$A:$A,0)),"NOT FOUND")</f>
        <v/>
      </c>
      <c r="S365" s="2">
        <f>IFERROR(INDEX('4_ref_time'!$D:$D,MATCH(ROUND(M365*1440,0),'4_ref_time'!$A:$A,0)),"NOT FOUND")</f>
        <v/>
      </c>
      <c r="T365" s="2">
        <f>UPPER(TRIM(C365))</f>
        <v/>
      </c>
      <c r="U365" s="30">
        <f>IF(_xlfn.MAXIFS('6_3nf_branch_history'!$B$2:$B$50,'6_3nf_branch_history'!$A$2:$A$50,T365,'6_3nf_branch_history'!$B$2:$B$50,"&lt;="&amp;L365)=0,"NOT FOUND",_xlfn.MAXIFS('6_3nf_branch_history'!$B$2:$B$50,'6_3nf_branch_history'!$A$2:$A$50,T365,'6_3nf_branch_history'!$B$2:$B$50,"&lt;="&amp;L365))</f>
        <v/>
      </c>
      <c r="V365" s="2">
        <f>IF(U365="NOT FOUND","NOT FOUND",INDEX('6_3nf_branch_history'!$C:$C,SUMPRODUCT(('6_3nf_branch_history'!$A$2:$A$50=T365)*('6_3nf_branch_history'!$B$2:$B$50=U365)*ROW('6_3nf_branch_history'!$A$2:$A$50))))</f>
        <v/>
      </c>
      <c r="W365" s="2">
        <f>IF(U365="NOT FOUND","NOT FOUND",INDEX('6_3nf_branch_history'!$D:$D,SUMPRODUCT(('6_3nf_branch_history'!$A$2:$A$50=T365)*('6_3nf_branch_history'!$B$2:$B$50=U365)*ROW('6_3nf_branch_history'!$A$2:$A$50))))</f>
        <v/>
      </c>
      <c r="X365" s="2">
        <f>IF(U365="NOT FOUND","NOT FOUND",INDEX('6_3nf_branch_history'!$E:$E,SUMPRODUCT(('6_3nf_branch_history'!$A$2:$A$50=T365)*('6_3nf_branch_history'!$B$2:$B$50=U365)*ROW('6_3nf_branch_history'!$A$2:$A$50))))</f>
        <v/>
      </c>
      <c r="Y365" s="2">
        <f>UPPER(TRIM(D365))</f>
        <v/>
      </c>
      <c r="Z365" s="2">
        <f>IFERROR(INDEX('7_3nf_product'!$B:$B,MATCH(Y365,'7_3nf_product'!$A:$A,0)),"NOT FOUND")</f>
        <v/>
      </c>
      <c r="AA365" s="2">
        <f>IFERROR(INDEX('7_3nf_product'!$C:$C,MATCH(Y365,'7_3nf_product'!$A:$A,0)),"NOT FOUND")</f>
        <v/>
      </c>
      <c r="AB365" s="2">
        <f>IFERROR(INDEX('7_3nf_product'!$D:$D,MATCH(Y365,'7_3nf_product'!$A:$A,0)),"NOT FOUND")</f>
        <v/>
      </c>
      <c r="AC365" s="6">
        <f>IFERROR(INDEX('7_3nf_product'!$E:$E,MATCH(Y365,'7_3nf_product'!$A:$A,0)),"NOT FOUND")</f>
        <v/>
      </c>
      <c r="AD365" s="33">
        <f>IF(LEN(TRIM(E365))=10,TRIM(E365),IF(LEN(TRIM(E365))=8,"00"&amp;TRIM(E365),"CHECK"))</f>
        <v/>
      </c>
      <c r="AE365" s="2">
        <f>IFERROR(INDEX('8_3nf_customer'!$C:$C,MATCH(AD365,'8_3nf_customer'!$B:$B,0)),"NOT FOUND")</f>
        <v/>
      </c>
      <c r="AF365" s="30">
        <f>IFERROR(INDEX('8_3nf_customer'!$D:$D,MATCH(AD365,'8_3nf_customer'!$B:$B,0)),"NOT FOUND")</f>
        <v/>
      </c>
      <c r="AG365" s="4">
        <f>IF(ISNUMBER(AF365),DATEDIF(AF365,L365,"y"),"NOT FOUND")</f>
        <v/>
      </c>
      <c r="AH365" s="2">
        <f>IFERROR(INDEX('8_3nf_customer'!$E:$E,MATCH(AD365,'8_3nf_customer'!$B:$B,0)),"NOT FOUND")</f>
        <v/>
      </c>
      <c r="AI365" s="30">
        <f>IF(_xlfn.MAXIFS('9_3nf_customer_history'!$B$2:$B$500,'9_3nf_customer_history'!$A$2:$A$500,AD365,'9_3nf_customer_history'!$B$2:$B$500,"&lt;="&amp;L365)=0,"NOT FOUND",_xlfn.MAXIFS('9_3nf_customer_history'!$B$2:$B$500,'9_3nf_customer_history'!$A$2:$A$500,AD365,'9_3nf_customer_history'!$B$2:$B$500,"&lt;="&amp;L365))</f>
        <v/>
      </c>
      <c r="AJ365" s="2">
        <f>IF(AI365="NOT FOUND","NOT FOUND",INDEX('9_3nf_customer_history'!$C:$C,SUMPRODUCT(('9_3nf_customer_history'!$A$2:$A$500=AD365)*('9_3nf_customer_history'!$B$2:$B$500=AI365)*ROW('9_3nf_customer_history'!$A$2:$A$500))))</f>
        <v/>
      </c>
      <c r="AK365" s="2">
        <f>IF(AI365="NOT FOUND","NOT FOUND",INDEX('9_3nf_customer_history'!$D:$D,SUMPRODUCT(('9_3nf_customer_history'!$A$2:$A$500=AD365)*('9_3nf_customer_history'!$B$2:$B$500=AI365)*ROW('9_3nf_customer_history'!$A$2:$A$500))))</f>
        <v/>
      </c>
      <c r="AL365" s="2">
        <f>UPPER(TRIM(H365))</f>
        <v/>
      </c>
      <c r="AM365" s="30">
        <f>IF(_xlfn.MAXIFS('10_ref_fx_rate'!$B$2:$B$2000,'10_ref_fx_rate'!$A$2:$A$2000,AL365,'10_ref_fx_rate'!$B$2:$B$2000,"&lt;="&amp;L365)=0,"NOT FOUND",_xlfn.MAXIFS('10_ref_fx_rate'!$B$2:$B$2000,'10_ref_fx_rate'!$A$2:$A$2000,AL365,'10_ref_fx_rate'!$B$2:$B$2000,"&lt;="&amp;L365))</f>
        <v/>
      </c>
      <c r="AN365" s="8">
        <f>IF(AM365="NOT FOUND","NOT FOUND",SUMIFS('10_ref_fx_rate'!$D$2:$D$2000,'10_ref_fx_rate'!$A$2:$A$2000,AL365,'10_ref_fx_rate'!$B$2:$B$2000,AM365))</f>
        <v/>
      </c>
      <c r="AO365" s="37">
        <f>IF(ISNUMBER(AN365),I365*AN365,"NOT FOUND")</f>
        <v/>
      </c>
      <c r="AP365" s="2">
        <f>UPPER(TRIM(J365))</f>
        <v/>
      </c>
      <c r="AQ365" s="2">
        <f>IF(AP365="","SELF-DIRECTED",IF(ISNUMBER(MATCH(AP365,'11_3nf_sales_person'!$A:$A,0)),IF(EXACT(AP365,J365),"OK","OK (auto-fixed)"),IF(ISNA(MATCH($A365,'12_sales_person_confirmation'!$A:$A,0)),"CONFIRM (not logged)",IF(INDEX('12_sales_person_confirmation'!$I:$I,MATCH($A365,'12_sales_person_confirmation'!$A:$A,0))="CONFIRMED","CONFIRMED ("&amp;LOWER(INDEX('12_sales_person_confirmation'!$E:$E,MATCH($A365,'12_sales_person_confirmation'!$A:$A,0)))&amp;")","PENDING CONFIRM"))))</f>
        <v/>
      </c>
      <c r="AR365" s="2">
        <f>IF(OR(AQ365="OK",AQ365="OK (auto-fixed)"),AP365,IF(LEFT(AQ365,9)="CONFIRMED",INDEX('12_sales_person_confirmation'!$F:$F,MATCH($A365,'12_sales_person_confirmation'!$A:$A,0)),""))</f>
        <v/>
      </c>
      <c r="AS365" s="2">
        <f>IF(AR365="","",INDEX('11_3nf_sales_person'!$B:$B,MATCH(AR365,'11_3nf_sales_person'!$A:$A,0)))</f>
        <v/>
      </c>
    </row>
    <row r="366">
      <c r="A366" s="2">
        <f>IF(ISBLANK('1_raw_log'!A366),"",'1_raw_log'!A366)</f>
        <v/>
      </c>
      <c r="B366" s="3">
        <f>IF(ISBLANK('1_raw_log'!B366),"",'1_raw_log'!B366)</f>
        <v/>
      </c>
      <c r="C366" s="2">
        <f>IF(ISBLANK('1_raw_log'!C366),"",'1_raw_log'!C366)</f>
        <v/>
      </c>
      <c r="D366" s="2">
        <f>IF(ISBLANK('1_raw_log'!D366),"",'1_raw_log'!D366)</f>
        <v/>
      </c>
      <c r="E366" s="4">
        <f>IF(ISBLANK('1_raw_log'!E366),"",'1_raw_log'!E366)</f>
        <v/>
      </c>
      <c r="F366" s="2">
        <f>IF(ISBLANK('1_raw_log'!F366),"",'1_raw_log'!F366)</f>
        <v/>
      </c>
      <c r="G366" s="2">
        <f>IF(ISBLANK('1_raw_log'!G366),"",'1_raw_log'!G366)</f>
        <v/>
      </c>
      <c r="H366" s="2">
        <f>IF(ISBLANK('1_raw_log'!H366),"",'1_raw_log'!H366)</f>
        <v/>
      </c>
      <c r="I366" s="7">
        <f>IF(ISBLANK('1_raw_log'!I366),"",'1_raw_log'!I366)</f>
        <v/>
      </c>
      <c r="J366" s="2">
        <f>IF(ISBLANK('1_raw_log'!J366),"",'1_raw_log'!J366)</f>
        <v/>
      </c>
      <c r="K366" s="2">
        <f>IF(ISBLANK('1_raw_log'!K366),"",'1_raw_log'!K366)</f>
        <v/>
      </c>
      <c r="L366" s="30">
        <f>INT(B366)</f>
        <v/>
      </c>
      <c r="M366" s="20">
        <f>ROUND(MOD(B366,1)*1440,0)/1440</f>
        <v/>
      </c>
      <c r="N366" s="4">
        <f>IFERROR(INDEX('3_ref_date'!$B:$B,MATCH(L366,'3_ref_date'!$A:$A,0)),"NOT FOUND")</f>
        <v/>
      </c>
      <c r="O366" s="2">
        <f>IFERROR(INDEX('3_ref_date'!$C:$C,MATCH(L366,'3_ref_date'!$A:$A,0)),"NOT FOUND")</f>
        <v/>
      </c>
      <c r="P366" s="4">
        <f>IFERROR(INDEX('3_ref_date'!$D:$D,MATCH(L366,'3_ref_date'!$A:$A,0)),"NOT FOUND")</f>
        <v/>
      </c>
      <c r="Q366" s="4">
        <f>IFERROR(INDEX('3_ref_date'!$E:$E,MATCH(L366,'3_ref_date'!$A:$A,0)),"NOT FOUND")</f>
        <v/>
      </c>
      <c r="R366" s="2">
        <f>IFERROR(INDEX('3_ref_date'!$F:$F,MATCH(L366,'3_ref_date'!$A:$A,0)),"NOT FOUND")</f>
        <v/>
      </c>
      <c r="S366" s="2">
        <f>IFERROR(INDEX('4_ref_time'!$D:$D,MATCH(ROUND(M366*1440,0),'4_ref_time'!$A:$A,0)),"NOT FOUND")</f>
        <v/>
      </c>
      <c r="T366" s="2">
        <f>UPPER(TRIM(C366))</f>
        <v/>
      </c>
      <c r="U366" s="30">
        <f>IF(_xlfn.MAXIFS('6_3nf_branch_history'!$B$2:$B$50,'6_3nf_branch_history'!$A$2:$A$50,T366,'6_3nf_branch_history'!$B$2:$B$50,"&lt;="&amp;L366)=0,"NOT FOUND",_xlfn.MAXIFS('6_3nf_branch_history'!$B$2:$B$50,'6_3nf_branch_history'!$A$2:$A$50,T366,'6_3nf_branch_history'!$B$2:$B$50,"&lt;="&amp;L366))</f>
        <v/>
      </c>
      <c r="V366" s="2">
        <f>IF(U366="NOT FOUND","NOT FOUND",INDEX('6_3nf_branch_history'!$C:$C,SUMPRODUCT(('6_3nf_branch_history'!$A$2:$A$50=T366)*('6_3nf_branch_history'!$B$2:$B$50=U366)*ROW('6_3nf_branch_history'!$A$2:$A$50))))</f>
        <v/>
      </c>
      <c r="W366" s="2">
        <f>IF(U366="NOT FOUND","NOT FOUND",INDEX('6_3nf_branch_history'!$D:$D,SUMPRODUCT(('6_3nf_branch_history'!$A$2:$A$50=T366)*('6_3nf_branch_history'!$B$2:$B$50=U366)*ROW('6_3nf_branch_history'!$A$2:$A$50))))</f>
        <v/>
      </c>
      <c r="X366" s="2">
        <f>IF(U366="NOT FOUND","NOT FOUND",INDEX('6_3nf_branch_history'!$E:$E,SUMPRODUCT(('6_3nf_branch_history'!$A$2:$A$50=T366)*('6_3nf_branch_history'!$B$2:$B$50=U366)*ROW('6_3nf_branch_history'!$A$2:$A$50))))</f>
        <v/>
      </c>
      <c r="Y366" s="2">
        <f>UPPER(TRIM(D366))</f>
        <v/>
      </c>
      <c r="Z366" s="2">
        <f>IFERROR(INDEX('7_3nf_product'!$B:$B,MATCH(Y366,'7_3nf_product'!$A:$A,0)),"NOT FOUND")</f>
        <v/>
      </c>
      <c r="AA366" s="2">
        <f>IFERROR(INDEX('7_3nf_product'!$C:$C,MATCH(Y366,'7_3nf_product'!$A:$A,0)),"NOT FOUND")</f>
        <v/>
      </c>
      <c r="AB366" s="2">
        <f>IFERROR(INDEX('7_3nf_product'!$D:$D,MATCH(Y366,'7_3nf_product'!$A:$A,0)),"NOT FOUND")</f>
        <v/>
      </c>
      <c r="AC366" s="6">
        <f>IFERROR(INDEX('7_3nf_product'!$E:$E,MATCH(Y366,'7_3nf_product'!$A:$A,0)),"NOT FOUND")</f>
        <v/>
      </c>
      <c r="AD366" s="33">
        <f>IF(LEN(TRIM(E366))=10,TRIM(E366),IF(LEN(TRIM(E366))=8,"00"&amp;TRIM(E366),"CHECK"))</f>
        <v/>
      </c>
      <c r="AE366" s="2">
        <f>IFERROR(INDEX('8_3nf_customer'!$C:$C,MATCH(AD366,'8_3nf_customer'!$B:$B,0)),"NOT FOUND")</f>
        <v/>
      </c>
      <c r="AF366" s="30">
        <f>IFERROR(INDEX('8_3nf_customer'!$D:$D,MATCH(AD366,'8_3nf_customer'!$B:$B,0)),"NOT FOUND")</f>
        <v/>
      </c>
      <c r="AG366" s="4">
        <f>IF(ISNUMBER(AF366),DATEDIF(AF366,L366,"y"),"NOT FOUND")</f>
        <v/>
      </c>
      <c r="AH366" s="2">
        <f>IFERROR(INDEX('8_3nf_customer'!$E:$E,MATCH(AD366,'8_3nf_customer'!$B:$B,0)),"NOT FOUND")</f>
        <v/>
      </c>
      <c r="AI366" s="30">
        <f>IF(_xlfn.MAXIFS('9_3nf_customer_history'!$B$2:$B$500,'9_3nf_customer_history'!$A$2:$A$500,AD366,'9_3nf_customer_history'!$B$2:$B$500,"&lt;="&amp;L366)=0,"NOT FOUND",_xlfn.MAXIFS('9_3nf_customer_history'!$B$2:$B$500,'9_3nf_customer_history'!$A$2:$A$500,AD366,'9_3nf_customer_history'!$B$2:$B$500,"&lt;="&amp;L366))</f>
        <v/>
      </c>
      <c r="AJ366" s="2">
        <f>IF(AI366="NOT FOUND","NOT FOUND",INDEX('9_3nf_customer_history'!$C:$C,SUMPRODUCT(('9_3nf_customer_history'!$A$2:$A$500=AD366)*('9_3nf_customer_history'!$B$2:$B$500=AI366)*ROW('9_3nf_customer_history'!$A$2:$A$500))))</f>
        <v/>
      </c>
      <c r="AK366" s="2">
        <f>IF(AI366="NOT FOUND","NOT FOUND",INDEX('9_3nf_customer_history'!$D:$D,SUMPRODUCT(('9_3nf_customer_history'!$A$2:$A$500=AD366)*('9_3nf_customer_history'!$B$2:$B$500=AI366)*ROW('9_3nf_customer_history'!$A$2:$A$500))))</f>
        <v/>
      </c>
      <c r="AL366" s="2">
        <f>UPPER(TRIM(H366))</f>
        <v/>
      </c>
      <c r="AM366" s="30">
        <f>IF(_xlfn.MAXIFS('10_ref_fx_rate'!$B$2:$B$2000,'10_ref_fx_rate'!$A$2:$A$2000,AL366,'10_ref_fx_rate'!$B$2:$B$2000,"&lt;="&amp;L366)=0,"NOT FOUND",_xlfn.MAXIFS('10_ref_fx_rate'!$B$2:$B$2000,'10_ref_fx_rate'!$A$2:$A$2000,AL366,'10_ref_fx_rate'!$B$2:$B$2000,"&lt;="&amp;L366))</f>
        <v/>
      </c>
      <c r="AN366" s="8">
        <f>IF(AM366="NOT FOUND","NOT FOUND",SUMIFS('10_ref_fx_rate'!$D$2:$D$2000,'10_ref_fx_rate'!$A$2:$A$2000,AL366,'10_ref_fx_rate'!$B$2:$B$2000,AM366))</f>
        <v/>
      </c>
      <c r="AO366" s="37">
        <f>IF(ISNUMBER(AN366),I366*AN366,"NOT FOUND")</f>
        <v/>
      </c>
      <c r="AP366" s="2">
        <f>UPPER(TRIM(J366))</f>
        <v/>
      </c>
      <c r="AQ366" s="2">
        <f>IF(AP366="","SELF-DIRECTED",IF(ISNUMBER(MATCH(AP366,'11_3nf_sales_person'!$A:$A,0)),IF(EXACT(AP366,J366),"OK","OK (auto-fixed)"),IF(ISNA(MATCH($A366,'12_sales_person_confirmation'!$A:$A,0)),"CONFIRM (not logged)",IF(INDEX('12_sales_person_confirmation'!$I:$I,MATCH($A366,'12_sales_person_confirmation'!$A:$A,0))="CONFIRMED","CONFIRMED ("&amp;LOWER(INDEX('12_sales_person_confirmation'!$E:$E,MATCH($A366,'12_sales_person_confirmation'!$A:$A,0)))&amp;")","PENDING CONFIRM"))))</f>
        <v/>
      </c>
      <c r="AR366" s="2">
        <f>IF(OR(AQ366="OK",AQ366="OK (auto-fixed)"),AP366,IF(LEFT(AQ366,9)="CONFIRMED",INDEX('12_sales_person_confirmation'!$F:$F,MATCH($A366,'12_sales_person_confirmation'!$A:$A,0)),""))</f>
        <v/>
      </c>
      <c r="AS366" s="2">
        <f>IF(AR366="","",INDEX('11_3nf_sales_person'!$B:$B,MATCH(AR366,'11_3nf_sales_person'!$A:$A,0)))</f>
        <v/>
      </c>
    </row>
    <row r="367">
      <c r="A367" s="2">
        <f>IF(ISBLANK('1_raw_log'!A367),"",'1_raw_log'!A367)</f>
        <v/>
      </c>
      <c r="B367" s="3">
        <f>IF(ISBLANK('1_raw_log'!B367),"",'1_raw_log'!B367)</f>
        <v/>
      </c>
      <c r="C367" s="2">
        <f>IF(ISBLANK('1_raw_log'!C367),"",'1_raw_log'!C367)</f>
        <v/>
      </c>
      <c r="D367" s="2">
        <f>IF(ISBLANK('1_raw_log'!D367),"",'1_raw_log'!D367)</f>
        <v/>
      </c>
      <c r="E367" s="4">
        <f>IF(ISBLANK('1_raw_log'!E367),"",'1_raw_log'!E367)</f>
        <v/>
      </c>
      <c r="F367" s="2">
        <f>IF(ISBLANK('1_raw_log'!F367),"",'1_raw_log'!F367)</f>
        <v/>
      </c>
      <c r="G367" s="2">
        <f>IF(ISBLANK('1_raw_log'!G367),"",'1_raw_log'!G367)</f>
        <v/>
      </c>
      <c r="H367" s="2">
        <f>IF(ISBLANK('1_raw_log'!H367),"",'1_raw_log'!H367)</f>
        <v/>
      </c>
      <c r="I367" s="7">
        <f>IF(ISBLANK('1_raw_log'!I367),"",'1_raw_log'!I367)</f>
        <v/>
      </c>
      <c r="J367" s="2">
        <f>IF(ISBLANK('1_raw_log'!J367),"",'1_raw_log'!J367)</f>
        <v/>
      </c>
      <c r="K367" s="2">
        <f>IF(ISBLANK('1_raw_log'!K367),"",'1_raw_log'!K367)</f>
        <v/>
      </c>
      <c r="L367" s="30">
        <f>INT(B367)</f>
        <v/>
      </c>
      <c r="M367" s="20">
        <f>ROUND(MOD(B367,1)*1440,0)/1440</f>
        <v/>
      </c>
      <c r="N367" s="4">
        <f>IFERROR(INDEX('3_ref_date'!$B:$B,MATCH(L367,'3_ref_date'!$A:$A,0)),"NOT FOUND")</f>
        <v/>
      </c>
      <c r="O367" s="2">
        <f>IFERROR(INDEX('3_ref_date'!$C:$C,MATCH(L367,'3_ref_date'!$A:$A,0)),"NOT FOUND")</f>
        <v/>
      </c>
      <c r="P367" s="4">
        <f>IFERROR(INDEX('3_ref_date'!$D:$D,MATCH(L367,'3_ref_date'!$A:$A,0)),"NOT FOUND")</f>
        <v/>
      </c>
      <c r="Q367" s="4">
        <f>IFERROR(INDEX('3_ref_date'!$E:$E,MATCH(L367,'3_ref_date'!$A:$A,0)),"NOT FOUND")</f>
        <v/>
      </c>
      <c r="R367" s="2">
        <f>IFERROR(INDEX('3_ref_date'!$F:$F,MATCH(L367,'3_ref_date'!$A:$A,0)),"NOT FOUND")</f>
        <v/>
      </c>
      <c r="S367" s="2">
        <f>IFERROR(INDEX('4_ref_time'!$D:$D,MATCH(ROUND(M367*1440,0),'4_ref_time'!$A:$A,0)),"NOT FOUND")</f>
        <v/>
      </c>
      <c r="T367" s="2">
        <f>UPPER(TRIM(C367))</f>
        <v/>
      </c>
      <c r="U367" s="30">
        <f>IF(_xlfn.MAXIFS('6_3nf_branch_history'!$B$2:$B$50,'6_3nf_branch_history'!$A$2:$A$50,T367,'6_3nf_branch_history'!$B$2:$B$50,"&lt;="&amp;L367)=0,"NOT FOUND",_xlfn.MAXIFS('6_3nf_branch_history'!$B$2:$B$50,'6_3nf_branch_history'!$A$2:$A$50,T367,'6_3nf_branch_history'!$B$2:$B$50,"&lt;="&amp;L367))</f>
        <v/>
      </c>
      <c r="V367" s="2">
        <f>IF(U367="NOT FOUND","NOT FOUND",INDEX('6_3nf_branch_history'!$C:$C,SUMPRODUCT(('6_3nf_branch_history'!$A$2:$A$50=T367)*('6_3nf_branch_history'!$B$2:$B$50=U367)*ROW('6_3nf_branch_history'!$A$2:$A$50))))</f>
        <v/>
      </c>
      <c r="W367" s="2">
        <f>IF(U367="NOT FOUND","NOT FOUND",INDEX('6_3nf_branch_history'!$D:$D,SUMPRODUCT(('6_3nf_branch_history'!$A$2:$A$50=T367)*('6_3nf_branch_history'!$B$2:$B$50=U367)*ROW('6_3nf_branch_history'!$A$2:$A$50))))</f>
        <v/>
      </c>
      <c r="X367" s="2">
        <f>IF(U367="NOT FOUND","NOT FOUND",INDEX('6_3nf_branch_history'!$E:$E,SUMPRODUCT(('6_3nf_branch_history'!$A$2:$A$50=T367)*('6_3nf_branch_history'!$B$2:$B$50=U367)*ROW('6_3nf_branch_history'!$A$2:$A$50))))</f>
        <v/>
      </c>
      <c r="Y367" s="2">
        <f>UPPER(TRIM(D367))</f>
        <v/>
      </c>
      <c r="Z367" s="2">
        <f>IFERROR(INDEX('7_3nf_product'!$B:$B,MATCH(Y367,'7_3nf_product'!$A:$A,0)),"NOT FOUND")</f>
        <v/>
      </c>
      <c r="AA367" s="2">
        <f>IFERROR(INDEX('7_3nf_product'!$C:$C,MATCH(Y367,'7_3nf_product'!$A:$A,0)),"NOT FOUND")</f>
        <v/>
      </c>
      <c r="AB367" s="2">
        <f>IFERROR(INDEX('7_3nf_product'!$D:$D,MATCH(Y367,'7_3nf_product'!$A:$A,0)),"NOT FOUND")</f>
        <v/>
      </c>
      <c r="AC367" s="6">
        <f>IFERROR(INDEX('7_3nf_product'!$E:$E,MATCH(Y367,'7_3nf_product'!$A:$A,0)),"NOT FOUND")</f>
        <v/>
      </c>
      <c r="AD367" s="33">
        <f>IF(LEN(TRIM(E367))=10,TRIM(E367),IF(LEN(TRIM(E367))=8,"00"&amp;TRIM(E367),"CHECK"))</f>
        <v/>
      </c>
      <c r="AE367" s="2">
        <f>IFERROR(INDEX('8_3nf_customer'!$C:$C,MATCH(AD367,'8_3nf_customer'!$B:$B,0)),"NOT FOUND")</f>
        <v/>
      </c>
      <c r="AF367" s="30">
        <f>IFERROR(INDEX('8_3nf_customer'!$D:$D,MATCH(AD367,'8_3nf_customer'!$B:$B,0)),"NOT FOUND")</f>
        <v/>
      </c>
      <c r="AG367" s="4">
        <f>IF(ISNUMBER(AF367),DATEDIF(AF367,L367,"y"),"NOT FOUND")</f>
        <v/>
      </c>
      <c r="AH367" s="2">
        <f>IFERROR(INDEX('8_3nf_customer'!$E:$E,MATCH(AD367,'8_3nf_customer'!$B:$B,0)),"NOT FOUND")</f>
        <v/>
      </c>
      <c r="AI367" s="30">
        <f>IF(_xlfn.MAXIFS('9_3nf_customer_history'!$B$2:$B$500,'9_3nf_customer_history'!$A$2:$A$500,AD367,'9_3nf_customer_history'!$B$2:$B$500,"&lt;="&amp;L367)=0,"NOT FOUND",_xlfn.MAXIFS('9_3nf_customer_history'!$B$2:$B$500,'9_3nf_customer_history'!$A$2:$A$500,AD367,'9_3nf_customer_history'!$B$2:$B$500,"&lt;="&amp;L367))</f>
        <v/>
      </c>
      <c r="AJ367" s="2">
        <f>IF(AI367="NOT FOUND","NOT FOUND",INDEX('9_3nf_customer_history'!$C:$C,SUMPRODUCT(('9_3nf_customer_history'!$A$2:$A$500=AD367)*('9_3nf_customer_history'!$B$2:$B$500=AI367)*ROW('9_3nf_customer_history'!$A$2:$A$500))))</f>
        <v/>
      </c>
      <c r="AK367" s="2">
        <f>IF(AI367="NOT FOUND","NOT FOUND",INDEX('9_3nf_customer_history'!$D:$D,SUMPRODUCT(('9_3nf_customer_history'!$A$2:$A$500=AD367)*('9_3nf_customer_history'!$B$2:$B$500=AI367)*ROW('9_3nf_customer_history'!$A$2:$A$500))))</f>
        <v/>
      </c>
      <c r="AL367" s="2">
        <f>UPPER(TRIM(H367))</f>
        <v/>
      </c>
      <c r="AM367" s="30">
        <f>IF(_xlfn.MAXIFS('10_ref_fx_rate'!$B$2:$B$2000,'10_ref_fx_rate'!$A$2:$A$2000,AL367,'10_ref_fx_rate'!$B$2:$B$2000,"&lt;="&amp;L367)=0,"NOT FOUND",_xlfn.MAXIFS('10_ref_fx_rate'!$B$2:$B$2000,'10_ref_fx_rate'!$A$2:$A$2000,AL367,'10_ref_fx_rate'!$B$2:$B$2000,"&lt;="&amp;L367))</f>
        <v/>
      </c>
      <c r="AN367" s="8">
        <f>IF(AM367="NOT FOUND","NOT FOUND",SUMIFS('10_ref_fx_rate'!$D$2:$D$2000,'10_ref_fx_rate'!$A$2:$A$2000,AL367,'10_ref_fx_rate'!$B$2:$B$2000,AM367))</f>
        <v/>
      </c>
      <c r="AO367" s="37">
        <f>IF(ISNUMBER(AN367),I367*AN367,"NOT FOUND")</f>
        <v/>
      </c>
      <c r="AP367" s="2">
        <f>UPPER(TRIM(J367))</f>
        <v/>
      </c>
      <c r="AQ367" s="2">
        <f>IF(AP367="","SELF-DIRECTED",IF(ISNUMBER(MATCH(AP367,'11_3nf_sales_person'!$A:$A,0)),IF(EXACT(AP367,J367),"OK","OK (auto-fixed)"),IF(ISNA(MATCH($A367,'12_sales_person_confirmation'!$A:$A,0)),"CONFIRM (not logged)",IF(INDEX('12_sales_person_confirmation'!$I:$I,MATCH($A367,'12_sales_person_confirmation'!$A:$A,0))="CONFIRMED","CONFIRMED ("&amp;LOWER(INDEX('12_sales_person_confirmation'!$E:$E,MATCH($A367,'12_sales_person_confirmation'!$A:$A,0)))&amp;")","PENDING CONFIRM"))))</f>
        <v/>
      </c>
      <c r="AR367" s="2">
        <f>IF(OR(AQ367="OK",AQ367="OK (auto-fixed)"),AP367,IF(LEFT(AQ367,9)="CONFIRMED",INDEX('12_sales_person_confirmation'!$F:$F,MATCH($A367,'12_sales_person_confirmation'!$A:$A,0)),""))</f>
        <v/>
      </c>
      <c r="AS367" s="2">
        <f>IF(AR367="","",INDEX('11_3nf_sales_person'!$B:$B,MATCH(AR367,'11_3nf_sales_person'!$A:$A,0)))</f>
        <v/>
      </c>
    </row>
    <row r="368">
      <c r="A368" s="2">
        <f>IF(ISBLANK('1_raw_log'!A368),"",'1_raw_log'!A368)</f>
        <v/>
      </c>
      <c r="B368" s="3">
        <f>IF(ISBLANK('1_raw_log'!B368),"",'1_raw_log'!B368)</f>
        <v/>
      </c>
      <c r="C368" s="2">
        <f>IF(ISBLANK('1_raw_log'!C368),"",'1_raw_log'!C368)</f>
        <v/>
      </c>
      <c r="D368" s="2">
        <f>IF(ISBLANK('1_raw_log'!D368),"",'1_raw_log'!D368)</f>
        <v/>
      </c>
      <c r="E368" s="4">
        <f>IF(ISBLANK('1_raw_log'!E368),"",'1_raw_log'!E368)</f>
        <v/>
      </c>
      <c r="F368" s="2">
        <f>IF(ISBLANK('1_raw_log'!F368),"",'1_raw_log'!F368)</f>
        <v/>
      </c>
      <c r="G368" s="2">
        <f>IF(ISBLANK('1_raw_log'!G368),"",'1_raw_log'!G368)</f>
        <v/>
      </c>
      <c r="H368" s="2">
        <f>IF(ISBLANK('1_raw_log'!H368),"",'1_raw_log'!H368)</f>
        <v/>
      </c>
      <c r="I368" s="7">
        <f>IF(ISBLANK('1_raw_log'!I368),"",'1_raw_log'!I368)</f>
        <v/>
      </c>
      <c r="J368" s="2">
        <f>IF(ISBLANK('1_raw_log'!J368),"",'1_raw_log'!J368)</f>
        <v/>
      </c>
      <c r="K368" s="2">
        <f>IF(ISBLANK('1_raw_log'!K368),"",'1_raw_log'!K368)</f>
        <v/>
      </c>
      <c r="L368" s="30">
        <f>INT(B368)</f>
        <v/>
      </c>
      <c r="M368" s="20">
        <f>ROUND(MOD(B368,1)*1440,0)/1440</f>
        <v/>
      </c>
      <c r="N368" s="4">
        <f>IFERROR(INDEX('3_ref_date'!$B:$B,MATCH(L368,'3_ref_date'!$A:$A,0)),"NOT FOUND")</f>
        <v/>
      </c>
      <c r="O368" s="2">
        <f>IFERROR(INDEX('3_ref_date'!$C:$C,MATCH(L368,'3_ref_date'!$A:$A,0)),"NOT FOUND")</f>
        <v/>
      </c>
      <c r="P368" s="4">
        <f>IFERROR(INDEX('3_ref_date'!$D:$D,MATCH(L368,'3_ref_date'!$A:$A,0)),"NOT FOUND")</f>
        <v/>
      </c>
      <c r="Q368" s="4">
        <f>IFERROR(INDEX('3_ref_date'!$E:$E,MATCH(L368,'3_ref_date'!$A:$A,0)),"NOT FOUND")</f>
        <v/>
      </c>
      <c r="R368" s="2">
        <f>IFERROR(INDEX('3_ref_date'!$F:$F,MATCH(L368,'3_ref_date'!$A:$A,0)),"NOT FOUND")</f>
        <v/>
      </c>
      <c r="S368" s="2">
        <f>IFERROR(INDEX('4_ref_time'!$D:$D,MATCH(ROUND(M368*1440,0),'4_ref_time'!$A:$A,0)),"NOT FOUND")</f>
        <v/>
      </c>
      <c r="T368" s="2">
        <f>UPPER(TRIM(C368))</f>
        <v/>
      </c>
      <c r="U368" s="30">
        <f>IF(_xlfn.MAXIFS('6_3nf_branch_history'!$B$2:$B$50,'6_3nf_branch_history'!$A$2:$A$50,T368,'6_3nf_branch_history'!$B$2:$B$50,"&lt;="&amp;L368)=0,"NOT FOUND",_xlfn.MAXIFS('6_3nf_branch_history'!$B$2:$B$50,'6_3nf_branch_history'!$A$2:$A$50,T368,'6_3nf_branch_history'!$B$2:$B$50,"&lt;="&amp;L368))</f>
        <v/>
      </c>
      <c r="V368" s="2">
        <f>IF(U368="NOT FOUND","NOT FOUND",INDEX('6_3nf_branch_history'!$C:$C,SUMPRODUCT(('6_3nf_branch_history'!$A$2:$A$50=T368)*('6_3nf_branch_history'!$B$2:$B$50=U368)*ROW('6_3nf_branch_history'!$A$2:$A$50))))</f>
        <v/>
      </c>
      <c r="W368" s="2">
        <f>IF(U368="NOT FOUND","NOT FOUND",INDEX('6_3nf_branch_history'!$D:$D,SUMPRODUCT(('6_3nf_branch_history'!$A$2:$A$50=T368)*('6_3nf_branch_history'!$B$2:$B$50=U368)*ROW('6_3nf_branch_history'!$A$2:$A$50))))</f>
        <v/>
      </c>
      <c r="X368" s="2">
        <f>IF(U368="NOT FOUND","NOT FOUND",INDEX('6_3nf_branch_history'!$E:$E,SUMPRODUCT(('6_3nf_branch_history'!$A$2:$A$50=T368)*('6_3nf_branch_history'!$B$2:$B$50=U368)*ROW('6_3nf_branch_history'!$A$2:$A$50))))</f>
        <v/>
      </c>
      <c r="Y368" s="2">
        <f>UPPER(TRIM(D368))</f>
        <v/>
      </c>
      <c r="Z368" s="2">
        <f>IFERROR(INDEX('7_3nf_product'!$B:$B,MATCH(Y368,'7_3nf_product'!$A:$A,0)),"NOT FOUND")</f>
        <v/>
      </c>
      <c r="AA368" s="2">
        <f>IFERROR(INDEX('7_3nf_product'!$C:$C,MATCH(Y368,'7_3nf_product'!$A:$A,0)),"NOT FOUND")</f>
        <v/>
      </c>
      <c r="AB368" s="2">
        <f>IFERROR(INDEX('7_3nf_product'!$D:$D,MATCH(Y368,'7_3nf_product'!$A:$A,0)),"NOT FOUND")</f>
        <v/>
      </c>
      <c r="AC368" s="6">
        <f>IFERROR(INDEX('7_3nf_product'!$E:$E,MATCH(Y368,'7_3nf_product'!$A:$A,0)),"NOT FOUND")</f>
        <v/>
      </c>
      <c r="AD368" s="33">
        <f>IF(LEN(TRIM(E368))=10,TRIM(E368),IF(LEN(TRIM(E368))=8,"00"&amp;TRIM(E368),"CHECK"))</f>
        <v/>
      </c>
      <c r="AE368" s="2">
        <f>IFERROR(INDEX('8_3nf_customer'!$C:$C,MATCH(AD368,'8_3nf_customer'!$B:$B,0)),"NOT FOUND")</f>
        <v/>
      </c>
      <c r="AF368" s="30">
        <f>IFERROR(INDEX('8_3nf_customer'!$D:$D,MATCH(AD368,'8_3nf_customer'!$B:$B,0)),"NOT FOUND")</f>
        <v/>
      </c>
      <c r="AG368" s="4">
        <f>IF(ISNUMBER(AF368),DATEDIF(AF368,L368,"y"),"NOT FOUND")</f>
        <v/>
      </c>
      <c r="AH368" s="2">
        <f>IFERROR(INDEX('8_3nf_customer'!$E:$E,MATCH(AD368,'8_3nf_customer'!$B:$B,0)),"NOT FOUND")</f>
        <v/>
      </c>
      <c r="AI368" s="30">
        <f>IF(_xlfn.MAXIFS('9_3nf_customer_history'!$B$2:$B$500,'9_3nf_customer_history'!$A$2:$A$500,AD368,'9_3nf_customer_history'!$B$2:$B$500,"&lt;="&amp;L368)=0,"NOT FOUND",_xlfn.MAXIFS('9_3nf_customer_history'!$B$2:$B$500,'9_3nf_customer_history'!$A$2:$A$500,AD368,'9_3nf_customer_history'!$B$2:$B$500,"&lt;="&amp;L368))</f>
        <v/>
      </c>
      <c r="AJ368" s="2">
        <f>IF(AI368="NOT FOUND","NOT FOUND",INDEX('9_3nf_customer_history'!$C:$C,SUMPRODUCT(('9_3nf_customer_history'!$A$2:$A$500=AD368)*('9_3nf_customer_history'!$B$2:$B$500=AI368)*ROW('9_3nf_customer_history'!$A$2:$A$500))))</f>
        <v/>
      </c>
      <c r="AK368" s="2">
        <f>IF(AI368="NOT FOUND","NOT FOUND",INDEX('9_3nf_customer_history'!$D:$D,SUMPRODUCT(('9_3nf_customer_history'!$A$2:$A$500=AD368)*('9_3nf_customer_history'!$B$2:$B$500=AI368)*ROW('9_3nf_customer_history'!$A$2:$A$500))))</f>
        <v/>
      </c>
      <c r="AL368" s="2">
        <f>UPPER(TRIM(H368))</f>
        <v/>
      </c>
      <c r="AM368" s="30">
        <f>IF(_xlfn.MAXIFS('10_ref_fx_rate'!$B$2:$B$2000,'10_ref_fx_rate'!$A$2:$A$2000,AL368,'10_ref_fx_rate'!$B$2:$B$2000,"&lt;="&amp;L368)=0,"NOT FOUND",_xlfn.MAXIFS('10_ref_fx_rate'!$B$2:$B$2000,'10_ref_fx_rate'!$A$2:$A$2000,AL368,'10_ref_fx_rate'!$B$2:$B$2000,"&lt;="&amp;L368))</f>
        <v/>
      </c>
      <c r="AN368" s="8">
        <f>IF(AM368="NOT FOUND","NOT FOUND",SUMIFS('10_ref_fx_rate'!$D$2:$D$2000,'10_ref_fx_rate'!$A$2:$A$2000,AL368,'10_ref_fx_rate'!$B$2:$B$2000,AM368))</f>
        <v/>
      </c>
      <c r="AO368" s="37">
        <f>IF(ISNUMBER(AN368),I368*AN368,"NOT FOUND")</f>
        <v/>
      </c>
      <c r="AP368" s="2">
        <f>UPPER(TRIM(J368))</f>
        <v/>
      </c>
      <c r="AQ368" s="2">
        <f>IF(AP368="","SELF-DIRECTED",IF(ISNUMBER(MATCH(AP368,'11_3nf_sales_person'!$A:$A,0)),IF(EXACT(AP368,J368),"OK","OK (auto-fixed)"),IF(ISNA(MATCH($A368,'12_sales_person_confirmation'!$A:$A,0)),"CONFIRM (not logged)",IF(INDEX('12_sales_person_confirmation'!$I:$I,MATCH($A368,'12_sales_person_confirmation'!$A:$A,0))="CONFIRMED","CONFIRMED ("&amp;LOWER(INDEX('12_sales_person_confirmation'!$E:$E,MATCH($A368,'12_sales_person_confirmation'!$A:$A,0)))&amp;")","PENDING CONFIRM"))))</f>
        <v/>
      </c>
      <c r="AR368" s="2">
        <f>IF(OR(AQ368="OK",AQ368="OK (auto-fixed)"),AP368,IF(LEFT(AQ368,9)="CONFIRMED",INDEX('12_sales_person_confirmation'!$F:$F,MATCH($A368,'12_sales_person_confirmation'!$A:$A,0)),""))</f>
        <v/>
      </c>
      <c r="AS368" s="2">
        <f>IF(AR368="","",INDEX('11_3nf_sales_person'!$B:$B,MATCH(AR368,'11_3nf_sales_person'!$A:$A,0)))</f>
        <v/>
      </c>
    </row>
    <row r="369">
      <c r="A369" s="2">
        <f>IF(ISBLANK('1_raw_log'!A369),"",'1_raw_log'!A369)</f>
        <v/>
      </c>
      <c r="B369" s="3">
        <f>IF(ISBLANK('1_raw_log'!B369),"",'1_raw_log'!B369)</f>
        <v/>
      </c>
      <c r="C369" s="2">
        <f>IF(ISBLANK('1_raw_log'!C369),"",'1_raw_log'!C369)</f>
        <v/>
      </c>
      <c r="D369" s="2">
        <f>IF(ISBLANK('1_raw_log'!D369),"",'1_raw_log'!D369)</f>
        <v/>
      </c>
      <c r="E369" s="4">
        <f>IF(ISBLANK('1_raw_log'!E369),"",'1_raw_log'!E369)</f>
        <v/>
      </c>
      <c r="F369" s="2">
        <f>IF(ISBLANK('1_raw_log'!F369),"",'1_raw_log'!F369)</f>
        <v/>
      </c>
      <c r="G369" s="2">
        <f>IF(ISBLANK('1_raw_log'!G369),"",'1_raw_log'!G369)</f>
        <v/>
      </c>
      <c r="H369" s="2">
        <f>IF(ISBLANK('1_raw_log'!H369),"",'1_raw_log'!H369)</f>
        <v/>
      </c>
      <c r="I369" s="7">
        <f>IF(ISBLANK('1_raw_log'!I369),"",'1_raw_log'!I369)</f>
        <v/>
      </c>
      <c r="J369" s="2">
        <f>IF(ISBLANK('1_raw_log'!J369),"",'1_raw_log'!J369)</f>
        <v/>
      </c>
      <c r="K369" s="2">
        <f>IF(ISBLANK('1_raw_log'!K369),"",'1_raw_log'!K369)</f>
        <v/>
      </c>
      <c r="L369" s="30">
        <f>INT(B369)</f>
        <v/>
      </c>
      <c r="M369" s="20">
        <f>ROUND(MOD(B369,1)*1440,0)/1440</f>
        <v/>
      </c>
      <c r="N369" s="4">
        <f>IFERROR(INDEX('3_ref_date'!$B:$B,MATCH(L369,'3_ref_date'!$A:$A,0)),"NOT FOUND")</f>
        <v/>
      </c>
      <c r="O369" s="2">
        <f>IFERROR(INDEX('3_ref_date'!$C:$C,MATCH(L369,'3_ref_date'!$A:$A,0)),"NOT FOUND")</f>
        <v/>
      </c>
      <c r="P369" s="4">
        <f>IFERROR(INDEX('3_ref_date'!$D:$D,MATCH(L369,'3_ref_date'!$A:$A,0)),"NOT FOUND")</f>
        <v/>
      </c>
      <c r="Q369" s="4">
        <f>IFERROR(INDEX('3_ref_date'!$E:$E,MATCH(L369,'3_ref_date'!$A:$A,0)),"NOT FOUND")</f>
        <v/>
      </c>
      <c r="R369" s="2">
        <f>IFERROR(INDEX('3_ref_date'!$F:$F,MATCH(L369,'3_ref_date'!$A:$A,0)),"NOT FOUND")</f>
        <v/>
      </c>
      <c r="S369" s="2">
        <f>IFERROR(INDEX('4_ref_time'!$D:$D,MATCH(ROUND(M369*1440,0),'4_ref_time'!$A:$A,0)),"NOT FOUND")</f>
        <v/>
      </c>
      <c r="T369" s="2">
        <f>UPPER(TRIM(C369))</f>
        <v/>
      </c>
      <c r="U369" s="30">
        <f>IF(_xlfn.MAXIFS('6_3nf_branch_history'!$B$2:$B$50,'6_3nf_branch_history'!$A$2:$A$50,T369,'6_3nf_branch_history'!$B$2:$B$50,"&lt;="&amp;L369)=0,"NOT FOUND",_xlfn.MAXIFS('6_3nf_branch_history'!$B$2:$B$50,'6_3nf_branch_history'!$A$2:$A$50,T369,'6_3nf_branch_history'!$B$2:$B$50,"&lt;="&amp;L369))</f>
        <v/>
      </c>
      <c r="V369" s="2">
        <f>IF(U369="NOT FOUND","NOT FOUND",INDEX('6_3nf_branch_history'!$C:$C,SUMPRODUCT(('6_3nf_branch_history'!$A$2:$A$50=T369)*('6_3nf_branch_history'!$B$2:$B$50=U369)*ROW('6_3nf_branch_history'!$A$2:$A$50))))</f>
        <v/>
      </c>
      <c r="W369" s="2">
        <f>IF(U369="NOT FOUND","NOT FOUND",INDEX('6_3nf_branch_history'!$D:$D,SUMPRODUCT(('6_3nf_branch_history'!$A$2:$A$50=T369)*('6_3nf_branch_history'!$B$2:$B$50=U369)*ROW('6_3nf_branch_history'!$A$2:$A$50))))</f>
        <v/>
      </c>
      <c r="X369" s="2">
        <f>IF(U369="NOT FOUND","NOT FOUND",INDEX('6_3nf_branch_history'!$E:$E,SUMPRODUCT(('6_3nf_branch_history'!$A$2:$A$50=T369)*('6_3nf_branch_history'!$B$2:$B$50=U369)*ROW('6_3nf_branch_history'!$A$2:$A$50))))</f>
        <v/>
      </c>
      <c r="Y369" s="2">
        <f>UPPER(TRIM(D369))</f>
        <v/>
      </c>
      <c r="Z369" s="2">
        <f>IFERROR(INDEX('7_3nf_product'!$B:$B,MATCH(Y369,'7_3nf_product'!$A:$A,0)),"NOT FOUND")</f>
        <v/>
      </c>
      <c r="AA369" s="2">
        <f>IFERROR(INDEX('7_3nf_product'!$C:$C,MATCH(Y369,'7_3nf_product'!$A:$A,0)),"NOT FOUND")</f>
        <v/>
      </c>
      <c r="AB369" s="2">
        <f>IFERROR(INDEX('7_3nf_product'!$D:$D,MATCH(Y369,'7_3nf_product'!$A:$A,0)),"NOT FOUND")</f>
        <v/>
      </c>
      <c r="AC369" s="6">
        <f>IFERROR(INDEX('7_3nf_product'!$E:$E,MATCH(Y369,'7_3nf_product'!$A:$A,0)),"NOT FOUND")</f>
        <v/>
      </c>
      <c r="AD369" s="33">
        <f>IF(LEN(TRIM(E369))=10,TRIM(E369),IF(LEN(TRIM(E369))=8,"00"&amp;TRIM(E369),"CHECK"))</f>
        <v/>
      </c>
      <c r="AE369" s="2">
        <f>IFERROR(INDEX('8_3nf_customer'!$C:$C,MATCH(AD369,'8_3nf_customer'!$B:$B,0)),"NOT FOUND")</f>
        <v/>
      </c>
      <c r="AF369" s="30">
        <f>IFERROR(INDEX('8_3nf_customer'!$D:$D,MATCH(AD369,'8_3nf_customer'!$B:$B,0)),"NOT FOUND")</f>
        <v/>
      </c>
      <c r="AG369" s="4">
        <f>IF(ISNUMBER(AF369),DATEDIF(AF369,L369,"y"),"NOT FOUND")</f>
        <v/>
      </c>
      <c r="AH369" s="2">
        <f>IFERROR(INDEX('8_3nf_customer'!$E:$E,MATCH(AD369,'8_3nf_customer'!$B:$B,0)),"NOT FOUND")</f>
        <v/>
      </c>
      <c r="AI369" s="30">
        <f>IF(_xlfn.MAXIFS('9_3nf_customer_history'!$B$2:$B$500,'9_3nf_customer_history'!$A$2:$A$500,AD369,'9_3nf_customer_history'!$B$2:$B$500,"&lt;="&amp;L369)=0,"NOT FOUND",_xlfn.MAXIFS('9_3nf_customer_history'!$B$2:$B$500,'9_3nf_customer_history'!$A$2:$A$500,AD369,'9_3nf_customer_history'!$B$2:$B$500,"&lt;="&amp;L369))</f>
        <v/>
      </c>
      <c r="AJ369" s="2">
        <f>IF(AI369="NOT FOUND","NOT FOUND",INDEX('9_3nf_customer_history'!$C:$C,SUMPRODUCT(('9_3nf_customer_history'!$A$2:$A$500=AD369)*('9_3nf_customer_history'!$B$2:$B$500=AI369)*ROW('9_3nf_customer_history'!$A$2:$A$500))))</f>
        <v/>
      </c>
      <c r="AK369" s="2">
        <f>IF(AI369="NOT FOUND","NOT FOUND",INDEX('9_3nf_customer_history'!$D:$D,SUMPRODUCT(('9_3nf_customer_history'!$A$2:$A$500=AD369)*('9_3nf_customer_history'!$B$2:$B$500=AI369)*ROW('9_3nf_customer_history'!$A$2:$A$500))))</f>
        <v/>
      </c>
      <c r="AL369" s="2">
        <f>UPPER(TRIM(H369))</f>
        <v/>
      </c>
      <c r="AM369" s="30">
        <f>IF(_xlfn.MAXIFS('10_ref_fx_rate'!$B$2:$B$2000,'10_ref_fx_rate'!$A$2:$A$2000,AL369,'10_ref_fx_rate'!$B$2:$B$2000,"&lt;="&amp;L369)=0,"NOT FOUND",_xlfn.MAXIFS('10_ref_fx_rate'!$B$2:$B$2000,'10_ref_fx_rate'!$A$2:$A$2000,AL369,'10_ref_fx_rate'!$B$2:$B$2000,"&lt;="&amp;L369))</f>
        <v/>
      </c>
      <c r="AN369" s="8">
        <f>IF(AM369="NOT FOUND","NOT FOUND",SUMIFS('10_ref_fx_rate'!$D$2:$D$2000,'10_ref_fx_rate'!$A$2:$A$2000,AL369,'10_ref_fx_rate'!$B$2:$B$2000,AM369))</f>
        <v/>
      </c>
      <c r="AO369" s="37">
        <f>IF(ISNUMBER(AN369),I369*AN369,"NOT FOUND")</f>
        <v/>
      </c>
      <c r="AP369" s="2">
        <f>UPPER(TRIM(J369))</f>
        <v/>
      </c>
      <c r="AQ369" s="2">
        <f>IF(AP369="","SELF-DIRECTED",IF(ISNUMBER(MATCH(AP369,'11_3nf_sales_person'!$A:$A,0)),IF(EXACT(AP369,J369),"OK","OK (auto-fixed)"),IF(ISNA(MATCH($A369,'12_sales_person_confirmation'!$A:$A,0)),"CONFIRM (not logged)",IF(INDEX('12_sales_person_confirmation'!$I:$I,MATCH($A369,'12_sales_person_confirmation'!$A:$A,0))="CONFIRMED","CONFIRMED ("&amp;LOWER(INDEX('12_sales_person_confirmation'!$E:$E,MATCH($A369,'12_sales_person_confirmation'!$A:$A,0)))&amp;")","PENDING CONFIRM"))))</f>
        <v/>
      </c>
      <c r="AR369" s="2">
        <f>IF(OR(AQ369="OK",AQ369="OK (auto-fixed)"),AP369,IF(LEFT(AQ369,9)="CONFIRMED",INDEX('12_sales_person_confirmation'!$F:$F,MATCH($A369,'12_sales_person_confirmation'!$A:$A,0)),""))</f>
        <v/>
      </c>
      <c r="AS369" s="2">
        <f>IF(AR369="","",INDEX('11_3nf_sales_person'!$B:$B,MATCH(AR369,'11_3nf_sales_person'!$A:$A,0)))</f>
        <v/>
      </c>
    </row>
    <row r="370">
      <c r="A370" s="2">
        <f>IF(ISBLANK('1_raw_log'!A370),"",'1_raw_log'!A370)</f>
        <v/>
      </c>
      <c r="B370" s="3">
        <f>IF(ISBLANK('1_raw_log'!B370),"",'1_raw_log'!B370)</f>
        <v/>
      </c>
      <c r="C370" s="2">
        <f>IF(ISBLANK('1_raw_log'!C370),"",'1_raw_log'!C370)</f>
        <v/>
      </c>
      <c r="D370" s="2">
        <f>IF(ISBLANK('1_raw_log'!D370),"",'1_raw_log'!D370)</f>
        <v/>
      </c>
      <c r="E370" s="4">
        <f>IF(ISBLANK('1_raw_log'!E370),"",'1_raw_log'!E370)</f>
        <v/>
      </c>
      <c r="F370" s="2">
        <f>IF(ISBLANK('1_raw_log'!F370),"",'1_raw_log'!F370)</f>
        <v/>
      </c>
      <c r="G370" s="2">
        <f>IF(ISBLANK('1_raw_log'!G370),"",'1_raw_log'!G370)</f>
        <v/>
      </c>
      <c r="H370" s="2">
        <f>IF(ISBLANK('1_raw_log'!H370),"",'1_raw_log'!H370)</f>
        <v/>
      </c>
      <c r="I370" s="7">
        <f>IF(ISBLANK('1_raw_log'!I370),"",'1_raw_log'!I370)</f>
        <v/>
      </c>
      <c r="J370" s="2">
        <f>IF(ISBLANK('1_raw_log'!J370),"",'1_raw_log'!J370)</f>
        <v/>
      </c>
      <c r="K370" s="2">
        <f>IF(ISBLANK('1_raw_log'!K370),"",'1_raw_log'!K370)</f>
        <v/>
      </c>
      <c r="L370" s="30">
        <f>INT(B370)</f>
        <v/>
      </c>
      <c r="M370" s="20">
        <f>ROUND(MOD(B370,1)*1440,0)/1440</f>
        <v/>
      </c>
      <c r="N370" s="4">
        <f>IFERROR(INDEX('3_ref_date'!$B:$B,MATCH(L370,'3_ref_date'!$A:$A,0)),"NOT FOUND")</f>
        <v/>
      </c>
      <c r="O370" s="2">
        <f>IFERROR(INDEX('3_ref_date'!$C:$C,MATCH(L370,'3_ref_date'!$A:$A,0)),"NOT FOUND")</f>
        <v/>
      </c>
      <c r="P370" s="4">
        <f>IFERROR(INDEX('3_ref_date'!$D:$D,MATCH(L370,'3_ref_date'!$A:$A,0)),"NOT FOUND")</f>
        <v/>
      </c>
      <c r="Q370" s="4">
        <f>IFERROR(INDEX('3_ref_date'!$E:$E,MATCH(L370,'3_ref_date'!$A:$A,0)),"NOT FOUND")</f>
        <v/>
      </c>
      <c r="R370" s="2">
        <f>IFERROR(INDEX('3_ref_date'!$F:$F,MATCH(L370,'3_ref_date'!$A:$A,0)),"NOT FOUND")</f>
        <v/>
      </c>
      <c r="S370" s="2">
        <f>IFERROR(INDEX('4_ref_time'!$D:$D,MATCH(ROUND(M370*1440,0),'4_ref_time'!$A:$A,0)),"NOT FOUND")</f>
        <v/>
      </c>
      <c r="T370" s="2">
        <f>UPPER(TRIM(C370))</f>
        <v/>
      </c>
      <c r="U370" s="30">
        <f>IF(_xlfn.MAXIFS('6_3nf_branch_history'!$B$2:$B$50,'6_3nf_branch_history'!$A$2:$A$50,T370,'6_3nf_branch_history'!$B$2:$B$50,"&lt;="&amp;L370)=0,"NOT FOUND",_xlfn.MAXIFS('6_3nf_branch_history'!$B$2:$B$50,'6_3nf_branch_history'!$A$2:$A$50,T370,'6_3nf_branch_history'!$B$2:$B$50,"&lt;="&amp;L370))</f>
        <v/>
      </c>
      <c r="V370" s="2">
        <f>IF(U370="NOT FOUND","NOT FOUND",INDEX('6_3nf_branch_history'!$C:$C,SUMPRODUCT(('6_3nf_branch_history'!$A$2:$A$50=T370)*('6_3nf_branch_history'!$B$2:$B$50=U370)*ROW('6_3nf_branch_history'!$A$2:$A$50))))</f>
        <v/>
      </c>
      <c r="W370" s="2">
        <f>IF(U370="NOT FOUND","NOT FOUND",INDEX('6_3nf_branch_history'!$D:$D,SUMPRODUCT(('6_3nf_branch_history'!$A$2:$A$50=T370)*('6_3nf_branch_history'!$B$2:$B$50=U370)*ROW('6_3nf_branch_history'!$A$2:$A$50))))</f>
        <v/>
      </c>
      <c r="X370" s="2">
        <f>IF(U370="NOT FOUND","NOT FOUND",INDEX('6_3nf_branch_history'!$E:$E,SUMPRODUCT(('6_3nf_branch_history'!$A$2:$A$50=T370)*('6_3nf_branch_history'!$B$2:$B$50=U370)*ROW('6_3nf_branch_history'!$A$2:$A$50))))</f>
        <v/>
      </c>
      <c r="Y370" s="2">
        <f>UPPER(TRIM(D370))</f>
        <v/>
      </c>
      <c r="Z370" s="2">
        <f>IFERROR(INDEX('7_3nf_product'!$B:$B,MATCH(Y370,'7_3nf_product'!$A:$A,0)),"NOT FOUND")</f>
        <v/>
      </c>
      <c r="AA370" s="2">
        <f>IFERROR(INDEX('7_3nf_product'!$C:$C,MATCH(Y370,'7_3nf_product'!$A:$A,0)),"NOT FOUND")</f>
        <v/>
      </c>
      <c r="AB370" s="2">
        <f>IFERROR(INDEX('7_3nf_product'!$D:$D,MATCH(Y370,'7_3nf_product'!$A:$A,0)),"NOT FOUND")</f>
        <v/>
      </c>
      <c r="AC370" s="6">
        <f>IFERROR(INDEX('7_3nf_product'!$E:$E,MATCH(Y370,'7_3nf_product'!$A:$A,0)),"NOT FOUND")</f>
        <v/>
      </c>
      <c r="AD370" s="33">
        <f>IF(LEN(TRIM(E370))=10,TRIM(E370),IF(LEN(TRIM(E370))=8,"00"&amp;TRIM(E370),"CHECK"))</f>
        <v/>
      </c>
      <c r="AE370" s="2">
        <f>IFERROR(INDEX('8_3nf_customer'!$C:$C,MATCH(AD370,'8_3nf_customer'!$B:$B,0)),"NOT FOUND")</f>
        <v/>
      </c>
      <c r="AF370" s="30">
        <f>IFERROR(INDEX('8_3nf_customer'!$D:$D,MATCH(AD370,'8_3nf_customer'!$B:$B,0)),"NOT FOUND")</f>
        <v/>
      </c>
      <c r="AG370" s="4">
        <f>IF(ISNUMBER(AF370),DATEDIF(AF370,L370,"y"),"NOT FOUND")</f>
        <v/>
      </c>
      <c r="AH370" s="2">
        <f>IFERROR(INDEX('8_3nf_customer'!$E:$E,MATCH(AD370,'8_3nf_customer'!$B:$B,0)),"NOT FOUND")</f>
        <v/>
      </c>
      <c r="AI370" s="30">
        <f>IF(_xlfn.MAXIFS('9_3nf_customer_history'!$B$2:$B$500,'9_3nf_customer_history'!$A$2:$A$500,AD370,'9_3nf_customer_history'!$B$2:$B$500,"&lt;="&amp;L370)=0,"NOT FOUND",_xlfn.MAXIFS('9_3nf_customer_history'!$B$2:$B$500,'9_3nf_customer_history'!$A$2:$A$500,AD370,'9_3nf_customer_history'!$B$2:$B$500,"&lt;="&amp;L370))</f>
        <v/>
      </c>
      <c r="AJ370" s="2">
        <f>IF(AI370="NOT FOUND","NOT FOUND",INDEX('9_3nf_customer_history'!$C:$C,SUMPRODUCT(('9_3nf_customer_history'!$A$2:$A$500=AD370)*('9_3nf_customer_history'!$B$2:$B$500=AI370)*ROW('9_3nf_customer_history'!$A$2:$A$500))))</f>
        <v/>
      </c>
      <c r="AK370" s="2">
        <f>IF(AI370="NOT FOUND","NOT FOUND",INDEX('9_3nf_customer_history'!$D:$D,SUMPRODUCT(('9_3nf_customer_history'!$A$2:$A$500=AD370)*('9_3nf_customer_history'!$B$2:$B$500=AI370)*ROW('9_3nf_customer_history'!$A$2:$A$500))))</f>
        <v/>
      </c>
      <c r="AL370" s="2">
        <f>UPPER(TRIM(H370))</f>
        <v/>
      </c>
      <c r="AM370" s="30">
        <f>IF(_xlfn.MAXIFS('10_ref_fx_rate'!$B$2:$B$2000,'10_ref_fx_rate'!$A$2:$A$2000,AL370,'10_ref_fx_rate'!$B$2:$B$2000,"&lt;="&amp;L370)=0,"NOT FOUND",_xlfn.MAXIFS('10_ref_fx_rate'!$B$2:$B$2000,'10_ref_fx_rate'!$A$2:$A$2000,AL370,'10_ref_fx_rate'!$B$2:$B$2000,"&lt;="&amp;L370))</f>
        <v/>
      </c>
      <c r="AN370" s="8">
        <f>IF(AM370="NOT FOUND","NOT FOUND",SUMIFS('10_ref_fx_rate'!$D$2:$D$2000,'10_ref_fx_rate'!$A$2:$A$2000,AL370,'10_ref_fx_rate'!$B$2:$B$2000,AM370))</f>
        <v/>
      </c>
      <c r="AO370" s="37">
        <f>IF(ISNUMBER(AN370),I370*AN370,"NOT FOUND")</f>
        <v/>
      </c>
      <c r="AP370" s="2">
        <f>UPPER(TRIM(J370))</f>
        <v/>
      </c>
      <c r="AQ370" s="2">
        <f>IF(AP370="","SELF-DIRECTED",IF(ISNUMBER(MATCH(AP370,'11_3nf_sales_person'!$A:$A,0)),IF(EXACT(AP370,J370),"OK","OK (auto-fixed)"),IF(ISNA(MATCH($A370,'12_sales_person_confirmation'!$A:$A,0)),"CONFIRM (not logged)",IF(INDEX('12_sales_person_confirmation'!$I:$I,MATCH($A370,'12_sales_person_confirmation'!$A:$A,0))="CONFIRMED","CONFIRMED ("&amp;LOWER(INDEX('12_sales_person_confirmation'!$E:$E,MATCH($A370,'12_sales_person_confirmation'!$A:$A,0)))&amp;")","PENDING CONFIRM"))))</f>
        <v/>
      </c>
      <c r="AR370" s="2">
        <f>IF(OR(AQ370="OK",AQ370="OK (auto-fixed)"),AP370,IF(LEFT(AQ370,9)="CONFIRMED",INDEX('12_sales_person_confirmation'!$F:$F,MATCH($A370,'12_sales_person_confirmation'!$A:$A,0)),""))</f>
        <v/>
      </c>
      <c r="AS370" s="2">
        <f>IF(AR370="","",INDEX('11_3nf_sales_person'!$B:$B,MATCH(AR370,'11_3nf_sales_person'!$A:$A,0)))</f>
        <v/>
      </c>
    </row>
    <row r="371">
      <c r="A371" s="2">
        <f>IF(ISBLANK('1_raw_log'!A371),"",'1_raw_log'!A371)</f>
        <v/>
      </c>
      <c r="B371" s="3">
        <f>IF(ISBLANK('1_raw_log'!B371),"",'1_raw_log'!B371)</f>
        <v/>
      </c>
      <c r="C371" s="2">
        <f>IF(ISBLANK('1_raw_log'!C371),"",'1_raw_log'!C371)</f>
        <v/>
      </c>
      <c r="D371" s="2">
        <f>IF(ISBLANK('1_raw_log'!D371),"",'1_raw_log'!D371)</f>
        <v/>
      </c>
      <c r="E371" s="4">
        <f>IF(ISBLANK('1_raw_log'!E371),"",'1_raw_log'!E371)</f>
        <v/>
      </c>
      <c r="F371" s="2">
        <f>IF(ISBLANK('1_raw_log'!F371),"",'1_raw_log'!F371)</f>
        <v/>
      </c>
      <c r="G371" s="2">
        <f>IF(ISBLANK('1_raw_log'!G371),"",'1_raw_log'!G371)</f>
        <v/>
      </c>
      <c r="H371" s="2">
        <f>IF(ISBLANK('1_raw_log'!H371),"",'1_raw_log'!H371)</f>
        <v/>
      </c>
      <c r="I371" s="7">
        <f>IF(ISBLANK('1_raw_log'!I371),"",'1_raw_log'!I371)</f>
        <v/>
      </c>
      <c r="J371" s="2">
        <f>IF(ISBLANK('1_raw_log'!J371),"",'1_raw_log'!J371)</f>
        <v/>
      </c>
      <c r="K371" s="2">
        <f>IF(ISBLANK('1_raw_log'!K371),"",'1_raw_log'!K371)</f>
        <v/>
      </c>
      <c r="L371" s="30">
        <f>INT(B371)</f>
        <v/>
      </c>
      <c r="M371" s="20">
        <f>ROUND(MOD(B371,1)*1440,0)/1440</f>
        <v/>
      </c>
      <c r="N371" s="4">
        <f>IFERROR(INDEX('3_ref_date'!$B:$B,MATCH(L371,'3_ref_date'!$A:$A,0)),"NOT FOUND")</f>
        <v/>
      </c>
      <c r="O371" s="2">
        <f>IFERROR(INDEX('3_ref_date'!$C:$C,MATCH(L371,'3_ref_date'!$A:$A,0)),"NOT FOUND")</f>
        <v/>
      </c>
      <c r="P371" s="4">
        <f>IFERROR(INDEX('3_ref_date'!$D:$D,MATCH(L371,'3_ref_date'!$A:$A,0)),"NOT FOUND")</f>
        <v/>
      </c>
      <c r="Q371" s="4">
        <f>IFERROR(INDEX('3_ref_date'!$E:$E,MATCH(L371,'3_ref_date'!$A:$A,0)),"NOT FOUND")</f>
        <v/>
      </c>
      <c r="R371" s="2">
        <f>IFERROR(INDEX('3_ref_date'!$F:$F,MATCH(L371,'3_ref_date'!$A:$A,0)),"NOT FOUND")</f>
        <v/>
      </c>
      <c r="S371" s="2">
        <f>IFERROR(INDEX('4_ref_time'!$D:$D,MATCH(ROUND(M371*1440,0),'4_ref_time'!$A:$A,0)),"NOT FOUND")</f>
        <v/>
      </c>
      <c r="T371" s="2">
        <f>UPPER(TRIM(C371))</f>
        <v/>
      </c>
      <c r="U371" s="30">
        <f>IF(_xlfn.MAXIFS('6_3nf_branch_history'!$B$2:$B$50,'6_3nf_branch_history'!$A$2:$A$50,T371,'6_3nf_branch_history'!$B$2:$B$50,"&lt;="&amp;L371)=0,"NOT FOUND",_xlfn.MAXIFS('6_3nf_branch_history'!$B$2:$B$50,'6_3nf_branch_history'!$A$2:$A$50,T371,'6_3nf_branch_history'!$B$2:$B$50,"&lt;="&amp;L371))</f>
        <v/>
      </c>
      <c r="V371" s="2">
        <f>IF(U371="NOT FOUND","NOT FOUND",INDEX('6_3nf_branch_history'!$C:$C,SUMPRODUCT(('6_3nf_branch_history'!$A$2:$A$50=T371)*('6_3nf_branch_history'!$B$2:$B$50=U371)*ROW('6_3nf_branch_history'!$A$2:$A$50))))</f>
        <v/>
      </c>
      <c r="W371" s="2">
        <f>IF(U371="NOT FOUND","NOT FOUND",INDEX('6_3nf_branch_history'!$D:$D,SUMPRODUCT(('6_3nf_branch_history'!$A$2:$A$50=T371)*('6_3nf_branch_history'!$B$2:$B$50=U371)*ROW('6_3nf_branch_history'!$A$2:$A$50))))</f>
        <v/>
      </c>
      <c r="X371" s="2">
        <f>IF(U371="NOT FOUND","NOT FOUND",INDEX('6_3nf_branch_history'!$E:$E,SUMPRODUCT(('6_3nf_branch_history'!$A$2:$A$50=T371)*('6_3nf_branch_history'!$B$2:$B$50=U371)*ROW('6_3nf_branch_history'!$A$2:$A$50))))</f>
        <v/>
      </c>
      <c r="Y371" s="2">
        <f>UPPER(TRIM(D371))</f>
        <v/>
      </c>
      <c r="Z371" s="2">
        <f>IFERROR(INDEX('7_3nf_product'!$B:$B,MATCH(Y371,'7_3nf_product'!$A:$A,0)),"NOT FOUND")</f>
        <v/>
      </c>
      <c r="AA371" s="2">
        <f>IFERROR(INDEX('7_3nf_product'!$C:$C,MATCH(Y371,'7_3nf_product'!$A:$A,0)),"NOT FOUND")</f>
        <v/>
      </c>
      <c r="AB371" s="2">
        <f>IFERROR(INDEX('7_3nf_product'!$D:$D,MATCH(Y371,'7_3nf_product'!$A:$A,0)),"NOT FOUND")</f>
        <v/>
      </c>
      <c r="AC371" s="6">
        <f>IFERROR(INDEX('7_3nf_product'!$E:$E,MATCH(Y371,'7_3nf_product'!$A:$A,0)),"NOT FOUND")</f>
        <v/>
      </c>
      <c r="AD371" s="33">
        <f>IF(LEN(TRIM(E371))=10,TRIM(E371),IF(LEN(TRIM(E371))=8,"00"&amp;TRIM(E371),"CHECK"))</f>
        <v/>
      </c>
      <c r="AE371" s="2">
        <f>IFERROR(INDEX('8_3nf_customer'!$C:$C,MATCH(AD371,'8_3nf_customer'!$B:$B,0)),"NOT FOUND")</f>
        <v/>
      </c>
      <c r="AF371" s="30">
        <f>IFERROR(INDEX('8_3nf_customer'!$D:$D,MATCH(AD371,'8_3nf_customer'!$B:$B,0)),"NOT FOUND")</f>
        <v/>
      </c>
      <c r="AG371" s="4">
        <f>IF(ISNUMBER(AF371),DATEDIF(AF371,L371,"y"),"NOT FOUND")</f>
        <v/>
      </c>
      <c r="AH371" s="2">
        <f>IFERROR(INDEX('8_3nf_customer'!$E:$E,MATCH(AD371,'8_3nf_customer'!$B:$B,0)),"NOT FOUND")</f>
        <v/>
      </c>
      <c r="AI371" s="30">
        <f>IF(_xlfn.MAXIFS('9_3nf_customer_history'!$B$2:$B$500,'9_3nf_customer_history'!$A$2:$A$500,AD371,'9_3nf_customer_history'!$B$2:$B$500,"&lt;="&amp;L371)=0,"NOT FOUND",_xlfn.MAXIFS('9_3nf_customer_history'!$B$2:$B$500,'9_3nf_customer_history'!$A$2:$A$500,AD371,'9_3nf_customer_history'!$B$2:$B$500,"&lt;="&amp;L371))</f>
        <v/>
      </c>
      <c r="AJ371" s="2">
        <f>IF(AI371="NOT FOUND","NOT FOUND",INDEX('9_3nf_customer_history'!$C:$C,SUMPRODUCT(('9_3nf_customer_history'!$A$2:$A$500=AD371)*('9_3nf_customer_history'!$B$2:$B$500=AI371)*ROW('9_3nf_customer_history'!$A$2:$A$500))))</f>
        <v/>
      </c>
      <c r="AK371" s="2">
        <f>IF(AI371="NOT FOUND","NOT FOUND",INDEX('9_3nf_customer_history'!$D:$D,SUMPRODUCT(('9_3nf_customer_history'!$A$2:$A$500=AD371)*('9_3nf_customer_history'!$B$2:$B$500=AI371)*ROW('9_3nf_customer_history'!$A$2:$A$500))))</f>
        <v/>
      </c>
      <c r="AL371" s="2">
        <f>UPPER(TRIM(H371))</f>
        <v/>
      </c>
      <c r="AM371" s="30">
        <f>IF(_xlfn.MAXIFS('10_ref_fx_rate'!$B$2:$B$2000,'10_ref_fx_rate'!$A$2:$A$2000,AL371,'10_ref_fx_rate'!$B$2:$B$2000,"&lt;="&amp;L371)=0,"NOT FOUND",_xlfn.MAXIFS('10_ref_fx_rate'!$B$2:$B$2000,'10_ref_fx_rate'!$A$2:$A$2000,AL371,'10_ref_fx_rate'!$B$2:$B$2000,"&lt;="&amp;L371))</f>
        <v/>
      </c>
      <c r="AN371" s="8">
        <f>IF(AM371="NOT FOUND","NOT FOUND",SUMIFS('10_ref_fx_rate'!$D$2:$D$2000,'10_ref_fx_rate'!$A$2:$A$2000,AL371,'10_ref_fx_rate'!$B$2:$B$2000,AM371))</f>
        <v/>
      </c>
      <c r="AO371" s="37">
        <f>IF(ISNUMBER(AN371),I371*AN371,"NOT FOUND")</f>
        <v/>
      </c>
      <c r="AP371" s="2">
        <f>UPPER(TRIM(J371))</f>
        <v/>
      </c>
      <c r="AQ371" s="2">
        <f>IF(AP371="","SELF-DIRECTED",IF(ISNUMBER(MATCH(AP371,'11_3nf_sales_person'!$A:$A,0)),IF(EXACT(AP371,J371),"OK","OK (auto-fixed)"),IF(ISNA(MATCH($A371,'12_sales_person_confirmation'!$A:$A,0)),"CONFIRM (not logged)",IF(INDEX('12_sales_person_confirmation'!$I:$I,MATCH($A371,'12_sales_person_confirmation'!$A:$A,0))="CONFIRMED","CONFIRMED ("&amp;LOWER(INDEX('12_sales_person_confirmation'!$E:$E,MATCH($A371,'12_sales_person_confirmation'!$A:$A,0)))&amp;")","PENDING CONFIRM"))))</f>
        <v/>
      </c>
      <c r="AR371" s="2">
        <f>IF(OR(AQ371="OK",AQ371="OK (auto-fixed)"),AP371,IF(LEFT(AQ371,9)="CONFIRMED",INDEX('12_sales_person_confirmation'!$F:$F,MATCH($A371,'12_sales_person_confirmation'!$A:$A,0)),""))</f>
        <v/>
      </c>
      <c r="AS371" s="2">
        <f>IF(AR371="","",INDEX('11_3nf_sales_person'!$B:$B,MATCH(AR371,'11_3nf_sales_person'!$A:$A,0)))</f>
        <v/>
      </c>
    </row>
    <row r="372">
      <c r="A372" s="2">
        <f>IF(ISBLANK('1_raw_log'!A372),"",'1_raw_log'!A372)</f>
        <v/>
      </c>
      <c r="B372" s="3">
        <f>IF(ISBLANK('1_raw_log'!B372),"",'1_raw_log'!B372)</f>
        <v/>
      </c>
      <c r="C372" s="2">
        <f>IF(ISBLANK('1_raw_log'!C372),"",'1_raw_log'!C372)</f>
        <v/>
      </c>
      <c r="D372" s="2">
        <f>IF(ISBLANK('1_raw_log'!D372),"",'1_raw_log'!D372)</f>
        <v/>
      </c>
      <c r="E372" s="4">
        <f>IF(ISBLANK('1_raw_log'!E372),"",'1_raw_log'!E372)</f>
        <v/>
      </c>
      <c r="F372" s="2">
        <f>IF(ISBLANK('1_raw_log'!F372),"",'1_raw_log'!F372)</f>
        <v/>
      </c>
      <c r="G372" s="2">
        <f>IF(ISBLANK('1_raw_log'!G372),"",'1_raw_log'!G372)</f>
        <v/>
      </c>
      <c r="H372" s="2">
        <f>IF(ISBLANK('1_raw_log'!H372),"",'1_raw_log'!H372)</f>
        <v/>
      </c>
      <c r="I372" s="7">
        <f>IF(ISBLANK('1_raw_log'!I372),"",'1_raw_log'!I372)</f>
        <v/>
      </c>
      <c r="J372" s="2">
        <f>IF(ISBLANK('1_raw_log'!J372),"",'1_raw_log'!J372)</f>
        <v/>
      </c>
      <c r="K372" s="2">
        <f>IF(ISBLANK('1_raw_log'!K372),"",'1_raw_log'!K372)</f>
        <v/>
      </c>
      <c r="L372" s="30">
        <f>INT(B372)</f>
        <v/>
      </c>
      <c r="M372" s="20">
        <f>ROUND(MOD(B372,1)*1440,0)/1440</f>
        <v/>
      </c>
      <c r="N372" s="4">
        <f>IFERROR(INDEX('3_ref_date'!$B:$B,MATCH(L372,'3_ref_date'!$A:$A,0)),"NOT FOUND")</f>
        <v/>
      </c>
      <c r="O372" s="2">
        <f>IFERROR(INDEX('3_ref_date'!$C:$C,MATCH(L372,'3_ref_date'!$A:$A,0)),"NOT FOUND")</f>
        <v/>
      </c>
      <c r="P372" s="4">
        <f>IFERROR(INDEX('3_ref_date'!$D:$D,MATCH(L372,'3_ref_date'!$A:$A,0)),"NOT FOUND")</f>
        <v/>
      </c>
      <c r="Q372" s="4">
        <f>IFERROR(INDEX('3_ref_date'!$E:$E,MATCH(L372,'3_ref_date'!$A:$A,0)),"NOT FOUND")</f>
        <v/>
      </c>
      <c r="R372" s="2">
        <f>IFERROR(INDEX('3_ref_date'!$F:$F,MATCH(L372,'3_ref_date'!$A:$A,0)),"NOT FOUND")</f>
        <v/>
      </c>
      <c r="S372" s="2">
        <f>IFERROR(INDEX('4_ref_time'!$D:$D,MATCH(ROUND(M372*1440,0),'4_ref_time'!$A:$A,0)),"NOT FOUND")</f>
        <v/>
      </c>
      <c r="T372" s="2">
        <f>UPPER(TRIM(C372))</f>
        <v/>
      </c>
      <c r="U372" s="30">
        <f>IF(_xlfn.MAXIFS('6_3nf_branch_history'!$B$2:$B$50,'6_3nf_branch_history'!$A$2:$A$50,T372,'6_3nf_branch_history'!$B$2:$B$50,"&lt;="&amp;L372)=0,"NOT FOUND",_xlfn.MAXIFS('6_3nf_branch_history'!$B$2:$B$50,'6_3nf_branch_history'!$A$2:$A$50,T372,'6_3nf_branch_history'!$B$2:$B$50,"&lt;="&amp;L372))</f>
        <v/>
      </c>
      <c r="V372" s="2">
        <f>IF(U372="NOT FOUND","NOT FOUND",INDEX('6_3nf_branch_history'!$C:$C,SUMPRODUCT(('6_3nf_branch_history'!$A$2:$A$50=T372)*('6_3nf_branch_history'!$B$2:$B$50=U372)*ROW('6_3nf_branch_history'!$A$2:$A$50))))</f>
        <v/>
      </c>
      <c r="W372" s="2">
        <f>IF(U372="NOT FOUND","NOT FOUND",INDEX('6_3nf_branch_history'!$D:$D,SUMPRODUCT(('6_3nf_branch_history'!$A$2:$A$50=T372)*('6_3nf_branch_history'!$B$2:$B$50=U372)*ROW('6_3nf_branch_history'!$A$2:$A$50))))</f>
        <v/>
      </c>
      <c r="X372" s="2">
        <f>IF(U372="NOT FOUND","NOT FOUND",INDEX('6_3nf_branch_history'!$E:$E,SUMPRODUCT(('6_3nf_branch_history'!$A$2:$A$50=T372)*('6_3nf_branch_history'!$B$2:$B$50=U372)*ROW('6_3nf_branch_history'!$A$2:$A$50))))</f>
        <v/>
      </c>
      <c r="Y372" s="2">
        <f>UPPER(TRIM(D372))</f>
        <v/>
      </c>
      <c r="Z372" s="2">
        <f>IFERROR(INDEX('7_3nf_product'!$B:$B,MATCH(Y372,'7_3nf_product'!$A:$A,0)),"NOT FOUND")</f>
        <v/>
      </c>
      <c r="AA372" s="2">
        <f>IFERROR(INDEX('7_3nf_product'!$C:$C,MATCH(Y372,'7_3nf_product'!$A:$A,0)),"NOT FOUND")</f>
        <v/>
      </c>
      <c r="AB372" s="2">
        <f>IFERROR(INDEX('7_3nf_product'!$D:$D,MATCH(Y372,'7_3nf_product'!$A:$A,0)),"NOT FOUND")</f>
        <v/>
      </c>
      <c r="AC372" s="6">
        <f>IFERROR(INDEX('7_3nf_product'!$E:$E,MATCH(Y372,'7_3nf_product'!$A:$A,0)),"NOT FOUND")</f>
        <v/>
      </c>
      <c r="AD372" s="33">
        <f>IF(LEN(TRIM(E372))=10,TRIM(E372),IF(LEN(TRIM(E372))=8,"00"&amp;TRIM(E372),"CHECK"))</f>
        <v/>
      </c>
      <c r="AE372" s="2">
        <f>IFERROR(INDEX('8_3nf_customer'!$C:$C,MATCH(AD372,'8_3nf_customer'!$B:$B,0)),"NOT FOUND")</f>
        <v/>
      </c>
      <c r="AF372" s="30">
        <f>IFERROR(INDEX('8_3nf_customer'!$D:$D,MATCH(AD372,'8_3nf_customer'!$B:$B,0)),"NOT FOUND")</f>
        <v/>
      </c>
      <c r="AG372" s="4">
        <f>IF(ISNUMBER(AF372),DATEDIF(AF372,L372,"y"),"NOT FOUND")</f>
        <v/>
      </c>
      <c r="AH372" s="2">
        <f>IFERROR(INDEX('8_3nf_customer'!$E:$E,MATCH(AD372,'8_3nf_customer'!$B:$B,0)),"NOT FOUND")</f>
        <v/>
      </c>
      <c r="AI372" s="30">
        <f>IF(_xlfn.MAXIFS('9_3nf_customer_history'!$B$2:$B$500,'9_3nf_customer_history'!$A$2:$A$500,AD372,'9_3nf_customer_history'!$B$2:$B$500,"&lt;="&amp;L372)=0,"NOT FOUND",_xlfn.MAXIFS('9_3nf_customer_history'!$B$2:$B$500,'9_3nf_customer_history'!$A$2:$A$500,AD372,'9_3nf_customer_history'!$B$2:$B$500,"&lt;="&amp;L372))</f>
        <v/>
      </c>
      <c r="AJ372" s="2">
        <f>IF(AI372="NOT FOUND","NOT FOUND",INDEX('9_3nf_customer_history'!$C:$C,SUMPRODUCT(('9_3nf_customer_history'!$A$2:$A$500=AD372)*('9_3nf_customer_history'!$B$2:$B$500=AI372)*ROW('9_3nf_customer_history'!$A$2:$A$500))))</f>
        <v/>
      </c>
      <c r="AK372" s="2">
        <f>IF(AI372="NOT FOUND","NOT FOUND",INDEX('9_3nf_customer_history'!$D:$D,SUMPRODUCT(('9_3nf_customer_history'!$A$2:$A$500=AD372)*('9_3nf_customer_history'!$B$2:$B$500=AI372)*ROW('9_3nf_customer_history'!$A$2:$A$500))))</f>
        <v/>
      </c>
      <c r="AL372" s="2">
        <f>UPPER(TRIM(H372))</f>
        <v/>
      </c>
      <c r="AM372" s="30">
        <f>IF(_xlfn.MAXIFS('10_ref_fx_rate'!$B$2:$B$2000,'10_ref_fx_rate'!$A$2:$A$2000,AL372,'10_ref_fx_rate'!$B$2:$B$2000,"&lt;="&amp;L372)=0,"NOT FOUND",_xlfn.MAXIFS('10_ref_fx_rate'!$B$2:$B$2000,'10_ref_fx_rate'!$A$2:$A$2000,AL372,'10_ref_fx_rate'!$B$2:$B$2000,"&lt;="&amp;L372))</f>
        <v/>
      </c>
      <c r="AN372" s="8">
        <f>IF(AM372="NOT FOUND","NOT FOUND",SUMIFS('10_ref_fx_rate'!$D$2:$D$2000,'10_ref_fx_rate'!$A$2:$A$2000,AL372,'10_ref_fx_rate'!$B$2:$B$2000,AM372))</f>
        <v/>
      </c>
      <c r="AO372" s="37">
        <f>IF(ISNUMBER(AN372),I372*AN372,"NOT FOUND")</f>
        <v/>
      </c>
      <c r="AP372" s="2">
        <f>UPPER(TRIM(J372))</f>
        <v/>
      </c>
      <c r="AQ372" s="2">
        <f>IF(AP372="","SELF-DIRECTED",IF(ISNUMBER(MATCH(AP372,'11_3nf_sales_person'!$A:$A,0)),IF(EXACT(AP372,J372),"OK","OK (auto-fixed)"),IF(ISNA(MATCH($A372,'12_sales_person_confirmation'!$A:$A,0)),"CONFIRM (not logged)",IF(INDEX('12_sales_person_confirmation'!$I:$I,MATCH($A372,'12_sales_person_confirmation'!$A:$A,0))="CONFIRMED","CONFIRMED ("&amp;LOWER(INDEX('12_sales_person_confirmation'!$E:$E,MATCH($A372,'12_sales_person_confirmation'!$A:$A,0)))&amp;")","PENDING CONFIRM"))))</f>
        <v/>
      </c>
      <c r="AR372" s="2">
        <f>IF(OR(AQ372="OK",AQ372="OK (auto-fixed)"),AP372,IF(LEFT(AQ372,9)="CONFIRMED",INDEX('12_sales_person_confirmation'!$F:$F,MATCH($A372,'12_sales_person_confirmation'!$A:$A,0)),""))</f>
        <v/>
      </c>
      <c r="AS372" s="2">
        <f>IF(AR372="","",INDEX('11_3nf_sales_person'!$B:$B,MATCH(AR372,'11_3nf_sales_person'!$A:$A,0)))</f>
        <v/>
      </c>
    </row>
    <row r="373">
      <c r="A373" s="2">
        <f>IF(ISBLANK('1_raw_log'!A373),"",'1_raw_log'!A373)</f>
        <v/>
      </c>
      <c r="B373" s="3">
        <f>IF(ISBLANK('1_raw_log'!B373),"",'1_raw_log'!B373)</f>
        <v/>
      </c>
      <c r="C373" s="2">
        <f>IF(ISBLANK('1_raw_log'!C373),"",'1_raw_log'!C373)</f>
        <v/>
      </c>
      <c r="D373" s="2">
        <f>IF(ISBLANK('1_raw_log'!D373),"",'1_raw_log'!D373)</f>
        <v/>
      </c>
      <c r="E373" s="4">
        <f>IF(ISBLANK('1_raw_log'!E373),"",'1_raw_log'!E373)</f>
        <v/>
      </c>
      <c r="F373" s="2">
        <f>IF(ISBLANK('1_raw_log'!F373),"",'1_raw_log'!F373)</f>
        <v/>
      </c>
      <c r="G373" s="2">
        <f>IF(ISBLANK('1_raw_log'!G373),"",'1_raw_log'!G373)</f>
        <v/>
      </c>
      <c r="H373" s="2">
        <f>IF(ISBLANK('1_raw_log'!H373),"",'1_raw_log'!H373)</f>
        <v/>
      </c>
      <c r="I373" s="7">
        <f>IF(ISBLANK('1_raw_log'!I373),"",'1_raw_log'!I373)</f>
        <v/>
      </c>
      <c r="J373" s="2">
        <f>IF(ISBLANK('1_raw_log'!J373),"",'1_raw_log'!J373)</f>
        <v/>
      </c>
      <c r="K373" s="2">
        <f>IF(ISBLANK('1_raw_log'!K373),"",'1_raw_log'!K373)</f>
        <v/>
      </c>
      <c r="L373" s="30">
        <f>INT(B373)</f>
        <v/>
      </c>
      <c r="M373" s="20">
        <f>ROUND(MOD(B373,1)*1440,0)/1440</f>
        <v/>
      </c>
      <c r="N373" s="4">
        <f>IFERROR(INDEX('3_ref_date'!$B:$B,MATCH(L373,'3_ref_date'!$A:$A,0)),"NOT FOUND")</f>
        <v/>
      </c>
      <c r="O373" s="2">
        <f>IFERROR(INDEX('3_ref_date'!$C:$C,MATCH(L373,'3_ref_date'!$A:$A,0)),"NOT FOUND")</f>
        <v/>
      </c>
      <c r="P373" s="4">
        <f>IFERROR(INDEX('3_ref_date'!$D:$D,MATCH(L373,'3_ref_date'!$A:$A,0)),"NOT FOUND")</f>
        <v/>
      </c>
      <c r="Q373" s="4">
        <f>IFERROR(INDEX('3_ref_date'!$E:$E,MATCH(L373,'3_ref_date'!$A:$A,0)),"NOT FOUND")</f>
        <v/>
      </c>
      <c r="R373" s="2">
        <f>IFERROR(INDEX('3_ref_date'!$F:$F,MATCH(L373,'3_ref_date'!$A:$A,0)),"NOT FOUND")</f>
        <v/>
      </c>
      <c r="S373" s="2">
        <f>IFERROR(INDEX('4_ref_time'!$D:$D,MATCH(ROUND(M373*1440,0),'4_ref_time'!$A:$A,0)),"NOT FOUND")</f>
        <v/>
      </c>
      <c r="T373" s="2">
        <f>UPPER(TRIM(C373))</f>
        <v/>
      </c>
      <c r="U373" s="30">
        <f>IF(_xlfn.MAXIFS('6_3nf_branch_history'!$B$2:$B$50,'6_3nf_branch_history'!$A$2:$A$50,T373,'6_3nf_branch_history'!$B$2:$B$50,"&lt;="&amp;L373)=0,"NOT FOUND",_xlfn.MAXIFS('6_3nf_branch_history'!$B$2:$B$50,'6_3nf_branch_history'!$A$2:$A$50,T373,'6_3nf_branch_history'!$B$2:$B$50,"&lt;="&amp;L373))</f>
        <v/>
      </c>
      <c r="V373" s="2">
        <f>IF(U373="NOT FOUND","NOT FOUND",INDEX('6_3nf_branch_history'!$C:$C,SUMPRODUCT(('6_3nf_branch_history'!$A$2:$A$50=T373)*('6_3nf_branch_history'!$B$2:$B$50=U373)*ROW('6_3nf_branch_history'!$A$2:$A$50))))</f>
        <v/>
      </c>
      <c r="W373" s="2">
        <f>IF(U373="NOT FOUND","NOT FOUND",INDEX('6_3nf_branch_history'!$D:$D,SUMPRODUCT(('6_3nf_branch_history'!$A$2:$A$50=T373)*('6_3nf_branch_history'!$B$2:$B$50=U373)*ROW('6_3nf_branch_history'!$A$2:$A$50))))</f>
        <v/>
      </c>
      <c r="X373" s="2">
        <f>IF(U373="NOT FOUND","NOT FOUND",INDEX('6_3nf_branch_history'!$E:$E,SUMPRODUCT(('6_3nf_branch_history'!$A$2:$A$50=T373)*('6_3nf_branch_history'!$B$2:$B$50=U373)*ROW('6_3nf_branch_history'!$A$2:$A$50))))</f>
        <v/>
      </c>
      <c r="Y373" s="2">
        <f>UPPER(TRIM(D373))</f>
        <v/>
      </c>
      <c r="Z373" s="2">
        <f>IFERROR(INDEX('7_3nf_product'!$B:$B,MATCH(Y373,'7_3nf_product'!$A:$A,0)),"NOT FOUND")</f>
        <v/>
      </c>
      <c r="AA373" s="2">
        <f>IFERROR(INDEX('7_3nf_product'!$C:$C,MATCH(Y373,'7_3nf_product'!$A:$A,0)),"NOT FOUND")</f>
        <v/>
      </c>
      <c r="AB373" s="2">
        <f>IFERROR(INDEX('7_3nf_product'!$D:$D,MATCH(Y373,'7_3nf_product'!$A:$A,0)),"NOT FOUND")</f>
        <v/>
      </c>
      <c r="AC373" s="6">
        <f>IFERROR(INDEX('7_3nf_product'!$E:$E,MATCH(Y373,'7_3nf_product'!$A:$A,0)),"NOT FOUND")</f>
        <v/>
      </c>
      <c r="AD373" s="33">
        <f>IF(LEN(TRIM(E373))=10,TRIM(E373),IF(LEN(TRIM(E373))=8,"00"&amp;TRIM(E373),"CHECK"))</f>
        <v/>
      </c>
      <c r="AE373" s="2">
        <f>IFERROR(INDEX('8_3nf_customer'!$C:$C,MATCH(AD373,'8_3nf_customer'!$B:$B,0)),"NOT FOUND")</f>
        <v/>
      </c>
      <c r="AF373" s="30">
        <f>IFERROR(INDEX('8_3nf_customer'!$D:$D,MATCH(AD373,'8_3nf_customer'!$B:$B,0)),"NOT FOUND")</f>
        <v/>
      </c>
      <c r="AG373" s="4">
        <f>IF(ISNUMBER(AF373),DATEDIF(AF373,L373,"y"),"NOT FOUND")</f>
        <v/>
      </c>
      <c r="AH373" s="2">
        <f>IFERROR(INDEX('8_3nf_customer'!$E:$E,MATCH(AD373,'8_3nf_customer'!$B:$B,0)),"NOT FOUND")</f>
        <v/>
      </c>
      <c r="AI373" s="30">
        <f>IF(_xlfn.MAXIFS('9_3nf_customer_history'!$B$2:$B$500,'9_3nf_customer_history'!$A$2:$A$500,AD373,'9_3nf_customer_history'!$B$2:$B$500,"&lt;="&amp;L373)=0,"NOT FOUND",_xlfn.MAXIFS('9_3nf_customer_history'!$B$2:$B$500,'9_3nf_customer_history'!$A$2:$A$500,AD373,'9_3nf_customer_history'!$B$2:$B$500,"&lt;="&amp;L373))</f>
        <v/>
      </c>
      <c r="AJ373" s="2">
        <f>IF(AI373="NOT FOUND","NOT FOUND",INDEX('9_3nf_customer_history'!$C:$C,SUMPRODUCT(('9_3nf_customer_history'!$A$2:$A$500=AD373)*('9_3nf_customer_history'!$B$2:$B$500=AI373)*ROW('9_3nf_customer_history'!$A$2:$A$500))))</f>
        <v/>
      </c>
      <c r="AK373" s="2">
        <f>IF(AI373="NOT FOUND","NOT FOUND",INDEX('9_3nf_customer_history'!$D:$D,SUMPRODUCT(('9_3nf_customer_history'!$A$2:$A$500=AD373)*('9_3nf_customer_history'!$B$2:$B$500=AI373)*ROW('9_3nf_customer_history'!$A$2:$A$500))))</f>
        <v/>
      </c>
      <c r="AL373" s="2">
        <f>UPPER(TRIM(H373))</f>
        <v/>
      </c>
      <c r="AM373" s="30">
        <f>IF(_xlfn.MAXIFS('10_ref_fx_rate'!$B$2:$B$2000,'10_ref_fx_rate'!$A$2:$A$2000,AL373,'10_ref_fx_rate'!$B$2:$B$2000,"&lt;="&amp;L373)=0,"NOT FOUND",_xlfn.MAXIFS('10_ref_fx_rate'!$B$2:$B$2000,'10_ref_fx_rate'!$A$2:$A$2000,AL373,'10_ref_fx_rate'!$B$2:$B$2000,"&lt;="&amp;L373))</f>
        <v/>
      </c>
      <c r="AN373" s="8">
        <f>IF(AM373="NOT FOUND","NOT FOUND",SUMIFS('10_ref_fx_rate'!$D$2:$D$2000,'10_ref_fx_rate'!$A$2:$A$2000,AL373,'10_ref_fx_rate'!$B$2:$B$2000,AM373))</f>
        <v/>
      </c>
      <c r="AO373" s="37">
        <f>IF(ISNUMBER(AN373),I373*AN373,"NOT FOUND")</f>
        <v/>
      </c>
      <c r="AP373" s="2">
        <f>UPPER(TRIM(J373))</f>
        <v/>
      </c>
      <c r="AQ373" s="2">
        <f>IF(AP373="","SELF-DIRECTED",IF(ISNUMBER(MATCH(AP373,'11_3nf_sales_person'!$A:$A,0)),IF(EXACT(AP373,J373),"OK","OK (auto-fixed)"),IF(ISNA(MATCH($A373,'12_sales_person_confirmation'!$A:$A,0)),"CONFIRM (not logged)",IF(INDEX('12_sales_person_confirmation'!$I:$I,MATCH($A373,'12_sales_person_confirmation'!$A:$A,0))="CONFIRMED","CONFIRMED ("&amp;LOWER(INDEX('12_sales_person_confirmation'!$E:$E,MATCH($A373,'12_sales_person_confirmation'!$A:$A,0)))&amp;")","PENDING CONFIRM"))))</f>
        <v/>
      </c>
      <c r="AR373" s="2">
        <f>IF(OR(AQ373="OK",AQ373="OK (auto-fixed)"),AP373,IF(LEFT(AQ373,9)="CONFIRMED",INDEX('12_sales_person_confirmation'!$F:$F,MATCH($A373,'12_sales_person_confirmation'!$A:$A,0)),""))</f>
        <v/>
      </c>
      <c r="AS373" s="2">
        <f>IF(AR373="","",INDEX('11_3nf_sales_person'!$B:$B,MATCH(AR373,'11_3nf_sales_person'!$A:$A,0)))</f>
        <v/>
      </c>
    </row>
    <row r="374">
      <c r="A374" s="2">
        <f>IF(ISBLANK('1_raw_log'!A374),"",'1_raw_log'!A374)</f>
        <v/>
      </c>
      <c r="B374" s="3">
        <f>IF(ISBLANK('1_raw_log'!B374),"",'1_raw_log'!B374)</f>
        <v/>
      </c>
      <c r="C374" s="2">
        <f>IF(ISBLANK('1_raw_log'!C374),"",'1_raw_log'!C374)</f>
        <v/>
      </c>
      <c r="D374" s="2">
        <f>IF(ISBLANK('1_raw_log'!D374),"",'1_raw_log'!D374)</f>
        <v/>
      </c>
      <c r="E374" s="4">
        <f>IF(ISBLANK('1_raw_log'!E374),"",'1_raw_log'!E374)</f>
        <v/>
      </c>
      <c r="F374" s="2">
        <f>IF(ISBLANK('1_raw_log'!F374),"",'1_raw_log'!F374)</f>
        <v/>
      </c>
      <c r="G374" s="2">
        <f>IF(ISBLANK('1_raw_log'!G374),"",'1_raw_log'!G374)</f>
        <v/>
      </c>
      <c r="H374" s="2">
        <f>IF(ISBLANK('1_raw_log'!H374),"",'1_raw_log'!H374)</f>
        <v/>
      </c>
      <c r="I374" s="7">
        <f>IF(ISBLANK('1_raw_log'!I374),"",'1_raw_log'!I374)</f>
        <v/>
      </c>
      <c r="J374" s="2">
        <f>IF(ISBLANK('1_raw_log'!J374),"",'1_raw_log'!J374)</f>
        <v/>
      </c>
      <c r="K374" s="2">
        <f>IF(ISBLANK('1_raw_log'!K374),"",'1_raw_log'!K374)</f>
        <v/>
      </c>
      <c r="L374" s="30">
        <f>INT(B374)</f>
        <v/>
      </c>
      <c r="M374" s="20">
        <f>ROUND(MOD(B374,1)*1440,0)/1440</f>
        <v/>
      </c>
      <c r="N374" s="4">
        <f>IFERROR(INDEX('3_ref_date'!$B:$B,MATCH(L374,'3_ref_date'!$A:$A,0)),"NOT FOUND")</f>
        <v/>
      </c>
      <c r="O374" s="2">
        <f>IFERROR(INDEX('3_ref_date'!$C:$C,MATCH(L374,'3_ref_date'!$A:$A,0)),"NOT FOUND")</f>
        <v/>
      </c>
      <c r="P374" s="4">
        <f>IFERROR(INDEX('3_ref_date'!$D:$D,MATCH(L374,'3_ref_date'!$A:$A,0)),"NOT FOUND")</f>
        <v/>
      </c>
      <c r="Q374" s="4">
        <f>IFERROR(INDEX('3_ref_date'!$E:$E,MATCH(L374,'3_ref_date'!$A:$A,0)),"NOT FOUND")</f>
        <v/>
      </c>
      <c r="R374" s="2">
        <f>IFERROR(INDEX('3_ref_date'!$F:$F,MATCH(L374,'3_ref_date'!$A:$A,0)),"NOT FOUND")</f>
        <v/>
      </c>
      <c r="S374" s="2">
        <f>IFERROR(INDEX('4_ref_time'!$D:$D,MATCH(ROUND(M374*1440,0),'4_ref_time'!$A:$A,0)),"NOT FOUND")</f>
        <v/>
      </c>
      <c r="T374" s="2">
        <f>UPPER(TRIM(C374))</f>
        <v/>
      </c>
      <c r="U374" s="30">
        <f>IF(_xlfn.MAXIFS('6_3nf_branch_history'!$B$2:$B$50,'6_3nf_branch_history'!$A$2:$A$50,T374,'6_3nf_branch_history'!$B$2:$B$50,"&lt;="&amp;L374)=0,"NOT FOUND",_xlfn.MAXIFS('6_3nf_branch_history'!$B$2:$B$50,'6_3nf_branch_history'!$A$2:$A$50,T374,'6_3nf_branch_history'!$B$2:$B$50,"&lt;="&amp;L374))</f>
        <v/>
      </c>
      <c r="V374" s="2">
        <f>IF(U374="NOT FOUND","NOT FOUND",INDEX('6_3nf_branch_history'!$C:$C,SUMPRODUCT(('6_3nf_branch_history'!$A$2:$A$50=T374)*('6_3nf_branch_history'!$B$2:$B$50=U374)*ROW('6_3nf_branch_history'!$A$2:$A$50))))</f>
        <v/>
      </c>
      <c r="W374" s="2">
        <f>IF(U374="NOT FOUND","NOT FOUND",INDEX('6_3nf_branch_history'!$D:$D,SUMPRODUCT(('6_3nf_branch_history'!$A$2:$A$50=T374)*('6_3nf_branch_history'!$B$2:$B$50=U374)*ROW('6_3nf_branch_history'!$A$2:$A$50))))</f>
        <v/>
      </c>
      <c r="X374" s="2">
        <f>IF(U374="NOT FOUND","NOT FOUND",INDEX('6_3nf_branch_history'!$E:$E,SUMPRODUCT(('6_3nf_branch_history'!$A$2:$A$50=T374)*('6_3nf_branch_history'!$B$2:$B$50=U374)*ROW('6_3nf_branch_history'!$A$2:$A$50))))</f>
        <v/>
      </c>
      <c r="Y374" s="2">
        <f>UPPER(TRIM(D374))</f>
        <v/>
      </c>
      <c r="Z374" s="2">
        <f>IFERROR(INDEX('7_3nf_product'!$B:$B,MATCH(Y374,'7_3nf_product'!$A:$A,0)),"NOT FOUND")</f>
        <v/>
      </c>
      <c r="AA374" s="2">
        <f>IFERROR(INDEX('7_3nf_product'!$C:$C,MATCH(Y374,'7_3nf_product'!$A:$A,0)),"NOT FOUND")</f>
        <v/>
      </c>
      <c r="AB374" s="2">
        <f>IFERROR(INDEX('7_3nf_product'!$D:$D,MATCH(Y374,'7_3nf_product'!$A:$A,0)),"NOT FOUND")</f>
        <v/>
      </c>
      <c r="AC374" s="6">
        <f>IFERROR(INDEX('7_3nf_product'!$E:$E,MATCH(Y374,'7_3nf_product'!$A:$A,0)),"NOT FOUND")</f>
        <v/>
      </c>
      <c r="AD374" s="33">
        <f>IF(LEN(TRIM(E374))=10,TRIM(E374),IF(LEN(TRIM(E374))=8,"00"&amp;TRIM(E374),"CHECK"))</f>
        <v/>
      </c>
      <c r="AE374" s="2">
        <f>IFERROR(INDEX('8_3nf_customer'!$C:$C,MATCH(AD374,'8_3nf_customer'!$B:$B,0)),"NOT FOUND")</f>
        <v/>
      </c>
      <c r="AF374" s="30">
        <f>IFERROR(INDEX('8_3nf_customer'!$D:$D,MATCH(AD374,'8_3nf_customer'!$B:$B,0)),"NOT FOUND")</f>
        <v/>
      </c>
      <c r="AG374" s="4">
        <f>IF(ISNUMBER(AF374),DATEDIF(AF374,L374,"y"),"NOT FOUND")</f>
        <v/>
      </c>
      <c r="AH374" s="2">
        <f>IFERROR(INDEX('8_3nf_customer'!$E:$E,MATCH(AD374,'8_3nf_customer'!$B:$B,0)),"NOT FOUND")</f>
        <v/>
      </c>
      <c r="AI374" s="30">
        <f>IF(_xlfn.MAXIFS('9_3nf_customer_history'!$B$2:$B$500,'9_3nf_customer_history'!$A$2:$A$500,AD374,'9_3nf_customer_history'!$B$2:$B$500,"&lt;="&amp;L374)=0,"NOT FOUND",_xlfn.MAXIFS('9_3nf_customer_history'!$B$2:$B$500,'9_3nf_customer_history'!$A$2:$A$500,AD374,'9_3nf_customer_history'!$B$2:$B$500,"&lt;="&amp;L374))</f>
        <v/>
      </c>
      <c r="AJ374" s="2">
        <f>IF(AI374="NOT FOUND","NOT FOUND",INDEX('9_3nf_customer_history'!$C:$C,SUMPRODUCT(('9_3nf_customer_history'!$A$2:$A$500=AD374)*('9_3nf_customer_history'!$B$2:$B$500=AI374)*ROW('9_3nf_customer_history'!$A$2:$A$500))))</f>
        <v/>
      </c>
      <c r="AK374" s="2">
        <f>IF(AI374="NOT FOUND","NOT FOUND",INDEX('9_3nf_customer_history'!$D:$D,SUMPRODUCT(('9_3nf_customer_history'!$A$2:$A$500=AD374)*('9_3nf_customer_history'!$B$2:$B$500=AI374)*ROW('9_3nf_customer_history'!$A$2:$A$500))))</f>
        <v/>
      </c>
      <c r="AL374" s="2">
        <f>UPPER(TRIM(H374))</f>
        <v/>
      </c>
      <c r="AM374" s="30">
        <f>IF(_xlfn.MAXIFS('10_ref_fx_rate'!$B$2:$B$2000,'10_ref_fx_rate'!$A$2:$A$2000,AL374,'10_ref_fx_rate'!$B$2:$B$2000,"&lt;="&amp;L374)=0,"NOT FOUND",_xlfn.MAXIFS('10_ref_fx_rate'!$B$2:$B$2000,'10_ref_fx_rate'!$A$2:$A$2000,AL374,'10_ref_fx_rate'!$B$2:$B$2000,"&lt;="&amp;L374))</f>
        <v/>
      </c>
      <c r="AN374" s="8">
        <f>IF(AM374="NOT FOUND","NOT FOUND",SUMIFS('10_ref_fx_rate'!$D$2:$D$2000,'10_ref_fx_rate'!$A$2:$A$2000,AL374,'10_ref_fx_rate'!$B$2:$B$2000,AM374))</f>
        <v/>
      </c>
      <c r="AO374" s="37">
        <f>IF(ISNUMBER(AN374),I374*AN374,"NOT FOUND")</f>
        <v/>
      </c>
      <c r="AP374" s="2">
        <f>UPPER(TRIM(J374))</f>
        <v/>
      </c>
      <c r="AQ374" s="2">
        <f>IF(AP374="","SELF-DIRECTED",IF(ISNUMBER(MATCH(AP374,'11_3nf_sales_person'!$A:$A,0)),IF(EXACT(AP374,J374),"OK","OK (auto-fixed)"),IF(ISNA(MATCH($A374,'12_sales_person_confirmation'!$A:$A,0)),"CONFIRM (not logged)",IF(INDEX('12_sales_person_confirmation'!$I:$I,MATCH($A374,'12_sales_person_confirmation'!$A:$A,0))="CONFIRMED","CONFIRMED ("&amp;LOWER(INDEX('12_sales_person_confirmation'!$E:$E,MATCH($A374,'12_sales_person_confirmation'!$A:$A,0)))&amp;")","PENDING CONFIRM"))))</f>
        <v/>
      </c>
      <c r="AR374" s="2">
        <f>IF(OR(AQ374="OK",AQ374="OK (auto-fixed)"),AP374,IF(LEFT(AQ374,9)="CONFIRMED",INDEX('12_sales_person_confirmation'!$F:$F,MATCH($A374,'12_sales_person_confirmation'!$A:$A,0)),""))</f>
        <v/>
      </c>
      <c r="AS374" s="2">
        <f>IF(AR374="","",INDEX('11_3nf_sales_person'!$B:$B,MATCH(AR374,'11_3nf_sales_person'!$A:$A,0)))</f>
        <v/>
      </c>
    </row>
    <row r="375">
      <c r="A375" s="2">
        <f>IF(ISBLANK('1_raw_log'!A375),"",'1_raw_log'!A375)</f>
        <v/>
      </c>
      <c r="B375" s="3">
        <f>IF(ISBLANK('1_raw_log'!B375),"",'1_raw_log'!B375)</f>
        <v/>
      </c>
      <c r="C375" s="2">
        <f>IF(ISBLANK('1_raw_log'!C375),"",'1_raw_log'!C375)</f>
        <v/>
      </c>
      <c r="D375" s="2">
        <f>IF(ISBLANK('1_raw_log'!D375),"",'1_raw_log'!D375)</f>
        <v/>
      </c>
      <c r="E375" s="4">
        <f>IF(ISBLANK('1_raw_log'!E375),"",'1_raw_log'!E375)</f>
        <v/>
      </c>
      <c r="F375" s="2">
        <f>IF(ISBLANK('1_raw_log'!F375),"",'1_raw_log'!F375)</f>
        <v/>
      </c>
      <c r="G375" s="2">
        <f>IF(ISBLANK('1_raw_log'!G375),"",'1_raw_log'!G375)</f>
        <v/>
      </c>
      <c r="H375" s="2">
        <f>IF(ISBLANK('1_raw_log'!H375),"",'1_raw_log'!H375)</f>
        <v/>
      </c>
      <c r="I375" s="7">
        <f>IF(ISBLANK('1_raw_log'!I375),"",'1_raw_log'!I375)</f>
        <v/>
      </c>
      <c r="J375" s="2">
        <f>IF(ISBLANK('1_raw_log'!J375),"",'1_raw_log'!J375)</f>
        <v/>
      </c>
      <c r="K375" s="2">
        <f>IF(ISBLANK('1_raw_log'!K375),"",'1_raw_log'!K375)</f>
        <v/>
      </c>
      <c r="L375" s="30">
        <f>INT(B375)</f>
        <v/>
      </c>
      <c r="M375" s="20">
        <f>ROUND(MOD(B375,1)*1440,0)/1440</f>
        <v/>
      </c>
      <c r="N375" s="4">
        <f>IFERROR(INDEX('3_ref_date'!$B:$B,MATCH(L375,'3_ref_date'!$A:$A,0)),"NOT FOUND")</f>
        <v/>
      </c>
      <c r="O375" s="2">
        <f>IFERROR(INDEX('3_ref_date'!$C:$C,MATCH(L375,'3_ref_date'!$A:$A,0)),"NOT FOUND")</f>
        <v/>
      </c>
      <c r="P375" s="4">
        <f>IFERROR(INDEX('3_ref_date'!$D:$D,MATCH(L375,'3_ref_date'!$A:$A,0)),"NOT FOUND")</f>
        <v/>
      </c>
      <c r="Q375" s="4">
        <f>IFERROR(INDEX('3_ref_date'!$E:$E,MATCH(L375,'3_ref_date'!$A:$A,0)),"NOT FOUND")</f>
        <v/>
      </c>
      <c r="R375" s="2">
        <f>IFERROR(INDEX('3_ref_date'!$F:$F,MATCH(L375,'3_ref_date'!$A:$A,0)),"NOT FOUND")</f>
        <v/>
      </c>
      <c r="S375" s="2">
        <f>IFERROR(INDEX('4_ref_time'!$D:$D,MATCH(ROUND(M375*1440,0),'4_ref_time'!$A:$A,0)),"NOT FOUND")</f>
        <v/>
      </c>
      <c r="T375" s="2">
        <f>UPPER(TRIM(C375))</f>
        <v/>
      </c>
      <c r="U375" s="30">
        <f>IF(_xlfn.MAXIFS('6_3nf_branch_history'!$B$2:$B$50,'6_3nf_branch_history'!$A$2:$A$50,T375,'6_3nf_branch_history'!$B$2:$B$50,"&lt;="&amp;L375)=0,"NOT FOUND",_xlfn.MAXIFS('6_3nf_branch_history'!$B$2:$B$50,'6_3nf_branch_history'!$A$2:$A$50,T375,'6_3nf_branch_history'!$B$2:$B$50,"&lt;="&amp;L375))</f>
        <v/>
      </c>
      <c r="V375" s="2">
        <f>IF(U375="NOT FOUND","NOT FOUND",INDEX('6_3nf_branch_history'!$C:$C,SUMPRODUCT(('6_3nf_branch_history'!$A$2:$A$50=T375)*('6_3nf_branch_history'!$B$2:$B$50=U375)*ROW('6_3nf_branch_history'!$A$2:$A$50))))</f>
        <v/>
      </c>
      <c r="W375" s="2">
        <f>IF(U375="NOT FOUND","NOT FOUND",INDEX('6_3nf_branch_history'!$D:$D,SUMPRODUCT(('6_3nf_branch_history'!$A$2:$A$50=T375)*('6_3nf_branch_history'!$B$2:$B$50=U375)*ROW('6_3nf_branch_history'!$A$2:$A$50))))</f>
        <v/>
      </c>
      <c r="X375" s="2">
        <f>IF(U375="NOT FOUND","NOT FOUND",INDEX('6_3nf_branch_history'!$E:$E,SUMPRODUCT(('6_3nf_branch_history'!$A$2:$A$50=T375)*('6_3nf_branch_history'!$B$2:$B$50=U375)*ROW('6_3nf_branch_history'!$A$2:$A$50))))</f>
        <v/>
      </c>
      <c r="Y375" s="2">
        <f>UPPER(TRIM(D375))</f>
        <v/>
      </c>
      <c r="Z375" s="2">
        <f>IFERROR(INDEX('7_3nf_product'!$B:$B,MATCH(Y375,'7_3nf_product'!$A:$A,0)),"NOT FOUND")</f>
        <v/>
      </c>
      <c r="AA375" s="2">
        <f>IFERROR(INDEX('7_3nf_product'!$C:$C,MATCH(Y375,'7_3nf_product'!$A:$A,0)),"NOT FOUND")</f>
        <v/>
      </c>
      <c r="AB375" s="2">
        <f>IFERROR(INDEX('7_3nf_product'!$D:$D,MATCH(Y375,'7_3nf_product'!$A:$A,0)),"NOT FOUND")</f>
        <v/>
      </c>
      <c r="AC375" s="6">
        <f>IFERROR(INDEX('7_3nf_product'!$E:$E,MATCH(Y375,'7_3nf_product'!$A:$A,0)),"NOT FOUND")</f>
        <v/>
      </c>
      <c r="AD375" s="33">
        <f>IF(LEN(TRIM(E375))=10,TRIM(E375),IF(LEN(TRIM(E375))=8,"00"&amp;TRIM(E375),"CHECK"))</f>
        <v/>
      </c>
      <c r="AE375" s="2">
        <f>IFERROR(INDEX('8_3nf_customer'!$C:$C,MATCH(AD375,'8_3nf_customer'!$B:$B,0)),"NOT FOUND")</f>
        <v/>
      </c>
      <c r="AF375" s="30">
        <f>IFERROR(INDEX('8_3nf_customer'!$D:$D,MATCH(AD375,'8_3nf_customer'!$B:$B,0)),"NOT FOUND")</f>
        <v/>
      </c>
      <c r="AG375" s="4">
        <f>IF(ISNUMBER(AF375),DATEDIF(AF375,L375,"y"),"NOT FOUND")</f>
        <v/>
      </c>
      <c r="AH375" s="2">
        <f>IFERROR(INDEX('8_3nf_customer'!$E:$E,MATCH(AD375,'8_3nf_customer'!$B:$B,0)),"NOT FOUND")</f>
        <v/>
      </c>
      <c r="AI375" s="30">
        <f>IF(_xlfn.MAXIFS('9_3nf_customer_history'!$B$2:$B$500,'9_3nf_customer_history'!$A$2:$A$500,AD375,'9_3nf_customer_history'!$B$2:$B$500,"&lt;="&amp;L375)=0,"NOT FOUND",_xlfn.MAXIFS('9_3nf_customer_history'!$B$2:$B$500,'9_3nf_customer_history'!$A$2:$A$500,AD375,'9_3nf_customer_history'!$B$2:$B$500,"&lt;="&amp;L375))</f>
        <v/>
      </c>
      <c r="AJ375" s="2">
        <f>IF(AI375="NOT FOUND","NOT FOUND",INDEX('9_3nf_customer_history'!$C:$C,SUMPRODUCT(('9_3nf_customer_history'!$A$2:$A$500=AD375)*('9_3nf_customer_history'!$B$2:$B$500=AI375)*ROW('9_3nf_customer_history'!$A$2:$A$500))))</f>
        <v/>
      </c>
      <c r="AK375" s="2">
        <f>IF(AI375="NOT FOUND","NOT FOUND",INDEX('9_3nf_customer_history'!$D:$D,SUMPRODUCT(('9_3nf_customer_history'!$A$2:$A$500=AD375)*('9_3nf_customer_history'!$B$2:$B$500=AI375)*ROW('9_3nf_customer_history'!$A$2:$A$500))))</f>
        <v/>
      </c>
      <c r="AL375" s="2">
        <f>UPPER(TRIM(H375))</f>
        <v/>
      </c>
      <c r="AM375" s="30">
        <f>IF(_xlfn.MAXIFS('10_ref_fx_rate'!$B$2:$B$2000,'10_ref_fx_rate'!$A$2:$A$2000,AL375,'10_ref_fx_rate'!$B$2:$B$2000,"&lt;="&amp;L375)=0,"NOT FOUND",_xlfn.MAXIFS('10_ref_fx_rate'!$B$2:$B$2000,'10_ref_fx_rate'!$A$2:$A$2000,AL375,'10_ref_fx_rate'!$B$2:$B$2000,"&lt;="&amp;L375))</f>
        <v/>
      </c>
      <c r="AN375" s="8">
        <f>IF(AM375="NOT FOUND","NOT FOUND",SUMIFS('10_ref_fx_rate'!$D$2:$D$2000,'10_ref_fx_rate'!$A$2:$A$2000,AL375,'10_ref_fx_rate'!$B$2:$B$2000,AM375))</f>
        <v/>
      </c>
      <c r="AO375" s="37">
        <f>IF(ISNUMBER(AN375),I375*AN375,"NOT FOUND")</f>
        <v/>
      </c>
      <c r="AP375" s="2">
        <f>UPPER(TRIM(J375))</f>
        <v/>
      </c>
      <c r="AQ375" s="2">
        <f>IF(AP375="","SELF-DIRECTED",IF(ISNUMBER(MATCH(AP375,'11_3nf_sales_person'!$A:$A,0)),IF(EXACT(AP375,J375),"OK","OK (auto-fixed)"),IF(ISNA(MATCH($A375,'12_sales_person_confirmation'!$A:$A,0)),"CONFIRM (not logged)",IF(INDEX('12_sales_person_confirmation'!$I:$I,MATCH($A375,'12_sales_person_confirmation'!$A:$A,0))="CONFIRMED","CONFIRMED ("&amp;LOWER(INDEX('12_sales_person_confirmation'!$E:$E,MATCH($A375,'12_sales_person_confirmation'!$A:$A,0)))&amp;")","PENDING CONFIRM"))))</f>
        <v/>
      </c>
      <c r="AR375" s="2">
        <f>IF(OR(AQ375="OK",AQ375="OK (auto-fixed)"),AP375,IF(LEFT(AQ375,9)="CONFIRMED",INDEX('12_sales_person_confirmation'!$F:$F,MATCH($A375,'12_sales_person_confirmation'!$A:$A,0)),""))</f>
        <v/>
      </c>
      <c r="AS375" s="2">
        <f>IF(AR375="","",INDEX('11_3nf_sales_person'!$B:$B,MATCH(AR375,'11_3nf_sales_person'!$A:$A,0)))</f>
        <v/>
      </c>
    </row>
    <row r="376">
      <c r="A376" s="2">
        <f>IF(ISBLANK('1_raw_log'!A376),"",'1_raw_log'!A376)</f>
        <v/>
      </c>
      <c r="B376" s="3">
        <f>IF(ISBLANK('1_raw_log'!B376),"",'1_raw_log'!B376)</f>
        <v/>
      </c>
      <c r="C376" s="2">
        <f>IF(ISBLANK('1_raw_log'!C376),"",'1_raw_log'!C376)</f>
        <v/>
      </c>
      <c r="D376" s="2">
        <f>IF(ISBLANK('1_raw_log'!D376),"",'1_raw_log'!D376)</f>
        <v/>
      </c>
      <c r="E376" s="4">
        <f>IF(ISBLANK('1_raw_log'!E376),"",'1_raw_log'!E376)</f>
        <v/>
      </c>
      <c r="F376" s="2">
        <f>IF(ISBLANK('1_raw_log'!F376),"",'1_raw_log'!F376)</f>
        <v/>
      </c>
      <c r="G376" s="2">
        <f>IF(ISBLANK('1_raw_log'!G376),"",'1_raw_log'!G376)</f>
        <v/>
      </c>
      <c r="H376" s="2">
        <f>IF(ISBLANK('1_raw_log'!H376),"",'1_raw_log'!H376)</f>
        <v/>
      </c>
      <c r="I376" s="7">
        <f>IF(ISBLANK('1_raw_log'!I376),"",'1_raw_log'!I376)</f>
        <v/>
      </c>
      <c r="J376" s="2">
        <f>IF(ISBLANK('1_raw_log'!J376),"",'1_raw_log'!J376)</f>
        <v/>
      </c>
      <c r="K376" s="2">
        <f>IF(ISBLANK('1_raw_log'!K376),"",'1_raw_log'!K376)</f>
        <v/>
      </c>
      <c r="L376" s="30">
        <f>INT(B376)</f>
        <v/>
      </c>
      <c r="M376" s="20">
        <f>ROUND(MOD(B376,1)*1440,0)/1440</f>
        <v/>
      </c>
      <c r="N376" s="4">
        <f>IFERROR(INDEX('3_ref_date'!$B:$B,MATCH(L376,'3_ref_date'!$A:$A,0)),"NOT FOUND")</f>
        <v/>
      </c>
      <c r="O376" s="2">
        <f>IFERROR(INDEX('3_ref_date'!$C:$C,MATCH(L376,'3_ref_date'!$A:$A,0)),"NOT FOUND")</f>
        <v/>
      </c>
      <c r="P376" s="4">
        <f>IFERROR(INDEX('3_ref_date'!$D:$D,MATCH(L376,'3_ref_date'!$A:$A,0)),"NOT FOUND")</f>
        <v/>
      </c>
      <c r="Q376" s="4">
        <f>IFERROR(INDEX('3_ref_date'!$E:$E,MATCH(L376,'3_ref_date'!$A:$A,0)),"NOT FOUND")</f>
        <v/>
      </c>
      <c r="R376" s="2">
        <f>IFERROR(INDEX('3_ref_date'!$F:$F,MATCH(L376,'3_ref_date'!$A:$A,0)),"NOT FOUND")</f>
        <v/>
      </c>
      <c r="S376" s="2">
        <f>IFERROR(INDEX('4_ref_time'!$D:$D,MATCH(ROUND(M376*1440,0),'4_ref_time'!$A:$A,0)),"NOT FOUND")</f>
        <v/>
      </c>
      <c r="T376" s="2">
        <f>UPPER(TRIM(C376))</f>
        <v/>
      </c>
      <c r="U376" s="30">
        <f>IF(_xlfn.MAXIFS('6_3nf_branch_history'!$B$2:$B$50,'6_3nf_branch_history'!$A$2:$A$50,T376,'6_3nf_branch_history'!$B$2:$B$50,"&lt;="&amp;L376)=0,"NOT FOUND",_xlfn.MAXIFS('6_3nf_branch_history'!$B$2:$B$50,'6_3nf_branch_history'!$A$2:$A$50,T376,'6_3nf_branch_history'!$B$2:$B$50,"&lt;="&amp;L376))</f>
        <v/>
      </c>
      <c r="V376" s="2">
        <f>IF(U376="NOT FOUND","NOT FOUND",INDEX('6_3nf_branch_history'!$C:$C,SUMPRODUCT(('6_3nf_branch_history'!$A$2:$A$50=T376)*('6_3nf_branch_history'!$B$2:$B$50=U376)*ROW('6_3nf_branch_history'!$A$2:$A$50))))</f>
        <v/>
      </c>
      <c r="W376" s="2">
        <f>IF(U376="NOT FOUND","NOT FOUND",INDEX('6_3nf_branch_history'!$D:$D,SUMPRODUCT(('6_3nf_branch_history'!$A$2:$A$50=T376)*('6_3nf_branch_history'!$B$2:$B$50=U376)*ROW('6_3nf_branch_history'!$A$2:$A$50))))</f>
        <v/>
      </c>
      <c r="X376" s="2">
        <f>IF(U376="NOT FOUND","NOT FOUND",INDEX('6_3nf_branch_history'!$E:$E,SUMPRODUCT(('6_3nf_branch_history'!$A$2:$A$50=T376)*('6_3nf_branch_history'!$B$2:$B$50=U376)*ROW('6_3nf_branch_history'!$A$2:$A$50))))</f>
        <v/>
      </c>
      <c r="Y376" s="2">
        <f>UPPER(TRIM(D376))</f>
        <v/>
      </c>
      <c r="Z376" s="2">
        <f>IFERROR(INDEX('7_3nf_product'!$B:$B,MATCH(Y376,'7_3nf_product'!$A:$A,0)),"NOT FOUND")</f>
        <v/>
      </c>
      <c r="AA376" s="2">
        <f>IFERROR(INDEX('7_3nf_product'!$C:$C,MATCH(Y376,'7_3nf_product'!$A:$A,0)),"NOT FOUND")</f>
        <v/>
      </c>
      <c r="AB376" s="2">
        <f>IFERROR(INDEX('7_3nf_product'!$D:$D,MATCH(Y376,'7_3nf_product'!$A:$A,0)),"NOT FOUND")</f>
        <v/>
      </c>
      <c r="AC376" s="6">
        <f>IFERROR(INDEX('7_3nf_product'!$E:$E,MATCH(Y376,'7_3nf_product'!$A:$A,0)),"NOT FOUND")</f>
        <v/>
      </c>
      <c r="AD376" s="33">
        <f>IF(LEN(TRIM(E376))=10,TRIM(E376),IF(LEN(TRIM(E376))=8,"00"&amp;TRIM(E376),"CHECK"))</f>
        <v/>
      </c>
      <c r="AE376" s="2">
        <f>IFERROR(INDEX('8_3nf_customer'!$C:$C,MATCH(AD376,'8_3nf_customer'!$B:$B,0)),"NOT FOUND")</f>
        <v/>
      </c>
      <c r="AF376" s="30">
        <f>IFERROR(INDEX('8_3nf_customer'!$D:$D,MATCH(AD376,'8_3nf_customer'!$B:$B,0)),"NOT FOUND")</f>
        <v/>
      </c>
      <c r="AG376" s="4">
        <f>IF(ISNUMBER(AF376),DATEDIF(AF376,L376,"y"),"NOT FOUND")</f>
        <v/>
      </c>
      <c r="AH376" s="2">
        <f>IFERROR(INDEX('8_3nf_customer'!$E:$E,MATCH(AD376,'8_3nf_customer'!$B:$B,0)),"NOT FOUND")</f>
        <v/>
      </c>
      <c r="AI376" s="30">
        <f>IF(_xlfn.MAXIFS('9_3nf_customer_history'!$B$2:$B$500,'9_3nf_customer_history'!$A$2:$A$500,AD376,'9_3nf_customer_history'!$B$2:$B$500,"&lt;="&amp;L376)=0,"NOT FOUND",_xlfn.MAXIFS('9_3nf_customer_history'!$B$2:$B$500,'9_3nf_customer_history'!$A$2:$A$500,AD376,'9_3nf_customer_history'!$B$2:$B$500,"&lt;="&amp;L376))</f>
        <v/>
      </c>
      <c r="AJ376" s="2">
        <f>IF(AI376="NOT FOUND","NOT FOUND",INDEX('9_3nf_customer_history'!$C:$C,SUMPRODUCT(('9_3nf_customer_history'!$A$2:$A$500=AD376)*('9_3nf_customer_history'!$B$2:$B$500=AI376)*ROW('9_3nf_customer_history'!$A$2:$A$500))))</f>
        <v/>
      </c>
      <c r="AK376" s="2">
        <f>IF(AI376="NOT FOUND","NOT FOUND",INDEX('9_3nf_customer_history'!$D:$D,SUMPRODUCT(('9_3nf_customer_history'!$A$2:$A$500=AD376)*('9_3nf_customer_history'!$B$2:$B$500=AI376)*ROW('9_3nf_customer_history'!$A$2:$A$500))))</f>
        <v/>
      </c>
      <c r="AL376" s="2">
        <f>UPPER(TRIM(H376))</f>
        <v/>
      </c>
      <c r="AM376" s="30">
        <f>IF(_xlfn.MAXIFS('10_ref_fx_rate'!$B$2:$B$2000,'10_ref_fx_rate'!$A$2:$A$2000,AL376,'10_ref_fx_rate'!$B$2:$B$2000,"&lt;="&amp;L376)=0,"NOT FOUND",_xlfn.MAXIFS('10_ref_fx_rate'!$B$2:$B$2000,'10_ref_fx_rate'!$A$2:$A$2000,AL376,'10_ref_fx_rate'!$B$2:$B$2000,"&lt;="&amp;L376))</f>
        <v/>
      </c>
      <c r="AN376" s="8">
        <f>IF(AM376="NOT FOUND","NOT FOUND",SUMIFS('10_ref_fx_rate'!$D$2:$D$2000,'10_ref_fx_rate'!$A$2:$A$2000,AL376,'10_ref_fx_rate'!$B$2:$B$2000,AM376))</f>
        <v/>
      </c>
      <c r="AO376" s="37">
        <f>IF(ISNUMBER(AN376),I376*AN376,"NOT FOUND")</f>
        <v/>
      </c>
      <c r="AP376" s="2">
        <f>UPPER(TRIM(J376))</f>
        <v/>
      </c>
      <c r="AQ376" s="2">
        <f>IF(AP376="","SELF-DIRECTED",IF(ISNUMBER(MATCH(AP376,'11_3nf_sales_person'!$A:$A,0)),IF(EXACT(AP376,J376),"OK","OK (auto-fixed)"),IF(ISNA(MATCH($A376,'12_sales_person_confirmation'!$A:$A,0)),"CONFIRM (not logged)",IF(INDEX('12_sales_person_confirmation'!$I:$I,MATCH($A376,'12_sales_person_confirmation'!$A:$A,0))="CONFIRMED","CONFIRMED ("&amp;LOWER(INDEX('12_sales_person_confirmation'!$E:$E,MATCH($A376,'12_sales_person_confirmation'!$A:$A,0)))&amp;")","PENDING CONFIRM"))))</f>
        <v/>
      </c>
      <c r="AR376" s="2">
        <f>IF(OR(AQ376="OK",AQ376="OK (auto-fixed)"),AP376,IF(LEFT(AQ376,9)="CONFIRMED",INDEX('12_sales_person_confirmation'!$F:$F,MATCH($A376,'12_sales_person_confirmation'!$A:$A,0)),""))</f>
        <v/>
      </c>
      <c r="AS376" s="2">
        <f>IF(AR376="","",INDEX('11_3nf_sales_person'!$B:$B,MATCH(AR376,'11_3nf_sales_person'!$A:$A,0)))</f>
        <v/>
      </c>
    </row>
    <row r="377">
      <c r="A377" s="2">
        <f>IF(ISBLANK('1_raw_log'!A377),"",'1_raw_log'!A377)</f>
        <v/>
      </c>
      <c r="B377" s="3">
        <f>IF(ISBLANK('1_raw_log'!B377),"",'1_raw_log'!B377)</f>
        <v/>
      </c>
      <c r="C377" s="2">
        <f>IF(ISBLANK('1_raw_log'!C377),"",'1_raw_log'!C377)</f>
        <v/>
      </c>
      <c r="D377" s="2">
        <f>IF(ISBLANK('1_raw_log'!D377),"",'1_raw_log'!D377)</f>
        <v/>
      </c>
      <c r="E377" s="4">
        <f>IF(ISBLANK('1_raw_log'!E377),"",'1_raw_log'!E377)</f>
        <v/>
      </c>
      <c r="F377" s="2">
        <f>IF(ISBLANK('1_raw_log'!F377),"",'1_raw_log'!F377)</f>
        <v/>
      </c>
      <c r="G377" s="2">
        <f>IF(ISBLANK('1_raw_log'!G377),"",'1_raw_log'!G377)</f>
        <v/>
      </c>
      <c r="H377" s="2">
        <f>IF(ISBLANK('1_raw_log'!H377),"",'1_raw_log'!H377)</f>
        <v/>
      </c>
      <c r="I377" s="7">
        <f>IF(ISBLANK('1_raw_log'!I377),"",'1_raw_log'!I377)</f>
        <v/>
      </c>
      <c r="J377" s="2">
        <f>IF(ISBLANK('1_raw_log'!J377),"",'1_raw_log'!J377)</f>
        <v/>
      </c>
      <c r="K377" s="2">
        <f>IF(ISBLANK('1_raw_log'!K377),"",'1_raw_log'!K377)</f>
        <v/>
      </c>
      <c r="L377" s="30">
        <f>INT(B377)</f>
        <v/>
      </c>
      <c r="M377" s="20">
        <f>ROUND(MOD(B377,1)*1440,0)/1440</f>
        <v/>
      </c>
      <c r="N377" s="4">
        <f>IFERROR(INDEX('3_ref_date'!$B:$B,MATCH(L377,'3_ref_date'!$A:$A,0)),"NOT FOUND")</f>
        <v/>
      </c>
      <c r="O377" s="2">
        <f>IFERROR(INDEX('3_ref_date'!$C:$C,MATCH(L377,'3_ref_date'!$A:$A,0)),"NOT FOUND")</f>
        <v/>
      </c>
      <c r="P377" s="4">
        <f>IFERROR(INDEX('3_ref_date'!$D:$D,MATCH(L377,'3_ref_date'!$A:$A,0)),"NOT FOUND")</f>
        <v/>
      </c>
      <c r="Q377" s="4">
        <f>IFERROR(INDEX('3_ref_date'!$E:$E,MATCH(L377,'3_ref_date'!$A:$A,0)),"NOT FOUND")</f>
        <v/>
      </c>
      <c r="R377" s="2">
        <f>IFERROR(INDEX('3_ref_date'!$F:$F,MATCH(L377,'3_ref_date'!$A:$A,0)),"NOT FOUND")</f>
        <v/>
      </c>
      <c r="S377" s="2">
        <f>IFERROR(INDEX('4_ref_time'!$D:$D,MATCH(ROUND(M377*1440,0),'4_ref_time'!$A:$A,0)),"NOT FOUND")</f>
        <v/>
      </c>
      <c r="T377" s="2">
        <f>UPPER(TRIM(C377))</f>
        <v/>
      </c>
      <c r="U377" s="30">
        <f>IF(_xlfn.MAXIFS('6_3nf_branch_history'!$B$2:$B$50,'6_3nf_branch_history'!$A$2:$A$50,T377,'6_3nf_branch_history'!$B$2:$B$50,"&lt;="&amp;L377)=0,"NOT FOUND",_xlfn.MAXIFS('6_3nf_branch_history'!$B$2:$B$50,'6_3nf_branch_history'!$A$2:$A$50,T377,'6_3nf_branch_history'!$B$2:$B$50,"&lt;="&amp;L377))</f>
        <v/>
      </c>
      <c r="V377" s="2">
        <f>IF(U377="NOT FOUND","NOT FOUND",INDEX('6_3nf_branch_history'!$C:$C,SUMPRODUCT(('6_3nf_branch_history'!$A$2:$A$50=T377)*('6_3nf_branch_history'!$B$2:$B$50=U377)*ROW('6_3nf_branch_history'!$A$2:$A$50))))</f>
        <v/>
      </c>
      <c r="W377" s="2">
        <f>IF(U377="NOT FOUND","NOT FOUND",INDEX('6_3nf_branch_history'!$D:$D,SUMPRODUCT(('6_3nf_branch_history'!$A$2:$A$50=T377)*('6_3nf_branch_history'!$B$2:$B$50=U377)*ROW('6_3nf_branch_history'!$A$2:$A$50))))</f>
        <v/>
      </c>
      <c r="X377" s="2">
        <f>IF(U377="NOT FOUND","NOT FOUND",INDEX('6_3nf_branch_history'!$E:$E,SUMPRODUCT(('6_3nf_branch_history'!$A$2:$A$50=T377)*('6_3nf_branch_history'!$B$2:$B$50=U377)*ROW('6_3nf_branch_history'!$A$2:$A$50))))</f>
        <v/>
      </c>
      <c r="Y377" s="2">
        <f>UPPER(TRIM(D377))</f>
        <v/>
      </c>
      <c r="Z377" s="2">
        <f>IFERROR(INDEX('7_3nf_product'!$B:$B,MATCH(Y377,'7_3nf_product'!$A:$A,0)),"NOT FOUND")</f>
        <v/>
      </c>
      <c r="AA377" s="2">
        <f>IFERROR(INDEX('7_3nf_product'!$C:$C,MATCH(Y377,'7_3nf_product'!$A:$A,0)),"NOT FOUND")</f>
        <v/>
      </c>
      <c r="AB377" s="2">
        <f>IFERROR(INDEX('7_3nf_product'!$D:$D,MATCH(Y377,'7_3nf_product'!$A:$A,0)),"NOT FOUND")</f>
        <v/>
      </c>
      <c r="AC377" s="6">
        <f>IFERROR(INDEX('7_3nf_product'!$E:$E,MATCH(Y377,'7_3nf_product'!$A:$A,0)),"NOT FOUND")</f>
        <v/>
      </c>
      <c r="AD377" s="33">
        <f>IF(LEN(TRIM(E377))=10,TRIM(E377),IF(LEN(TRIM(E377))=8,"00"&amp;TRIM(E377),"CHECK"))</f>
        <v/>
      </c>
      <c r="AE377" s="2">
        <f>IFERROR(INDEX('8_3nf_customer'!$C:$C,MATCH(AD377,'8_3nf_customer'!$B:$B,0)),"NOT FOUND")</f>
        <v/>
      </c>
      <c r="AF377" s="30">
        <f>IFERROR(INDEX('8_3nf_customer'!$D:$D,MATCH(AD377,'8_3nf_customer'!$B:$B,0)),"NOT FOUND")</f>
        <v/>
      </c>
      <c r="AG377" s="4">
        <f>IF(ISNUMBER(AF377),DATEDIF(AF377,L377,"y"),"NOT FOUND")</f>
        <v/>
      </c>
      <c r="AH377" s="2">
        <f>IFERROR(INDEX('8_3nf_customer'!$E:$E,MATCH(AD377,'8_3nf_customer'!$B:$B,0)),"NOT FOUND")</f>
        <v/>
      </c>
      <c r="AI377" s="30">
        <f>IF(_xlfn.MAXIFS('9_3nf_customer_history'!$B$2:$B$500,'9_3nf_customer_history'!$A$2:$A$500,AD377,'9_3nf_customer_history'!$B$2:$B$500,"&lt;="&amp;L377)=0,"NOT FOUND",_xlfn.MAXIFS('9_3nf_customer_history'!$B$2:$B$500,'9_3nf_customer_history'!$A$2:$A$500,AD377,'9_3nf_customer_history'!$B$2:$B$500,"&lt;="&amp;L377))</f>
        <v/>
      </c>
      <c r="AJ377" s="2">
        <f>IF(AI377="NOT FOUND","NOT FOUND",INDEX('9_3nf_customer_history'!$C:$C,SUMPRODUCT(('9_3nf_customer_history'!$A$2:$A$500=AD377)*('9_3nf_customer_history'!$B$2:$B$500=AI377)*ROW('9_3nf_customer_history'!$A$2:$A$500))))</f>
        <v/>
      </c>
      <c r="AK377" s="2">
        <f>IF(AI377="NOT FOUND","NOT FOUND",INDEX('9_3nf_customer_history'!$D:$D,SUMPRODUCT(('9_3nf_customer_history'!$A$2:$A$500=AD377)*('9_3nf_customer_history'!$B$2:$B$500=AI377)*ROW('9_3nf_customer_history'!$A$2:$A$500))))</f>
        <v/>
      </c>
      <c r="AL377" s="2">
        <f>UPPER(TRIM(H377))</f>
        <v/>
      </c>
      <c r="AM377" s="30">
        <f>IF(_xlfn.MAXIFS('10_ref_fx_rate'!$B$2:$B$2000,'10_ref_fx_rate'!$A$2:$A$2000,AL377,'10_ref_fx_rate'!$B$2:$B$2000,"&lt;="&amp;L377)=0,"NOT FOUND",_xlfn.MAXIFS('10_ref_fx_rate'!$B$2:$B$2000,'10_ref_fx_rate'!$A$2:$A$2000,AL377,'10_ref_fx_rate'!$B$2:$B$2000,"&lt;="&amp;L377))</f>
        <v/>
      </c>
      <c r="AN377" s="8">
        <f>IF(AM377="NOT FOUND","NOT FOUND",SUMIFS('10_ref_fx_rate'!$D$2:$D$2000,'10_ref_fx_rate'!$A$2:$A$2000,AL377,'10_ref_fx_rate'!$B$2:$B$2000,AM377))</f>
        <v/>
      </c>
      <c r="AO377" s="37">
        <f>IF(ISNUMBER(AN377),I377*AN377,"NOT FOUND")</f>
        <v/>
      </c>
      <c r="AP377" s="2">
        <f>UPPER(TRIM(J377))</f>
        <v/>
      </c>
      <c r="AQ377" s="2">
        <f>IF(AP377="","SELF-DIRECTED",IF(ISNUMBER(MATCH(AP377,'11_3nf_sales_person'!$A:$A,0)),IF(EXACT(AP377,J377),"OK","OK (auto-fixed)"),IF(ISNA(MATCH($A377,'12_sales_person_confirmation'!$A:$A,0)),"CONFIRM (not logged)",IF(INDEX('12_sales_person_confirmation'!$I:$I,MATCH($A377,'12_sales_person_confirmation'!$A:$A,0))="CONFIRMED","CONFIRMED ("&amp;LOWER(INDEX('12_sales_person_confirmation'!$E:$E,MATCH($A377,'12_sales_person_confirmation'!$A:$A,0)))&amp;")","PENDING CONFIRM"))))</f>
        <v/>
      </c>
      <c r="AR377" s="2">
        <f>IF(OR(AQ377="OK",AQ377="OK (auto-fixed)"),AP377,IF(LEFT(AQ377,9)="CONFIRMED",INDEX('12_sales_person_confirmation'!$F:$F,MATCH($A377,'12_sales_person_confirmation'!$A:$A,0)),""))</f>
        <v/>
      </c>
      <c r="AS377" s="2">
        <f>IF(AR377="","",INDEX('11_3nf_sales_person'!$B:$B,MATCH(AR377,'11_3nf_sales_person'!$A:$A,0)))</f>
        <v/>
      </c>
    </row>
    <row r="378">
      <c r="A378" s="2">
        <f>IF(ISBLANK('1_raw_log'!A378),"",'1_raw_log'!A378)</f>
        <v/>
      </c>
      <c r="B378" s="3">
        <f>IF(ISBLANK('1_raw_log'!B378),"",'1_raw_log'!B378)</f>
        <v/>
      </c>
      <c r="C378" s="2">
        <f>IF(ISBLANK('1_raw_log'!C378),"",'1_raw_log'!C378)</f>
        <v/>
      </c>
      <c r="D378" s="2">
        <f>IF(ISBLANK('1_raw_log'!D378),"",'1_raw_log'!D378)</f>
        <v/>
      </c>
      <c r="E378" s="4">
        <f>IF(ISBLANK('1_raw_log'!E378),"",'1_raw_log'!E378)</f>
        <v/>
      </c>
      <c r="F378" s="2">
        <f>IF(ISBLANK('1_raw_log'!F378),"",'1_raw_log'!F378)</f>
        <v/>
      </c>
      <c r="G378" s="2">
        <f>IF(ISBLANK('1_raw_log'!G378),"",'1_raw_log'!G378)</f>
        <v/>
      </c>
      <c r="H378" s="2">
        <f>IF(ISBLANK('1_raw_log'!H378),"",'1_raw_log'!H378)</f>
        <v/>
      </c>
      <c r="I378" s="7">
        <f>IF(ISBLANK('1_raw_log'!I378),"",'1_raw_log'!I378)</f>
        <v/>
      </c>
      <c r="J378" s="2">
        <f>IF(ISBLANK('1_raw_log'!J378),"",'1_raw_log'!J378)</f>
        <v/>
      </c>
      <c r="K378" s="2">
        <f>IF(ISBLANK('1_raw_log'!K378),"",'1_raw_log'!K378)</f>
        <v/>
      </c>
      <c r="L378" s="30">
        <f>INT(B378)</f>
        <v/>
      </c>
      <c r="M378" s="20">
        <f>ROUND(MOD(B378,1)*1440,0)/1440</f>
        <v/>
      </c>
      <c r="N378" s="4">
        <f>IFERROR(INDEX('3_ref_date'!$B:$B,MATCH(L378,'3_ref_date'!$A:$A,0)),"NOT FOUND")</f>
        <v/>
      </c>
      <c r="O378" s="2">
        <f>IFERROR(INDEX('3_ref_date'!$C:$C,MATCH(L378,'3_ref_date'!$A:$A,0)),"NOT FOUND")</f>
        <v/>
      </c>
      <c r="P378" s="4">
        <f>IFERROR(INDEX('3_ref_date'!$D:$D,MATCH(L378,'3_ref_date'!$A:$A,0)),"NOT FOUND")</f>
        <v/>
      </c>
      <c r="Q378" s="4">
        <f>IFERROR(INDEX('3_ref_date'!$E:$E,MATCH(L378,'3_ref_date'!$A:$A,0)),"NOT FOUND")</f>
        <v/>
      </c>
      <c r="R378" s="2">
        <f>IFERROR(INDEX('3_ref_date'!$F:$F,MATCH(L378,'3_ref_date'!$A:$A,0)),"NOT FOUND")</f>
        <v/>
      </c>
      <c r="S378" s="2">
        <f>IFERROR(INDEX('4_ref_time'!$D:$D,MATCH(ROUND(M378*1440,0),'4_ref_time'!$A:$A,0)),"NOT FOUND")</f>
        <v/>
      </c>
      <c r="T378" s="2">
        <f>UPPER(TRIM(C378))</f>
        <v/>
      </c>
      <c r="U378" s="30">
        <f>IF(_xlfn.MAXIFS('6_3nf_branch_history'!$B$2:$B$50,'6_3nf_branch_history'!$A$2:$A$50,T378,'6_3nf_branch_history'!$B$2:$B$50,"&lt;="&amp;L378)=0,"NOT FOUND",_xlfn.MAXIFS('6_3nf_branch_history'!$B$2:$B$50,'6_3nf_branch_history'!$A$2:$A$50,T378,'6_3nf_branch_history'!$B$2:$B$50,"&lt;="&amp;L378))</f>
        <v/>
      </c>
      <c r="V378" s="2">
        <f>IF(U378="NOT FOUND","NOT FOUND",INDEX('6_3nf_branch_history'!$C:$C,SUMPRODUCT(('6_3nf_branch_history'!$A$2:$A$50=T378)*('6_3nf_branch_history'!$B$2:$B$50=U378)*ROW('6_3nf_branch_history'!$A$2:$A$50))))</f>
        <v/>
      </c>
      <c r="W378" s="2">
        <f>IF(U378="NOT FOUND","NOT FOUND",INDEX('6_3nf_branch_history'!$D:$D,SUMPRODUCT(('6_3nf_branch_history'!$A$2:$A$50=T378)*('6_3nf_branch_history'!$B$2:$B$50=U378)*ROW('6_3nf_branch_history'!$A$2:$A$50))))</f>
        <v/>
      </c>
      <c r="X378" s="2">
        <f>IF(U378="NOT FOUND","NOT FOUND",INDEX('6_3nf_branch_history'!$E:$E,SUMPRODUCT(('6_3nf_branch_history'!$A$2:$A$50=T378)*('6_3nf_branch_history'!$B$2:$B$50=U378)*ROW('6_3nf_branch_history'!$A$2:$A$50))))</f>
        <v/>
      </c>
      <c r="Y378" s="2">
        <f>UPPER(TRIM(D378))</f>
        <v/>
      </c>
      <c r="Z378" s="2">
        <f>IFERROR(INDEX('7_3nf_product'!$B:$B,MATCH(Y378,'7_3nf_product'!$A:$A,0)),"NOT FOUND")</f>
        <v/>
      </c>
      <c r="AA378" s="2">
        <f>IFERROR(INDEX('7_3nf_product'!$C:$C,MATCH(Y378,'7_3nf_product'!$A:$A,0)),"NOT FOUND")</f>
        <v/>
      </c>
      <c r="AB378" s="2">
        <f>IFERROR(INDEX('7_3nf_product'!$D:$D,MATCH(Y378,'7_3nf_product'!$A:$A,0)),"NOT FOUND")</f>
        <v/>
      </c>
      <c r="AC378" s="6">
        <f>IFERROR(INDEX('7_3nf_product'!$E:$E,MATCH(Y378,'7_3nf_product'!$A:$A,0)),"NOT FOUND")</f>
        <v/>
      </c>
      <c r="AD378" s="33">
        <f>IF(LEN(TRIM(E378))=10,TRIM(E378),IF(LEN(TRIM(E378))=8,"00"&amp;TRIM(E378),"CHECK"))</f>
        <v/>
      </c>
      <c r="AE378" s="2">
        <f>IFERROR(INDEX('8_3nf_customer'!$C:$C,MATCH(AD378,'8_3nf_customer'!$B:$B,0)),"NOT FOUND")</f>
        <v/>
      </c>
      <c r="AF378" s="30">
        <f>IFERROR(INDEX('8_3nf_customer'!$D:$D,MATCH(AD378,'8_3nf_customer'!$B:$B,0)),"NOT FOUND")</f>
        <v/>
      </c>
      <c r="AG378" s="4">
        <f>IF(ISNUMBER(AF378),DATEDIF(AF378,L378,"y"),"NOT FOUND")</f>
        <v/>
      </c>
      <c r="AH378" s="2">
        <f>IFERROR(INDEX('8_3nf_customer'!$E:$E,MATCH(AD378,'8_3nf_customer'!$B:$B,0)),"NOT FOUND")</f>
        <v/>
      </c>
      <c r="AI378" s="30">
        <f>IF(_xlfn.MAXIFS('9_3nf_customer_history'!$B$2:$B$500,'9_3nf_customer_history'!$A$2:$A$500,AD378,'9_3nf_customer_history'!$B$2:$B$500,"&lt;="&amp;L378)=0,"NOT FOUND",_xlfn.MAXIFS('9_3nf_customer_history'!$B$2:$B$500,'9_3nf_customer_history'!$A$2:$A$500,AD378,'9_3nf_customer_history'!$B$2:$B$500,"&lt;="&amp;L378))</f>
        <v/>
      </c>
      <c r="AJ378" s="2">
        <f>IF(AI378="NOT FOUND","NOT FOUND",INDEX('9_3nf_customer_history'!$C:$C,SUMPRODUCT(('9_3nf_customer_history'!$A$2:$A$500=AD378)*('9_3nf_customer_history'!$B$2:$B$500=AI378)*ROW('9_3nf_customer_history'!$A$2:$A$500))))</f>
        <v/>
      </c>
      <c r="AK378" s="2">
        <f>IF(AI378="NOT FOUND","NOT FOUND",INDEX('9_3nf_customer_history'!$D:$D,SUMPRODUCT(('9_3nf_customer_history'!$A$2:$A$500=AD378)*('9_3nf_customer_history'!$B$2:$B$500=AI378)*ROW('9_3nf_customer_history'!$A$2:$A$500))))</f>
        <v/>
      </c>
      <c r="AL378" s="2">
        <f>UPPER(TRIM(H378))</f>
        <v/>
      </c>
      <c r="AM378" s="30">
        <f>IF(_xlfn.MAXIFS('10_ref_fx_rate'!$B$2:$B$2000,'10_ref_fx_rate'!$A$2:$A$2000,AL378,'10_ref_fx_rate'!$B$2:$B$2000,"&lt;="&amp;L378)=0,"NOT FOUND",_xlfn.MAXIFS('10_ref_fx_rate'!$B$2:$B$2000,'10_ref_fx_rate'!$A$2:$A$2000,AL378,'10_ref_fx_rate'!$B$2:$B$2000,"&lt;="&amp;L378))</f>
        <v/>
      </c>
      <c r="AN378" s="8">
        <f>IF(AM378="NOT FOUND","NOT FOUND",SUMIFS('10_ref_fx_rate'!$D$2:$D$2000,'10_ref_fx_rate'!$A$2:$A$2000,AL378,'10_ref_fx_rate'!$B$2:$B$2000,AM378))</f>
        <v/>
      </c>
      <c r="AO378" s="37">
        <f>IF(ISNUMBER(AN378),I378*AN378,"NOT FOUND")</f>
        <v/>
      </c>
      <c r="AP378" s="2">
        <f>UPPER(TRIM(J378))</f>
        <v/>
      </c>
      <c r="AQ378" s="2">
        <f>IF(AP378="","SELF-DIRECTED",IF(ISNUMBER(MATCH(AP378,'11_3nf_sales_person'!$A:$A,0)),IF(EXACT(AP378,J378),"OK","OK (auto-fixed)"),IF(ISNA(MATCH($A378,'12_sales_person_confirmation'!$A:$A,0)),"CONFIRM (not logged)",IF(INDEX('12_sales_person_confirmation'!$I:$I,MATCH($A378,'12_sales_person_confirmation'!$A:$A,0))="CONFIRMED","CONFIRMED ("&amp;LOWER(INDEX('12_sales_person_confirmation'!$E:$E,MATCH($A378,'12_sales_person_confirmation'!$A:$A,0)))&amp;")","PENDING CONFIRM"))))</f>
        <v/>
      </c>
      <c r="AR378" s="2">
        <f>IF(OR(AQ378="OK",AQ378="OK (auto-fixed)"),AP378,IF(LEFT(AQ378,9)="CONFIRMED",INDEX('12_sales_person_confirmation'!$F:$F,MATCH($A378,'12_sales_person_confirmation'!$A:$A,0)),""))</f>
        <v/>
      </c>
      <c r="AS378" s="2">
        <f>IF(AR378="","",INDEX('11_3nf_sales_person'!$B:$B,MATCH(AR378,'11_3nf_sales_person'!$A:$A,0)))</f>
        <v/>
      </c>
    </row>
    <row r="379">
      <c r="A379" s="2">
        <f>IF(ISBLANK('1_raw_log'!A379),"",'1_raw_log'!A379)</f>
        <v/>
      </c>
      <c r="B379" s="3">
        <f>IF(ISBLANK('1_raw_log'!B379),"",'1_raw_log'!B379)</f>
        <v/>
      </c>
      <c r="C379" s="2">
        <f>IF(ISBLANK('1_raw_log'!C379),"",'1_raw_log'!C379)</f>
        <v/>
      </c>
      <c r="D379" s="2">
        <f>IF(ISBLANK('1_raw_log'!D379),"",'1_raw_log'!D379)</f>
        <v/>
      </c>
      <c r="E379" s="4">
        <f>IF(ISBLANK('1_raw_log'!E379),"",'1_raw_log'!E379)</f>
        <v/>
      </c>
      <c r="F379" s="2">
        <f>IF(ISBLANK('1_raw_log'!F379),"",'1_raw_log'!F379)</f>
        <v/>
      </c>
      <c r="G379" s="2">
        <f>IF(ISBLANK('1_raw_log'!G379),"",'1_raw_log'!G379)</f>
        <v/>
      </c>
      <c r="H379" s="2">
        <f>IF(ISBLANK('1_raw_log'!H379),"",'1_raw_log'!H379)</f>
        <v/>
      </c>
      <c r="I379" s="7">
        <f>IF(ISBLANK('1_raw_log'!I379),"",'1_raw_log'!I379)</f>
        <v/>
      </c>
      <c r="J379" s="2">
        <f>IF(ISBLANK('1_raw_log'!J379),"",'1_raw_log'!J379)</f>
        <v/>
      </c>
      <c r="K379" s="2">
        <f>IF(ISBLANK('1_raw_log'!K379),"",'1_raw_log'!K379)</f>
        <v/>
      </c>
      <c r="L379" s="30">
        <f>INT(B379)</f>
        <v/>
      </c>
      <c r="M379" s="20">
        <f>ROUND(MOD(B379,1)*1440,0)/1440</f>
        <v/>
      </c>
      <c r="N379" s="4">
        <f>IFERROR(INDEX('3_ref_date'!$B:$B,MATCH(L379,'3_ref_date'!$A:$A,0)),"NOT FOUND")</f>
        <v/>
      </c>
      <c r="O379" s="2">
        <f>IFERROR(INDEX('3_ref_date'!$C:$C,MATCH(L379,'3_ref_date'!$A:$A,0)),"NOT FOUND")</f>
        <v/>
      </c>
      <c r="P379" s="4">
        <f>IFERROR(INDEX('3_ref_date'!$D:$D,MATCH(L379,'3_ref_date'!$A:$A,0)),"NOT FOUND")</f>
        <v/>
      </c>
      <c r="Q379" s="4">
        <f>IFERROR(INDEX('3_ref_date'!$E:$E,MATCH(L379,'3_ref_date'!$A:$A,0)),"NOT FOUND")</f>
        <v/>
      </c>
      <c r="R379" s="2">
        <f>IFERROR(INDEX('3_ref_date'!$F:$F,MATCH(L379,'3_ref_date'!$A:$A,0)),"NOT FOUND")</f>
        <v/>
      </c>
      <c r="S379" s="2">
        <f>IFERROR(INDEX('4_ref_time'!$D:$D,MATCH(ROUND(M379*1440,0),'4_ref_time'!$A:$A,0)),"NOT FOUND")</f>
        <v/>
      </c>
      <c r="T379" s="2">
        <f>UPPER(TRIM(C379))</f>
        <v/>
      </c>
      <c r="U379" s="30">
        <f>IF(_xlfn.MAXIFS('6_3nf_branch_history'!$B$2:$B$50,'6_3nf_branch_history'!$A$2:$A$50,T379,'6_3nf_branch_history'!$B$2:$B$50,"&lt;="&amp;L379)=0,"NOT FOUND",_xlfn.MAXIFS('6_3nf_branch_history'!$B$2:$B$50,'6_3nf_branch_history'!$A$2:$A$50,T379,'6_3nf_branch_history'!$B$2:$B$50,"&lt;="&amp;L379))</f>
        <v/>
      </c>
      <c r="V379" s="2">
        <f>IF(U379="NOT FOUND","NOT FOUND",INDEX('6_3nf_branch_history'!$C:$C,SUMPRODUCT(('6_3nf_branch_history'!$A$2:$A$50=T379)*('6_3nf_branch_history'!$B$2:$B$50=U379)*ROW('6_3nf_branch_history'!$A$2:$A$50))))</f>
        <v/>
      </c>
      <c r="W379" s="2">
        <f>IF(U379="NOT FOUND","NOT FOUND",INDEX('6_3nf_branch_history'!$D:$D,SUMPRODUCT(('6_3nf_branch_history'!$A$2:$A$50=T379)*('6_3nf_branch_history'!$B$2:$B$50=U379)*ROW('6_3nf_branch_history'!$A$2:$A$50))))</f>
        <v/>
      </c>
      <c r="X379" s="2">
        <f>IF(U379="NOT FOUND","NOT FOUND",INDEX('6_3nf_branch_history'!$E:$E,SUMPRODUCT(('6_3nf_branch_history'!$A$2:$A$50=T379)*('6_3nf_branch_history'!$B$2:$B$50=U379)*ROW('6_3nf_branch_history'!$A$2:$A$50))))</f>
        <v/>
      </c>
      <c r="Y379" s="2">
        <f>UPPER(TRIM(D379))</f>
        <v/>
      </c>
      <c r="Z379" s="2">
        <f>IFERROR(INDEX('7_3nf_product'!$B:$B,MATCH(Y379,'7_3nf_product'!$A:$A,0)),"NOT FOUND")</f>
        <v/>
      </c>
      <c r="AA379" s="2">
        <f>IFERROR(INDEX('7_3nf_product'!$C:$C,MATCH(Y379,'7_3nf_product'!$A:$A,0)),"NOT FOUND")</f>
        <v/>
      </c>
      <c r="AB379" s="2">
        <f>IFERROR(INDEX('7_3nf_product'!$D:$D,MATCH(Y379,'7_3nf_product'!$A:$A,0)),"NOT FOUND")</f>
        <v/>
      </c>
      <c r="AC379" s="6">
        <f>IFERROR(INDEX('7_3nf_product'!$E:$E,MATCH(Y379,'7_3nf_product'!$A:$A,0)),"NOT FOUND")</f>
        <v/>
      </c>
      <c r="AD379" s="33">
        <f>IF(LEN(TRIM(E379))=10,TRIM(E379),IF(LEN(TRIM(E379))=8,"00"&amp;TRIM(E379),"CHECK"))</f>
        <v/>
      </c>
      <c r="AE379" s="2">
        <f>IFERROR(INDEX('8_3nf_customer'!$C:$C,MATCH(AD379,'8_3nf_customer'!$B:$B,0)),"NOT FOUND")</f>
        <v/>
      </c>
      <c r="AF379" s="30">
        <f>IFERROR(INDEX('8_3nf_customer'!$D:$D,MATCH(AD379,'8_3nf_customer'!$B:$B,0)),"NOT FOUND")</f>
        <v/>
      </c>
      <c r="AG379" s="4">
        <f>IF(ISNUMBER(AF379),DATEDIF(AF379,L379,"y"),"NOT FOUND")</f>
        <v/>
      </c>
      <c r="AH379" s="2">
        <f>IFERROR(INDEX('8_3nf_customer'!$E:$E,MATCH(AD379,'8_3nf_customer'!$B:$B,0)),"NOT FOUND")</f>
        <v/>
      </c>
      <c r="AI379" s="30">
        <f>IF(_xlfn.MAXIFS('9_3nf_customer_history'!$B$2:$B$500,'9_3nf_customer_history'!$A$2:$A$500,AD379,'9_3nf_customer_history'!$B$2:$B$500,"&lt;="&amp;L379)=0,"NOT FOUND",_xlfn.MAXIFS('9_3nf_customer_history'!$B$2:$B$500,'9_3nf_customer_history'!$A$2:$A$500,AD379,'9_3nf_customer_history'!$B$2:$B$500,"&lt;="&amp;L379))</f>
        <v/>
      </c>
      <c r="AJ379" s="2">
        <f>IF(AI379="NOT FOUND","NOT FOUND",INDEX('9_3nf_customer_history'!$C:$C,SUMPRODUCT(('9_3nf_customer_history'!$A$2:$A$500=AD379)*('9_3nf_customer_history'!$B$2:$B$500=AI379)*ROW('9_3nf_customer_history'!$A$2:$A$500))))</f>
        <v/>
      </c>
      <c r="AK379" s="2">
        <f>IF(AI379="NOT FOUND","NOT FOUND",INDEX('9_3nf_customer_history'!$D:$D,SUMPRODUCT(('9_3nf_customer_history'!$A$2:$A$500=AD379)*('9_3nf_customer_history'!$B$2:$B$500=AI379)*ROW('9_3nf_customer_history'!$A$2:$A$500))))</f>
        <v/>
      </c>
      <c r="AL379" s="2">
        <f>UPPER(TRIM(H379))</f>
        <v/>
      </c>
      <c r="AM379" s="30">
        <f>IF(_xlfn.MAXIFS('10_ref_fx_rate'!$B$2:$B$2000,'10_ref_fx_rate'!$A$2:$A$2000,AL379,'10_ref_fx_rate'!$B$2:$B$2000,"&lt;="&amp;L379)=0,"NOT FOUND",_xlfn.MAXIFS('10_ref_fx_rate'!$B$2:$B$2000,'10_ref_fx_rate'!$A$2:$A$2000,AL379,'10_ref_fx_rate'!$B$2:$B$2000,"&lt;="&amp;L379))</f>
        <v/>
      </c>
      <c r="AN379" s="8">
        <f>IF(AM379="NOT FOUND","NOT FOUND",SUMIFS('10_ref_fx_rate'!$D$2:$D$2000,'10_ref_fx_rate'!$A$2:$A$2000,AL379,'10_ref_fx_rate'!$B$2:$B$2000,AM379))</f>
        <v/>
      </c>
      <c r="AO379" s="37">
        <f>IF(ISNUMBER(AN379),I379*AN379,"NOT FOUND")</f>
        <v/>
      </c>
      <c r="AP379" s="2">
        <f>UPPER(TRIM(J379))</f>
        <v/>
      </c>
      <c r="AQ379" s="2">
        <f>IF(AP379="","SELF-DIRECTED",IF(ISNUMBER(MATCH(AP379,'11_3nf_sales_person'!$A:$A,0)),IF(EXACT(AP379,J379),"OK","OK (auto-fixed)"),IF(ISNA(MATCH($A379,'12_sales_person_confirmation'!$A:$A,0)),"CONFIRM (not logged)",IF(INDEX('12_sales_person_confirmation'!$I:$I,MATCH($A379,'12_sales_person_confirmation'!$A:$A,0))="CONFIRMED","CONFIRMED ("&amp;LOWER(INDEX('12_sales_person_confirmation'!$E:$E,MATCH($A379,'12_sales_person_confirmation'!$A:$A,0)))&amp;")","PENDING CONFIRM"))))</f>
        <v/>
      </c>
      <c r="AR379" s="2">
        <f>IF(OR(AQ379="OK",AQ379="OK (auto-fixed)"),AP379,IF(LEFT(AQ379,9)="CONFIRMED",INDEX('12_sales_person_confirmation'!$F:$F,MATCH($A379,'12_sales_person_confirmation'!$A:$A,0)),""))</f>
        <v/>
      </c>
      <c r="AS379" s="2">
        <f>IF(AR379="","",INDEX('11_3nf_sales_person'!$B:$B,MATCH(AR379,'11_3nf_sales_person'!$A:$A,0)))</f>
        <v/>
      </c>
    </row>
    <row r="380">
      <c r="A380" s="2">
        <f>IF(ISBLANK('1_raw_log'!A380),"",'1_raw_log'!A380)</f>
        <v/>
      </c>
      <c r="B380" s="3">
        <f>IF(ISBLANK('1_raw_log'!B380),"",'1_raw_log'!B380)</f>
        <v/>
      </c>
      <c r="C380" s="2">
        <f>IF(ISBLANK('1_raw_log'!C380),"",'1_raw_log'!C380)</f>
        <v/>
      </c>
      <c r="D380" s="2">
        <f>IF(ISBLANK('1_raw_log'!D380),"",'1_raw_log'!D380)</f>
        <v/>
      </c>
      <c r="E380" s="4">
        <f>IF(ISBLANK('1_raw_log'!E380),"",'1_raw_log'!E380)</f>
        <v/>
      </c>
      <c r="F380" s="2">
        <f>IF(ISBLANK('1_raw_log'!F380),"",'1_raw_log'!F380)</f>
        <v/>
      </c>
      <c r="G380" s="2">
        <f>IF(ISBLANK('1_raw_log'!G380),"",'1_raw_log'!G380)</f>
        <v/>
      </c>
      <c r="H380" s="2">
        <f>IF(ISBLANK('1_raw_log'!H380),"",'1_raw_log'!H380)</f>
        <v/>
      </c>
      <c r="I380" s="7">
        <f>IF(ISBLANK('1_raw_log'!I380),"",'1_raw_log'!I380)</f>
        <v/>
      </c>
      <c r="J380" s="2">
        <f>IF(ISBLANK('1_raw_log'!J380),"",'1_raw_log'!J380)</f>
        <v/>
      </c>
      <c r="K380" s="2">
        <f>IF(ISBLANK('1_raw_log'!K380),"",'1_raw_log'!K380)</f>
        <v/>
      </c>
      <c r="L380" s="30">
        <f>INT(B380)</f>
        <v/>
      </c>
      <c r="M380" s="20">
        <f>ROUND(MOD(B380,1)*1440,0)/1440</f>
        <v/>
      </c>
      <c r="N380" s="4">
        <f>IFERROR(INDEX('3_ref_date'!$B:$B,MATCH(L380,'3_ref_date'!$A:$A,0)),"NOT FOUND")</f>
        <v/>
      </c>
      <c r="O380" s="2">
        <f>IFERROR(INDEX('3_ref_date'!$C:$C,MATCH(L380,'3_ref_date'!$A:$A,0)),"NOT FOUND")</f>
        <v/>
      </c>
      <c r="P380" s="4">
        <f>IFERROR(INDEX('3_ref_date'!$D:$D,MATCH(L380,'3_ref_date'!$A:$A,0)),"NOT FOUND")</f>
        <v/>
      </c>
      <c r="Q380" s="4">
        <f>IFERROR(INDEX('3_ref_date'!$E:$E,MATCH(L380,'3_ref_date'!$A:$A,0)),"NOT FOUND")</f>
        <v/>
      </c>
      <c r="R380" s="2">
        <f>IFERROR(INDEX('3_ref_date'!$F:$F,MATCH(L380,'3_ref_date'!$A:$A,0)),"NOT FOUND")</f>
        <v/>
      </c>
      <c r="S380" s="2">
        <f>IFERROR(INDEX('4_ref_time'!$D:$D,MATCH(ROUND(M380*1440,0),'4_ref_time'!$A:$A,0)),"NOT FOUND")</f>
        <v/>
      </c>
      <c r="T380" s="2">
        <f>UPPER(TRIM(C380))</f>
        <v/>
      </c>
      <c r="U380" s="30">
        <f>IF(_xlfn.MAXIFS('6_3nf_branch_history'!$B$2:$B$50,'6_3nf_branch_history'!$A$2:$A$50,T380,'6_3nf_branch_history'!$B$2:$B$50,"&lt;="&amp;L380)=0,"NOT FOUND",_xlfn.MAXIFS('6_3nf_branch_history'!$B$2:$B$50,'6_3nf_branch_history'!$A$2:$A$50,T380,'6_3nf_branch_history'!$B$2:$B$50,"&lt;="&amp;L380))</f>
        <v/>
      </c>
      <c r="V380" s="2">
        <f>IF(U380="NOT FOUND","NOT FOUND",INDEX('6_3nf_branch_history'!$C:$C,SUMPRODUCT(('6_3nf_branch_history'!$A$2:$A$50=T380)*('6_3nf_branch_history'!$B$2:$B$50=U380)*ROW('6_3nf_branch_history'!$A$2:$A$50))))</f>
        <v/>
      </c>
      <c r="W380" s="2">
        <f>IF(U380="NOT FOUND","NOT FOUND",INDEX('6_3nf_branch_history'!$D:$D,SUMPRODUCT(('6_3nf_branch_history'!$A$2:$A$50=T380)*('6_3nf_branch_history'!$B$2:$B$50=U380)*ROW('6_3nf_branch_history'!$A$2:$A$50))))</f>
        <v/>
      </c>
      <c r="X380" s="2">
        <f>IF(U380="NOT FOUND","NOT FOUND",INDEX('6_3nf_branch_history'!$E:$E,SUMPRODUCT(('6_3nf_branch_history'!$A$2:$A$50=T380)*('6_3nf_branch_history'!$B$2:$B$50=U380)*ROW('6_3nf_branch_history'!$A$2:$A$50))))</f>
        <v/>
      </c>
      <c r="Y380" s="2">
        <f>UPPER(TRIM(D380))</f>
        <v/>
      </c>
      <c r="Z380" s="2">
        <f>IFERROR(INDEX('7_3nf_product'!$B:$B,MATCH(Y380,'7_3nf_product'!$A:$A,0)),"NOT FOUND")</f>
        <v/>
      </c>
      <c r="AA380" s="2">
        <f>IFERROR(INDEX('7_3nf_product'!$C:$C,MATCH(Y380,'7_3nf_product'!$A:$A,0)),"NOT FOUND")</f>
        <v/>
      </c>
      <c r="AB380" s="2">
        <f>IFERROR(INDEX('7_3nf_product'!$D:$D,MATCH(Y380,'7_3nf_product'!$A:$A,0)),"NOT FOUND")</f>
        <v/>
      </c>
      <c r="AC380" s="6">
        <f>IFERROR(INDEX('7_3nf_product'!$E:$E,MATCH(Y380,'7_3nf_product'!$A:$A,0)),"NOT FOUND")</f>
        <v/>
      </c>
      <c r="AD380" s="33">
        <f>IF(LEN(TRIM(E380))=10,TRIM(E380),IF(LEN(TRIM(E380))=8,"00"&amp;TRIM(E380),"CHECK"))</f>
        <v/>
      </c>
      <c r="AE380" s="2">
        <f>IFERROR(INDEX('8_3nf_customer'!$C:$C,MATCH(AD380,'8_3nf_customer'!$B:$B,0)),"NOT FOUND")</f>
        <v/>
      </c>
      <c r="AF380" s="30">
        <f>IFERROR(INDEX('8_3nf_customer'!$D:$D,MATCH(AD380,'8_3nf_customer'!$B:$B,0)),"NOT FOUND")</f>
        <v/>
      </c>
      <c r="AG380" s="4">
        <f>IF(ISNUMBER(AF380),DATEDIF(AF380,L380,"y"),"NOT FOUND")</f>
        <v/>
      </c>
      <c r="AH380" s="2">
        <f>IFERROR(INDEX('8_3nf_customer'!$E:$E,MATCH(AD380,'8_3nf_customer'!$B:$B,0)),"NOT FOUND")</f>
        <v/>
      </c>
      <c r="AI380" s="30">
        <f>IF(_xlfn.MAXIFS('9_3nf_customer_history'!$B$2:$B$500,'9_3nf_customer_history'!$A$2:$A$500,AD380,'9_3nf_customer_history'!$B$2:$B$500,"&lt;="&amp;L380)=0,"NOT FOUND",_xlfn.MAXIFS('9_3nf_customer_history'!$B$2:$B$500,'9_3nf_customer_history'!$A$2:$A$500,AD380,'9_3nf_customer_history'!$B$2:$B$500,"&lt;="&amp;L380))</f>
        <v/>
      </c>
      <c r="AJ380" s="2">
        <f>IF(AI380="NOT FOUND","NOT FOUND",INDEX('9_3nf_customer_history'!$C:$C,SUMPRODUCT(('9_3nf_customer_history'!$A$2:$A$500=AD380)*('9_3nf_customer_history'!$B$2:$B$500=AI380)*ROW('9_3nf_customer_history'!$A$2:$A$500))))</f>
        <v/>
      </c>
      <c r="AK380" s="2">
        <f>IF(AI380="NOT FOUND","NOT FOUND",INDEX('9_3nf_customer_history'!$D:$D,SUMPRODUCT(('9_3nf_customer_history'!$A$2:$A$500=AD380)*('9_3nf_customer_history'!$B$2:$B$500=AI380)*ROW('9_3nf_customer_history'!$A$2:$A$500))))</f>
        <v/>
      </c>
      <c r="AL380" s="2">
        <f>UPPER(TRIM(H380))</f>
        <v/>
      </c>
      <c r="AM380" s="30">
        <f>IF(_xlfn.MAXIFS('10_ref_fx_rate'!$B$2:$B$2000,'10_ref_fx_rate'!$A$2:$A$2000,AL380,'10_ref_fx_rate'!$B$2:$B$2000,"&lt;="&amp;L380)=0,"NOT FOUND",_xlfn.MAXIFS('10_ref_fx_rate'!$B$2:$B$2000,'10_ref_fx_rate'!$A$2:$A$2000,AL380,'10_ref_fx_rate'!$B$2:$B$2000,"&lt;="&amp;L380))</f>
        <v/>
      </c>
      <c r="AN380" s="8">
        <f>IF(AM380="NOT FOUND","NOT FOUND",SUMIFS('10_ref_fx_rate'!$D$2:$D$2000,'10_ref_fx_rate'!$A$2:$A$2000,AL380,'10_ref_fx_rate'!$B$2:$B$2000,AM380))</f>
        <v/>
      </c>
      <c r="AO380" s="37">
        <f>IF(ISNUMBER(AN380),I380*AN380,"NOT FOUND")</f>
        <v/>
      </c>
      <c r="AP380" s="2">
        <f>UPPER(TRIM(J380))</f>
        <v/>
      </c>
      <c r="AQ380" s="2">
        <f>IF(AP380="","SELF-DIRECTED",IF(ISNUMBER(MATCH(AP380,'11_3nf_sales_person'!$A:$A,0)),IF(EXACT(AP380,J380),"OK","OK (auto-fixed)"),IF(ISNA(MATCH($A380,'12_sales_person_confirmation'!$A:$A,0)),"CONFIRM (not logged)",IF(INDEX('12_sales_person_confirmation'!$I:$I,MATCH($A380,'12_sales_person_confirmation'!$A:$A,0))="CONFIRMED","CONFIRMED ("&amp;LOWER(INDEX('12_sales_person_confirmation'!$E:$E,MATCH($A380,'12_sales_person_confirmation'!$A:$A,0)))&amp;")","PENDING CONFIRM"))))</f>
        <v/>
      </c>
      <c r="AR380" s="2">
        <f>IF(OR(AQ380="OK",AQ380="OK (auto-fixed)"),AP380,IF(LEFT(AQ380,9)="CONFIRMED",INDEX('12_sales_person_confirmation'!$F:$F,MATCH($A380,'12_sales_person_confirmation'!$A:$A,0)),""))</f>
        <v/>
      </c>
      <c r="AS380" s="2">
        <f>IF(AR380="","",INDEX('11_3nf_sales_person'!$B:$B,MATCH(AR380,'11_3nf_sales_person'!$A:$A,0)))</f>
        <v/>
      </c>
    </row>
    <row r="381">
      <c r="A381" s="2">
        <f>IF(ISBLANK('1_raw_log'!A381),"",'1_raw_log'!A381)</f>
        <v/>
      </c>
      <c r="B381" s="3">
        <f>IF(ISBLANK('1_raw_log'!B381),"",'1_raw_log'!B381)</f>
        <v/>
      </c>
      <c r="C381" s="2">
        <f>IF(ISBLANK('1_raw_log'!C381),"",'1_raw_log'!C381)</f>
        <v/>
      </c>
      <c r="D381" s="2">
        <f>IF(ISBLANK('1_raw_log'!D381),"",'1_raw_log'!D381)</f>
        <v/>
      </c>
      <c r="E381" s="4">
        <f>IF(ISBLANK('1_raw_log'!E381),"",'1_raw_log'!E381)</f>
        <v/>
      </c>
      <c r="F381" s="2">
        <f>IF(ISBLANK('1_raw_log'!F381),"",'1_raw_log'!F381)</f>
        <v/>
      </c>
      <c r="G381" s="2">
        <f>IF(ISBLANK('1_raw_log'!G381),"",'1_raw_log'!G381)</f>
        <v/>
      </c>
      <c r="H381" s="2">
        <f>IF(ISBLANK('1_raw_log'!H381),"",'1_raw_log'!H381)</f>
        <v/>
      </c>
      <c r="I381" s="7">
        <f>IF(ISBLANK('1_raw_log'!I381),"",'1_raw_log'!I381)</f>
        <v/>
      </c>
      <c r="J381" s="2">
        <f>IF(ISBLANK('1_raw_log'!J381),"",'1_raw_log'!J381)</f>
        <v/>
      </c>
      <c r="K381" s="2">
        <f>IF(ISBLANK('1_raw_log'!K381),"",'1_raw_log'!K381)</f>
        <v/>
      </c>
      <c r="L381" s="30">
        <f>INT(B381)</f>
        <v/>
      </c>
      <c r="M381" s="20">
        <f>ROUND(MOD(B381,1)*1440,0)/1440</f>
        <v/>
      </c>
      <c r="N381" s="4">
        <f>IFERROR(INDEX('3_ref_date'!$B:$B,MATCH(L381,'3_ref_date'!$A:$A,0)),"NOT FOUND")</f>
        <v/>
      </c>
      <c r="O381" s="2">
        <f>IFERROR(INDEX('3_ref_date'!$C:$C,MATCH(L381,'3_ref_date'!$A:$A,0)),"NOT FOUND")</f>
        <v/>
      </c>
      <c r="P381" s="4">
        <f>IFERROR(INDEX('3_ref_date'!$D:$D,MATCH(L381,'3_ref_date'!$A:$A,0)),"NOT FOUND")</f>
        <v/>
      </c>
      <c r="Q381" s="4">
        <f>IFERROR(INDEX('3_ref_date'!$E:$E,MATCH(L381,'3_ref_date'!$A:$A,0)),"NOT FOUND")</f>
        <v/>
      </c>
      <c r="R381" s="2">
        <f>IFERROR(INDEX('3_ref_date'!$F:$F,MATCH(L381,'3_ref_date'!$A:$A,0)),"NOT FOUND")</f>
        <v/>
      </c>
      <c r="S381" s="2">
        <f>IFERROR(INDEX('4_ref_time'!$D:$D,MATCH(ROUND(M381*1440,0),'4_ref_time'!$A:$A,0)),"NOT FOUND")</f>
        <v/>
      </c>
      <c r="T381" s="2">
        <f>UPPER(TRIM(C381))</f>
        <v/>
      </c>
      <c r="U381" s="30">
        <f>IF(_xlfn.MAXIFS('6_3nf_branch_history'!$B$2:$B$50,'6_3nf_branch_history'!$A$2:$A$50,T381,'6_3nf_branch_history'!$B$2:$B$50,"&lt;="&amp;L381)=0,"NOT FOUND",_xlfn.MAXIFS('6_3nf_branch_history'!$B$2:$B$50,'6_3nf_branch_history'!$A$2:$A$50,T381,'6_3nf_branch_history'!$B$2:$B$50,"&lt;="&amp;L381))</f>
        <v/>
      </c>
      <c r="V381" s="2">
        <f>IF(U381="NOT FOUND","NOT FOUND",INDEX('6_3nf_branch_history'!$C:$C,SUMPRODUCT(('6_3nf_branch_history'!$A$2:$A$50=T381)*('6_3nf_branch_history'!$B$2:$B$50=U381)*ROW('6_3nf_branch_history'!$A$2:$A$50))))</f>
        <v/>
      </c>
      <c r="W381" s="2">
        <f>IF(U381="NOT FOUND","NOT FOUND",INDEX('6_3nf_branch_history'!$D:$D,SUMPRODUCT(('6_3nf_branch_history'!$A$2:$A$50=T381)*('6_3nf_branch_history'!$B$2:$B$50=U381)*ROW('6_3nf_branch_history'!$A$2:$A$50))))</f>
        <v/>
      </c>
      <c r="X381" s="2">
        <f>IF(U381="NOT FOUND","NOT FOUND",INDEX('6_3nf_branch_history'!$E:$E,SUMPRODUCT(('6_3nf_branch_history'!$A$2:$A$50=T381)*('6_3nf_branch_history'!$B$2:$B$50=U381)*ROW('6_3nf_branch_history'!$A$2:$A$50))))</f>
        <v/>
      </c>
      <c r="Y381" s="2">
        <f>UPPER(TRIM(D381))</f>
        <v/>
      </c>
      <c r="Z381" s="2">
        <f>IFERROR(INDEX('7_3nf_product'!$B:$B,MATCH(Y381,'7_3nf_product'!$A:$A,0)),"NOT FOUND")</f>
        <v/>
      </c>
      <c r="AA381" s="2">
        <f>IFERROR(INDEX('7_3nf_product'!$C:$C,MATCH(Y381,'7_3nf_product'!$A:$A,0)),"NOT FOUND")</f>
        <v/>
      </c>
      <c r="AB381" s="2">
        <f>IFERROR(INDEX('7_3nf_product'!$D:$D,MATCH(Y381,'7_3nf_product'!$A:$A,0)),"NOT FOUND")</f>
        <v/>
      </c>
      <c r="AC381" s="6">
        <f>IFERROR(INDEX('7_3nf_product'!$E:$E,MATCH(Y381,'7_3nf_product'!$A:$A,0)),"NOT FOUND")</f>
        <v/>
      </c>
      <c r="AD381" s="33">
        <f>IF(LEN(TRIM(E381))=10,TRIM(E381),IF(LEN(TRIM(E381))=8,"00"&amp;TRIM(E381),"CHECK"))</f>
        <v/>
      </c>
      <c r="AE381" s="2">
        <f>IFERROR(INDEX('8_3nf_customer'!$C:$C,MATCH(AD381,'8_3nf_customer'!$B:$B,0)),"NOT FOUND")</f>
        <v/>
      </c>
      <c r="AF381" s="30">
        <f>IFERROR(INDEX('8_3nf_customer'!$D:$D,MATCH(AD381,'8_3nf_customer'!$B:$B,0)),"NOT FOUND")</f>
        <v/>
      </c>
      <c r="AG381" s="4">
        <f>IF(ISNUMBER(AF381),DATEDIF(AF381,L381,"y"),"NOT FOUND")</f>
        <v/>
      </c>
      <c r="AH381" s="2">
        <f>IFERROR(INDEX('8_3nf_customer'!$E:$E,MATCH(AD381,'8_3nf_customer'!$B:$B,0)),"NOT FOUND")</f>
        <v/>
      </c>
      <c r="AI381" s="30">
        <f>IF(_xlfn.MAXIFS('9_3nf_customer_history'!$B$2:$B$500,'9_3nf_customer_history'!$A$2:$A$500,AD381,'9_3nf_customer_history'!$B$2:$B$500,"&lt;="&amp;L381)=0,"NOT FOUND",_xlfn.MAXIFS('9_3nf_customer_history'!$B$2:$B$500,'9_3nf_customer_history'!$A$2:$A$500,AD381,'9_3nf_customer_history'!$B$2:$B$500,"&lt;="&amp;L381))</f>
        <v/>
      </c>
      <c r="AJ381" s="2">
        <f>IF(AI381="NOT FOUND","NOT FOUND",INDEX('9_3nf_customer_history'!$C:$C,SUMPRODUCT(('9_3nf_customer_history'!$A$2:$A$500=AD381)*('9_3nf_customer_history'!$B$2:$B$500=AI381)*ROW('9_3nf_customer_history'!$A$2:$A$500))))</f>
        <v/>
      </c>
      <c r="AK381" s="2">
        <f>IF(AI381="NOT FOUND","NOT FOUND",INDEX('9_3nf_customer_history'!$D:$D,SUMPRODUCT(('9_3nf_customer_history'!$A$2:$A$500=AD381)*('9_3nf_customer_history'!$B$2:$B$500=AI381)*ROW('9_3nf_customer_history'!$A$2:$A$500))))</f>
        <v/>
      </c>
      <c r="AL381" s="2">
        <f>UPPER(TRIM(H381))</f>
        <v/>
      </c>
      <c r="AM381" s="30">
        <f>IF(_xlfn.MAXIFS('10_ref_fx_rate'!$B$2:$B$2000,'10_ref_fx_rate'!$A$2:$A$2000,AL381,'10_ref_fx_rate'!$B$2:$B$2000,"&lt;="&amp;L381)=0,"NOT FOUND",_xlfn.MAXIFS('10_ref_fx_rate'!$B$2:$B$2000,'10_ref_fx_rate'!$A$2:$A$2000,AL381,'10_ref_fx_rate'!$B$2:$B$2000,"&lt;="&amp;L381))</f>
        <v/>
      </c>
      <c r="AN381" s="8">
        <f>IF(AM381="NOT FOUND","NOT FOUND",SUMIFS('10_ref_fx_rate'!$D$2:$D$2000,'10_ref_fx_rate'!$A$2:$A$2000,AL381,'10_ref_fx_rate'!$B$2:$B$2000,AM381))</f>
        <v/>
      </c>
      <c r="AO381" s="37">
        <f>IF(ISNUMBER(AN381),I381*AN381,"NOT FOUND")</f>
        <v/>
      </c>
      <c r="AP381" s="2">
        <f>UPPER(TRIM(J381))</f>
        <v/>
      </c>
      <c r="AQ381" s="2">
        <f>IF(AP381="","SELF-DIRECTED",IF(ISNUMBER(MATCH(AP381,'11_3nf_sales_person'!$A:$A,0)),IF(EXACT(AP381,J381),"OK","OK (auto-fixed)"),IF(ISNA(MATCH($A381,'12_sales_person_confirmation'!$A:$A,0)),"CONFIRM (not logged)",IF(INDEX('12_sales_person_confirmation'!$I:$I,MATCH($A381,'12_sales_person_confirmation'!$A:$A,0))="CONFIRMED","CONFIRMED ("&amp;LOWER(INDEX('12_sales_person_confirmation'!$E:$E,MATCH($A381,'12_sales_person_confirmation'!$A:$A,0)))&amp;")","PENDING CONFIRM"))))</f>
        <v/>
      </c>
      <c r="AR381" s="2">
        <f>IF(OR(AQ381="OK",AQ381="OK (auto-fixed)"),AP381,IF(LEFT(AQ381,9)="CONFIRMED",INDEX('12_sales_person_confirmation'!$F:$F,MATCH($A381,'12_sales_person_confirmation'!$A:$A,0)),""))</f>
        <v/>
      </c>
      <c r="AS381" s="2">
        <f>IF(AR381="","",INDEX('11_3nf_sales_person'!$B:$B,MATCH(AR381,'11_3nf_sales_person'!$A:$A,0)))</f>
        <v/>
      </c>
    </row>
    <row r="382">
      <c r="A382" s="2">
        <f>IF(ISBLANK('1_raw_log'!A382),"",'1_raw_log'!A382)</f>
        <v/>
      </c>
      <c r="B382" s="3">
        <f>IF(ISBLANK('1_raw_log'!B382),"",'1_raw_log'!B382)</f>
        <v/>
      </c>
      <c r="C382" s="2">
        <f>IF(ISBLANK('1_raw_log'!C382),"",'1_raw_log'!C382)</f>
        <v/>
      </c>
      <c r="D382" s="2">
        <f>IF(ISBLANK('1_raw_log'!D382),"",'1_raw_log'!D382)</f>
        <v/>
      </c>
      <c r="E382" s="4">
        <f>IF(ISBLANK('1_raw_log'!E382),"",'1_raw_log'!E382)</f>
        <v/>
      </c>
      <c r="F382" s="2">
        <f>IF(ISBLANK('1_raw_log'!F382),"",'1_raw_log'!F382)</f>
        <v/>
      </c>
      <c r="G382" s="2">
        <f>IF(ISBLANK('1_raw_log'!G382),"",'1_raw_log'!G382)</f>
        <v/>
      </c>
      <c r="H382" s="2">
        <f>IF(ISBLANK('1_raw_log'!H382),"",'1_raw_log'!H382)</f>
        <v/>
      </c>
      <c r="I382" s="7">
        <f>IF(ISBLANK('1_raw_log'!I382),"",'1_raw_log'!I382)</f>
        <v/>
      </c>
      <c r="J382" s="2">
        <f>IF(ISBLANK('1_raw_log'!J382),"",'1_raw_log'!J382)</f>
        <v/>
      </c>
      <c r="K382" s="2">
        <f>IF(ISBLANK('1_raw_log'!K382),"",'1_raw_log'!K382)</f>
        <v/>
      </c>
      <c r="L382" s="30">
        <f>INT(B382)</f>
        <v/>
      </c>
      <c r="M382" s="20">
        <f>ROUND(MOD(B382,1)*1440,0)/1440</f>
        <v/>
      </c>
      <c r="N382" s="4">
        <f>IFERROR(INDEX('3_ref_date'!$B:$B,MATCH(L382,'3_ref_date'!$A:$A,0)),"NOT FOUND")</f>
        <v/>
      </c>
      <c r="O382" s="2">
        <f>IFERROR(INDEX('3_ref_date'!$C:$C,MATCH(L382,'3_ref_date'!$A:$A,0)),"NOT FOUND")</f>
        <v/>
      </c>
      <c r="P382" s="4">
        <f>IFERROR(INDEX('3_ref_date'!$D:$D,MATCH(L382,'3_ref_date'!$A:$A,0)),"NOT FOUND")</f>
        <v/>
      </c>
      <c r="Q382" s="4">
        <f>IFERROR(INDEX('3_ref_date'!$E:$E,MATCH(L382,'3_ref_date'!$A:$A,0)),"NOT FOUND")</f>
        <v/>
      </c>
      <c r="R382" s="2">
        <f>IFERROR(INDEX('3_ref_date'!$F:$F,MATCH(L382,'3_ref_date'!$A:$A,0)),"NOT FOUND")</f>
        <v/>
      </c>
      <c r="S382" s="2">
        <f>IFERROR(INDEX('4_ref_time'!$D:$D,MATCH(ROUND(M382*1440,0),'4_ref_time'!$A:$A,0)),"NOT FOUND")</f>
        <v/>
      </c>
      <c r="T382" s="2">
        <f>UPPER(TRIM(C382))</f>
        <v/>
      </c>
      <c r="U382" s="30">
        <f>IF(_xlfn.MAXIFS('6_3nf_branch_history'!$B$2:$B$50,'6_3nf_branch_history'!$A$2:$A$50,T382,'6_3nf_branch_history'!$B$2:$B$50,"&lt;="&amp;L382)=0,"NOT FOUND",_xlfn.MAXIFS('6_3nf_branch_history'!$B$2:$B$50,'6_3nf_branch_history'!$A$2:$A$50,T382,'6_3nf_branch_history'!$B$2:$B$50,"&lt;="&amp;L382))</f>
        <v/>
      </c>
      <c r="V382" s="2">
        <f>IF(U382="NOT FOUND","NOT FOUND",INDEX('6_3nf_branch_history'!$C:$C,SUMPRODUCT(('6_3nf_branch_history'!$A$2:$A$50=T382)*('6_3nf_branch_history'!$B$2:$B$50=U382)*ROW('6_3nf_branch_history'!$A$2:$A$50))))</f>
        <v/>
      </c>
      <c r="W382" s="2">
        <f>IF(U382="NOT FOUND","NOT FOUND",INDEX('6_3nf_branch_history'!$D:$D,SUMPRODUCT(('6_3nf_branch_history'!$A$2:$A$50=T382)*('6_3nf_branch_history'!$B$2:$B$50=U382)*ROW('6_3nf_branch_history'!$A$2:$A$50))))</f>
        <v/>
      </c>
      <c r="X382" s="2">
        <f>IF(U382="NOT FOUND","NOT FOUND",INDEX('6_3nf_branch_history'!$E:$E,SUMPRODUCT(('6_3nf_branch_history'!$A$2:$A$50=T382)*('6_3nf_branch_history'!$B$2:$B$50=U382)*ROW('6_3nf_branch_history'!$A$2:$A$50))))</f>
        <v/>
      </c>
      <c r="Y382" s="2">
        <f>UPPER(TRIM(D382))</f>
        <v/>
      </c>
      <c r="Z382" s="2">
        <f>IFERROR(INDEX('7_3nf_product'!$B:$B,MATCH(Y382,'7_3nf_product'!$A:$A,0)),"NOT FOUND")</f>
        <v/>
      </c>
      <c r="AA382" s="2">
        <f>IFERROR(INDEX('7_3nf_product'!$C:$C,MATCH(Y382,'7_3nf_product'!$A:$A,0)),"NOT FOUND")</f>
        <v/>
      </c>
      <c r="AB382" s="2">
        <f>IFERROR(INDEX('7_3nf_product'!$D:$D,MATCH(Y382,'7_3nf_product'!$A:$A,0)),"NOT FOUND")</f>
        <v/>
      </c>
      <c r="AC382" s="6">
        <f>IFERROR(INDEX('7_3nf_product'!$E:$E,MATCH(Y382,'7_3nf_product'!$A:$A,0)),"NOT FOUND")</f>
        <v/>
      </c>
      <c r="AD382" s="33">
        <f>IF(LEN(TRIM(E382))=10,TRIM(E382),IF(LEN(TRIM(E382))=8,"00"&amp;TRIM(E382),"CHECK"))</f>
        <v/>
      </c>
      <c r="AE382" s="2">
        <f>IFERROR(INDEX('8_3nf_customer'!$C:$C,MATCH(AD382,'8_3nf_customer'!$B:$B,0)),"NOT FOUND")</f>
        <v/>
      </c>
      <c r="AF382" s="30">
        <f>IFERROR(INDEX('8_3nf_customer'!$D:$D,MATCH(AD382,'8_3nf_customer'!$B:$B,0)),"NOT FOUND")</f>
        <v/>
      </c>
      <c r="AG382" s="4">
        <f>IF(ISNUMBER(AF382),DATEDIF(AF382,L382,"y"),"NOT FOUND")</f>
        <v/>
      </c>
      <c r="AH382" s="2">
        <f>IFERROR(INDEX('8_3nf_customer'!$E:$E,MATCH(AD382,'8_3nf_customer'!$B:$B,0)),"NOT FOUND")</f>
        <v/>
      </c>
      <c r="AI382" s="30">
        <f>IF(_xlfn.MAXIFS('9_3nf_customer_history'!$B$2:$B$500,'9_3nf_customer_history'!$A$2:$A$500,AD382,'9_3nf_customer_history'!$B$2:$B$500,"&lt;="&amp;L382)=0,"NOT FOUND",_xlfn.MAXIFS('9_3nf_customer_history'!$B$2:$B$500,'9_3nf_customer_history'!$A$2:$A$500,AD382,'9_3nf_customer_history'!$B$2:$B$500,"&lt;="&amp;L382))</f>
        <v/>
      </c>
      <c r="AJ382" s="2">
        <f>IF(AI382="NOT FOUND","NOT FOUND",INDEX('9_3nf_customer_history'!$C:$C,SUMPRODUCT(('9_3nf_customer_history'!$A$2:$A$500=AD382)*('9_3nf_customer_history'!$B$2:$B$500=AI382)*ROW('9_3nf_customer_history'!$A$2:$A$500))))</f>
        <v/>
      </c>
      <c r="AK382" s="2">
        <f>IF(AI382="NOT FOUND","NOT FOUND",INDEX('9_3nf_customer_history'!$D:$D,SUMPRODUCT(('9_3nf_customer_history'!$A$2:$A$500=AD382)*('9_3nf_customer_history'!$B$2:$B$500=AI382)*ROW('9_3nf_customer_history'!$A$2:$A$500))))</f>
        <v/>
      </c>
      <c r="AL382" s="2">
        <f>UPPER(TRIM(H382))</f>
        <v/>
      </c>
      <c r="AM382" s="30">
        <f>IF(_xlfn.MAXIFS('10_ref_fx_rate'!$B$2:$B$2000,'10_ref_fx_rate'!$A$2:$A$2000,AL382,'10_ref_fx_rate'!$B$2:$B$2000,"&lt;="&amp;L382)=0,"NOT FOUND",_xlfn.MAXIFS('10_ref_fx_rate'!$B$2:$B$2000,'10_ref_fx_rate'!$A$2:$A$2000,AL382,'10_ref_fx_rate'!$B$2:$B$2000,"&lt;="&amp;L382))</f>
        <v/>
      </c>
      <c r="AN382" s="8">
        <f>IF(AM382="NOT FOUND","NOT FOUND",SUMIFS('10_ref_fx_rate'!$D$2:$D$2000,'10_ref_fx_rate'!$A$2:$A$2000,AL382,'10_ref_fx_rate'!$B$2:$B$2000,AM382))</f>
        <v/>
      </c>
      <c r="AO382" s="37">
        <f>IF(ISNUMBER(AN382),I382*AN382,"NOT FOUND")</f>
        <v/>
      </c>
      <c r="AP382" s="2">
        <f>UPPER(TRIM(J382))</f>
        <v/>
      </c>
      <c r="AQ382" s="2">
        <f>IF(AP382="","SELF-DIRECTED",IF(ISNUMBER(MATCH(AP382,'11_3nf_sales_person'!$A:$A,0)),IF(EXACT(AP382,J382),"OK","OK (auto-fixed)"),IF(ISNA(MATCH($A382,'12_sales_person_confirmation'!$A:$A,0)),"CONFIRM (not logged)",IF(INDEX('12_sales_person_confirmation'!$I:$I,MATCH($A382,'12_sales_person_confirmation'!$A:$A,0))="CONFIRMED","CONFIRMED ("&amp;LOWER(INDEX('12_sales_person_confirmation'!$E:$E,MATCH($A382,'12_sales_person_confirmation'!$A:$A,0)))&amp;")","PENDING CONFIRM"))))</f>
        <v/>
      </c>
      <c r="AR382" s="2">
        <f>IF(OR(AQ382="OK",AQ382="OK (auto-fixed)"),AP382,IF(LEFT(AQ382,9)="CONFIRMED",INDEX('12_sales_person_confirmation'!$F:$F,MATCH($A382,'12_sales_person_confirmation'!$A:$A,0)),""))</f>
        <v/>
      </c>
      <c r="AS382" s="2">
        <f>IF(AR382="","",INDEX('11_3nf_sales_person'!$B:$B,MATCH(AR382,'11_3nf_sales_person'!$A:$A,0)))</f>
        <v/>
      </c>
    </row>
    <row r="383">
      <c r="A383" s="2">
        <f>IF(ISBLANK('1_raw_log'!A383),"",'1_raw_log'!A383)</f>
        <v/>
      </c>
      <c r="B383" s="3">
        <f>IF(ISBLANK('1_raw_log'!B383),"",'1_raw_log'!B383)</f>
        <v/>
      </c>
      <c r="C383" s="2">
        <f>IF(ISBLANK('1_raw_log'!C383),"",'1_raw_log'!C383)</f>
        <v/>
      </c>
      <c r="D383" s="2">
        <f>IF(ISBLANK('1_raw_log'!D383),"",'1_raw_log'!D383)</f>
        <v/>
      </c>
      <c r="E383" s="4">
        <f>IF(ISBLANK('1_raw_log'!E383),"",'1_raw_log'!E383)</f>
        <v/>
      </c>
      <c r="F383" s="2">
        <f>IF(ISBLANK('1_raw_log'!F383),"",'1_raw_log'!F383)</f>
        <v/>
      </c>
      <c r="G383" s="2">
        <f>IF(ISBLANK('1_raw_log'!G383),"",'1_raw_log'!G383)</f>
        <v/>
      </c>
      <c r="H383" s="2">
        <f>IF(ISBLANK('1_raw_log'!H383),"",'1_raw_log'!H383)</f>
        <v/>
      </c>
      <c r="I383" s="7">
        <f>IF(ISBLANK('1_raw_log'!I383),"",'1_raw_log'!I383)</f>
        <v/>
      </c>
      <c r="J383" s="2">
        <f>IF(ISBLANK('1_raw_log'!J383),"",'1_raw_log'!J383)</f>
        <v/>
      </c>
      <c r="K383" s="2">
        <f>IF(ISBLANK('1_raw_log'!K383),"",'1_raw_log'!K383)</f>
        <v/>
      </c>
      <c r="L383" s="30">
        <f>INT(B383)</f>
        <v/>
      </c>
      <c r="M383" s="20">
        <f>ROUND(MOD(B383,1)*1440,0)/1440</f>
        <v/>
      </c>
      <c r="N383" s="4">
        <f>IFERROR(INDEX('3_ref_date'!$B:$B,MATCH(L383,'3_ref_date'!$A:$A,0)),"NOT FOUND")</f>
        <v/>
      </c>
      <c r="O383" s="2">
        <f>IFERROR(INDEX('3_ref_date'!$C:$C,MATCH(L383,'3_ref_date'!$A:$A,0)),"NOT FOUND")</f>
        <v/>
      </c>
      <c r="P383" s="4">
        <f>IFERROR(INDEX('3_ref_date'!$D:$D,MATCH(L383,'3_ref_date'!$A:$A,0)),"NOT FOUND")</f>
        <v/>
      </c>
      <c r="Q383" s="4">
        <f>IFERROR(INDEX('3_ref_date'!$E:$E,MATCH(L383,'3_ref_date'!$A:$A,0)),"NOT FOUND")</f>
        <v/>
      </c>
      <c r="R383" s="2">
        <f>IFERROR(INDEX('3_ref_date'!$F:$F,MATCH(L383,'3_ref_date'!$A:$A,0)),"NOT FOUND")</f>
        <v/>
      </c>
      <c r="S383" s="2">
        <f>IFERROR(INDEX('4_ref_time'!$D:$D,MATCH(ROUND(M383*1440,0),'4_ref_time'!$A:$A,0)),"NOT FOUND")</f>
        <v/>
      </c>
      <c r="T383" s="2">
        <f>UPPER(TRIM(C383))</f>
        <v/>
      </c>
      <c r="U383" s="30">
        <f>IF(_xlfn.MAXIFS('6_3nf_branch_history'!$B$2:$B$50,'6_3nf_branch_history'!$A$2:$A$50,T383,'6_3nf_branch_history'!$B$2:$B$50,"&lt;="&amp;L383)=0,"NOT FOUND",_xlfn.MAXIFS('6_3nf_branch_history'!$B$2:$B$50,'6_3nf_branch_history'!$A$2:$A$50,T383,'6_3nf_branch_history'!$B$2:$B$50,"&lt;="&amp;L383))</f>
        <v/>
      </c>
      <c r="V383" s="2">
        <f>IF(U383="NOT FOUND","NOT FOUND",INDEX('6_3nf_branch_history'!$C:$C,SUMPRODUCT(('6_3nf_branch_history'!$A$2:$A$50=T383)*('6_3nf_branch_history'!$B$2:$B$50=U383)*ROW('6_3nf_branch_history'!$A$2:$A$50))))</f>
        <v/>
      </c>
      <c r="W383" s="2">
        <f>IF(U383="NOT FOUND","NOT FOUND",INDEX('6_3nf_branch_history'!$D:$D,SUMPRODUCT(('6_3nf_branch_history'!$A$2:$A$50=T383)*('6_3nf_branch_history'!$B$2:$B$50=U383)*ROW('6_3nf_branch_history'!$A$2:$A$50))))</f>
        <v/>
      </c>
      <c r="X383" s="2">
        <f>IF(U383="NOT FOUND","NOT FOUND",INDEX('6_3nf_branch_history'!$E:$E,SUMPRODUCT(('6_3nf_branch_history'!$A$2:$A$50=T383)*('6_3nf_branch_history'!$B$2:$B$50=U383)*ROW('6_3nf_branch_history'!$A$2:$A$50))))</f>
        <v/>
      </c>
      <c r="Y383" s="2">
        <f>UPPER(TRIM(D383))</f>
        <v/>
      </c>
      <c r="Z383" s="2">
        <f>IFERROR(INDEX('7_3nf_product'!$B:$B,MATCH(Y383,'7_3nf_product'!$A:$A,0)),"NOT FOUND")</f>
        <v/>
      </c>
      <c r="AA383" s="2">
        <f>IFERROR(INDEX('7_3nf_product'!$C:$C,MATCH(Y383,'7_3nf_product'!$A:$A,0)),"NOT FOUND")</f>
        <v/>
      </c>
      <c r="AB383" s="2">
        <f>IFERROR(INDEX('7_3nf_product'!$D:$D,MATCH(Y383,'7_3nf_product'!$A:$A,0)),"NOT FOUND")</f>
        <v/>
      </c>
      <c r="AC383" s="6">
        <f>IFERROR(INDEX('7_3nf_product'!$E:$E,MATCH(Y383,'7_3nf_product'!$A:$A,0)),"NOT FOUND")</f>
        <v/>
      </c>
      <c r="AD383" s="33">
        <f>IF(LEN(TRIM(E383))=10,TRIM(E383),IF(LEN(TRIM(E383))=8,"00"&amp;TRIM(E383),"CHECK"))</f>
        <v/>
      </c>
      <c r="AE383" s="2">
        <f>IFERROR(INDEX('8_3nf_customer'!$C:$C,MATCH(AD383,'8_3nf_customer'!$B:$B,0)),"NOT FOUND")</f>
        <v/>
      </c>
      <c r="AF383" s="30">
        <f>IFERROR(INDEX('8_3nf_customer'!$D:$D,MATCH(AD383,'8_3nf_customer'!$B:$B,0)),"NOT FOUND")</f>
        <v/>
      </c>
      <c r="AG383" s="4">
        <f>IF(ISNUMBER(AF383),DATEDIF(AF383,L383,"y"),"NOT FOUND")</f>
        <v/>
      </c>
      <c r="AH383" s="2">
        <f>IFERROR(INDEX('8_3nf_customer'!$E:$E,MATCH(AD383,'8_3nf_customer'!$B:$B,0)),"NOT FOUND")</f>
        <v/>
      </c>
      <c r="AI383" s="30">
        <f>IF(_xlfn.MAXIFS('9_3nf_customer_history'!$B$2:$B$500,'9_3nf_customer_history'!$A$2:$A$500,AD383,'9_3nf_customer_history'!$B$2:$B$500,"&lt;="&amp;L383)=0,"NOT FOUND",_xlfn.MAXIFS('9_3nf_customer_history'!$B$2:$B$500,'9_3nf_customer_history'!$A$2:$A$500,AD383,'9_3nf_customer_history'!$B$2:$B$500,"&lt;="&amp;L383))</f>
        <v/>
      </c>
      <c r="AJ383" s="2">
        <f>IF(AI383="NOT FOUND","NOT FOUND",INDEX('9_3nf_customer_history'!$C:$C,SUMPRODUCT(('9_3nf_customer_history'!$A$2:$A$500=AD383)*('9_3nf_customer_history'!$B$2:$B$500=AI383)*ROW('9_3nf_customer_history'!$A$2:$A$500))))</f>
        <v/>
      </c>
      <c r="AK383" s="2">
        <f>IF(AI383="NOT FOUND","NOT FOUND",INDEX('9_3nf_customer_history'!$D:$D,SUMPRODUCT(('9_3nf_customer_history'!$A$2:$A$500=AD383)*('9_3nf_customer_history'!$B$2:$B$500=AI383)*ROW('9_3nf_customer_history'!$A$2:$A$500))))</f>
        <v/>
      </c>
      <c r="AL383" s="2">
        <f>UPPER(TRIM(H383))</f>
        <v/>
      </c>
      <c r="AM383" s="30">
        <f>IF(_xlfn.MAXIFS('10_ref_fx_rate'!$B$2:$B$2000,'10_ref_fx_rate'!$A$2:$A$2000,AL383,'10_ref_fx_rate'!$B$2:$B$2000,"&lt;="&amp;L383)=0,"NOT FOUND",_xlfn.MAXIFS('10_ref_fx_rate'!$B$2:$B$2000,'10_ref_fx_rate'!$A$2:$A$2000,AL383,'10_ref_fx_rate'!$B$2:$B$2000,"&lt;="&amp;L383))</f>
        <v/>
      </c>
      <c r="AN383" s="8">
        <f>IF(AM383="NOT FOUND","NOT FOUND",SUMIFS('10_ref_fx_rate'!$D$2:$D$2000,'10_ref_fx_rate'!$A$2:$A$2000,AL383,'10_ref_fx_rate'!$B$2:$B$2000,AM383))</f>
        <v/>
      </c>
      <c r="AO383" s="37">
        <f>IF(ISNUMBER(AN383),I383*AN383,"NOT FOUND")</f>
        <v/>
      </c>
      <c r="AP383" s="2">
        <f>UPPER(TRIM(J383))</f>
        <v/>
      </c>
      <c r="AQ383" s="2">
        <f>IF(AP383="","SELF-DIRECTED",IF(ISNUMBER(MATCH(AP383,'11_3nf_sales_person'!$A:$A,0)),IF(EXACT(AP383,J383),"OK","OK (auto-fixed)"),IF(ISNA(MATCH($A383,'12_sales_person_confirmation'!$A:$A,0)),"CONFIRM (not logged)",IF(INDEX('12_sales_person_confirmation'!$I:$I,MATCH($A383,'12_sales_person_confirmation'!$A:$A,0))="CONFIRMED","CONFIRMED ("&amp;LOWER(INDEX('12_sales_person_confirmation'!$E:$E,MATCH($A383,'12_sales_person_confirmation'!$A:$A,0)))&amp;")","PENDING CONFIRM"))))</f>
        <v/>
      </c>
      <c r="AR383" s="2">
        <f>IF(OR(AQ383="OK",AQ383="OK (auto-fixed)"),AP383,IF(LEFT(AQ383,9)="CONFIRMED",INDEX('12_sales_person_confirmation'!$F:$F,MATCH($A383,'12_sales_person_confirmation'!$A:$A,0)),""))</f>
        <v/>
      </c>
      <c r="AS383" s="2">
        <f>IF(AR383="","",INDEX('11_3nf_sales_person'!$B:$B,MATCH(AR383,'11_3nf_sales_person'!$A:$A,0)))</f>
        <v/>
      </c>
    </row>
    <row r="384">
      <c r="A384" s="2">
        <f>IF(ISBLANK('1_raw_log'!A384),"",'1_raw_log'!A384)</f>
        <v/>
      </c>
      <c r="B384" s="3">
        <f>IF(ISBLANK('1_raw_log'!B384),"",'1_raw_log'!B384)</f>
        <v/>
      </c>
      <c r="C384" s="2">
        <f>IF(ISBLANK('1_raw_log'!C384),"",'1_raw_log'!C384)</f>
        <v/>
      </c>
      <c r="D384" s="2">
        <f>IF(ISBLANK('1_raw_log'!D384),"",'1_raw_log'!D384)</f>
        <v/>
      </c>
      <c r="E384" s="4">
        <f>IF(ISBLANK('1_raw_log'!E384),"",'1_raw_log'!E384)</f>
        <v/>
      </c>
      <c r="F384" s="2">
        <f>IF(ISBLANK('1_raw_log'!F384),"",'1_raw_log'!F384)</f>
        <v/>
      </c>
      <c r="G384" s="2">
        <f>IF(ISBLANK('1_raw_log'!G384),"",'1_raw_log'!G384)</f>
        <v/>
      </c>
      <c r="H384" s="2">
        <f>IF(ISBLANK('1_raw_log'!H384),"",'1_raw_log'!H384)</f>
        <v/>
      </c>
      <c r="I384" s="7">
        <f>IF(ISBLANK('1_raw_log'!I384),"",'1_raw_log'!I384)</f>
        <v/>
      </c>
      <c r="J384" s="2">
        <f>IF(ISBLANK('1_raw_log'!J384),"",'1_raw_log'!J384)</f>
        <v/>
      </c>
      <c r="K384" s="2">
        <f>IF(ISBLANK('1_raw_log'!K384),"",'1_raw_log'!K384)</f>
        <v/>
      </c>
      <c r="L384" s="30">
        <f>INT(B384)</f>
        <v/>
      </c>
      <c r="M384" s="20">
        <f>ROUND(MOD(B384,1)*1440,0)/1440</f>
        <v/>
      </c>
      <c r="N384" s="4">
        <f>IFERROR(INDEX('3_ref_date'!$B:$B,MATCH(L384,'3_ref_date'!$A:$A,0)),"NOT FOUND")</f>
        <v/>
      </c>
      <c r="O384" s="2">
        <f>IFERROR(INDEX('3_ref_date'!$C:$C,MATCH(L384,'3_ref_date'!$A:$A,0)),"NOT FOUND")</f>
        <v/>
      </c>
      <c r="P384" s="4">
        <f>IFERROR(INDEX('3_ref_date'!$D:$D,MATCH(L384,'3_ref_date'!$A:$A,0)),"NOT FOUND")</f>
        <v/>
      </c>
      <c r="Q384" s="4">
        <f>IFERROR(INDEX('3_ref_date'!$E:$E,MATCH(L384,'3_ref_date'!$A:$A,0)),"NOT FOUND")</f>
        <v/>
      </c>
      <c r="R384" s="2">
        <f>IFERROR(INDEX('3_ref_date'!$F:$F,MATCH(L384,'3_ref_date'!$A:$A,0)),"NOT FOUND")</f>
        <v/>
      </c>
      <c r="S384" s="2">
        <f>IFERROR(INDEX('4_ref_time'!$D:$D,MATCH(ROUND(M384*1440,0),'4_ref_time'!$A:$A,0)),"NOT FOUND")</f>
        <v/>
      </c>
      <c r="T384" s="2">
        <f>UPPER(TRIM(C384))</f>
        <v/>
      </c>
      <c r="U384" s="30">
        <f>IF(_xlfn.MAXIFS('6_3nf_branch_history'!$B$2:$B$50,'6_3nf_branch_history'!$A$2:$A$50,T384,'6_3nf_branch_history'!$B$2:$B$50,"&lt;="&amp;L384)=0,"NOT FOUND",_xlfn.MAXIFS('6_3nf_branch_history'!$B$2:$B$50,'6_3nf_branch_history'!$A$2:$A$50,T384,'6_3nf_branch_history'!$B$2:$B$50,"&lt;="&amp;L384))</f>
        <v/>
      </c>
      <c r="V384" s="2">
        <f>IF(U384="NOT FOUND","NOT FOUND",INDEX('6_3nf_branch_history'!$C:$C,SUMPRODUCT(('6_3nf_branch_history'!$A$2:$A$50=T384)*('6_3nf_branch_history'!$B$2:$B$50=U384)*ROW('6_3nf_branch_history'!$A$2:$A$50))))</f>
        <v/>
      </c>
      <c r="W384" s="2">
        <f>IF(U384="NOT FOUND","NOT FOUND",INDEX('6_3nf_branch_history'!$D:$D,SUMPRODUCT(('6_3nf_branch_history'!$A$2:$A$50=T384)*('6_3nf_branch_history'!$B$2:$B$50=U384)*ROW('6_3nf_branch_history'!$A$2:$A$50))))</f>
        <v/>
      </c>
      <c r="X384" s="2">
        <f>IF(U384="NOT FOUND","NOT FOUND",INDEX('6_3nf_branch_history'!$E:$E,SUMPRODUCT(('6_3nf_branch_history'!$A$2:$A$50=T384)*('6_3nf_branch_history'!$B$2:$B$50=U384)*ROW('6_3nf_branch_history'!$A$2:$A$50))))</f>
        <v/>
      </c>
      <c r="Y384" s="2">
        <f>UPPER(TRIM(D384))</f>
        <v/>
      </c>
      <c r="Z384" s="2">
        <f>IFERROR(INDEX('7_3nf_product'!$B:$B,MATCH(Y384,'7_3nf_product'!$A:$A,0)),"NOT FOUND")</f>
        <v/>
      </c>
      <c r="AA384" s="2">
        <f>IFERROR(INDEX('7_3nf_product'!$C:$C,MATCH(Y384,'7_3nf_product'!$A:$A,0)),"NOT FOUND")</f>
        <v/>
      </c>
      <c r="AB384" s="2">
        <f>IFERROR(INDEX('7_3nf_product'!$D:$D,MATCH(Y384,'7_3nf_product'!$A:$A,0)),"NOT FOUND")</f>
        <v/>
      </c>
      <c r="AC384" s="6">
        <f>IFERROR(INDEX('7_3nf_product'!$E:$E,MATCH(Y384,'7_3nf_product'!$A:$A,0)),"NOT FOUND")</f>
        <v/>
      </c>
      <c r="AD384" s="33">
        <f>IF(LEN(TRIM(E384))=10,TRIM(E384),IF(LEN(TRIM(E384))=8,"00"&amp;TRIM(E384),"CHECK"))</f>
        <v/>
      </c>
      <c r="AE384" s="2">
        <f>IFERROR(INDEX('8_3nf_customer'!$C:$C,MATCH(AD384,'8_3nf_customer'!$B:$B,0)),"NOT FOUND")</f>
        <v/>
      </c>
      <c r="AF384" s="30">
        <f>IFERROR(INDEX('8_3nf_customer'!$D:$D,MATCH(AD384,'8_3nf_customer'!$B:$B,0)),"NOT FOUND")</f>
        <v/>
      </c>
      <c r="AG384" s="4">
        <f>IF(ISNUMBER(AF384),DATEDIF(AF384,L384,"y"),"NOT FOUND")</f>
        <v/>
      </c>
      <c r="AH384" s="2">
        <f>IFERROR(INDEX('8_3nf_customer'!$E:$E,MATCH(AD384,'8_3nf_customer'!$B:$B,0)),"NOT FOUND")</f>
        <v/>
      </c>
      <c r="AI384" s="30">
        <f>IF(_xlfn.MAXIFS('9_3nf_customer_history'!$B$2:$B$500,'9_3nf_customer_history'!$A$2:$A$500,AD384,'9_3nf_customer_history'!$B$2:$B$500,"&lt;="&amp;L384)=0,"NOT FOUND",_xlfn.MAXIFS('9_3nf_customer_history'!$B$2:$B$500,'9_3nf_customer_history'!$A$2:$A$500,AD384,'9_3nf_customer_history'!$B$2:$B$500,"&lt;="&amp;L384))</f>
        <v/>
      </c>
      <c r="AJ384" s="2">
        <f>IF(AI384="NOT FOUND","NOT FOUND",INDEX('9_3nf_customer_history'!$C:$C,SUMPRODUCT(('9_3nf_customer_history'!$A$2:$A$500=AD384)*('9_3nf_customer_history'!$B$2:$B$500=AI384)*ROW('9_3nf_customer_history'!$A$2:$A$500))))</f>
        <v/>
      </c>
      <c r="AK384" s="2">
        <f>IF(AI384="NOT FOUND","NOT FOUND",INDEX('9_3nf_customer_history'!$D:$D,SUMPRODUCT(('9_3nf_customer_history'!$A$2:$A$500=AD384)*('9_3nf_customer_history'!$B$2:$B$500=AI384)*ROW('9_3nf_customer_history'!$A$2:$A$500))))</f>
        <v/>
      </c>
      <c r="AL384" s="2">
        <f>UPPER(TRIM(H384))</f>
        <v/>
      </c>
      <c r="AM384" s="30">
        <f>IF(_xlfn.MAXIFS('10_ref_fx_rate'!$B$2:$B$2000,'10_ref_fx_rate'!$A$2:$A$2000,AL384,'10_ref_fx_rate'!$B$2:$B$2000,"&lt;="&amp;L384)=0,"NOT FOUND",_xlfn.MAXIFS('10_ref_fx_rate'!$B$2:$B$2000,'10_ref_fx_rate'!$A$2:$A$2000,AL384,'10_ref_fx_rate'!$B$2:$B$2000,"&lt;="&amp;L384))</f>
        <v/>
      </c>
      <c r="AN384" s="8">
        <f>IF(AM384="NOT FOUND","NOT FOUND",SUMIFS('10_ref_fx_rate'!$D$2:$D$2000,'10_ref_fx_rate'!$A$2:$A$2000,AL384,'10_ref_fx_rate'!$B$2:$B$2000,AM384))</f>
        <v/>
      </c>
      <c r="AO384" s="37">
        <f>IF(ISNUMBER(AN384),I384*AN384,"NOT FOUND")</f>
        <v/>
      </c>
      <c r="AP384" s="2">
        <f>UPPER(TRIM(J384))</f>
        <v/>
      </c>
      <c r="AQ384" s="2">
        <f>IF(AP384="","SELF-DIRECTED",IF(ISNUMBER(MATCH(AP384,'11_3nf_sales_person'!$A:$A,0)),IF(EXACT(AP384,J384),"OK","OK (auto-fixed)"),IF(ISNA(MATCH($A384,'12_sales_person_confirmation'!$A:$A,0)),"CONFIRM (not logged)",IF(INDEX('12_sales_person_confirmation'!$I:$I,MATCH($A384,'12_sales_person_confirmation'!$A:$A,0))="CONFIRMED","CONFIRMED ("&amp;LOWER(INDEX('12_sales_person_confirmation'!$E:$E,MATCH($A384,'12_sales_person_confirmation'!$A:$A,0)))&amp;")","PENDING CONFIRM"))))</f>
        <v/>
      </c>
      <c r="AR384" s="2">
        <f>IF(OR(AQ384="OK",AQ384="OK (auto-fixed)"),AP384,IF(LEFT(AQ384,9)="CONFIRMED",INDEX('12_sales_person_confirmation'!$F:$F,MATCH($A384,'12_sales_person_confirmation'!$A:$A,0)),""))</f>
        <v/>
      </c>
      <c r="AS384" s="2">
        <f>IF(AR384="","",INDEX('11_3nf_sales_person'!$B:$B,MATCH(AR384,'11_3nf_sales_person'!$A:$A,0)))</f>
        <v/>
      </c>
    </row>
    <row r="385">
      <c r="A385" s="2">
        <f>IF(ISBLANK('1_raw_log'!A385),"",'1_raw_log'!A385)</f>
        <v/>
      </c>
      <c r="B385" s="3">
        <f>IF(ISBLANK('1_raw_log'!B385),"",'1_raw_log'!B385)</f>
        <v/>
      </c>
      <c r="C385" s="2">
        <f>IF(ISBLANK('1_raw_log'!C385),"",'1_raw_log'!C385)</f>
        <v/>
      </c>
      <c r="D385" s="2">
        <f>IF(ISBLANK('1_raw_log'!D385),"",'1_raw_log'!D385)</f>
        <v/>
      </c>
      <c r="E385" s="4">
        <f>IF(ISBLANK('1_raw_log'!E385),"",'1_raw_log'!E385)</f>
        <v/>
      </c>
      <c r="F385" s="2">
        <f>IF(ISBLANK('1_raw_log'!F385),"",'1_raw_log'!F385)</f>
        <v/>
      </c>
      <c r="G385" s="2">
        <f>IF(ISBLANK('1_raw_log'!G385),"",'1_raw_log'!G385)</f>
        <v/>
      </c>
      <c r="H385" s="2">
        <f>IF(ISBLANK('1_raw_log'!H385),"",'1_raw_log'!H385)</f>
        <v/>
      </c>
      <c r="I385" s="7">
        <f>IF(ISBLANK('1_raw_log'!I385),"",'1_raw_log'!I385)</f>
        <v/>
      </c>
      <c r="J385" s="2">
        <f>IF(ISBLANK('1_raw_log'!J385),"",'1_raw_log'!J385)</f>
        <v/>
      </c>
      <c r="K385" s="2">
        <f>IF(ISBLANK('1_raw_log'!K385),"",'1_raw_log'!K385)</f>
        <v/>
      </c>
      <c r="L385" s="30">
        <f>INT(B385)</f>
        <v/>
      </c>
      <c r="M385" s="20">
        <f>ROUND(MOD(B385,1)*1440,0)/1440</f>
        <v/>
      </c>
      <c r="N385" s="4">
        <f>IFERROR(INDEX('3_ref_date'!$B:$B,MATCH(L385,'3_ref_date'!$A:$A,0)),"NOT FOUND")</f>
        <v/>
      </c>
      <c r="O385" s="2">
        <f>IFERROR(INDEX('3_ref_date'!$C:$C,MATCH(L385,'3_ref_date'!$A:$A,0)),"NOT FOUND")</f>
        <v/>
      </c>
      <c r="P385" s="4">
        <f>IFERROR(INDEX('3_ref_date'!$D:$D,MATCH(L385,'3_ref_date'!$A:$A,0)),"NOT FOUND")</f>
        <v/>
      </c>
      <c r="Q385" s="4">
        <f>IFERROR(INDEX('3_ref_date'!$E:$E,MATCH(L385,'3_ref_date'!$A:$A,0)),"NOT FOUND")</f>
        <v/>
      </c>
      <c r="R385" s="2">
        <f>IFERROR(INDEX('3_ref_date'!$F:$F,MATCH(L385,'3_ref_date'!$A:$A,0)),"NOT FOUND")</f>
        <v/>
      </c>
      <c r="S385" s="2">
        <f>IFERROR(INDEX('4_ref_time'!$D:$D,MATCH(ROUND(M385*1440,0),'4_ref_time'!$A:$A,0)),"NOT FOUND")</f>
        <v/>
      </c>
      <c r="T385" s="2">
        <f>UPPER(TRIM(C385))</f>
        <v/>
      </c>
      <c r="U385" s="30">
        <f>IF(_xlfn.MAXIFS('6_3nf_branch_history'!$B$2:$B$50,'6_3nf_branch_history'!$A$2:$A$50,T385,'6_3nf_branch_history'!$B$2:$B$50,"&lt;="&amp;L385)=0,"NOT FOUND",_xlfn.MAXIFS('6_3nf_branch_history'!$B$2:$B$50,'6_3nf_branch_history'!$A$2:$A$50,T385,'6_3nf_branch_history'!$B$2:$B$50,"&lt;="&amp;L385))</f>
        <v/>
      </c>
      <c r="V385" s="2">
        <f>IF(U385="NOT FOUND","NOT FOUND",INDEX('6_3nf_branch_history'!$C:$C,SUMPRODUCT(('6_3nf_branch_history'!$A$2:$A$50=T385)*('6_3nf_branch_history'!$B$2:$B$50=U385)*ROW('6_3nf_branch_history'!$A$2:$A$50))))</f>
        <v/>
      </c>
      <c r="W385" s="2">
        <f>IF(U385="NOT FOUND","NOT FOUND",INDEX('6_3nf_branch_history'!$D:$D,SUMPRODUCT(('6_3nf_branch_history'!$A$2:$A$50=T385)*('6_3nf_branch_history'!$B$2:$B$50=U385)*ROW('6_3nf_branch_history'!$A$2:$A$50))))</f>
        <v/>
      </c>
      <c r="X385" s="2">
        <f>IF(U385="NOT FOUND","NOT FOUND",INDEX('6_3nf_branch_history'!$E:$E,SUMPRODUCT(('6_3nf_branch_history'!$A$2:$A$50=T385)*('6_3nf_branch_history'!$B$2:$B$50=U385)*ROW('6_3nf_branch_history'!$A$2:$A$50))))</f>
        <v/>
      </c>
      <c r="Y385" s="2">
        <f>UPPER(TRIM(D385))</f>
        <v/>
      </c>
      <c r="Z385" s="2">
        <f>IFERROR(INDEX('7_3nf_product'!$B:$B,MATCH(Y385,'7_3nf_product'!$A:$A,0)),"NOT FOUND")</f>
        <v/>
      </c>
      <c r="AA385" s="2">
        <f>IFERROR(INDEX('7_3nf_product'!$C:$C,MATCH(Y385,'7_3nf_product'!$A:$A,0)),"NOT FOUND")</f>
        <v/>
      </c>
      <c r="AB385" s="2">
        <f>IFERROR(INDEX('7_3nf_product'!$D:$D,MATCH(Y385,'7_3nf_product'!$A:$A,0)),"NOT FOUND")</f>
        <v/>
      </c>
      <c r="AC385" s="6">
        <f>IFERROR(INDEX('7_3nf_product'!$E:$E,MATCH(Y385,'7_3nf_product'!$A:$A,0)),"NOT FOUND")</f>
        <v/>
      </c>
      <c r="AD385" s="33">
        <f>IF(LEN(TRIM(E385))=10,TRIM(E385),IF(LEN(TRIM(E385))=8,"00"&amp;TRIM(E385),"CHECK"))</f>
        <v/>
      </c>
      <c r="AE385" s="2">
        <f>IFERROR(INDEX('8_3nf_customer'!$C:$C,MATCH(AD385,'8_3nf_customer'!$B:$B,0)),"NOT FOUND")</f>
        <v/>
      </c>
      <c r="AF385" s="30">
        <f>IFERROR(INDEX('8_3nf_customer'!$D:$D,MATCH(AD385,'8_3nf_customer'!$B:$B,0)),"NOT FOUND")</f>
        <v/>
      </c>
      <c r="AG385" s="4">
        <f>IF(ISNUMBER(AF385),DATEDIF(AF385,L385,"y"),"NOT FOUND")</f>
        <v/>
      </c>
      <c r="AH385" s="2">
        <f>IFERROR(INDEX('8_3nf_customer'!$E:$E,MATCH(AD385,'8_3nf_customer'!$B:$B,0)),"NOT FOUND")</f>
        <v/>
      </c>
      <c r="AI385" s="30">
        <f>IF(_xlfn.MAXIFS('9_3nf_customer_history'!$B$2:$B$500,'9_3nf_customer_history'!$A$2:$A$500,AD385,'9_3nf_customer_history'!$B$2:$B$500,"&lt;="&amp;L385)=0,"NOT FOUND",_xlfn.MAXIFS('9_3nf_customer_history'!$B$2:$B$500,'9_3nf_customer_history'!$A$2:$A$500,AD385,'9_3nf_customer_history'!$B$2:$B$500,"&lt;="&amp;L385))</f>
        <v/>
      </c>
      <c r="AJ385" s="2">
        <f>IF(AI385="NOT FOUND","NOT FOUND",INDEX('9_3nf_customer_history'!$C:$C,SUMPRODUCT(('9_3nf_customer_history'!$A$2:$A$500=AD385)*('9_3nf_customer_history'!$B$2:$B$500=AI385)*ROW('9_3nf_customer_history'!$A$2:$A$500))))</f>
        <v/>
      </c>
      <c r="AK385" s="2">
        <f>IF(AI385="NOT FOUND","NOT FOUND",INDEX('9_3nf_customer_history'!$D:$D,SUMPRODUCT(('9_3nf_customer_history'!$A$2:$A$500=AD385)*('9_3nf_customer_history'!$B$2:$B$500=AI385)*ROW('9_3nf_customer_history'!$A$2:$A$500))))</f>
        <v/>
      </c>
      <c r="AL385" s="2">
        <f>UPPER(TRIM(H385))</f>
        <v/>
      </c>
      <c r="AM385" s="30">
        <f>IF(_xlfn.MAXIFS('10_ref_fx_rate'!$B$2:$B$2000,'10_ref_fx_rate'!$A$2:$A$2000,AL385,'10_ref_fx_rate'!$B$2:$B$2000,"&lt;="&amp;L385)=0,"NOT FOUND",_xlfn.MAXIFS('10_ref_fx_rate'!$B$2:$B$2000,'10_ref_fx_rate'!$A$2:$A$2000,AL385,'10_ref_fx_rate'!$B$2:$B$2000,"&lt;="&amp;L385))</f>
        <v/>
      </c>
      <c r="AN385" s="8">
        <f>IF(AM385="NOT FOUND","NOT FOUND",SUMIFS('10_ref_fx_rate'!$D$2:$D$2000,'10_ref_fx_rate'!$A$2:$A$2000,AL385,'10_ref_fx_rate'!$B$2:$B$2000,AM385))</f>
        <v/>
      </c>
      <c r="AO385" s="37">
        <f>IF(ISNUMBER(AN385),I385*AN385,"NOT FOUND")</f>
        <v/>
      </c>
      <c r="AP385" s="2">
        <f>UPPER(TRIM(J385))</f>
        <v/>
      </c>
      <c r="AQ385" s="2">
        <f>IF(AP385="","SELF-DIRECTED",IF(ISNUMBER(MATCH(AP385,'11_3nf_sales_person'!$A:$A,0)),IF(EXACT(AP385,J385),"OK","OK (auto-fixed)"),IF(ISNA(MATCH($A385,'12_sales_person_confirmation'!$A:$A,0)),"CONFIRM (not logged)",IF(INDEX('12_sales_person_confirmation'!$I:$I,MATCH($A385,'12_sales_person_confirmation'!$A:$A,0))="CONFIRMED","CONFIRMED ("&amp;LOWER(INDEX('12_sales_person_confirmation'!$E:$E,MATCH($A385,'12_sales_person_confirmation'!$A:$A,0)))&amp;")","PENDING CONFIRM"))))</f>
        <v/>
      </c>
      <c r="AR385" s="2">
        <f>IF(OR(AQ385="OK",AQ385="OK (auto-fixed)"),AP385,IF(LEFT(AQ385,9)="CONFIRMED",INDEX('12_sales_person_confirmation'!$F:$F,MATCH($A385,'12_sales_person_confirmation'!$A:$A,0)),""))</f>
        <v/>
      </c>
      <c r="AS385" s="2">
        <f>IF(AR385="","",INDEX('11_3nf_sales_person'!$B:$B,MATCH(AR385,'11_3nf_sales_person'!$A:$A,0)))</f>
        <v/>
      </c>
    </row>
    <row r="386">
      <c r="A386" s="2">
        <f>IF(ISBLANK('1_raw_log'!A386),"",'1_raw_log'!A386)</f>
        <v/>
      </c>
      <c r="B386" s="3">
        <f>IF(ISBLANK('1_raw_log'!B386),"",'1_raw_log'!B386)</f>
        <v/>
      </c>
      <c r="C386" s="2">
        <f>IF(ISBLANK('1_raw_log'!C386),"",'1_raw_log'!C386)</f>
        <v/>
      </c>
      <c r="D386" s="2">
        <f>IF(ISBLANK('1_raw_log'!D386),"",'1_raw_log'!D386)</f>
        <v/>
      </c>
      <c r="E386" s="4">
        <f>IF(ISBLANK('1_raw_log'!E386),"",'1_raw_log'!E386)</f>
        <v/>
      </c>
      <c r="F386" s="2">
        <f>IF(ISBLANK('1_raw_log'!F386),"",'1_raw_log'!F386)</f>
        <v/>
      </c>
      <c r="G386" s="2">
        <f>IF(ISBLANK('1_raw_log'!G386),"",'1_raw_log'!G386)</f>
        <v/>
      </c>
      <c r="H386" s="2">
        <f>IF(ISBLANK('1_raw_log'!H386),"",'1_raw_log'!H386)</f>
        <v/>
      </c>
      <c r="I386" s="7">
        <f>IF(ISBLANK('1_raw_log'!I386),"",'1_raw_log'!I386)</f>
        <v/>
      </c>
      <c r="J386" s="2">
        <f>IF(ISBLANK('1_raw_log'!J386),"",'1_raw_log'!J386)</f>
        <v/>
      </c>
      <c r="K386" s="2">
        <f>IF(ISBLANK('1_raw_log'!K386),"",'1_raw_log'!K386)</f>
        <v/>
      </c>
      <c r="L386" s="30">
        <f>INT(B386)</f>
        <v/>
      </c>
      <c r="M386" s="20">
        <f>ROUND(MOD(B386,1)*1440,0)/1440</f>
        <v/>
      </c>
      <c r="N386" s="4">
        <f>IFERROR(INDEX('3_ref_date'!$B:$B,MATCH(L386,'3_ref_date'!$A:$A,0)),"NOT FOUND")</f>
        <v/>
      </c>
      <c r="O386" s="2">
        <f>IFERROR(INDEX('3_ref_date'!$C:$C,MATCH(L386,'3_ref_date'!$A:$A,0)),"NOT FOUND")</f>
        <v/>
      </c>
      <c r="P386" s="4">
        <f>IFERROR(INDEX('3_ref_date'!$D:$D,MATCH(L386,'3_ref_date'!$A:$A,0)),"NOT FOUND")</f>
        <v/>
      </c>
      <c r="Q386" s="4">
        <f>IFERROR(INDEX('3_ref_date'!$E:$E,MATCH(L386,'3_ref_date'!$A:$A,0)),"NOT FOUND")</f>
        <v/>
      </c>
      <c r="R386" s="2">
        <f>IFERROR(INDEX('3_ref_date'!$F:$F,MATCH(L386,'3_ref_date'!$A:$A,0)),"NOT FOUND")</f>
        <v/>
      </c>
      <c r="S386" s="2">
        <f>IFERROR(INDEX('4_ref_time'!$D:$D,MATCH(ROUND(M386*1440,0),'4_ref_time'!$A:$A,0)),"NOT FOUND")</f>
        <v/>
      </c>
      <c r="T386" s="2">
        <f>UPPER(TRIM(C386))</f>
        <v/>
      </c>
      <c r="U386" s="30">
        <f>IF(_xlfn.MAXIFS('6_3nf_branch_history'!$B$2:$B$50,'6_3nf_branch_history'!$A$2:$A$50,T386,'6_3nf_branch_history'!$B$2:$B$50,"&lt;="&amp;L386)=0,"NOT FOUND",_xlfn.MAXIFS('6_3nf_branch_history'!$B$2:$B$50,'6_3nf_branch_history'!$A$2:$A$50,T386,'6_3nf_branch_history'!$B$2:$B$50,"&lt;="&amp;L386))</f>
        <v/>
      </c>
      <c r="V386" s="2">
        <f>IF(U386="NOT FOUND","NOT FOUND",INDEX('6_3nf_branch_history'!$C:$C,SUMPRODUCT(('6_3nf_branch_history'!$A$2:$A$50=T386)*('6_3nf_branch_history'!$B$2:$B$50=U386)*ROW('6_3nf_branch_history'!$A$2:$A$50))))</f>
        <v/>
      </c>
      <c r="W386" s="2">
        <f>IF(U386="NOT FOUND","NOT FOUND",INDEX('6_3nf_branch_history'!$D:$D,SUMPRODUCT(('6_3nf_branch_history'!$A$2:$A$50=T386)*('6_3nf_branch_history'!$B$2:$B$50=U386)*ROW('6_3nf_branch_history'!$A$2:$A$50))))</f>
        <v/>
      </c>
      <c r="X386" s="2">
        <f>IF(U386="NOT FOUND","NOT FOUND",INDEX('6_3nf_branch_history'!$E:$E,SUMPRODUCT(('6_3nf_branch_history'!$A$2:$A$50=T386)*('6_3nf_branch_history'!$B$2:$B$50=U386)*ROW('6_3nf_branch_history'!$A$2:$A$50))))</f>
        <v/>
      </c>
      <c r="Y386" s="2">
        <f>UPPER(TRIM(D386))</f>
        <v/>
      </c>
      <c r="Z386" s="2">
        <f>IFERROR(INDEX('7_3nf_product'!$B:$B,MATCH(Y386,'7_3nf_product'!$A:$A,0)),"NOT FOUND")</f>
        <v/>
      </c>
      <c r="AA386" s="2">
        <f>IFERROR(INDEX('7_3nf_product'!$C:$C,MATCH(Y386,'7_3nf_product'!$A:$A,0)),"NOT FOUND")</f>
        <v/>
      </c>
      <c r="AB386" s="2">
        <f>IFERROR(INDEX('7_3nf_product'!$D:$D,MATCH(Y386,'7_3nf_product'!$A:$A,0)),"NOT FOUND")</f>
        <v/>
      </c>
      <c r="AC386" s="6">
        <f>IFERROR(INDEX('7_3nf_product'!$E:$E,MATCH(Y386,'7_3nf_product'!$A:$A,0)),"NOT FOUND")</f>
        <v/>
      </c>
      <c r="AD386" s="33">
        <f>IF(LEN(TRIM(E386))=10,TRIM(E386),IF(LEN(TRIM(E386))=8,"00"&amp;TRIM(E386),"CHECK"))</f>
        <v/>
      </c>
      <c r="AE386" s="2">
        <f>IFERROR(INDEX('8_3nf_customer'!$C:$C,MATCH(AD386,'8_3nf_customer'!$B:$B,0)),"NOT FOUND")</f>
        <v/>
      </c>
      <c r="AF386" s="30">
        <f>IFERROR(INDEX('8_3nf_customer'!$D:$D,MATCH(AD386,'8_3nf_customer'!$B:$B,0)),"NOT FOUND")</f>
        <v/>
      </c>
      <c r="AG386" s="4">
        <f>IF(ISNUMBER(AF386),DATEDIF(AF386,L386,"y"),"NOT FOUND")</f>
        <v/>
      </c>
      <c r="AH386" s="2">
        <f>IFERROR(INDEX('8_3nf_customer'!$E:$E,MATCH(AD386,'8_3nf_customer'!$B:$B,0)),"NOT FOUND")</f>
        <v/>
      </c>
      <c r="AI386" s="30">
        <f>IF(_xlfn.MAXIFS('9_3nf_customer_history'!$B$2:$B$500,'9_3nf_customer_history'!$A$2:$A$500,AD386,'9_3nf_customer_history'!$B$2:$B$500,"&lt;="&amp;L386)=0,"NOT FOUND",_xlfn.MAXIFS('9_3nf_customer_history'!$B$2:$B$500,'9_3nf_customer_history'!$A$2:$A$500,AD386,'9_3nf_customer_history'!$B$2:$B$500,"&lt;="&amp;L386))</f>
        <v/>
      </c>
      <c r="AJ386" s="2">
        <f>IF(AI386="NOT FOUND","NOT FOUND",INDEX('9_3nf_customer_history'!$C:$C,SUMPRODUCT(('9_3nf_customer_history'!$A$2:$A$500=AD386)*('9_3nf_customer_history'!$B$2:$B$500=AI386)*ROW('9_3nf_customer_history'!$A$2:$A$500))))</f>
        <v/>
      </c>
      <c r="AK386" s="2">
        <f>IF(AI386="NOT FOUND","NOT FOUND",INDEX('9_3nf_customer_history'!$D:$D,SUMPRODUCT(('9_3nf_customer_history'!$A$2:$A$500=AD386)*('9_3nf_customer_history'!$B$2:$B$500=AI386)*ROW('9_3nf_customer_history'!$A$2:$A$500))))</f>
        <v/>
      </c>
      <c r="AL386" s="2">
        <f>UPPER(TRIM(H386))</f>
        <v/>
      </c>
      <c r="AM386" s="30">
        <f>IF(_xlfn.MAXIFS('10_ref_fx_rate'!$B$2:$B$2000,'10_ref_fx_rate'!$A$2:$A$2000,AL386,'10_ref_fx_rate'!$B$2:$B$2000,"&lt;="&amp;L386)=0,"NOT FOUND",_xlfn.MAXIFS('10_ref_fx_rate'!$B$2:$B$2000,'10_ref_fx_rate'!$A$2:$A$2000,AL386,'10_ref_fx_rate'!$B$2:$B$2000,"&lt;="&amp;L386))</f>
        <v/>
      </c>
      <c r="AN386" s="8">
        <f>IF(AM386="NOT FOUND","NOT FOUND",SUMIFS('10_ref_fx_rate'!$D$2:$D$2000,'10_ref_fx_rate'!$A$2:$A$2000,AL386,'10_ref_fx_rate'!$B$2:$B$2000,AM386))</f>
        <v/>
      </c>
      <c r="AO386" s="37">
        <f>IF(ISNUMBER(AN386),I386*AN386,"NOT FOUND")</f>
        <v/>
      </c>
      <c r="AP386" s="2">
        <f>UPPER(TRIM(J386))</f>
        <v/>
      </c>
      <c r="AQ386" s="2">
        <f>IF(AP386="","SELF-DIRECTED",IF(ISNUMBER(MATCH(AP386,'11_3nf_sales_person'!$A:$A,0)),IF(EXACT(AP386,J386),"OK","OK (auto-fixed)"),IF(ISNA(MATCH($A386,'12_sales_person_confirmation'!$A:$A,0)),"CONFIRM (not logged)",IF(INDEX('12_sales_person_confirmation'!$I:$I,MATCH($A386,'12_sales_person_confirmation'!$A:$A,0))="CONFIRMED","CONFIRMED ("&amp;LOWER(INDEX('12_sales_person_confirmation'!$E:$E,MATCH($A386,'12_sales_person_confirmation'!$A:$A,0)))&amp;")","PENDING CONFIRM"))))</f>
        <v/>
      </c>
      <c r="AR386" s="2">
        <f>IF(OR(AQ386="OK",AQ386="OK (auto-fixed)"),AP386,IF(LEFT(AQ386,9)="CONFIRMED",INDEX('12_sales_person_confirmation'!$F:$F,MATCH($A386,'12_sales_person_confirmation'!$A:$A,0)),""))</f>
        <v/>
      </c>
      <c r="AS386" s="2">
        <f>IF(AR386="","",INDEX('11_3nf_sales_person'!$B:$B,MATCH(AR386,'11_3nf_sales_person'!$A:$A,0)))</f>
        <v/>
      </c>
    </row>
    <row r="387">
      <c r="A387" s="2">
        <f>IF(ISBLANK('1_raw_log'!A387),"",'1_raw_log'!A387)</f>
        <v/>
      </c>
      <c r="B387" s="3">
        <f>IF(ISBLANK('1_raw_log'!B387),"",'1_raw_log'!B387)</f>
        <v/>
      </c>
      <c r="C387" s="2">
        <f>IF(ISBLANK('1_raw_log'!C387),"",'1_raw_log'!C387)</f>
        <v/>
      </c>
      <c r="D387" s="2">
        <f>IF(ISBLANK('1_raw_log'!D387),"",'1_raw_log'!D387)</f>
        <v/>
      </c>
      <c r="E387" s="4">
        <f>IF(ISBLANK('1_raw_log'!E387),"",'1_raw_log'!E387)</f>
        <v/>
      </c>
      <c r="F387" s="2">
        <f>IF(ISBLANK('1_raw_log'!F387),"",'1_raw_log'!F387)</f>
        <v/>
      </c>
      <c r="G387" s="2">
        <f>IF(ISBLANK('1_raw_log'!G387),"",'1_raw_log'!G387)</f>
        <v/>
      </c>
      <c r="H387" s="2">
        <f>IF(ISBLANK('1_raw_log'!H387),"",'1_raw_log'!H387)</f>
        <v/>
      </c>
      <c r="I387" s="7">
        <f>IF(ISBLANK('1_raw_log'!I387),"",'1_raw_log'!I387)</f>
        <v/>
      </c>
      <c r="J387" s="2">
        <f>IF(ISBLANK('1_raw_log'!J387),"",'1_raw_log'!J387)</f>
        <v/>
      </c>
      <c r="K387" s="2">
        <f>IF(ISBLANK('1_raw_log'!K387),"",'1_raw_log'!K387)</f>
        <v/>
      </c>
      <c r="L387" s="30">
        <f>INT(B387)</f>
        <v/>
      </c>
      <c r="M387" s="20">
        <f>ROUND(MOD(B387,1)*1440,0)/1440</f>
        <v/>
      </c>
      <c r="N387" s="4">
        <f>IFERROR(INDEX('3_ref_date'!$B:$B,MATCH(L387,'3_ref_date'!$A:$A,0)),"NOT FOUND")</f>
        <v/>
      </c>
      <c r="O387" s="2">
        <f>IFERROR(INDEX('3_ref_date'!$C:$C,MATCH(L387,'3_ref_date'!$A:$A,0)),"NOT FOUND")</f>
        <v/>
      </c>
      <c r="P387" s="4">
        <f>IFERROR(INDEX('3_ref_date'!$D:$D,MATCH(L387,'3_ref_date'!$A:$A,0)),"NOT FOUND")</f>
        <v/>
      </c>
      <c r="Q387" s="4">
        <f>IFERROR(INDEX('3_ref_date'!$E:$E,MATCH(L387,'3_ref_date'!$A:$A,0)),"NOT FOUND")</f>
        <v/>
      </c>
      <c r="R387" s="2">
        <f>IFERROR(INDEX('3_ref_date'!$F:$F,MATCH(L387,'3_ref_date'!$A:$A,0)),"NOT FOUND")</f>
        <v/>
      </c>
      <c r="S387" s="2">
        <f>IFERROR(INDEX('4_ref_time'!$D:$D,MATCH(ROUND(M387*1440,0),'4_ref_time'!$A:$A,0)),"NOT FOUND")</f>
        <v/>
      </c>
      <c r="T387" s="2">
        <f>UPPER(TRIM(C387))</f>
        <v/>
      </c>
      <c r="U387" s="30">
        <f>IF(_xlfn.MAXIFS('6_3nf_branch_history'!$B$2:$B$50,'6_3nf_branch_history'!$A$2:$A$50,T387,'6_3nf_branch_history'!$B$2:$B$50,"&lt;="&amp;L387)=0,"NOT FOUND",_xlfn.MAXIFS('6_3nf_branch_history'!$B$2:$B$50,'6_3nf_branch_history'!$A$2:$A$50,T387,'6_3nf_branch_history'!$B$2:$B$50,"&lt;="&amp;L387))</f>
        <v/>
      </c>
      <c r="V387" s="2">
        <f>IF(U387="NOT FOUND","NOT FOUND",INDEX('6_3nf_branch_history'!$C:$C,SUMPRODUCT(('6_3nf_branch_history'!$A$2:$A$50=T387)*('6_3nf_branch_history'!$B$2:$B$50=U387)*ROW('6_3nf_branch_history'!$A$2:$A$50))))</f>
        <v/>
      </c>
      <c r="W387" s="2">
        <f>IF(U387="NOT FOUND","NOT FOUND",INDEX('6_3nf_branch_history'!$D:$D,SUMPRODUCT(('6_3nf_branch_history'!$A$2:$A$50=T387)*('6_3nf_branch_history'!$B$2:$B$50=U387)*ROW('6_3nf_branch_history'!$A$2:$A$50))))</f>
        <v/>
      </c>
      <c r="X387" s="2">
        <f>IF(U387="NOT FOUND","NOT FOUND",INDEX('6_3nf_branch_history'!$E:$E,SUMPRODUCT(('6_3nf_branch_history'!$A$2:$A$50=T387)*('6_3nf_branch_history'!$B$2:$B$50=U387)*ROW('6_3nf_branch_history'!$A$2:$A$50))))</f>
        <v/>
      </c>
      <c r="Y387" s="2">
        <f>UPPER(TRIM(D387))</f>
        <v/>
      </c>
      <c r="Z387" s="2">
        <f>IFERROR(INDEX('7_3nf_product'!$B:$B,MATCH(Y387,'7_3nf_product'!$A:$A,0)),"NOT FOUND")</f>
        <v/>
      </c>
      <c r="AA387" s="2">
        <f>IFERROR(INDEX('7_3nf_product'!$C:$C,MATCH(Y387,'7_3nf_product'!$A:$A,0)),"NOT FOUND")</f>
        <v/>
      </c>
      <c r="AB387" s="2">
        <f>IFERROR(INDEX('7_3nf_product'!$D:$D,MATCH(Y387,'7_3nf_product'!$A:$A,0)),"NOT FOUND")</f>
        <v/>
      </c>
      <c r="AC387" s="6">
        <f>IFERROR(INDEX('7_3nf_product'!$E:$E,MATCH(Y387,'7_3nf_product'!$A:$A,0)),"NOT FOUND")</f>
        <v/>
      </c>
      <c r="AD387" s="33">
        <f>IF(LEN(TRIM(E387))=10,TRIM(E387),IF(LEN(TRIM(E387))=8,"00"&amp;TRIM(E387),"CHECK"))</f>
        <v/>
      </c>
      <c r="AE387" s="2">
        <f>IFERROR(INDEX('8_3nf_customer'!$C:$C,MATCH(AD387,'8_3nf_customer'!$B:$B,0)),"NOT FOUND")</f>
        <v/>
      </c>
      <c r="AF387" s="30">
        <f>IFERROR(INDEX('8_3nf_customer'!$D:$D,MATCH(AD387,'8_3nf_customer'!$B:$B,0)),"NOT FOUND")</f>
        <v/>
      </c>
      <c r="AG387" s="4">
        <f>IF(ISNUMBER(AF387),DATEDIF(AF387,L387,"y"),"NOT FOUND")</f>
        <v/>
      </c>
      <c r="AH387" s="2">
        <f>IFERROR(INDEX('8_3nf_customer'!$E:$E,MATCH(AD387,'8_3nf_customer'!$B:$B,0)),"NOT FOUND")</f>
        <v/>
      </c>
      <c r="AI387" s="30">
        <f>IF(_xlfn.MAXIFS('9_3nf_customer_history'!$B$2:$B$500,'9_3nf_customer_history'!$A$2:$A$500,AD387,'9_3nf_customer_history'!$B$2:$B$500,"&lt;="&amp;L387)=0,"NOT FOUND",_xlfn.MAXIFS('9_3nf_customer_history'!$B$2:$B$500,'9_3nf_customer_history'!$A$2:$A$500,AD387,'9_3nf_customer_history'!$B$2:$B$500,"&lt;="&amp;L387))</f>
        <v/>
      </c>
      <c r="AJ387" s="2">
        <f>IF(AI387="NOT FOUND","NOT FOUND",INDEX('9_3nf_customer_history'!$C:$C,SUMPRODUCT(('9_3nf_customer_history'!$A$2:$A$500=AD387)*('9_3nf_customer_history'!$B$2:$B$500=AI387)*ROW('9_3nf_customer_history'!$A$2:$A$500))))</f>
        <v/>
      </c>
      <c r="AK387" s="2">
        <f>IF(AI387="NOT FOUND","NOT FOUND",INDEX('9_3nf_customer_history'!$D:$D,SUMPRODUCT(('9_3nf_customer_history'!$A$2:$A$500=AD387)*('9_3nf_customer_history'!$B$2:$B$500=AI387)*ROW('9_3nf_customer_history'!$A$2:$A$500))))</f>
        <v/>
      </c>
      <c r="AL387" s="2">
        <f>UPPER(TRIM(H387))</f>
        <v/>
      </c>
      <c r="AM387" s="30">
        <f>IF(_xlfn.MAXIFS('10_ref_fx_rate'!$B$2:$B$2000,'10_ref_fx_rate'!$A$2:$A$2000,AL387,'10_ref_fx_rate'!$B$2:$B$2000,"&lt;="&amp;L387)=0,"NOT FOUND",_xlfn.MAXIFS('10_ref_fx_rate'!$B$2:$B$2000,'10_ref_fx_rate'!$A$2:$A$2000,AL387,'10_ref_fx_rate'!$B$2:$B$2000,"&lt;="&amp;L387))</f>
        <v/>
      </c>
      <c r="AN387" s="8">
        <f>IF(AM387="NOT FOUND","NOT FOUND",SUMIFS('10_ref_fx_rate'!$D$2:$D$2000,'10_ref_fx_rate'!$A$2:$A$2000,AL387,'10_ref_fx_rate'!$B$2:$B$2000,AM387))</f>
        <v/>
      </c>
      <c r="AO387" s="37">
        <f>IF(ISNUMBER(AN387),I387*AN387,"NOT FOUND")</f>
        <v/>
      </c>
      <c r="AP387" s="2">
        <f>UPPER(TRIM(J387))</f>
        <v/>
      </c>
      <c r="AQ387" s="2">
        <f>IF(AP387="","SELF-DIRECTED",IF(ISNUMBER(MATCH(AP387,'11_3nf_sales_person'!$A:$A,0)),IF(EXACT(AP387,J387),"OK","OK (auto-fixed)"),IF(ISNA(MATCH($A387,'12_sales_person_confirmation'!$A:$A,0)),"CONFIRM (not logged)",IF(INDEX('12_sales_person_confirmation'!$I:$I,MATCH($A387,'12_sales_person_confirmation'!$A:$A,0))="CONFIRMED","CONFIRMED ("&amp;LOWER(INDEX('12_sales_person_confirmation'!$E:$E,MATCH($A387,'12_sales_person_confirmation'!$A:$A,0)))&amp;")","PENDING CONFIRM"))))</f>
        <v/>
      </c>
      <c r="AR387" s="2">
        <f>IF(OR(AQ387="OK",AQ387="OK (auto-fixed)"),AP387,IF(LEFT(AQ387,9)="CONFIRMED",INDEX('12_sales_person_confirmation'!$F:$F,MATCH($A387,'12_sales_person_confirmation'!$A:$A,0)),""))</f>
        <v/>
      </c>
      <c r="AS387" s="2">
        <f>IF(AR387="","",INDEX('11_3nf_sales_person'!$B:$B,MATCH(AR387,'11_3nf_sales_person'!$A:$A,0)))</f>
        <v/>
      </c>
    </row>
    <row r="388">
      <c r="A388" s="2">
        <f>IF(ISBLANK('1_raw_log'!A388),"",'1_raw_log'!A388)</f>
        <v/>
      </c>
      <c r="B388" s="3">
        <f>IF(ISBLANK('1_raw_log'!B388),"",'1_raw_log'!B388)</f>
        <v/>
      </c>
      <c r="C388" s="2">
        <f>IF(ISBLANK('1_raw_log'!C388),"",'1_raw_log'!C388)</f>
        <v/>
      </c>
      <c r="D388" s="2">
        <f>IF(ISBLANK('1_raw_log'!D388),"",'1_raw_log'!D388)</f>
        <v/>
      </c>
      <c r="E388" s="4">
        <f>IF(ISBLANK('1_raw_log'!E388),"",'1_raw_log'!E388)</f>
        <v/>
      </c>
      <c r="F388" s="2">
        <f>IF(ISBLANK('1_raw_log'!F388),"",'1_raw_log'!F388)</f>
        <v/>
      </c>
      <c r="G388" s="2">
        <f>IF(ISBLANK('1_raw_log'!G388),"",'1_raw_log'!G388)</f>
        <v/>
      </c>
      <c r="H388" s="2">
        <f>IF(ISBLANK('1_raw_log'!H388),"",'1_raw_log'!H388)</f>
        <v/>
      </c>
      <c r="I388" s="7">
        <f>IF(ISBLANK('1_raw_log'!I388),"",'1_raw_log'!I388)</f>
        <v/>
      </c>
      <c r="J388" s="2">
        <f>IF(ISBLANK('1_raw_log'!J388),"",'1_raw_log'!J388)</f>
        <v/>
      </c>
      <c r="K388" s="2">
        <f>IF(ISBLANK('1_raw_log'!K388),"",'1_raw_log'!K388)</f>
        <v/>
      </c>
      <c r="L388" s="30">
        <f>INT(B388)</f>
        <v/>
      </c>
      <c r="M388" s="20">
        <f>ROUND(MOD(B388,1)*1440,0)/1440</f>
        <v/>
      </c>
      <c r="N388" s="4">
        <f>IFERROR(INDEX('3_ref_date'!$B:$B,MATCH(L388,'3_ref_date'!$A:$A,0)),"NOT FOUND")</f>
        <v/>
      </c>
      <c r="O388" s="2">
        <f>IFERROR(INDEX('3_ref_date'!$C:$C,MATCH(L388,'3_ref_date'!$A:$A,0)),"NOT FOUND")</f>
        <v/>
      </c>
      <c r="P388" s="4">
        <f>IFERROR(INDEX('3_ref_date'!$D:$D,MATCH(L388,'3_ref_date'!$A:$A,0)),"NOT FOUND")</f>
        <v/>
      </c>
      <c r="Q388" s="4">
        <f>IFERROR(INDEX('3_ref_date'!$E:$E,MATCH(L388,'3_ref_date'!$A:$A,0)),"NOT FOUND")</f>
        <v/>
      </c>
      <c r="R388" s="2">
        <f>IFERROR(INDEX('3_ref_date'!$F:$F,MATCH(L388,'3_ref_date'!$A:$A,0)),"NOT FOUND")</f>
        <v/>
      </c>
      <c r="S388" s="2">
        <f>IFERROR(INDEX('4_ref_time'!$D:$D,MATCH(ROUND(M388*1440,0),'4_ref_time'!$A:$A,0)),"NOT FOUND")</f>
        <v/>
      </c>
      <c r="T388" s="2">
        <f>UPPER(TRIM(C388))</f>
        <v/>
      </c>
      <c r="U388" s="30">
        <f>IF(_xlfn.MAXIFS('6_3nf_branch_history'!$B$2:$B$50,'6_3nf_branch_history'!$A$2:$A$50,T388,'6_3nf_branch_history'!$B$2:$B$50,"&lt;="&amp;L388)=0,"NOT FOUND",_xlfn.MAXIFS('6_3nf_branch_history'!$B$2:$B$50,'6_3nf_branch_history'!$A$2:$A$50,T388,'6_3nf_branch_history'!$B$2:$B$50,"&lt;="&amp;L388))</f>
        <v/>
      </c>
      <c r="V388" s="2">
        <f>IF(U388="NOT FOUND","NOT FOUND",INDEX('6_3nf_branch_history'!$C:$C,SUMPRODUCT(('6_3nf_branch_history'!$A$2:$A$50=T388)*('6_3nf_branch_history'!$B$2:$B$50=U388)*ROW('6_3nf_branch_history'!$A$2:$A$50))))</f>
        <v/>
      </c>
      <c r="W388" s="2">
        <f>IF(U388="NOT FOUND","NOT FOUND",INDEX('6_3nf_branch_history'!$D:$D,SUMPRODUCT(('6_3nf_branch_history'!$A$2:$A$50=T388)*('6_3nf_branch_history'!$B$2:$B$50=U388)*ROW('6_3nf_branch_history'!$A$2:$A$50))))</f>
        <v/>
      </c>
      <c r="X388" s="2">
        <f>IF(U388="NOT FOUND","NOT FOUND",INDEX('6_3nf_branch_history'!$E:$E,SUMPRODUCT(('6_3nf_branch_history'!$A$2:$A$50=T388)*('6_3nf_branch_history'!$B$2:$B$50=U388)*ROW('6_3nf_branch_history'!$A$2:$A$50))))</f>
        <v/>
      </c>
      <c r="Y388" s="2">
        <f>UPPER(TRIM(D388))</f>
        <v/>
      </c>
      <c r="Z388" s="2">
        <f>IFERROR(INDEX('7_3nf_product'!$B:$B,MATCH(Y388,'7_3nf_product'!$A:$A,0)),"NOT FOUND")</f>
        <v/>
      </c>
      <c r="AA388" s="2">
        <f>IFERROR(INDEX('7_3nf_product'!$C:$C,MATCH(Y388,'7_3nf_product'!$A:$A,0)),"NOT FOUND")</f>
        <v/>
      </c>
      <c r="AB388" s="2">
        <f>IFERROR(INDEX('7_3nf_product'!$D:$D,MATCH(Y388,'7_3nf_product'!$A:$A,0)),"NOT FOUND")</f>
        <v/>
      </c>
      <c r="AC388" s="6">
        <f>IFERROR(INDEX('7_3nf_product'!$E:$E,MATCH(Y388,'7_3nf_product'!$A:$A,0)),"NOT FOUND")</f>
        <v/>
      </c>
      <c r="AD388" s="33">
        <f>IF(LEN(TRIM(E388))=10,TRIM(E388),IF(LEN(TRIM(E388))=8,"00"&amp;TRIM(E388),"CHECK"))</f>
        <v/>
      </c>
      <c r="AE388" s="2">
        <f>IFERROR(INDEX('8_3nf_customer'!$C:$C,MATCH(AD388,'8_3nf_customer'!$B:$B,0)),"NOT FOUND")</f>
        <v/>
      </c>
      <c r="AF388" s="30">
        <f>IFERROR(INDEX('8_3nf_customer'!$D:$D,MATCH(AD388,'8_3nf_customer'!$B:$B,0)),"NOT FOUND")</f>
        <v/>
      </c>
      <c r="AG388" s="4">
        <f>IF(ISNUMBER(AF388),DATEDIF(AF388,L388,"y"),"NOT FOUND")</f>
        <v/>
      </c>
      <c r="AH388" s="2">
        <f>IFERROR(INDEX('8_3nf_customer'!$E:$E,MATCH(AD388,'8_3nf_customer'!$B:$B,0)),"NOT FOUND")</f>
        <v/>
      </c>
      <c r="AI388" s="30">
        <f>IF(_xlfn.MAXIFS('9_3nf_customer_history'!$B$2:$B$500,'9_3nf_customer_history'!$A$2:$A$500,AD388,'9_3nf_customer_history'!$B$2:$B$500,"&lt;="&amp;L388)=0,"NOT FOUND",_xlfn.MAXIFS('9_3nf_customer_history'!$B$2:$B$500,'9_3nf_customer_history'!$A$2:$A$500,AD388,'9_3nf_customer_history'!$B$2:$B$500,"&lt;="&amp;L388))</f>
        <v/>
      </c>
      <c r="AJ388" s="2">
        <f>IF(AI388="NOT FOUND","NOT FOUND",INDEX('9_3nf_customer_history'!$C:$C,SUMPRODUCT(('9_3nf_customer_history'!$A$2:$A$500=AD388)*('9_3nf_customer_history'!$B$2:$B$500=AI388)*ROW('9_3nf_customer_history'!$A$2:$A$500))))</f>
        <v/>
      </c>
      <c r="AK388" s="2">
        <f>IF(AI388="NOT FOUND","NOT FOUND",INDEX('9_3nf_customer_history'!$D:$D,SUMPRODUCT(('9_3nf_customer_history'!$A$2:$A$500=AD388)*('9_3nf_customer_history'!$B$2:$B$500=AI388)*ROW('9_3nf_customer_history'!$A$2:$A$500))))</f>
        <v/>
      </c>
      <c r="AL388" s="2">
        <f>UPPER(TRIM(H388))</f>
        <v/>
      </c>
      <c r="AM388" s="30">
        <f>IF(_xlfn.MAXIFS('10_ref_fx_rate'!$B$2:$B$2000,'10_ref_fx_rate'!$A$2:$A$2000,AL388,'10_ref_fx_rate'!$B$2:$B$2000,"&lt;="&amp;L388)=0,"NOT FOUND",_xlfn.MAXIFS('10_ref_fx_rate'!$B$2:$B$2000,'10_ref_fx_rate'!$A$2:$A$2000,AL388,'10_ref_fx_rate'!$B$2:$B$2000,"&lt;="&amp;L388))</f>
        <v/>
      </c>
      <c r="AN388" s="8">
        <f>IF(AM388="NOT FOUND","NOT FOUND",SUMIFS('10_ref_fx_rate'!$D$2:$D$2000,'10_ref_fx_rate'!$A$2:$A$2000,AL388,'10_ref_fx_rate'!$B$2:$B$2000,AM388))</f>
        <v/>
      </c>
      <c r="AO388" s="37">
        <f>IF(ISNUMBER(AN388),I388*AN388,"NOT FOUND")</f>
        <v/>
      </c>
      <c r="AP388" s="2">
        <f>UPPER(TRIM(J388))</f>
        <v/>
      </c>
      <c r="AQ388" s="2">
        <f>IF(AP388="","SELF-DIRECTED",IF(ISNUMBER(MATCH(AP388,'11_3nf_sales_person'!$A:$A,0)),IF(EXACT(AP388,J388),"OK","OK (auto-fixed)"),IF(ISNA(MATCH($A388,'12_sales_person_confirmation'!$A:$A,0)),"CONFIRM (not logged)",IF(INDEX('12_sales_person_confirmation'!$I:$I,MATCH($A388,'12_sales_person_confirmation'!$A:$A,0))="CONFIRMED","CONFIRMED ("&amp;LOWER(INDEX('12_sales_person_confirmation'!$E:$E,MATCH($A388,'12_sales_person_confirmation'!$A:$A,0)))&amp;")","PENDING CONFIRM"))))</f>
        <v/>
      </c>
      <c r="AR388" s="2">
        <f>IF(OR(AQ388="OK",AQ388="OK (auto-fixed)"),AP388,IF(LEFT(AQ388,9)="CONFIRMED",INDEX('12_sales_person_confirmation'!$F:$F,MATCH($A388,'12_sales_person_confirmation'!$A:$A,0)),""))</f>
        <v/>
      </c>
      <c r="AS388" s="2">
        <f>IF(AR388="","",INDEX('11_3nf_sales_person'!$B:$B,MATCH(AR388,'11_3nf_sales_person'!$A:$A,0)))</f>
        <v/>
      </c>
    </row>
    <row r="389">
      <c r="A389" s="2">
        <f>IF(ISBLANK('1_raw_log'!A389),"",'1_raw_log'!A389)</f>
        <v/>
      </c>
      <c r="B389" s="3">
        <f>IF(ISBLANK('1_raw_log'!B389),"",'1_raw_log'!B389)</f>
        <v/>
      </c>
      <c r="C389" s="2">
        <f>IF(ISBLANK('1_raw_log'!C389),"",'1_raw_log'!C389)</f>
        <v/>
      </c>
      <c r="D389" s="2">
        <f>IF(ISBLANK('1_raw_log'!D389),"",'1_raw_log'!D389)</f>
        <v/>
      </c>
      <c r="E389" s="4">
        <f>IF(ISBLANK('1_raw_log'!E389),"",'1_raw_log'!E389)</f>
        <v/>
      </c>
      <c r="F389" s="2">
        <f>IF(ISBLANK('1_raw_log'!F389),"",'1_raw_log'!F389)</f>
        <v/>
      </c>
      <c r="G389" s="2">
        <f>IF(ISBLANK('1_raw_log'!G389),"",'1_raw_log'!G389)</f>
        <v/>
      </c>
      <c r="H389" s="2">
        <f>IF(ISBLANK('1_raw_log'!H389),"",'1_raw_log'!H389)</f>
        <v/>
      </c>
      <c r="I389" s="7">
        <f>IF(ISBLANK('1_raw_log'!I389),"",'1_raw_log'!I389)</f>
        <v/>
      </c>
      <c r="J389" s="2">
        <f>IF(ISBLANK('1_raw_log'!J389),"",'1_raw_log'!J389)</f>
        <v/>
      </c>
      <c r="K389" s="2">
        <f>IF(ISBLANK('1_raw_log'!K389),"",'1_raw_log'!K389)</f>
        <v/>
      </c>
      <c r="L389" s="30">
        <f>INT(B389)</f>
        <v/>
      </c>
      <c r="M389" s="20">
        <f>ROUND(MOD(B389,1)*1440,0)/1440</f>
        <v/>
      </c>
      <c r="N389" s="4">
        <f>IFERROR(INDEX('3_ref_date'!$B:$B,MATCH(L389,'3_ref_date'!$A:$A,0)),"NOT FOUND")</f>
        <v/>
      </c>
      <c r="O389" s="2">
        <f>IFERROR(INDEX('3_ref_date'!$C:$C,MATCH(L389,'3_ref_date'!$A:$A,0)),"NOT FOUND")</f>
        <v/>
      </c>
      <c r="P389" s="4">
        <f>IFERROR(INDEX('3_ref_date'!$D:$D,MATCH(L389,'3_ref_date'!$A:$A,0)),"NOT FOUND")</f>
        <v/>
      </c>
      <c r="Q389" s="4">
        <f>IFERROR(INDEX('3_ref_date'!$E:$E,MATCH(L389,'3_ref_date'!$A:$A,0)),"NOT FOUND")</f>
        <v/>
      </c>
      <c r="R389" s="2">
        <f>IFERROR(INDEX('3_ref_date'!$F:$F,MATCH(L389,'3_ref_date'!$A:$A,0)),"NOT FOUND")</f>
        <v/>
      </c>
      <c r="S389" s="2">
        <f>IFERROR(INDEX('4_ref_time'!$D:$D,MATCH(ROUND(M389*1440,0),'4_ref_time'!$A:$A,0)),"NOT FOUND")</f>
        <v/>
      </c>
      <c r="T389" s="2">
        <f>UPPER(TRIM(C389))</f>
        <v/>
      </c>
      <c r="U389" s="30">
        <f>IF(_xlfn.MAXIFS('6_3nf_branch_history'!$B$2:$B$50,'6_3nf_branch_history'!$A$2:$A$50,T389,'6_3nf_branch_history'!$B$2:$B$50,"&lt;="&amp;L389)=0,"NOT FOUND",_xlfn.MAXIFS('6_3nf_branch_history'!$B$2:$B$50,'6_3nf_branch_history'!$A$2:$A$50,T389,'6_3nf_branch_history'!$B$2:$B$50,"&lt;="&amp;L389))</f>
        <v/>
      </c>
      <c r="V389" s="2">
        <f>IF(U389="NOT FOUND","NOT FOUND",INDEX('6_3nf_branch_history'!$C:$C,SUMPRODUCT(('6_3nf_branch_history'!$A$2:$A$50=T389)*('6_3nf_branch_history'!$B$2:$B$50=U389)*ROW('6_3nf_branch_history'!$A$2:$A$50))))</f>
        <v/>
      </c>
      <c r="W389" s="2">
        <f>IF(U389="NOT FOUND","NOT FOUND",INDEX('6_3nf_branch_history'!$D:$D,SUMPRODUCT(('6_3nf_branch_history'!$A$2:$A$50=T389)*('6_3nf_branch_history'!$B$2:$B$50=U389)*ROW('6_3nf_branch_history'!$A$2:$A$50))))</f>
        <v/>
      </c>
      <c r="X389" s="2">
        <f>IF(U389="NOT FOUND","NOT FOUND",INDEX('6_3nf_branch_history'!$E:$E,SUMPRODUCT(('6_3nf_branch_history'!$A$2:$A$50=T389)*('6_3nf_branch_history'!$B$2:$B$50=U389)*ROW('6_3nf_branch_history'!$A$2:$A$50))))</f>
        <v/>
      </c>
      <c r="Y389" s="2">
        <f>UPPER(TRIM(D389))</f>
        <v/>
      </c>
      <c r="Z389" s="2">
        <f>IFERROR(INDEX('7_3nf_product'!$B:$B,MATCH(Y389,'7_3nf_product'!$A:$A,0)),"NOT FOUND")</f>
        <v/>
      </c>
      <c r="AA389" s="2">
        <f>IFERROR(INDEX('7_3nf_product'!$C:$C,MATCH(Y389,'7_3nf_product'!$A:$A,0)),"NOT FOUND")</f>
        <v/>
      </c>
      <c r="AB389" s="2">
        <f>IFERROR(INDEX('7_3nf_product'!$D:$D,MATCH(Y389,'7_3nf_product'!$A:$A,0)),"NOT FOUND")</f>
        <v/>
      </c>
      <c r="AC389" s="6">
        <f>IFERROR(INDEX('7_3nf_product'!$E:$E,MATCH(Y389,'7_3nf_product'!$A:$A,0)),"NOT FOUND")</f>
        <v/>
      </c>
      <c r="AD389" s="33">
        <f>IF(LEN(TRIM(E389))=10,TRIM(E389),IF(LEN(TRIM(E389))=8,"00"&amp;TRIM(E389),"CHECK"))</f>
        <v/>
      </c>
      <c r="AE389" s="2">
        <f>IFERROR(INDEX('8_3nf_customer'!$C:$C,MATCH(AD389,'8_3nf_customer'!$B:$B,0)),"NOT FOUND")</f>
        <v/>
      </c>
      <c r="AF389" s="30">
        <f>IFERROR(INDEX('8_3nf_customer'!$D:$D,MATCH(AD389,'8_3nf_customer'!$B:$B,0)),"NOT FOUND")</f>
        <v/>
      </c>
      <c r="AG389" s="4">
        <f>IF(ISNUMBER(AF389),DATEDIF(AF389,L389,"y"),"NOT FOUND")</f>
        <v/>
      </c>
      <c r="AH389" s="2">
        <f>IFERROR(INDEX('8_3nf_customer'!$E:$E,MATCH(AD389,'8_3nf_customer'!$B:$B,0)),"NOT FOUND")</f>
        <v/>
      </c>
      <c r="AI389" s="30">
        <f>IF(_xlfn.MAXIFS('9_3nf_customer_history'!$B$2:$B$500,'9_3nf_customer_history'!$A$2:$A$500,AD389,'9_3nf_customer_history'!$B$2:$B$500,"&lt;="&amp;L389)=0,"NOT FOUND",_xlfn.MAXIFS('9_3nf_customer_history'!$B$2:$B$500,'9_3nf_customer_history'!$A$2:$A$500,AD389,'9_3nf_customer_history'!$B$2:$B$500,"&lt;="&amp;L389))</f>
        <v/>
      </c>
      <c r="AJ389" s="2">
        <f>IF(AI389="NOT FOUND","NOT FOUND",INDEX('9_3nf_customer_history'!$C:$C,SUMPRODUCT(('9_3nf_customer_history'!$A$2:$A$500=AD389)*('9_3nf_customer_history'!$B$2:$B$500=AI389)*ROW('9_3nf_customer_history'!$A$2:$A$500))))</f>
        <v/>
      </c>
      <c r="AK389" s="2">
        <f>IF(AI389="NOT FOUND","NOT FOUND",INDEX('9_3nf_customer_history'!$D:$D,SUMPRODUCT(('9_3nf_customer_history'!$A$2:$A$500=AD389)*('9_3nf_customer_history'!$B$2:$B$500=AI389)*ROW('9_3nf_customer_history'!$A$2:$A$500))))</f>
        <v/>
      </c>
      <c r="AL389" s="2">
        <f>UPPER(TRIM(H389))</f>
        <v/>
      </c>
      <c r="AM389" s="30">
        <f>IF(_xlfn.MAXIFS('10_ref_fx_rate'!$B$2:$B$2000,'10_ref_fx_rate'!$A$2:$A$2000,AL389,'10_ref_fx_rate'!$B$2:$B$2000,"&lt;="&amp;L389)=0,"NOT FOUND",_xlfn.MAXIFS('10_ref_fx_rate'!$B$2:$B$2000,'10_ref_fx_rate'!$A$2:$A$2000,AL389,'10_ref_fx_rate'!$B$2:$B$2000,"&lt;="&amp;L389))</f>
        <v/>
      </c>
      <c r="AN389" s="8">
        <f>IF(AM389="NOT FOUND","NOT FOUND",SUMIFS('10_ref_fx_rate'!$D$2:$D$2000,'10_ref_fx_rate'!$A$2:$A$2000,AL389,'10_ref_fx_rate'!$B$2:$B$2000,AM389))</f>
        <v/>
      </c>
      <c r="AO389" s="37">
        <f>IF(ISNUMBER(AN389),I389*AN389,"NOT FOUND")</f>
        <v/>
      </c>
      <c r="AP389" s="2">
        <f>UPPER(TRIM(J389))</f>
        <v/>
      </c>
      <c r="AQ389" s="2">
        <f>IF(AP389="","SELF-DIRECTED",IF(ISNUMBER(MATCH(AP389,'11_3nf_sales_person'!$A:$A,0)),IF(EXACT(AP389,J389),"OK","OK (auto-fixed)"),IF(ISNA(MATCH($A389,'12_sales_person_confirmation'!$A:$A,0)),"CONFIRM (not logged)",IF(INDEX('12_sales_person_confirmation'!$I:$I,MATCH($A389,'12_sales_person_confirmation'!$A:$A,0))="CONFIRMED","CONFIRMED ("&amp;LOWER(INDEX('12_sales_person_confirmation'!$E:$E,MATCH($A389,'12_sales_person_confirmation'!$A:$A,0)))&amp;")","PENDING CONFIRM"))))</f>
        <v/>
      </c>
      <c r="AR389" s="2">
        <f>IF(OR(AQ389="OK",AQ389="OK (auto-fixed)"),AP389,IF(LEFT(AQ389,9)="CONFIRMED",INDEX('12_sales_person_confirmation'!$F:$F,MATCH($A389,'12_sales_person_confirmation'!$A:$A,0)),""))</f>
        <v/>
      </c>
      <c r="AS389" s="2">
        <f>IF(AR389="","",INDEX('11_3nf_sales_person'!$B:$B,MATCH(AR389,'11_3nf_sales_person'!$A:$A,0)))</f>
        <v/>
      </c>
    </row>
    <row r="390">
      <c r="A390" s="2">
        <f>IF(ISBLANK('1_raw_log'!A390),"",'1_raw_log'!A390)</f>
        <v/>
      </c>
      <c r="B390" s="3">
        <f>IF(ISBLANK('1_raw_log'!B390),"",'1_raw_log'!B390)</f>
        <v/>
      </c>
      <c r="C390" s="2">
        <f>IF(ISBLANK('1_raw_log'!C390),"",'1_raw_log'!C390)</f>
        <v/>
      </c>
      <c r="D390" s="2">
        <f>IF(ISBLANK('1_raw_log'!D390),"",'1_raw_log'!D390)</f>
        <v/>
      </c>
      <c r="E390" s="4">
        <f>IF(ISBLANK('1_raw_log'!E390),"",'1_raw_log'!E390)</f>
        <v/>
      </c>
      <c r="F390" s="2">
        <f>IF(ISBLANK('1_raw_log'!F390),"",'1_raw_log'!F390)</f>
        <v/>
      </c>
      <c r="G390" s="2">
        <f>IF(ISBLANK('1_raw_log'!G390),"",'1_raw_log'!G390)</f>
        <v/>
      </c>
      <c r="H390" s="2">
        <f>IF(ISBLANK('1_raw_log'!H390),"",'1_raw_log'!H390)</f>
        <v/>
      </c>
      <c r="I390" s="7">
        <f>IF(ISBLANK('1_raw_log'!I390),"",'1_raw_log'!I390)</f>
        <v/>
      </c>
      <c r="J390" s="2">
        <f>IF(ISBLANK('1_raw_log'!J390),"",'1_raw_log'!J390)</f>
        <v/>
      </c>
      <c r="K390" s="2">
        <f>IF(ISBLANK('1_raw_log'!K390),"",'1_raw_log'!K390)</f>
        <v/>
      </c>
      <c r="L390" s="30">
        <f>INT(B390)</f>
        <v/>
      </c>
      <c r="M390" s="20">
        <f>ROUND(MOD(B390,1)*1440,0)/1440</f>
        <v/>
      </c>
      <c r="N390" s="4">
        <f>IFERROR(INDEX('3_ref_date'!$B:$B,MATCH(L390,'3_ref_date'!$A:$A,0)),"NOT FOUND")</f>
        <v/>
      </c>
      <c r="O390" s="2">
        <f>IFERROR(INDEX('3_ref_date'!$C:$C,MATCH(L390,'3_ref_date'!$A:$A,0)),"NOT FOUND")</f>
        <v/>
      </c>
      <c r="P390" s="4">
        <f>IFERROR(INDEX('3_ref_date'!$D:$D,MATCH(L390,'3_ref_date'!$A:$A,0)),"NOT FOUND")</f>
        <v/>
      </c>
      <c r="Q390" s="4">
        <f>IFERROR(INDEX('3_ref_date'!$E:$E,MATCH(L390,'3_ref_date'!$A:$A,0)),"NOT FOUND")</f>
        <v/>
      </c>
      <c r="R390" s="2">
        <f>IFERROR(INDEX('3_ref_date'!$F:$F,MATCH(L390,'3_ref_date'!$A:$A,0)),"NOT FOUND")</f>
        <v/>
      </c>
      <c r="S390" s="2">
        <f>IFERROR(INDEX('4_ref_time'!$D:$D,MATCH(ROUND(M390*1440,0),'4_ref_time'!$A:$A,0)),"NOT FOUND")</f>
        <v/>
      </c>
      <c r="T390" s="2">
        <f>UPPER(TRIM(C390))</f>
        <v/>
      </c>
      <c r="U390" s="30">
        <f>IF(_xlfn.MAXIFS('6_3nf_branch_history'!$B$2:$B$50,'6_3nf_branch_history'!$A$2:$A$50,T390,'6_3nf_branch_history'!$B$2:$B$50,"&lt;="&amp;L390)=0,"NOT FOUND",_xlfn.MAXIFS('6_3nf_branch_history'!$B$2:$B$50,'6_3nf_branch_history'!$A$2:$A$50,T390,'6_3nf_branch_history'!$B$2:$B$50,"&lt;="&amp;L390))</f>
        <v/>
      </c>
      <c r="V390" s="2">
        <f>IF(U390="NOT FOUND","NOT FOUND",INDEX('6_3nf_branch_history'!$C:$C,SUMPRODUCT(('6_3nf_branch_history'!$A$2:$A$50=T390)*('6_3nf_branch_history'!$B$2:$B$50=U390)*ROW('6_3nf_branch_history'!$A$2:$A$50))))</f>
        <v/>
      </c>
      <c r="W390" s="2">
        <f>IF(U390="NOT FOUND","NOT FOUND",INDEX('6_3nf_branch_history'!$D:$D,SUMPRODUCT(('6_3nf_branch_history'!$A$2:$A$50=T390)*('6_3nf_branch_history'!$B$2:$B$50=U390)*ROW('6_3nf_branch_history'!$A$2:$A$50))))</f>
        <v/>
      </c>
      <c r="X390" s="2">
        <f>IF(U390="NOT FOUND","NOT FOUND",INDEX('6_3nf_branch_history'!$E:$E,SUMPRODUCT(('6_3nf_branch_history'!$A$2:$A$50=T390)*('6_3nf_branch_history'!$B$2:$B$50=U390)*ROW('6_3nf_branch_history'!$A$2:$A$50))))</f>
        <v/>
      </c>
      <c r="Y390" s="2">
        <f>UPPER(TRIM(D390))</f>
        <v/>
      </c>
      <c r="Z390" s="2">
        <f>IFERROR(INDEX('7_3nf_product'!$B:$B,MATCH(Y390,'7_3nf_product'!$A:$A,0)),"NOT FOUND")</f>
        <v/>
      </c>
      <c r="AA390" s="2">
        <f>IFERROR(INDEX('7_3nf_product'!$C:$C,MATCH(Y390,'7_3nf_product'!$A:$A,0)),"NOT FOUND")</f>
        <v/>
      </c>
      <c r="AB390" s="2">
        <f>IFERROR(INDEX('7_3nf_product'!$D:$D,MATCH(Y390,'7_3nf_product'!$A:$A,0)),"NOT FOUND")</f>
        <v/>
      </c>
      <c r="AC390" s="6">
        <f>IFERROR(INDEX('7_3nf_product'!$E:$E,MATCH(Y390,'7_3nf_product'!$A:$A,0)),"NOT FOUND")</f>
        <v/>
      </c>
      <c r="AD390" s="33">
        <f>IF(LEN(TRIM(E390))=10,TRIM(E390),IF(LEN(TRIM(E390))=8,"00"&amp;TRIM(E390),"CHECK"))</f>
        <v/>
      </c>
      <c r="AE390" s="2">
        <f>IFERROR(INDEX('8_3nf_customer'!$C:$C,MATCH(AD390,'8_3nf_customer'!$B:$B,0)),"NOT FOUND")</f>
        <v/>
      </c>
      <c r="AF390" s="30">
        <f>IFERROR(INDEX('8_3nf_customer'!$D:$D,MATCH(AD390,'8_3nf_customer'!$B:$B,0)),"NOT FOUND")</f>
        <v/>
      </c>
      <c r="AG390" s="4">
        <f>IF(ISNUMBER(AF390),DATEDIF(AF390,L390,"y"),"NOT FOUND")</f>
        <v/>
      </c>
      <c r="AH390" s="2">
        <f>IFERROR(INDEX('8_3nf_customer'!$E:$E,MATCH(AD390,'8_3nf_customer'!$B:$B,0)),"NOT FOUND")</f>
        <v/>
      </c>
      <c r="AI390" s="30">
        <f>IF(_xlfn.MAXIFS('9_3nf_customer_history'!$B$2:$B$500,'9_3nf_customer_history'!$A$2:$A$500,AD390,'9_3nf_customer_history'!$B$2:$B$500,"&lt;="&amp;L390)=0,"NOT FOUND",_xlfn.MAXIFS('9_3nf_customer_history'!$B$2:$B$500,'9_3nf_customer_history'!$A$2:$A$500,AD390,'9_3nf_customer_history'!$B$2:$B$500,"&lt;="&amp;L390))</f>
        <v/>
      </c>
      <c r="AJ390" s="2">
        <f>IF(AI390="NOT FOUND","NOT FOUND",INDEX('9_3nf_customer_history'!$C:$C,SUMPRODUCT(('9_3nf_customer_history'!$A$2:$A$500=AD390)*('9_3nf_customer_history'!$B$2:$B$500=AI390)*ROW('9_3nf_customer_history'!$A$2:$A$500))))</f>
        <v/>
      </c>
      <c r="AK390" s="2">
        <f>IF(AI390="NOT FOUND","NOT FOUND",INDEX('9_3nf_customer_history'!$D:$D,SUMPRODUCT(('9_3nf_customer_history'!$A$2:$A$500=AD390)*('9_3nf_customer_history'!$B$2:$B$500=AI390)*ROW('9_3nf_customer_history'!$A$2:$A$500))))</f>
        <v/>
      </c>
      <c r="AL390" s="2">
        <f>UPPER(TRIM(H390))</f>
        <v/>
      </c>
      <c r="AM390" s="30">
        <f>IF(_xlfn.MAXIFS('10_ref_fx_rate'!$B$2:$B$2000,'10_ref_fx_rate'!$A$2:$A$2000,AL390,'10_ref_fx_rate'!$B$2:$B$2000,"&lt;="&amp;L390)=0,"NOT FOUND",_xlfn.MAXIFS('10_ref_fx_rate'!$B$2:$B$2000,'10_ref_fx_rate'!$A$2:$A$2000,AL390,'10_ref_fx_rate'!$B$2:$B$2000,"&lt;="&amp;L390))</f>
        <v/>
      </c>
      <c r="AN390" s="8">
        <f>IF(AM390="NOT FOUND","NOT FOUND",SUMIFS('10_ref_fx_rate'!$D$2:$D$2000,'10_ref_fx_rate'!$A$2:$A$2000,AL390,'10_ref_fx_rate'!$B$2:$B$2000,AM390))</f>
        <v/>
      </c>
      <c r="AO390" s="37">
        <f>IF(ISNUMBER(AN390),I390*AN390,"NOT FOUND")</f>
        <v/>
      </c>
      <c r="AP390" s="2">
        <f>UPPER(TRIM(J390))</f>
        <v/>
      </c>
      <c r="AQ390" s="2">
        <f>IF(AP390="","SELF-DIRECTED",IF(ISNUMBER(MATCH(AP390,'11_3nf_sales_person'!$A:$A,0)),IF(EXACT(AP390,J390),"OK","OK (auto-fixed)"),IF(ISNA(MATCH($A390,'12_sales_person_confirmation'!$A:$A,0)),"CONFIRM (not logged)",IF(INDEX('12_sales_person_confirmation'!$I:$I,MATCH($A390,'12_sales_person_confirmation'!$A:$A,0))="CONFIRMED","CONFIRMED ("&amp;LOWER(INDEX('12_sales_person_confirmation'!$E:$E,MATCH($A390,'12_sales_person_confirmation'!$A:$A,0)))&amp;")","PENDING CONFIRM"))))</f>
        <v/>
      </c>
      <c r="AR390" s="2">
        <f>IF(OR(AQ390="OK",AQ390="OK (auto-fixed)"),AP390,IF(LEFT(AQ390,9)="CONFIRMED",INDEX('12_sales_person_confirmation'!$F:$F,MATCH($A390,'12_sales_person_confirmation'!$A:$A,0)),""))</f>
        <v/>
      </c>
      <c r="AS390" s="2">
        <f>IF(AR390="","",INDEX('11_3nf_sales_person'!$B:$B,MATCH(AR390,'11_3nf_sales_person'!$A:$A,0)))</f>
        <v/>
      </c>
    </row>
    <row r="391">
      <c r="A391" s="2">
        <f>IF(ISBLANK('1_raw_log'!A391),"",'1_raw_log'!A391)</f>
        <v/>
      </c>
      <c r="B391" s="3">
        <f>IF(ISBLANK('1_raw_log'!B391),"",'1_raw_log'!B391)</f>
        <v/>
      </c>
      <c r="C391" s="2">
        <f>IF(ISBLANK('1_raw_log'!C391),"",'1_raw_log'!C391)</f>
        <v/>
      </c>
      <c r="D391" s="2">
        <f>IF(ISBLANK('1_raw_log'!D391),"",'1_raw_log'!D391)</f>
        <v/>
      </c>
      <c r="E391" s="4">
        <f>IF(ISBLANK('1_raw_log'!E391),"",'1_raw_log'!E391)</f>
        <v/>
      </c>
      <c r="F391" s="2">
        <f>IF(ISBLANK('1_raw_log'!F391),"",'1_raw_log'!F391)</f>
        <v/>
      </c>
      <c r="G391" s="2">
        <f>IF(ISBLANK('1_raw_log'!G391),"",'1_raw_log'!G391)</f>
        <v/>
      </c>
      <c r="H391" s="2">
        <f>IF(ISBLANK('1_raw_log'!H391),"",'1_raw_log'!H391)</f>
        <v/>
      </c>
      <c r="I391" s="7">
        <f>IF(ISBLANK('1_raw_log'!I391),"",'1_raw_log'!I391)</f>
        <v/>
      </c>
      <c r="J391" s="2">
        <f>IF(ISBLANK('1_raw_log'!J391),"",'1_raw_log'!J391)</f>
        <v/>
      </c>
      <c r="K391" s="2">
        <f>IF(ISBLANK('1_raw_log'!K391),"",'1_raw_log'!K391)</f>
        <v/>
      </c>
      <c r="L391" s="30">
        <f>INT(B391)</f>
        <v/>
      </c>
      <c r="M391" s="20">
        <f>ROUND(MOD(B391,1)*1440,0)/1440</f>
        <v/>
      </c>
      <c r="N391" s="4">
        <f>IFERROR(INDEX('3_ref_date'!$B:$B,MATCH(L391,'3_ref_date'!$A:$A,0)),"NOT FOUND")</f>
        <v/>
      </c>
      <c r="O391" s="2">
        <f>IFERROR(INDEX('3_ref_date'!$C:$C,MATCH(L391,'3_ref_date'!$A:$A,0)),"NOT FOUND")</f>
        <v/>
      </c>
      <c r="P391" s="4">
        <f>IFERROR(INDEX('3_ref_date'!$D:$D,MATCH(L391,'3_ref_date'!$A:$A,0)),"NOT FOUND")</f>
        <v/>
      </c>
      <c r="Q391" s="4">
        <f>IFERROR(INDEX('3_ref_date'!$E:$E,MATCH(L391,'3_ref_date'!$A:$A,0)),"NOT FOUND")</f>
        <v/>
      </c>
      <c r="R391" s="2">
        <f>IFERROR(INDEX('3_ref_date'!$F:$F,MATCH(L391,'3_ref_date'!$A:$A,0)),"NOT FOUND")</f>
        <v/>
      </c>
      <c r="S391" s="2">
        <f>IFERROR(INDEX('4_ref_time'!$D:$D,MATCH(ROUND(M391*1440,0),'4_ref_time'!$A:$A,0)),"NOT FOUND")</f>
        <v/>
      </c>
      <c r="T391" s="2">
        <f>UPPER(TRIM(C391))</f>
        <v/>
      </c>
      <c r="U391" s="30">
        <f>IF(_xlfn.MAXIFS('6_3nf_branch_history'!$B$2:$B$50,'6_3nf_branch_history'!$A$2:$A$50,T391,'6_3nf_branch_history'!$B$2:$B$50,"&lt;="&amp;L391)=0,"NOT FOUND",_xlfn.MAXIFS('6_3nf_branch_history'!$B$2:$B$50,'6_3nf_branch_history'!$A$2:$A$50,T391,'6_3nf_branch_history'!$B$2:$B$50,"&lt;="&amp;L391))</f>
        <v/>
      </c>
      <c r="V391" s="2">
        <f>IF(U391="NOT FOUND","NOT FOUND",INDEX('6_3nf_branch_history'!$C:$C,SUMPRODUCT(('6_3nf_branch_history'!$A$2:$A$50=T391)*('6_3nf_branch_history'!$B$2:$B$50=U391)*ROW('6_3nf_branch_history'!$A$2:$A$50))))</f>
        <v/>
      </c>
      <c r="W391" s="2">
        <f>IF(U391="NOT FOUND","NOT FOUND",INDEX('6_3nf_branch_history'!$D:$D,SUMPRODUCT(('6_3nf_branch_history'!$A$2:$A$50=T391)*('6_3nf_branch_history'!$B$2:$B$50=U391)*ROW('6_3nf_branch_history'!$A$2:$A$50))))</f>
        <v/>
      </c>
      <c r="X391" s="2">
        <f>IF(U391="NOT FOUND","NOT FOUND",INDEX('6_3nf_branch_history'!$E:$E,SUMPRODUCT(('6_3nf_branch_history'!$A$2:$A$50=T391)*('6_3nf_branch_history'!$B$2:$B$50=U391)*ROW('6_3nf_branch_history'!$A$2:$A$50))))</f>
        <v/>
      </c>
      <c r="Y391" s="2">
        <f>UPPER(TRIM(D391))</f>
        <v/>
      </c>
      <c r="Z391" s="2">
        <f>IFERROR(INDEX('7_3nf_product'!$B:$B,MATCH(Y391,'7_3nf_product'!$A:$A,0)),"NOT FOUND")</f>
        <v/>
      </c>
      <c r="AA391" s="2">
        <f>IFERROR(INDEX('7_3nf_product'!$C:$C,MATCH(Y391,'7_3nf_product'!$A:$A,0)),"NOT FOUND")</f>
        <v/>
      </c>
      <c r="AB391" s="2">
        <f>IFERROR(INDEX('7_3nf_product'!$D:$D,MATCH(Y391,'7_3nf_product'!$A:$A,0)),"NOT FOUND")</f>
        <v/>
      </c>
      <c r="AC391" s="6">
        <f>IFERROR(INDEX('7_3nf_product'!$E:$E,MATCH(Y391,'7_3nf_product'!$A:$A,0)),"NOT FOUND")</f>
        <v/>
      </c>
      <c r="AD391" s="33">
        <f>IF(LEN(TRIM(E391))=10,TRIM(E391),IF(LEN(TRIM(E391))=8,"00"&amp;TRIM(E391),"CHECK"))</f>
        <v/>
      </c>
      <c r="AE391" s="2">
        <f>IFERROR(INDEX('8_3nf_customer'!$C:$C,MATCH(AD391,'8_3nf_customer'!$B:$B,0)),"NOT FOUND")</f>
        <v/>
      </c>
      <c r="AF391" s="30">
        <f>IFERROR(INDEX('8_3nf_customer'!$D:$D,MATCH(AD391,'8_3nf_customer'!$B:$B,0)),"NOT FOUND")</f>
        <v/>
      </c>
      <c r="AG391" s="4">
        <f>IF(ISNUMBER(AF391),DATEDIF(AF391,L391,"y"),"NOT FOUND")</f>
        <v/>
      </c>
      <c r="AH391" s="2">
        <f>IFERROR(INDEX('8_3nf_customer'!$E:$E,MATCH(AD391,'8_3nf_customer'!$B:$B,0)),"NOT FOUND")</f>
        <v/>
      </c>
      <c r="AI391" s="30">
        <f>IF(_xlfn.MAXIFS('9_3nf_customer_history'!$B$2:$B$500,'9_3nf_customer_history'!$A$2:$A$500,AD391,'9_3nf_customer_history'!$B$2:$B$500,"&lt;="&amp;L391)=0,"NOT FOUND",_xlfn.MAXIFS('9_3nf_customer_history'!$B$2:$B$500,'9_3nf_customer_history'!$A$2:$A$500,AD391,'9_3nf_customer_history'!$B$2:$B$500,"&lt;="&amp;L391))</f>
        <v/>
      </c>
      <c r="AJ391" s="2">
        <f>IF(AI391="NOT FOUND","NOT FOUND",INDEX('9_3nf_customer_history'!$C:$C,SUMPRODUCT(('9_3nf_customer_history'!$A$2:$A$500=AD391)*('9_3nf_customer_history'!$B$2:$B$500=AI391)*ROW('9_3nf_customer_history'!$A$2:$A$500))))</f>
        <v/>
      </c>
      <c r="AK391" s="2">
        <f>IF(AI391="NOT FOUND","NOT FOUND",INDEX('9_3nf_customer_history'!$D:$D,SUMPRODUCT(('9_3nf_customer_history'!$A$2:$A$500=AD391)*('9_3nf_customer_history'!$B$2:$B$500=AI391)*ROW('9_3nf_customer_history'!$A$2:$A$500))))</f>
        <v/>
      </c>
      <c r="AL391" s="2">
        <f>UPPER(TRIM(H391))</f>
        <v/>
      </c>
      <c r="AM391" s="30">
        <f>IF(_xlfn.MAXIFS('10_ref_fx_rate'!$B$2:$B$2000,'10_ref_fx_rate'!$A$2:$A$2000,AL391,'10_ref_fx_rate'!$B$2:$B$2000,"&lt;="&amp;L391)=0,"NOT FOUND",_xlfn.MAXIFS('10_ref_fx_rate'!$B$2:$B$2000,'10_ref_fx_rate'!$A$2:$A$2000,AL391,'10_ref_fx_rate'!$B$2:$B$2000,"&lt;="&amp;L391))</f>
        <v/>
      </c>
      <c r="AN391" s="8">
        <f>IF(AM391="NOT FOUND","NOT FOUND",SUMIFS('10_ref_fx_rate'!$D$2:$D$2000,'10_ref_fx_rate'!$A$2:$A$2000,AL391,'10_ref_fx_rate'!$B$2:$B$2000,AM391))</f>
        <v/>
      </c>
      <c r="AO391" s="37">
        <f>IF(ISNUMBER(AN391),I391*AN391,"NOT FOUND")</f>
        <v/>
      </c>
      <c r="AP391" s="2">
        <f>UPPER(TRIM(J391))</f>
        <v/>
      </c>
      <c r="AQ391" s="2">
        <f>IF(AP391="","SELF-DIRECTED",IF(ISNUMBER(MATCH(AP391,'11_3nf_sales_person'!$A:$A,0)),IF(EXACT(AP391,J391),"OK","OK (auto-fixed)"),IF(ISNA(MATCH($A391,'12_sales_person_confirmation'!$A:$A,0)),"CONFIRM (not logged)",IF(INDEX('12_sales_person_confirmation'!$I:$I,MATCH($A391,'12_sales_person_confirmation'!$A:$A,0))="CONFIRMED","CONFIRMED ("&amp;LOWER(INDEX('12_sales_person_confirmation'!$E:$E,MATCH($A391,'12_sales_person_confirmation'!$A:$A,0)))&amp;")","PENDING CONFIRM"))))</f>
        <v/>
      </c>
      <c r="AR391" s="2">
        <f>IF(OR(AQ391="OK",AQ391="OK (auto-fixed)"),AP391,IF(LEFT(AQ391,9)="CONFIRMED",INDEX('12_sales_person_confirmation'!$F:$F,MATCH($A391,'12_sales_person_confirmation'!$A:$A,0)),""))</f>
        <v/>
      </c>
      <c r="AS391" s="2">
        <f>IF(AR391="","",INDEX('11_3nf_sales_person'!$B:$B,MATCH(AR391,'11_3nf_sales_person'!$A:$A,0)))</f>
        <v/>
      </c>
    </row>
    <row r="392">
      <c r="A392" s="2">
        <f>IF(ISBLANK('1_raw_log'!A392),"",'1_raw_log'!A392)</f>
        <v/>
      </c>
      <c r="B392" s="3">
        <f>IF(ISBLANK('1_raw_log'!B392),"",'1_raw_log'!B392)</f>
        <v/>
      </c>
      <c r="C392" s="2">
        <f>IF(ISBLANK('1_raw_log'!C392),"",'1_raw_log'!C392)</f>
        <v/>
      </c>
      <c r="D392" s="2">
        <f>IF(ISBLANK('1_raw_log'!D392),"",'1_raw_log'!D392)</f>
        <v/>
      </c>
      <c r="E392" s="4">
        <f>IF(ISBLANK('1_raw_log'!E392),"",'1_raw_log'!E392)</f>
        <v/>
      </c>
      <c r="F392" s="2">
        <f>IF(ISBLANK('1_raw_log'!F392),"",'1_raw_log'!F392)</f>
        <v/>
      </c>
      <c r="G392" s="2">
        <f>IF(ISBLANK('1_raw_log'!G392),"",'1_raw_log'!G392)</f>
        <v/>
      </c>
      <c r="H392" s="2">
        <f>IF(ISBLANK('1_raw_log'!H392),"",'1_raw_log'!H392)</f>
        <v/>
      </c>
      <c r="I392" s="7">
        <f>IF(ISBLANK('1_raw_log'!I392),"",'1_raw_log'!I392)</f>
        <v/>
      </c>
      <c r="J392" s="2">
        <f>IF(ISBLANK('1_raw_log'!J392),"",'1_raw_log'!J392)</f>
        <v/>
      </c>
      <c r="K392" s="2">
        <f>IF(ISBLANK('1_raw_log'!K392),"",'1_raw_log'!K392)</f>
        <v/>
      </c>
      <c r="L392" s="30">
        <f>INT(B392)</f>
        <v/>
      </c>
      <c r="M392" s="20">
        <f>ROUND(MOD(B392,1)*1440,0)/1440</f>
        <v/>
      </c>
      <c r="N392" s="4">
        <f>IFERROR(INDEX('3_ref_date'!$B:$B,MATCH(L392,'3_ref_date'!$A:$A,0)),"NOT FOUND")</f>
        <v/>
      </c>
      <c r="O392" s="2">
        <f>IFERROR(INDEX('3_ref_date'!$C:$C,MATCH(L392,'3_ref_date'!$A:$A,0)),"NOT FOUND")</f>
        <v/>
      </c>
      <c r="P392" s="4">
        <f>IFERROR(INDEX('3_ref_date'!$D:$D,MATCH(L392,'3_ref_date'!$A:$A,0)),"NOT FOUND")</f>
        <v/>
      </c>
      <c r="Q392" s="4">
        <f>IFERROR(INDEX('3_ref_date'!$E:$E,MATCH(L392,'3_ref_date'!$A:$A,0)),"NOT FOUND")</f>
        <v/>
      </c>
      <c r="R392" s="2">
        <f>IFERROR(INDEX('3_ref_date'!$F:$F,MATCH(L392,'3_ref_date'!$A:$A,0)),"NOT FOUND")</f>
        <v/>
      </c>
      <c r="S392" s="2">
        <f>IFERROR(INDEX('4_ref_time'!$D:$D,MATCH(ROUND(M392*1440,0),'4_ref_time'!$A:$A,0)),"NOT FOUND")</f>
        <v/>
      </c>
      <c r="T392" s="2">
        <f>UPPER(TRIM(C392))</f>
        <v/>
      </c>
      <c r="U392" s="30">
        <f>IF(_xlfn.MAXIFS('6_3nf_branch_history'!$B$2:$B$50,'6_3nf_branch_history'!$A$2:$A$50,T392,'6_3nf_branch_history'!$B$2:$B$50,"&lt;="&amp;L392)=0,"NOT FOUND",_xlfn.MAXIFS('6_3nf_branch_history'!$B$2:$B$50,'6_3nf_branch_history'!$A$2:$A$50,T392,'6_3nf_branch_history'!$B$2:$B$50,"&lt;="&amp;L392))</f>
        <v/>
      </c>
      <c r="V392" s="2">
        <f>IF(U392="NOT FOUND","NOT FOUND",INDEX('6_3nf_branch_history'!$C:$C,SUMPRODUCT(('6_3nf_branch_history'!$A$2:$A$50=T392)*('6_3nf_branch_history'!$B$2:$B$50=U392)*ROW('6_3nf_branch_history'!$A$2:$A$50))))</f>
        <v/>
      </c>
      <c r="W392" s="2">
        <f>IF(U392="NOT FOUND","NOT FOUND",INDEX('6_3nf_branch_history'!$D:$D,SUMPRODUCT(('6_3nf_branch_history'!$A$2:$A$50=T392)*('6_3nf_branch_history'!$B$2:$B$50=U392)*ROW('6_3nf_branch_history'!$A$2:$A$50))))</f>
        <v/>
      </c>
      <c r="X392" s="2">
        <f>IF(U392="NOT FOUND","NOT FOUND",INDEX('6_3nf_branch_history'!$E:$E,SUMPRODUCT(('6_3nf_branch_history'!$A$2:$A$50=T392)*('6_3nf_branch_history'!$B$2:$B$50=U392)*ROW('6_3nf_branch_history'!$A$2:$A$50))))</f>
        <v/>
      </c>
      <c r="Y392" s="2">
        <f>UPPER(TRIM(D392))</f>
        <v/>
      </c>
      <c r="Z392" s="2">
        <f>IFERROR(INDEX('7_3nf_product'!$B:$B,MATCH(Y392,'7_3nf_product'!$A:$A,0)),"NOT FOUND")</f>
        <v/>
      </c>
      <c r="AA392" s="2">
        <f>IFERROR(INDEX('7_3nf_product'!$C:$C,MATCH(Y392,'7_3nf_product'!$A:$A,0)),"NOT FOUND")</f>
        <v/>
      </c>
      <c r="AB392" s="2">
        <f>IFERROR(INDEX('7_3nf_product'!$D:$D,MATCH(Y392,'7_3nf_product'!$A:$A,0)),"NOT FOUND")</f>
        <v/>
      </c>
      <c r="AC392" s="6">
        <f>IFERROR(INDEX('7_3nf_product'!$E:$E,MATCH(Y392,'7_3nf_product'!$A:$A,0)),"NOT FOUND")</f>
        <v/>
      </c>
      <c r="AD392" s="33">
        <f>IF(LEN(TRIM(E392))=10,TRIM(E392),IF(LEN(TRIM(E392))=8,"00"&amp;TRIM(E392),"CHECK"))</f>
        <v/>
      </c>
      <c r="AE392" s="2">
        <f>IFERROR(INDEX('8_3nf_customer'!$C:$C,MATCH(AD392,'8_3nf_customer'!$B:$B,0)),"NOT FOUND")</f>
        <v/>
      </c>
      <c r="AF392" s="30">
        <f>IFERROR(INDEX('8_3nf_customer'!$D:$D,MATCH(AD392,'8_3nf_customer'!$B:$B,0)),"NOT FOUND")</f>
        <v/>
      </c>
      <c r="AG392" s="4">
        <f>IF(ISNUMBER(AF392),DATEDIF(AF392,L392,"y"),"NOT FOUND")</f>
        <v/>
      </c>
      <c r="AH392" s="2">
        <f>IFERROR(INDEX('8_3nf_customer'!$E:$E,MATCH(AD392,'8_3nf_customer'!$B:$B,0)),"NOT FOUND")</f>
        <v/>
      </c>
      <c r="AI392" s="30">
        <f>IF(_xlfn.MAXIFS('9_3nf_customer_history'!$B$2:$B$500,'9_3nf_customer_history'!$A$2:$A$500,AD392,'9_3nf_customer_history'!$B$2:$B$500,"&lt;="&amp;L392)=0,"NOT FOUND",_xlfn.MAXIFS('9_3nf_customer_history'!$B$2:$B$500,'9_3nf_customer_history'!$A$2:$A$500,AD392,'9_3nf_customer_history'!$B$2:$B$500,"&lt;="&amp;L392))</f>
        <v/>
      </c>
      <c r="AJ392" s="2">
        <f>IF(AI392="NOT FOUND","NOT FOUND",INDEX('9_3nf_customer_history'!$C:$C,SUMPRODUCT(('9_3nf_customer_history'!$A$2:$A$500=AD392)*('9_3nf_customer_history'!$B$2:$B$500=AI392)*ROW('9_3nf_customer_history'!$A$2:$A$500))))</f>
        <v/>
      </c>
      <c r="AK392" s="2">
        <f>IF(AI392="NOT FOUND","NOT FOUND",INDEX('9_3nf_customer_history'!$D:$D,SUMPRODUCT(('9_3nf_customer_history'!$A$2:$A$500=AD392)*('9_3nf_customer_history'!$B$2:$B$500=AI392)*ROW('9_3nf_customer_history'!$A$2:$A$500))))</f>
        <v/>
      </c>
      <c r="AL392" s="2">
        <f>UPPER(TRIM(H392))</f>
        <v/>
      </c>
      <c r="AM392" s="30">
        <f>IF(_xlfn.MAXIFS('10_ref_fx_rate'!$B$2:$B$2000,'10_ref_fx_rate'!$A$2:$A$2000,AL392,'10_ref_fx_rate'!$B$2:$B$2000,"&lt;="&amp;L392)=0,"NOT FOUND",_xlfn.MAXIFS('10_ref_fx_rate'!$B$2:$B$2000,'10_ref_fx_rate'!$A$2:$A$2000,AL392,'10_ref_fx_rate'!$B$2:$B$2000,"&lt;="&amp;L392))</f>
        <v/>
      </c>
      <c r="AN392" s="8">
        <f>IF(AM392="NOT FOUND","NOT FOUND",SUMIFS('10_ref_fx_rate'!$D$2:$D$2000,'10_ref_fx_rate'!$A$2:$A$2000,AL392,'10_ref_fx_rate'!$B$2:$B$2000,AM392))</f>
        <v/>
      </c>
      <c r="AO392" s="37">
        <f>IF(ISNUMBER(AN392),I392*AN392,"NOT FOUND")</f>
        <v/>
      </c>
      <c r="AP392" s="2">
        <f>UPPER(TRIM(J392))</f>
        <v/>
      </c>
      <c r="AQ392" s="2">
        <f>IF(AP392="","SELF-DIRECTED",IF(ISNUMBER(MATCH(AP392,'11_3nf_sales_person'!$A:$A,0)),IF(EXACT(AP392,J392),"OK","OK (auto-fixed)"),IF(ISNA(MATCH($A392,'12_sales_person_confirmation'!$A:$A,0)),"CONFIRM (not logged)",IF(INDEX('12_sales_person_confirmation'!$I:$I,MATCH($A392,'12_sales_person_confirmation'!$A:$A,0))="CONFIRMED","CONFIRMED ("&amp;LOWER(INDEX('12_sales_person_confirmation'!$E:$E,MATCH($A392,'12_sales_person_confirmation'!$A:$A,0)))&amp;")","PENDING CONFIRM"))))</f>
        <v/>
      </c>
      <c r="AR392" s="2">
        <f>IF(OR(AQ392="OK",AQ392="OK (auto-fixed)"),AP392,IF(LEFT(AQ392,9)="CONFIRMED",INDEX('12_sales_person_confirmation'!$F:$F,MATCH($A392,'12_sales_person_confirmation'!$A:$A,0)),""))</f>
        <v/>
      </c>
      <c r="AS392" s="2">
        <f>IF(AR392="","",INDEX('11_3nf_sales_person'!$B:$B,MATCH(AR392,'11_3nf_sales_person'!$A:$A,0)))</f>
        <v/>
      </c>
    </row>
    <row r="393">
      <c r="A393" s="2">
        <f>IF(ISBLANK('1_raw_log'!A393),"",'1_raw_log'!A393)</f>
        <v/>
      </c>
      <c r="B393" s="3">
        <f>IF(ISBLANK('1_raw_log'!B393),"",'1_raw_log'!B393)</f>
        <v/>
      </c>
      <c r="C393" s="2">
        <f>IF(ISBLANK('1_raw_log'!C393),"",'1_raw_log'!C393)</f>
        <v/>
      </c>
      <c r="D393" s="2">
        <f>IF(ISBLANK('1_raw_log'!D393),"",'1_raw_log'!D393)</f>
        <v/>
      </c>
      <c r="E393" s="4">
        <f>IF(ISBLANK('1_raw_log'!E393),"",'1_raw_log'!E393)</f>
        <v/>
      </c>
      <c r="F393" s="2">
        <f>IF(ISBLANK('1_raw_log'!F393),"",'1_raw_log'!F393)</f>
        <v/>
      </c>
      <c r="G393" s="2">
        <f>IF(ISBLANK('1_raw_log'!G393),"",'1_raw_log'!G393)</f>
        <v/>
      </c>
      <c r="H393" s="2">
        <f>IF(ISBLANK('1_raw_log'!H393),"",'1_raw_log'!H393)</f>
        <v/>
      </c>
      <c r="I393" s="7">
        <f>IF(ISBLANK('1_raw_log'!I393),"",'1_raw_log'!I393)</f>
        <v/>
      </c>
      <c r="J393" s="2">
        <f>IF(ISBLANK('1_raw_log'!J393),"",'1_raw_log'!J393)</f>
        <v/>
      </c>
      <c r="K393" s="2">
        <f>IF(ISBLANK('1_raw_log'!K393),"",'1_raw_log'!K393)</f>
        <v/>
      </c>
      <c r="L393" s="30">
        <f>INT(B393)</f>
        <v/>
      </c>
      <c r="M393" s="20">
        <f>ROUND(MOD(B393,1)*1440,0)/1440</f>
        <v/>
      </c>
      <c r="N393" s="4">
        <f>IFERROR(INDEX('3_ref_date'!$B:$B,MATCH(L393,'3_ref_date'!$A:$A,0)),"NOT FOUND")</f>
        <v/>
      </c>
      <c r="O393" s="2">
        <f>IFERROR(INDEX('3_ref_date'!$C:$C,MATCH(L393,'3_ref_date'!$A:$A,0)),"NOT FOUND")</f>
        <v/>
      </c>
      <c r="P393" s="4">
        <f>IFERROR(INDEX('3_ref_date'!$D:$D,MATCH(L393,'3_ref_date'!$A:$A,0)),"NOT FOUND")</f>
        <v/>
      </c>
      <c r="Q393" s="4">
        <f>IFERROR(INDEX('3_ref_date'!$E:$E,MATCH(L393,'3_ref_date'!$A:$A,0)),"NOT FOUND")</f>
        <v/>
      </c>
      <c r="R393" s="2">
        <f>IFERROR(INDEX('3_ref_date'!$F:$F,MATCH(L393,'3_ref_date'!$A:$A,0)),"NOT FOUND")</f>
        <v/>
      </c>
      <c r="S393" s="2">
        <f>IFERROR(INDEX('4_ref_time'!$D:$D,MATCH(ROUND(M393*1440,0),'4_ref_time'!$A:$A,0)),"NOT FOUND")</f>
        <v/>
      </c>
      <c r="T393" s="2">
        <f>UPPER(TRIM(C393))</f>
        <v/>
      </c>
      <c r="U393" s="30">
        <f>IF(_xlfn.MAXIFS('6_3nf_branch_history'!$B$2:$B$50,'6_3nf_branch_history'!$A$2:$A$50,T393,'6_3nf_branch_history'!$B$2:$B$50,"&lt;="&amp;L393)=0,"NOT FOUND",_xlfn.MAXIFS('6_3nf_branch_history'!$B$2:$B$50,'6_3nf_branch_history'!$A$2:$A$50,T393,'6_3nf_branch_history'!$B$2:$B$50,"&lt;="&amp;L393))</f>
        <v/>
      </c>
      <c r="V393" s="2">
        <f>IF(U393="NOT FOUND","NOT FOUND",INDEX('6_3nf_branch_history'!$C:$C,SUMPRODUCT(('6_3nf_branch_history'!$A$2:$A$50=T393)*('6_3nf_branch_history'!$B$2:$B$50=U393)*ROW('6_3nf_branch_history'!$A$2:$A$50))))</f>
        <v/>
      </c>
      <c r="W393" s="2">
        <f>IF(U393="NOT FOUND","NOT FOUND",INDEX('6_3nf_branch_history'!$D:$D,SUMPRODUCT(('6_3nf_branch_history'!$A$2:$A$50=T393)*('6_3nf_branch_history'!$B$2:$B$50=U393)*ROW('6_3nf_branch_history'!$A$2:$A$50))))</f>
        <v/>
      </c>
      <c r="X393" s="2">
        <f>IF(U393="NOT FOUND","NOT FOUND",INDEX('6_3nf_branch_history'!$E:$E,SUMPRODUCT(('6_3nf_branch_history'!$A$2:$A$50=T393)*('6_3nf_branch_history'!$B$2:$B$50=U393)*ROW('6_3nf_branch_history'!$A$2:$A$50))))</f>
        <v/>
      </c>
      <c r="Y393" s="2">
        <f>UPPER(TRIM(D393))</f>
        <v/>
      </c>
      <c r="Z393" s="2">
        <f>IFERROR(INDEX('7_3nf_product'!$B:$B,MATCH(Y393,'7_3nf_product'!$A:$A,0)),"NOT FOUND")</f>
        <v/>
      </c>
      <c r="AA393" s="2">
        <f>IFERROR(INDEX('7_3nf_product'!$C:$C,MATCH(Y393,'7_3nf_product'!$A:$A,0)),"NOT FOUND")</f>
        <v/>
      </c>
      <c r="AB393" s="2">
        <f>IFERROR(INDEX('7_3nf_product'!$D:$D,MATCH(Y393,'7_3nf_product'!$A:$A,0)),"NOT FOUND")</f>
        <v/>
      </c>
      <c r="AC393" s="6">
        <f>IFERROR(INDEX('7_3nf_product'!$E:$E,MATCH(Y393,'7_3nf_product'!$A:$A,0)),"NOT FOUND")</f>
        <v/>
      </c>
      <c r="AD393" s="33">
        <f>IF(LEN(TRIM(E393))=10,TRIM(E393),IF(LEN(TRIM(E393))=8,"00"&amp;TRIM(E393),"CHECK"))</f>
        <v/>
      </c>
      <c r="AE393" s="2">
        <f>IFERROR(INDEX('8_3nf_customer'!$C:$C,MATCH(AD393,'8_3nf_customer'!$B:$B,0)),"NOT FOUND")</f>
        <v/>
      </c>
      <c r="AF393" s="30">
        <f>IFERROR(INDEX('8_3nf_customer'!$D:$D,MATCH(AD393,'8_3nf_customer'!$B:$B,0)),"NOT FOUND")</f>
        <v/>
      </c>
      <c r="AG393" s="4">
        <f>IF(ISNUMBER(AF393),DATEDIF(AF393,L393,"y"),"NOT FOUND")</f>
        <v/>
      </c>
      <c r="AH393" s="2">
        <f>IFERROR(INDEX('8_3nf_customer'!$E:$E,MATCH(AD393,'8_3nf_customer'!$B:$B,0)),"NOT FOUND")</f>
        <v/>
      </c>
      <c r="AI393" s="30">
        <f>IF(_xlfn.MAXIFS('9_3nf_customer_history'!$B$2:$B$500,'9_3nf_customer_history'!$A$2:$A$500,AD393,'9_3nf_customer_history'!$B$2:$B$500,"&lt;="&amp;L393)=0,"NOT FOUND",_xlfn.MAXIFS('9_3nf_customer_history'!$B$2:$B$500,'9_3nf_customer_history'!$A$2:$A$500,AD393,'9_3nf_customer_history'!$B$2:$B$500,"&lt;="&amp;L393))</f>
        <v/>
      </c>
      <c r="AJ393" s="2">
        <f>IF(AI393="NOT FOUND","NOT FOUND",INDEX('9_3nf_customer_history'!$C:$C,SUMPRODUCT(('9_3nf_customer_history'!$A$2:$A$500=AD393)*('9_3nf_customer_history'!$B$2:$B$500=AI393)*ROW('9_3nf_customer_history'!$A$2:$A$500))))</f>
        <v/>
      </c>
      <c r="AK393" s="2">
        <f>IF(AI393="NOT FOUND","NOT FOUND",INDEX('9_3nf_customer_history'!$D:$D,SUMPRODUCT(('9_3nf_customer_history'!$A$2:$A$500=AD393)*('9_3nf_customer_history'!$B$2:$B$500=AI393)*ROW('9_3nf_customer_history'!$A$2:$A$500))))</f>
        <v/>
      </c>
      <c r="AL393" s="2">
        <f>UPPER(TRIM(H393))</f>
        <v/>
      </c>
      <c r="AM393" s="30">
        <f>IF(_xlfn.MAXIFS('10_ref_fx_rate'!$B$2:$B$2000,'10_ref_fx_rate'!$A$2:$A$2000,AL393,'10_ref_fx_rate'!$B$2:$B$2000,"&lt;="&amp;L393)=0,"NOT FOUND",_xlfn.MAXIFS('10_ref_fx_rate'!$B$2:$B$2000,'10_ref_fx_rate'!$A$2:$A$2000,AL393,'10_ref_fx_rate'!$B$2:$B$2000,"&lt;="&amp;L393))</f>
        <v/>
      </c>
      <c r="AN393" s="8">
        <f>IF(AM393="NOT FOUND","NOT FOUND",SUMIFS('10_ref_fx_rate'!$D$2:$D$2000,'10_ref_fx_rate'!$A$2:$A$2000,AL393,'10_ref_fx_rate'!$B$2:$B$2000,AM393))</f>
        <v/>
      </c>
      <c r="AO393" s="37">
        <f>IF(ISNUMBER(AN393),I393*AN393,"NOT FOUND")</f>
        <v/>
      </c>
      <c r="AP393" s="2">
        <f>UPPER(TRIM(J393))</f>
        <v/>
      </c>
      <c r="AQ393" s="2">
        <f>IF(AP393="","SELF-DIRECTED",IF(ISNUMBER(MATCH(AP393,'11_3nf_sales_person'!$A:$A,0)),IF(EXACT(AP393,J393),"OK","OK (auto-fixed)"),IF(ISNA(MATCH($A393,'12_sales_person_confirmation'!$A:$A,0)),"CONFIRM (not logged)",IF(INDEX('12_sales_person_confirmation'!$I:$I,MATCH($A393,'12_sales_person_confirmation'!$A:$A,0))="CONFIRMED","CONFIRMED ("&amp;LOWER(INDEX('12_sales_person_confirmation'!$E:$E,MATCH($A393,'12_sales_person_confirmation'!$A:$A,0)))&amp;")","PENDING CONFIRM"))))</f>
        <v/>
      </c>
      <c r="AR393" s="2">
        <f>IF(OR(AQ393="OK",AQ393="OK (auto-fixed)"),AP393,IF(LEFT(AQ393,9)="CONFIRMED",INDEX('12_sales_person_confirmation'!$F:$F,MATCH($A393,'12_sales_person_confirmation'!$A:$A,0)),""))</f>
        <v/>
      </c>
      <c r="AS393" s="2">
        <f>IF(AR393="","",INDEX('11_3nf_sales_person'!$B:$B,MATCH(AR393,'11_3nf_sales_person'!$A:$A,0)))</f>
        <v/>
      </c>
    </row>
    <row r="394">
      <c r="A394" s="2">
        <f>IF(ISBLANK('1_raw_log'!A394),"",'1_raw_log'!A394)</f>
        <v/>
      </c>
      <c r="B394" s="3">
        <f>IF(ISBLANK('1_raw_log'!B394),"",'1_raw_log'!B394)</f>
        <v/>
      </c>
      <c r="C394" s="2">
        <f>IF(ISBLANK('1_raw_log'!C394),"",'1_raw_log'!C394)</f>
        <v/>
      </c>
      <c r="D394" s="2">
        <f>IF(ISBLANK('1_raw_log'!D394),"",'1_raw_log'!D394)</f>
        <v/>
      </c>
      <c r="E394" s="4">
        <f>IF(ISBLANK('1_raw_log'!E394),"",'1_raw_log'!E394)</f>
        <v/>
      </c>
      <c r="F394" s="2">
        <f>IF(ISBLANK('1_raw_log'!F394),"",'1_raw_log'!F394)</f>
        <v/>
      </c>
      <c r="G394" s="2">
        <f>IF(ISBLANK('1_raw_log'!G394),"",'1_raw_log'!G394)</f>
        <v/>
      </c>
      <c r="H394" s="2">
        <f>IF(ISBLANK('1_raw_log'!H394),"",'1_raw_log'!H394)</f>
        <v/>
      </c>
      <c r="I394" s="7">
        <f>IF(ISBLANK('1_raw_log'!I394),"",'1_raw_log'!I394)</f>
        <v/>
      </c>
      <c r="J394" s="2">
        <f>IF(ISBLANK('1_raw_log'!J394),"",'1_raw_log'!J394)</f>
        <v/>
      </c>
      <c r="K394" s="2">
        <f>IF(ISBLANK('1_raw_log'!K394),"",'1_raw_log'!K394)</f>
        <v/>
      </c>
      <c r="L394" s="30">
        <f>INT(B394)</f>
        <v/>
      </c>
      <c r="M394" s="20">
        <f>ROUND(MOD(B394,1)*1440,0)/1440</f>
        <v/>
      </c>
      <c r="N394" s="4">
        <f>IFERROR(INDEX('3_ref_date'!$B:$B,MATCH(L394,'3_ref_date'!$A:$A,0)),"NOT FOUND")</f>
        <v/>
      </c>
      <c r="O394" s="2">
        <f>IFERROR(INDEX('3_ref_date'!$C:$C,MATCH(L394,'3_ref_date'!$A:$A,0)),"NOT FOUND")</f>
        <v/>
      </c>
      <c r="P394" s="4">
        <f>IFERROR(INDEX('3_ref_date'!$D:$D,MATCH(L394,'3_ref_date'!$A:$A,0)),"NOT FOUND")</f>
        <v/>
      </c>
      <c r="Q394" s="4">
        <f>IFERROR(INDEX('3_ref_date'!$E:$E,MATCH(L394,'3_ref_date'!$A:$A,0)),"NOT FOUND")</f>
        <v/>
      </c>
      <c r="R394" s="2">
        <f>IFERROR(INDEX('3_ref_date'!$F:$F,MATCH(L394,'3_ref_date'!$A:$A,0)),"NOT FOUND")</f>
        <v/>
      </c>
      <c r="S394" s="2">
        <f>IFERROR(INDEX('4_ref_time'!$D:$D,MATCH(ROUND(M394*1440,0),'4_ref_time'!$A:$A,0)),"NOT FOUND")</f>
        <v/>
      </c>
      <c r="T394" s="2">
        <f>UPPER(TRIM(C394))</f>
        <v/>
      </c>
      <c r="U394" s="30">
        <f>IF(_xlfn.MAXIFS('6_3nf_branch_history'!$B$2:$B$50,'6_3nf_branch_history'!$A$2:$A$50,T394,'6_3nf_branch_history'!$B$2:$B$50,"&lt;="&amp;L394)=0,"NOT FOUND",_xlfn.MAXIFS('6_3nf_branch_history'!$B$2:$B$50,'6_3nf_branch_history'!$A$2:$A$50,T394,'6_3nf_branch_history'!$B$2:$B$50,"&lt;="&amp;L394))</f>
        <v/>
      </c>
      <c r="V394" s="2">
        <f>IF(U394="NOT FOUND","NOT FOUND",INDEX('6_3nf_branch_history'!$C:$C,SUMPRODUCT(('6_3nf_branch_history'!$A$2:$A$50=T394)*('6_3nf_branch_history'!$B$2:$B$50=U394)*ROW('6_3nf_branch_history'!$A$2:$A$50))))</f>
        <v/>
      </c>
      <c r="W394" s="2">
        <f>IF(U394="NOT FOUND","NOT FOUND",INDEX('6_3nf_branch_history'!$D:$D,SUMPRODUCT(('6_3nf_branch_history'!$A$2:$A$50=T394)*('6_3nf_branch_history'!$B$2:$B$50=U394)*ROW('6_3nf_branch_history'!$A$2:$A$50))))</f>
        <v/>
      </c>
      <c r="X394" s="2">
        <f>IF(U394="NOT FOUND","NOT FOUND",INDEX('6_3nf_branch_history'!$E:$E,SUMPRODUCT(('6_3nf_branch_history'!$A$2:$A$50=T394)*('6_3nf_branch_history'!$B$2:$B$50=U394)*ROW('6_3nf_branch_history'!$A$2:$A$50))))</f>
        <v/>
      </c>
      <c r="Y394" s="2">
        <f>UPPER(TRIM(D394))</f>
        <v/>
      </c>
      <c r="Z394" s="2">
        <f>IFERROR(INDEX('7_3nf_product'!$B:$B,MATCH(Y394,'7_3nf_product'!$A:$A,0)),"NOT FOUND")</f>
        <v/>
      </c>
      <c r="AA394" s="2">
        <f>IFERROR(INDEX('7_3nf_product'!$C:$C,MATCH(Y394,'7_3nf_product'!$A:$A,0)),"NOT FOUND")</f>
        <v/>
      </c>
      <c r="AB394" s="2">
        <f>IFERROR(INDEX('7_3nf_product'!$D:$D,MATCH(Y394,'7_3nf_product'!$A:$A,0)),"NOT FOUND")</f>
        <v/>
      </c>
      <c r="AC394" s="6">
        <f>IFERROR(INDEX('7_3nf_product'!$E:$E,MATCH(Y394,'7_3nf_product'!$A:$A,0)),"NOT FOUND")</f>
        <v/>
      </c>
      <c r="AD394" s="33">
        <f>IF(LEN(TRIM(E394))=10,TRIM(E394),IF(LEN(TRIM(E394))=8,"00"&amp;TRIM(E394),"CHECK"))</f>
        <v/>
      </c>
      <c r="AE394" s="2">
        <f>IFERROR(INDEX('8_3nf_customer'!$C:$C,MATCH(AD394,'8_3nf_customer'!$B:$B,0)),"NOT FOUND")</f>
        <v/>
      </c>
      <c r="AF394" s="30">
        <f>IFERROR(INDEX('8_3nf_customer'!$D:$D,MATCH(AD394,'8_3nf_customer'!$B:$B,0)),"NOT FOUND")</f>
        <v/>
      </c>
      <c r="AG394" s="4">
        <f>IF(ISNUMBER(AF394),DATEDIF(AF394,L394,"y"),"NOT FOUND")</f>
        <v/>
      </c>
      <c r="AH394" s="2">
        <f>IFERROR(INDEX('8_3nf_customer'!$E:$E,MATCH(AD394,'8_3nf_customer'!$B:$B,0)),"NOT FOUND")</f>
        <v/>
      </c>
      <c r="AI394" s="30">
        <f>IF(_xlfn.MAXIFS('9_3nf_customer_history'!$B$2:$B$500,'9_3nf_customer_history'!$A$2:$A$500,AD394,'9_3nf_customer_history'!$B$2:$B$500,"&lt;="&amp;L394)=0,"NOT FOUND",_xlfn.MAXIFS('9_3nf_customer_history'!$B$2:$B$500,'9_3nf_customer_history'!$A$2:$A$500,AD394,'9_3nf_customer_history'!$B$2:$B$500,"&lt;="&amp;L394))</f>
        <v/>
      </c>
      <c r="AJ394" s="2">
        <f>IF(AI394="NOT FOUND","NOT FOUND",INDEX('9_3nf_customer_history'!$C:$C,SUMPRODUCT(('9_3nf_customer_history'!$A$2:$A$500=AD394)*('9_3nf_customer_history'!$B$2:$B$500=AI394)*ROW('9_3nf_customer_history'!$A$2:$A$500))))</f>
        <v/>
      </c>
      <c r="AK394" s="2">
        <f>IF(AI394="NOT FOUND","NOT FOUND",INDEX('9_3nf_customer_history'!$D:$D,SUMPRODUCT(('9_3nf_customer_history'!$A$2:$A$500=AD394)*('9_3nf_customer_history'!$B$2:$B$500=AI394)*ROW('9_3nf_customer_history'!$A$2:$A$500))))</f>
        <v/>
      </c>
      <c r="AL394" s="2">
        <f>UPPER(TRIM(H394))</f>
        <v/>
      </c>
      <c r="AM394" s="30">
        <f>IF(_xlfn.MAXIFS('10_ref_fx_rate'!$B$2:$B$2000,'10_ref_fx_rate'!$A$2:$A$2000,AL394,'10_ref_fx_rate'!$B$2:$B$2000,"&lt;="&amp;L394)=0,"NOT FOUND",_xlfn.MAXIFS('10_ref_fx_rate'!$B$2:$B$2000,'10_ref_fx_rate'!$A$2:$A$2000,AL394,'10_ref_fx_rate'!$B$2:$B$2000,"&lt;="&amp;L394))</f>
        <v/>
      </c>
      <c r="AN394" s="8">
        <f>IF(AM394="NOT FOUND","NOT FOUND",SUMIFS('10_ref_fx_rate'!$D$2:$D$2000,'10_ref_fx_rate'!$A$2:$A$2000,AL394,'10_ref_fx_rate'!$B$2:$B$2000,AM394))</f>
        <v/>
      </c>
      <c r="AO394" s="37">
        <f>IF(ISNUMBER(AN394),I394*AN394,"NOT FOUND")</f>
        <v/>
      </c>
      <c r="AP394" s="2">
        <f>UPPER(TRIM(J394))</f>
        <v/>
      </c>
      <c r="AQ394" s="2">
        <f>IF(AP394="","SELF-DIRECTED",IF(ISNUMBER(MATCH(AP394,'11_3nf_sales_person'!$A:$A,0)),IF(EXACT(AP394,J394),"OK","OK (auto-fixed)"),IF(ISNA(MATCH($A394,'12_sales_person_confirmation'!$A:$A,0)),"CONFIRM (not logged)",IF(INDEX('12_sales_person_confirmation'!$I:$I,MATCH($A394,'12_sales_person_confirmation'!$A:$A,0))="CONFIRMED","CONFIRMED ("&amp;LOWER(INDEX('12_sales_person_confirmation'!$E:$E,MATCH($A394,'12_sales_person_confirmation'!$A:$A,0)))&amp;")","PENDING CONFIRM"))))</f>
        <v/>
      </c>
      <c r="AR394" s="2">
        <f>IF(OR(AQ394="OK",AQ394="OK (auto-fixed)"),AP394,IF(LEFT(AQ394,9)="CONFIRMED",INDEX('12_sales_person_confirmation'!$F:$F,MATCH($A394,'12_sales_person_confirmation'!$A:$A,0)),""))</f>
        <v/>
      </c>
      <c r="AS394" s="2">
        <f>IF(AR394="","",INDEX('11_3nf_sales_person'!$B:$B,MATCH(AR394,'11_3nf_sales_person'!$A:$A,0)))</f>
        <v/>
      </c>
    </row>
    <row r="395">
      <c r="A395" s="2">
        <f>IF(ISBLANK('1_raw_log'!A395),"",'1_raw_log'!A395)</f>
        <v/>
      </c>
      <c r="B395" s="3">
        <f>IF(ISBLANK('1_raw_log'!B395),"",'1_raw_log'!B395)</f>
        <v/>
      </c>
      <c r="C395" s="2">
        <f>IF(ISBLANK('1_raw_log'!C395),"",'1_raw_log'!C395)</f>
        <v/>
      </c>
      <c r="D395" s="2">
        <f>IF(ISBLANK('1_raw_log'!D395),"",'1_raw_log'!D395)</f>
        <v/>
      </c>
      <c r="E395" s="4">
        <f>IF(ISBLANK('1_raw_log'!E395),"",'1_raw_log'!E395)</f>
        <v/>
      </c>
      <c r="F395" s="2">
        <f>IF(ISBLANK('1_raw_log'!F395),"",'1_raw_log'!F395)</f>
        <v/>
      </c>
      <c r="G395" s="2">
        <f>IF(ISBLANK('1_raw_log'!G395),"",'1_raw_log'!G395)</f>
        <v/>
      </c>
      <c r="H395" s="2">
        <f>IF(ISBLANK('1_raw_log'!H395),"",'1_raw_log'!H395)</f>
        <v/>
      </c>
      <c r="I395" s="7">
        <f>IF(ISBLANK('1_raw_log'!I395),"",'1_raw_log'!I395)</f>
        <v/>
      </c>
      <c r="J395" s="2">
        <f>IF(ISBLANK('1_raw_log'!J395),"",'1_raw_log'!J395)</f>
        <v/>
      </c>
      <c r="K395" s="2">
        <f>IF(ISBLANK('1_raw_log'!K395),"",'1_raw_log'!K395)</f>
        <v/>
      </c>
      <c r="L395" s="30">
        <f>INT(B395)</f>
        <v/>
      </c>
      <c r="M395" s="20">
        <f>ROUND(MOD(B395,1)*1440,0)/1440</f>
        <v/>
      </c>
      <c r="N395" s="4">
        <f>IFERROR(INDEX('3_ref_date'!$B:$B,MATCH(L395,'3_ref_date'!$A:$A,0)),"NOT FOUND")</f>
        <v/>
      </c>
      <c r="O395" s="2">
        <f>IFERROR(INDEX('3_ref_date'!$C:$C,MATCH(L395,'3_ref_date'!$A:$A,0)),"NOT FOUND")</f>
        <v/>
      </c>
      <c r="P395" s="4">
        <f>IFERROR(INDEX('3_ref_date'!$D:$D,MATCH(L395,'3_ref_date'!$A:$A,0)),"NOT FOUND")</f>
        <v/>
      </c>
      <c r="Q395" s="4">
        <f>IFERROR(INDEX('3_ref_date'!$E:$E,MATCH(L395,'3_ref_date'!$A:$A,0)),"NOT FOUND")</f>
        <v/>
      </c>
      <c r="R395" s="2">
        <f>IFERROR(INDEX('3_ref_date'!$F:$F,MATCH(L395,'3_ref_date'!$A:$A,0)),"NOT FOUND")</f>
        <v/>
      </c>
      <c r="S395" s="2">
        <f>IFERROR(INDEX('4_ref_time'!$D:$D,MATCH(ROUND(M395*1440,0),'4_ref_time'!$A:$A,0)),"NOT FOUND")</f>
        <v/>
      </c>
      <c r="T395" s="2">
        <f>UPPER(TRIM(C395))</f>
        <v/>
      </c>
      <c r="U395" s="30">
        <f>IF(_xlfn.MAXIFS('6_3nf_branch_history'!$B$2:$B$50,'6_3nf_branch_history'!$A$2:$A$50,T395,'6_3nf_branch_history'!$B$2:$B$50,"&lt;="&amp;L395)=0,"NOT FOUND",_xlfn.MAXIFS('6_3nf_branch_history'!$B$2:$B$50,'6_3nf_branch_history'!$A$2:$A$50,T395,'6_3nf_branch_history'!$B$2:$B$50,"&lt;="&amp;L395))</f>
        <v/>
      </c>
      <c r="V395" s="2">
        <f>IF(U395="NOT FOUND","NOT FOUND",INDEX('6_3nf_branch_history'!$C:$C,SUMPRODUCT(('6_3nf_branch_history'!$A$2:$A$50=T395)*('6_3nf_branch_history'!$B$2:$B$50=U395)*ROW('6_3nf_branch_history'!$A$2:$A$50))))</f>
        <v/>
      </c>
      <c r="W395" s="2">
        <f>IF(U395="NOT FOUND","NOT FOUND",INDEX('6_3nf_branch_history'!$D:$D,SUMPRODUCT(('6_3nf_branch_history'!$A$2:$A$50=T395)*('6_3nf_branch_history'!$B$2:$B$50=U395)*ROW('6_3nf_branch_history'!$A$2:$A$50))))</f>
        <v/>
      </c>
      <c r="X395" s="2">
        <f>IF(U395="NOT FOUND","NOT FOUND",INDEX('6_3nf_branch_history'!$E:$E,SUMPRODUCT(('6_3nf_branch_history'!$A$2:$A$50=T395)*('6_3nf_branch_history'!$B$2:$B$50=U395)*ROW('6_3nf_branch_history'!$A$2:$A$50))))</f>
        <v/>
      </c>
      <c r="Y395" s="2">
        <f>UPPER(TRIM(D395))</f>
        <v/>
      </c>
      <c r="Z395" s="2">
        <f>IFERROR(INDEX('7_3nf_product'!$B:$B,MATCH(Y395,'7_3nf_product'!$A:$A,0)),"NOT FOUND")</f>
        <v/>
      </c>
      <c r="AA395" s="2">
        <f>IFERROR(INDEX('7_3nf_product'!$C:$C,MATCH(Y395,'7_3nf_product'!$A:$A,0)),"NOT FOUND")</f>
        <v/>
      </c>
      <c r="AB395" s="2">
        <f>IFERROR(INDEX('7_3nf_product'!$D:$D,MATCH(Y395,'7_3nf_product'!$A:$A,0)),"NOT FOUND")</f>
        <v/>
      </c>
      <c r="AC395" s="6">
        <f>IFERROR(INDEX('7_3nf_product'!$E:$E,MATCH(Y395,'7_3nf_product'!$A:$A,0)),"NOT FOUND")</f>
        <v/>
      </c>
      <c r="AD395" s="33">
        <f>IF(LEN(TRIM(E395))=10,TRIM(E395),IF(LEN(TRIM(E395))=8,"00"&amp;TRIM(E395),"CHECK"))</f>
        <v/>
      </c>
      <c r="AE395" s="2">
        <f>IFERROR(INDEX('8_3nf_customer'!$C:$C,MATCH(AD395,'8_3nf_customer'!$B:$B,0)),"NOT FOUND")</f>
        <v/>
      </c>
      <c r="AF395" s="30">
        <f>IFERROR(INDEX('8_3nf_customer'!$D:$D,MATCH(AD395,'8_3nf_customer'!$B:$B,0)),"NOT FOUND")</f>
        <v/>
      </c>
      <c r="AG395" s="4">
        <f>IF(ISNUMBER(AF395),DATEDIF(AF395,L395,"y"),"NOT FOUND")</f>
        <v/>
      </c>
      <c r="AH395" s="2">
        <f>IFERROR(INDEX('8_3nf_customer'!$E:$E,MATCH(AD395,'8_3nf_customer'!$B:$B,0)),"NOT FOUND")</f>
        <v/>
      </c>
      <c r="AI395" s="30">
        <f>IF(_xlfn.MAXIFS('9_3nf_customer_history'!$B$2:$B$500,'9_3nf_customer_history'!$A$2:$A$500,AD395,'9_3nf_customer_history'!$B$2:$B$500,"&lt;="&amp;L395)=0,"NOT FOUND",_xlfn.MAXIFS('9_3nf_customer_history'!$B$2:$B$500,'9_3nf_customer_history'!$A$2:$A$500,AD395,'9_3nf_customer_history'!$B$2:$B$500,"&lt;="&amp;L395))</f>
        <v/>
      </c>
      <c r="AJ395" s="2">
        <f>IF(AI395="NOT FOUND","NOT FOUND",INDEX('9_3nf_customer_history'!$C:$C,SUMPRODUCT(('9_3nf_customer_history'!$A$2:$A$500=AD395)*('9_3nf_customer_history'!$B$2:$B$500=AI395)*ROW('9_3nf_customer_history'!$A$2:$A$500))))</f>
        <v/>
      </c>
      <c r="AK395" s="2">
        <f>IF(AI395="NOT FOUND","NOT FOUND",INDEX('9_3nf_customer_history'!$D:$D,SUMPRODUCT(('9_3nf_customer_history'!$A$2:$A$500=AD395)*('9_3nf_customer_history'!$B$2:$B$500=AI395)*ROW('9_3nf_customer_history'!$A$2:$A$500))))</f>
        <v/>
      </c>
      <c r="AL395" s="2">
        <f>UPPER(TRIM(H395))</f>
        <v/>
      </c>
      <c r="AM395" s="30">
        <f>IF(_xlfn.MAXIFS('10_ref_fx_rate'!$B$2:$B$2000,'10_ref_fx_rate'!$A$2:$A$2000,AL395,'10_ref_fx_rate'!$B$2:$B$2000,"&lt;="&amp;L395)=0,"NOT FOUND",_xlfn.MAXIFS('10_ref_fx_rate'!$B$2:$B$2000,'10_ref_fx_rate'!$A$2:$A$2000,AL395,'10_ref_fx_rate'!$B$2:$B$2000,"&lt;="&amp;L395))</f>
        <v/>
      </c>
      <c r="AN395" s="8">
        <f>IF(AM395="NOT FOUND","NOT FOUND",SUMIFS('10_ref_fx_rate'!$D$2:$D$2000,'10_ref_fx_rate'!$A$2:$A$2000,AL395,'10_ref_fx_rate'!$B$2:$B$2000,AM395))</f>
        <v/>
      </c>
      <c r="AO395" s="37">
        <f>IF(ISNUMBER(AN395),I395*AN395,"NOT FOUND")</f>
        <v/>
      </c>
      <c r="AP395" s="2">
        <f>UPPER(TRIM(J395))</f>
        <v/>
      </c>
      <c r="AQ395" s="2">
        <f>IF(AP395="","SELF-DIRECTED",IF(ISNUMBER(MATCH(AP395,'11_3nf_sales_person'!$A:$A,0)),IF(EXACT(AP395,J395),"OK","OK (auto-fixed)"),IF(ISNA(MATCH($A395,'12_sales_person_confirmation'!$A:$A,0)),"CONFIRM (not logged)",IF(INDEX('12_sales_person_confirmation'!$I:$I,MATCH($A395,'12_sales_person_confirmation'!$A:$A,0))="CONFIRMED","CONFIRMED ("&amp;LOWER(INDEX('12_sales_person_confirmation'!$E:$E,MATCH($A395,'12_sales_person_confirmation'!$A:$A,0)))&amp;")","PENDING CONFIRM"))))</f>
        <v/>
      </c>
      <c r="AR395" s="2">
        <f>IF(OR(AQ395="OK",AQ395="OK (auto-fixed)"),AP395,IF(LEFT(AQ395,9)="CONFIRMED",INDEX('12_sales_person_confirmation'!$F:$F,MATCH($A395,'12_sales_person_confirmation'!$A:$A,0)),""))</f>
        <v/>
      </c>
      <c r="AS395" s="2">
        <f>IF(AR395="","",INDEX('11_3nf_sales_person'!$B:$B,MATCH(AR395,'11_3nf_sales_person'!$A:$A,0)))</f>
        <v/>
      </c>
    </row>
    <row r="396">
      <c r="A396" s="2">
        <f>IF(ISBLANK('1_raw_log'!A396),"",'1_raw_log'!A396)</f>
        <v/>
      </c>
      <c r="B396" s="3">
        <f>IF(ISBLANK('1_raw_log'!B396),"",'1_raw_log'!B396)</f>
        <v/>
      </c>
      <c r="C396" s="2">
        <f>IF(ISBLANK('1_raw_log'!C396),"",'1_raw_log'!C396)</f>
        <v/>
      </c>
      <c r="D396" s="2">
        <f>IF(ISBLANK('1_raw_log'!D396),"",'1_raw_log'!D396)</f>
        <v/>
      </c>
      <c r="E396" s="4">
        <f>IF(ISBLANK('1_raw_log'!E396),"",'1_raw_log'!E396)</f>
        <v/>
      </c>
      <c r="F396" s="2">
        <f>IF(ISBLANK('1_raw_log'!F396),"",'1_raw_log'!F396)</f>
        <v/>
      </c>
      <c r="G396" s="2">
        <f>IF(ISBLANK('1_raw_log'!G396),"",'1_raw_log'!G396)</f>
        <v/>
      </c>
      <c r="H396" s="2">
        <f>IF(ISBLANK('1_raw_log'!H396),"",'1_raw_log'!H396)</f>
        <v/>
      </c>
      <c r="I396" s="7">
        <f>IF(ISBLANK('1_raw_log'!I396),"",'1_raw_log'!I396)</f>
        <v/>
      </c>
      <c r="J396" s="2">
        <f>IF(ISBLANK('1_raw_log'!J396),"",'1_raw_log'!J396)</f>
        <v/>
      </c>
      <c r="K396" s="2">
        <f>IF(ISBLANK('1_raw_log'!K396),"",'1_raw_log'!K396)</f>
        <v/>
      </c>
      <c r="L396" s="30">
        <f>INT(B396)</f>
        <v/>
      </c>
      <c r="M396" s="20">
        <f>ROUND(MOD(B396,1)*1440,0)/1440</f>
        <v/>
      </c>
      <c r="N396" s="4">
        <f>IFERROR(INDEX('3_ref_date'!$B:$B,MATCH(L396,'3_ref_date'!$A:$A,0)),"NOT FOUND")</f>
        <v/>
      </c>
      <c r="O396" s="2">
        <f>IFERROR(INDEX('3_ref_date'!$C:$C,MATCH(L396,'3_ref_date'!$A:$A,0)),"NOT FOUND")</f>
        <v/>
      </c>
      <c r="P396" s="4">
        <f>IFERROR(INDEX('3_ref_date'!$D:$D,MATCH(L396,'3_ref_date'!$A:$A,0)),"NOT FOUND")</f>
        <v/>
      </c>
      <c r="Q396" s="4">
        <f>IFERROR(INDEX('3_ref_date'!$E:$E,MATCH(L396,'3_ref_date'!$A:$A,0)),"NOT FOUND")</f>
        <v/>
      </c>
      <c r="R396" s="2">
        <f>IFERROR(INDEX('3_ref_date'!$F:$F,MATCH(L396,'3_ref_date'!$A:$A,0)),"NOT FOUND")</f>
        <v/>
      </c>
      <c r="S396" s="2">
        <f>IFERROR(INDEX('4_ref_time'!$D:$D,MATCH(ROUND(M396*1440,0),'4_ref_time'!$A:$A,0)),"NOT FOUND")</f>
        <v/>
      </c>
      <c r="T396" s="2">
        <f>UPPER(TRIM(C396))</f>
        <v/>
      </c>
      <c r="U396" s="30">
        <f>IF(_xlfn.MAXIFS('6_3nf_branch_history'!$B$2:$B$50,'6_3nf_branch_history'!$A$2:$A$50,T396,'6_3nf_branch_history'!$B$2:$B$50,"&lt;="&amp;L396)=0,"NOT FOUND",_xlfn.MAXIFS('6_3nf_branch_history'!$B$2:$B$50,'6_3nf_branch_history'!$A$2:$A$50,T396,'6_3nf_branch_history'!$B$2:$B$50,"&lt;="&amp;L396))</f>
        <v/>
      </c>
      <c r="V396" s="2">
        <f>IF(U396="NOT FOUND","NOT FOUND",INDEX('6_3nf_branch_history'!$C:$C,SUMPRODUCT(('6_3nf_branch_history'!$A$2:$A$50=T396)*('6_3nf_branch_history'!$B$2:$B$50=U396)*ROW('6_3nf_branch_history'!$A$2:$A$50))))</f>
        <v/>
      </c>
      <c r="W396" s="2">
        <f>IF(U396="NOT FOUND","NOT FOUND",INDEX('6_3nf_branch_history'!$D:$D,SUMPRODUCT(('6_3nf_branch_history'!$A$2:$A$50=T396)*('6_3nf_branch_history'!$B$2:$B$50=U396)*ROW('6_3nf_branch_history'!$A$2:$A$50))))</f>
        <v/>
      </c>
      <c r="X396" s="2">
        <f>IF(U396="NOT FOUND","NOT FOUND",INDEX('6_3nf_branch_history'!$E:$E,SUMPRODUCT(('6_3nf_branch_history'!$A$2:$A$50=T396)*('6_3nf_branch_history'!$B$2:$B$50=U396)*ROW('6_3nf_branch_history'!$A$2:$A$50))))</f>
        <v/>
      </c>
      <c r="Y396" s="2">
        <f>UPPER(TRIM(D396))</f>
        <v/>
      </c>
      <c r="Z396" s="2">
        <f>IFERROR(INDEX('7_3nf_product'!$B:$B,MATCH(Y396,'7_3nf_product'!$A:$A,0)),"NOT FOUND")</f>
        <v/>
      </c>
      <c r="AA396" s="2">
        <f>IFERROR(INDEX('7_3nf_product'!$C:$C,MATCH(Y396,'7_3nf_product'!$A:$A,0)),"NOT FOUND")</f>
        <v/>
      </c>
      <c r="AB396" s="2">
        <f>IFERROR(INDEX('7_3nf_product'!$D:$D,MATCH(Y396,'7_3nf_product'!$A:$A,0)),"NOT FOUND")</f>
        <v/>
      </c>
      <c r="AC396" s="6">
        <f>IFERROR(INDEX('7_3nf_product'!$E:$E,MATCH(Y396,'7_3nf_product'!$A:$A,0)),"NOT FOUND")</f>
        <v/>
      </c>
      <c r="AD396" s="33">
        <f>IF(LEN(TRIM(E396))=10,TRIM(E396),IF(LEN(TRIM(E396))=8,"00"&amp;TRIM(E396),"CHECK"))</f>
        <v/>
      </c>
      <c r="AE396" s="2">
        <f>IFERROR(INDEX('8_3nf_customer'!$C:$C,MATCH(AD396,'8_3nf_customer'!$B:$B,0)),"NOT FOUND")</f>
        <v/>
      </c>
      <c r="AF396" s="30">
        <f>IFERROR(INDEX('8_3nf_customer'!$D:$D,MATCH(AD396,'8_3nf_customer'!$B:$B,0)),"NOT FOUND")</f>
        <v/>
      </c>
      <c r="AG396" s="4">
        <f>IF(ISNUMBER(AF396),DATEDIF(AF396,L396,"y"),"NOT FOUND")</f>
        <v/>
      </c>
      <c r="AH396" s="2">
        <f>IFERROR(INDEX('8_3nf_customer'!$E:$E,MATCH(AD396,'8_3nf_customer'!$B:$B,0)),"NOT FOUND")</f>
        <v/>
      </c>
      <c r="AI396" s="30">
        <f>IF(_xlfn.MAXIFS('9_3nf_customer_history'!$B$2:$B$500,'9_3nf_customer_history'!$A$2:$A$500,AD396,'9_3nf_customer_history'!$B$2:$B$500,"&lt;="&amp;L396)=0,"NOT FOUND",_xlfn.MAXIFS('9_3nf_customer_history'!$B$2:$B$500,'9_3nf_customer_history'!$A$2:$A$500,AD396,'9_3nf_customer_history'!$B$2:$B$500,"&lt;="&amp;L396))</f>
        <v/>
      </c>
      <c r="AJ396" s="2">
        <f>IF(AI396="NOT FOUND","NOT FOUND",INDEX('9_3nf_customer_history'!$C:$C,SUMPRODUCT(('9_3nf_customer_history'!$A$2:$A$500=AD396)*('9_3nf_customer_history'!$B$2:$B$500=AI396)*ROW('9_3nf_customer_history'!$A$2:$A$500))))</f>
        <v/>
      </c>
      <c r="AK396" s="2">
        <f>IF(AI396="NOT FOUND","NOT FOUND",INDEX('9_3nf_customer_history'!$D:$D,SUMPRODUCT(('9_3nf_customer_history'!$A$2:$A$500=AD396)*('9_3nf_customer_history'!$B$2:$B$500=AI396)*ROW('9_3nf_customer_history'!$A$2:$A$500))))</f>
        <v/>
      </c>
      <c r="AL396" s="2">
        <f>UPPER(TRIM(H396))</f>
        <v/>
      </c>
      <c r="AM396" s="30">
        <f>IF(_xlfn.MAXIFS('10_ref_fx_rate'!$B$2:$B$2000,'10_ref_fx_rate'!$A$2:$A$2000,AL396,'10_ref_fx_rate'!$B$2:$B$2000,"&lt;="&amp;L396)=0,"NOT FOUND",_xlfn.MAXIFS('10_ref_fx_rate'!$B$2:$B$2000,'10_ref_fx_rate'!$A$2:$A$2000,AL396,'10_ref_fx_rate'!$B$2:$B$2000,"&lt;="&amp;L396))</f>
        <v/>
      </c>
      <c r="AN396" s="8">
        <f>IF(AM396="NOT FOUND","NOT FOUND",SUMIFS('10_ref_fx_rate'!$D$2:$D$2000,'10_ref_fx_rate'!$A$2:$A$2000,AL396,'10_ref_fx_rate'!$B$2:$B$2000,AM396))</f>
        <v/>
      </c>
      <c r="AO396" s="37">
        <f>IF(ISNUMBER(AN396),I396*AN396,"NOT FOUND")</f>
        <v/>
      </c>
      <c r="AP396" s="2">
        <f>UPPER(TRIM(J396))</f>
        <v/>
      </c>
      <c r="AQ396" s="2">
        <f>IF(AP396="","SELF-DIRECTED",IF(ISNUMBER(MATCH(AP396,'11_3nf_sales_person'!$A:$A,0)),IF(EXACT(AP396,J396),"OK","OK (auto-fixed)"),IF(ISNA(MATCH($A396,'12_sales_person_confirmation'!$A:$A,0)),"CONFIRM (not logged)",IF(INDEX('12_sales_person_confirmation'!$I:$I,MATCH($A396,'12_sales_person_confirmation'!$A:$A,0))="CONFIRMED","CONFIRMED ("&amp;LOWER(INDEX('12_sales_person_confirmation'!$E:$E,MATCH($A396,'12_sales_person_confirmation'!$A:$A,0)))&amp;")","PENDING CONFIRM"))))</f>
        <v/>
      </c>
      <c r="AR396" s="2">
        <f>IF(OR(AQ396="OK",AQ396="OK (auto-fixed)"),AP396,IF(LEFT(AQ396,9)="CONFIRMED",INDEX('12_sales_person_confirmation'!$F:$F,MATCH($A396,'12_sales_person_confirmation'!$A:$A,0)),""))</f>
        <v/>
      </c>
      <c r="AS396" s="2">
        <f>IF(AR396="","",INDEX('11_3nf_sales_person'!$B:$B,MATCH(AR396,'11_3nf_sales_person'!$A:$A,0)))</f>
        <v/>
      </c>
    </row>
    <row r="397">
      <c r="A397" s="2">
        <f>IF(ISBLANK('1_raw_log'!A397),"",'1_raw_log'!A397)</f>
        <v/>
      </c>
      <c r="B397" s="3">
        <f>IF(ISBLANK('1_raw_log'!B397),"",'1_raw_log'!B397)</f>
        <v/>
      </c>
      <c r="C397" s="2">
        <f>IF(ISBLANK('1_raw_log'!C397),"",'1_raw_log'!C397)</f>
        <v/>
      </c>
      <c r="D397" s="2">
        <f>IF(ISBLANK('1_raw_log'!D397),"",'1_raw_log'!D397)</f>
        <v/>
      </c>
      <c r="E397" s="4">
        <f>IF(ISBLANK('1_raw_log'!E397),"",'1_raw_log'!E397)</f>
        <v/>
      </c>
      <c r="F397" s="2">
        <f>IF(ISBLANK('1_raw_log'!F397),"",'1_raw_log'!F397)</f>
        <v/>
      </c>
      <c r="G397" s="2">
        <f>IF(ISBLANK('1_raw_log'!G397),"",'1_raw_log'!G397)</f>
        <v/>
      </c>
      <c r="H397" s="2">
        <f>IF(ISBLANK('1_raw_log'!H397),"",'1_raw_log'!H397)</f>
        <v/>
      </c>
      <c r="I397" s="7">
        <f>IF(ISBLANK('1_raw_log'!I397),"",'1_raw_log'!I397)</f>
        <v/>
      </c>
      <c r="J397" s="2">
        <f>IF(ISBLANK('1_raw_log'!J397),"",'1_raw_log'!J397)</f>
        <v/>
      </c>
      <c r="K397" s="2">
        <f>IF(ISBLANK('1_raw_log'!K397),"",'1_raw_log'!K397)</f>
        <v/>
      </c>
      <c r="L397" s="30">
        <f>INT(B397)</f>
        <v/>
      </c>
      <c r="M397" s="20">
        <f>ROUND(MOD(B397,1)*1440,0)/1440</f>
        <v/>
      </c>
      <c r="N397" s="4">
        <f>IFERROR(INDEX('3_ref_date'!$B:$B,MATCH(L397,'3_ref_date'!$A:$A,0)),"NOT FOUND")</f>
        <v/>
      </c>
      <c r="O397" s="2">
        <f>IFERROR(INDEX('3_ref_date'!$C:$C,MATCH(L397,'3_ref_date'!$A:$A,0)),"NOT FOUND")</f>
        <v/>
      </c>
      <c r="P397" s="4">
        <f>IFERROR(INDEX('3_ref_date'!$D:$D,MATCH(L397,'3_ref_date'!$A:$A,0)),"NOT FOUND")</f>
        <v/>
      </c>
      <c r="Q397" s="4">
        <f>IFERROR(INDEX('3_ref_date'!$E:$E,MATCH(L397,'3_ref_date'!$A:$A,0)),"NOT FOUND")</f>
        <v/>
      </c>
      <c r="R397" s="2">
        <f>IFERROR(INDEX('3_ref_date'!$F:$F,MATCH(L397,'3_ref_date'!$A:$A,0)),"NOT FOUND")</f>
        <v/>
      </c>
      <c r="S397" s="2">
        <f>IFERROR(INDEX('4_ref_time'!$D:$D,MATCH(ROUND(M397*1440,0),'4_ref_time'!$A:$A,0)),"NOT FOUND")</f>
        <v/>
      </c>
      <c r="T397" s="2">
        <f>UPPER(TRIM(C397))</f>
        <v/>
      </c>
      <c r="U397" s="30">
        <f>IF(_xlfn.MAXIFS('6_3nf_branch_history'!$B$2:$B$50,'6_3nf_branch_history'!$A$2:$A$50,T397,'6_3nf_branch_history'!$B$2:$B$50,"&lt;="&amp;L397)=0,"NOT FOUND",_xlfn.MAXIFS('6_3nf_branch_history'!$B$2:$B$50,'6_3nf_branch_history'!$A$2:$A$50,T397,'6_3nf_branch_history'!$B$2:$B$50,"&lt;="&amp;L397))</f>
        <v/>
      </c>
      <c r="V397" s="2">
        <f>IF(U397="NOT FOUND","NOT FOUND",INDEX('6_3nf_branch_history'!$C:$C,SUMPRODUCT(('6_3nf_branch_history'!$A$2:$A$50=T397)*('6_3nf_branch_history'!$B$2:$B$50=U397)*ROW('6_3nf_branch_history'!$A$2:$A$50))))</f>
        <v/>
      </c>
      <c r="W397" s="2">
        <f>IF(U397="NOT FOUND","NOT FOUND",INDEX('6_3nf_branch_history'!$D:$D,SUMPRODUCT(('6_3nf_branch_history'!$A$2:$A$50=T397)*('6_3nf_branch_history'!$B$2:$B$50=U397)*ROW('6_3nf_branch_history'!$A$2:$A$50))))</f>
        <v/>
      </c>
      <c r="X397" s="2">
        <f>IF(U397="NOT FOUND","NOT FOUND",INDEX('6_3nf_branch_history'!$E:$E,SUMPRODUCT(('6_3nf_branch_history'!$A$2:$A$50=T397)*('6_3nf_branch_history'!$B$2:$B$50=U397)*ROW('6_3nf_branch_history'!$A$2:$A$50))))</f>
        <v/>
      </c>
      <c r="Y397" s="2">
        <f>UPPER(TRIM(D397))</f>
        <v/>
      </c>
      <c r="Z397" s="2">
        <f>IFERROR(INDEX('7_3nf_product'!$B:$B,MATCH(Y397,'7_3nf_product'!$A:$A,0)),"NOT FOUND")</f>
        <v/>
      </c>
      <c r="AA397" s="2">
        <f>IFERROR(INDEX('7_3nf_product'!$C:$C,MATCH(Y397,'7_3nf_product'!$A:$A,0)),"NOT FOUND")</f>
        <v/>
      </c>
      <c r="AB397" s="2">
        <f>IFERROR(INDEX('7_3nf_product'!$D:$D,MATCH(Y397,'7_3nf_product'!$A:$A,0)),"NOT FOUND")</f>
        <v/>
      </c>
      <c r="AC397" s="6">
        <f>IFERROR(INDEX('7_3nf_product'!$E:$E,MATCH(Y397,'7_3nf_product'!$A:$A,0)),"NOT FOUND")</f>
        <v/>
      </c>
      <c r="AD397" s="33">
        <f>IF(LEN(TRIM(E397))=10,TRIM(E397),IF(LEN(TRIM(E397))=8,"00"&amp;TRIM(E397),"CHECK"))</f>
        <v/>
      </c>
      <c r="AE397" s="2">
        <f>IFERROR(INDEX('8_3nf_customer'!$C:$C,MATCH(AD397,'8_3nf_customer'!$B:$B,0)),"NOT FOUND")</f>
        <v/>
      </c>
      <c r="AF397" s="30">
        <f>IFERROR(INDEX('8_3nf_customer'!$D:$D,MATCH(AD397,'8_3nf_customer'!$B:$B,0)),"NOT FOUND")</f>
        <v/>
      </c>
      <c r="AG397" s="4">
        <f>IF(ISNUMBER(AF397),DATEDIF(AF397,L397,"y"),"NOT FOUND")</f>
        <v/>
      </c>
      <c r="AH397" s="2">
        <f>IFERROR(INDEX('8_3nf_customer'!$E:$E,MATCH(AD397,'8_3nf_customer'!$B:$B,0)),"NOT FOUND")</f>
        <v/>
      </c>
      <c r="AI397" s="30">
        <f>IF(_xlfn.MAXIFS('9_3nf_customer_history'!$B$2:$B$500,'9_3nf_customer_history'!$A$2:$A$500,AD397,'9_3nf_customer_history'!$B$2:$B$500,"&lt;="&amp;L397)=0,"NOT FOUND",_xlfn.MAXIFS('9_3nf_customer_history'!$B$2:$B$500,'9_3nf_customer_history'!$A$2:$A$500,AD397,'9_3nf_customer_history'!$B$2:$B$500,"&lt;="&amp;L397))</f>
        <v/>
      </c>
      <c r="AJ397" s="2">
        <f>IF(AI397="NOT FOUND","NOT FOUND",INDEX('9_3nf_customer_history'!$C:$C,SUMPRODUCT(('9_3nf_customer_history'!$A$2:$A$500=AD397)*('9_3nf_customer_history'!$B$2:$B$500=AI397)*ROW('9_3nf_customer_history'!$A$2:$A$500))))</f>
        <v/>
      </c>
      <c r="AK397" s="2">
        <f>IF(AI397="NOT FOUND","NOT FOUND",INDEX('9_3nf_customer_history'!$D:$D,SUMPRODUCT(('9_3nf_customer_history'!$A$2:$A$500=AD397)*('9_3nf_customer_history'!$B$2:$B$500=AI397)*ROW('9_3nf_customer_history'!$A$2:$A$500))))</f>
        <v/>
      </c>
      <c r="AL397" s="2">
        <f>UPPER(TRIM(H397))</f>
        <v/>
      </c>
      <c r="AM397" s="30">
        <f>IF(_xlfn.MAXIFS('10_ref_fx_rate'!$B$2:$B$2000,'10_ref_fx_rate'!$A$2:$A$2000,AL397,'10_ref_fx_rate'!$B$2:$B$2000,"&lt;="&amp;L397)=0,"NOT FOUND",_xlfn.MAXIFS('10_ref_fx_rate'!$B$2:$B$2000,'10_ref_fx_rate'!$A$2:$A$2000,AL397,'10_ref_fx_rate'!$B$2:$B$2000,"&lt;="&amp;L397))</f>
        <v/>
      </c>
      <c r="AN397" s="8">
        <f>IF(AM397="NOT FOUND","NOT FOUND",SUMIFS('10_ref_fx_rate'!$D$2:$D$2000,'10_ref_fx_rate'!$A$2:$A$2000,AL397,'10_ref_fx_rate'!$B$2:$B$2000,AM397))</f>
        <v/>
      </c>
      <c r="AO397" s="37">
        <f>IF(ISNUMBER(AN397),I397*AN397,"NOT FOUND")</f>
        <v/>
      </c>
      <c r="AP397" s="2">
        <f>UPPER(TRIM(J397))</f>
        <v/>
      </c>
      <c r="AQ397" s="2">
        <f>IF(AP397="","SELF-DIRECTED",IF(ISNUMBER(MATCH(AP397,'11_3nf_sales_person'!$A:$A,0)),IF(EXACT(AP397,J397),"OK","OK (auto-fixed)"),IF(ISNA(MATCH($A397,'12_sales_person_confirmation'!$A:$A,0)),"CONFIRM (not logged)",IF(INDEX('12_sales_person_confirmation'!$I:$I,MATCH($A397,'12_sales_person_confirmation'!$A:$A,0))="CONFIRMED","CONFIRMED ("&amp;LOWER(INDEX('12_sales_person_confirmation'!$E:$E,MATCH($A397,'12_sales_person_confirmation'!$A:$A,0)))&amp;")","PENDING CONFIRM"))))</f>
        <v/>
      </c>
      <c r="AR397" s="2">
        <f>IF(OR(AQ397="OK",AQ397="OK (auto-fixed)"),AP397,IF(LEFT(AQ397,9)="CONFIRMED",INDEX('12_sales_person_confirmation'!$F:$F,MATCH($A397,'12_sales_person_confirmation'!$A:$A,0)),""))</f>
        <v/>
      </c>
      <c r="AS397" s="2">
        <f>IF(AR397="","",INDEX('11_3nf_sales_person'!$B:$B,MATCH(AR397,'11_3nf_sales_person'!$A:$A,0)))</f>
        <v/>
      </c>
    </row>
    <row r="398">
      <c r="A398" s="2">
        <f>IF(ISBLANK('1_raw_log'!A398),"",'1_raw_log'!A398)</f>
        <v/>
      </c>
      <c r="B398" s="3">
        <f>IF(ISBLANK('1_raw_log'!B398),"",'1_raw_log'!B398)</f>
        <v/>
      </c>
      <c r="C398" s="2">
        <f>IF(ISBLANK('1_raw_log'!C398),"",'1_raw_log'!C398)</f>
        <v/>
      </c>
      <c r="D398" s="2">
        <f>IF(ISBLANK('1_raw_log'!D398),"",'1_raw_log'!D398)</f>
        <v/>
      </c>
      <c r="E398" s="4">
        <f>IF(ISBLANK('1_raw_log'!E398),"",'1_raw_log'!E398)</f>
        <v/>
      </c>
      <c r="F398" s="2">
        <f>IF(ISBLANK('1_raw_log'!F398),"",'1_raw_log'!F398)</f>
        <v/>
      </c>
      <c r="G398" s="2">
        <f>IF(ISBLANK('1_raw_log'!G398),"",'1_raw_log'!G398)</f>
        <v/>
      </c>
      <c r="H398" s="2">
        <f>IF(ISBLANK('1_raw_log'!H398),"",'1_raw_log'!H398)</f>
        <v/>
      </c>
      <c r="I398" s="7">
        <f>IF(ISBLANK('1_raw_log'!I398),"",'1_raw_log'!I398)</f>
        <v/>
      </c>
      <c r="J398" s="2">
        <f>IF(ISBLANK('1_raw_log'!J398),"",'1_raw_log'!J398)</f>
        <v/>
      </c>
      <c r="K398" s="2">
        <f>IF(ISBLANK('1_raw_log'!K398),"",'1_raw_log'!K398)</f>
        <v/>
      </c>
      <c r="L398" s="30">
        <f>INT(B398)</f>
        <v/>
      </c>
      <c r="M398" s="20">
        <f>ROUND(MOD(B398,1)*1440,0)/1440</f>
        <v/>
      </c>
      <c r="N398" s="4">
        <f>IFERROR(INDEX('3_ref_date'!$B:$B,MATCH(L398,'3_ref_date'!$A:$A,0)),"NOT FOUND")</f>
        <v/>
      </c>
      <c r="O398" s="2">
        <f>IFERROR(INDEX('3_ref_date'!$C:$C,MATCH(L398,'3_ref_date'!$A:$A,0)),"NOT FOUND")</f>
        <v/>
      </c>
      <c r="P398" s="4">
        <f>IFERROR(INDEX('3_ref_date'!$D:$D,MATCH(L398,'3_ref_date'!$A:$A,0)),"NOT FOUND")</f>
        <v/>
      </c>
      <c r="Q398" s="4">
        <f>IFERROR(INDEX('3_ref_date'!$E:$E,MATCH(L398,'3_ref_date'!$A:$A,0)),"NOT FOUND")</f>
        <v/>
      </c>
      <c r="R398" s="2">
        <f>IFERROR(INDEX('3_ref_date'!$F:$F,MATCH(L398,'3_ref_date'!$A:$A,0)),"NOT FOUND")</f>
        <v/>
      </c>
      <c r="S398" s="2">
        <f>IFERROR(INDEX('4_ref_time'!$D:$D,MATCH(ROUND(M398*1440,0),'4_ref_time'!$A:$A,0)),"NOT FOUND")</f>
        <v/>
      </c>
      <c r="T398" s="2">
        <f>UPPER(TRIM(C398))</f>
        <v/>
      </c>
      <c r="U398" s="30">
        <f>IF(_xlfn.MAXIFS('6_3nf_branch_history'!$B$2:$B$50,'6_3nf_branch_history'!$A$2:$A$50,T398,'6_3nf_branch_history'!$B$2:$B$50,"&lt;="&amp;L398)=0,"NOT FOUND",_xlfn.MAXIFS('6_3nf_branch_history'!$B$2:$B$50,'6_3nf_branch_history'!$A$2:$A$50,T398,'6_3nf_branch_history'!$B$2:$B$50,"&lt;="&amp;L398))</f>
        <v/>
      </c>
      <c r="V398" s="2">
        <f>IF(U398="NOT FOUND","NOT FOUND",INDEX('6_3nf_branch_history'!$C:$C,SUMPRODUCT(('6_3nf_branch_history'!$A$2:$A$50=T398)*('6_3nf_branch_history'!$B$2:$B$50=U398)*ROW('6_3nf_branch_history'!$A$2:$A$50))))</f>
        <v/>
      </c>
      <c r="W398" s="2">
        <f>IF(U398="NOT FOUND","NOT FOUND",INDEX('6_3nf_branch_history'!$D:$D,SUMPRODUCT(('6_3nf_branch_history'!$A$2:$A$50=T398)*('6_3nf_branch_history'!$B$2:$B$50=U398)*ROW('6_3nf_branch_history'!$A$2:$A$50))))</f>
        <v/>
      </c>
      <c r="X398" s="2">
        <f>IF(U398="NOT FOUND","NOT FOUND",INDEX('6_3nf_branch_history'!$E:$E,SUMPRODUCT(('6_3nf_branch_history'!$A$2:$A$50=T398)*('6_3nf_branch_history'!$B$2:$B$50=U398)*ROW('6_3nf_branch_history'!$A$2:$A$50))))</f>
        <v/>
      </c>
      <c r="Y398" s="2">
        <f>UPPER(TRIM(D398))</f>
        <v/>
      </c>
      <c r="Z398" s="2">
        <f>IFERROR(INDEX('7_3nf_product'!$B:$B,MATCH(Y398,'7_3nf_product'!$A:$A,0)),"NOT FOUND")</f>
        <v/>
      </c>
      <c r="AA398" s="2">
        <f>IFERROR(INDEX('7_3nf_product'!$C:$C,MATCH(Y398,'7_3nf_product'!$A:$A,0)),"NOT FOUND")</f>
        <v/>
      </c>
      <c r="AB398" s="2">
        <f>IFERROR(INDEX('7_3nf_product'!$D:$D,MATCH(Y398,'7_3nf_product'!$A:$A,0)),"NOT FOUND")</f>
        <v/>
      </c>
      <c r="AC398" s="6">
        <f>IFERROR(INDEX('7_3nf_product'!$E:$E,MATCH(Y398,'7_3nf_product'!$A:$A,0)),"NOT FOUND")</f>
        <v/>
      </c>
      <c r="AD398" s="33">
        <f>IF(LEN(TRIM(E398))=10,TRIM(E398),IF(LEN(TRIM(E398))=8,"00"&amp;TRIM(E398),"CHECK"))</f>
        <v/>
      </c>
      <c r="AE398" s="2">
        <f>IFERROR(INDEX('8_3nf_customer'!$C:$C,MATCH(AD398,'8_3nf_customer'!$B:$B,0)),"NOT FOUND")</f>
        <v/>
      </c>
      <c r="AF398" s="30">
        <f>IFERROR(INDEX('8_3nf_customer'!$D:$D,MATCH(AD398,'8_3nf_customer'!$B:$B,0)),"NOT FOUND")</f>
        <v/>
      </c>
      <c r="AG398" s="4">
        <f>IF(ISNUMBER(AF398),DATEDIF(AF398,L398,"y"),"NOT FOUND")</f>
        <v/>
      </c>
      <c r="AH398" s="2">
        <f>IFERROR(INDEX('8_3nf_customer'!$E:$E,MATCH(AD398,'8_3nf_customer'!$B:$B,0)),"NOT FOUND")</f>
        <v/>
      </c>
      <c r="AI398" s="30">
        <f>IF(_xlfn.MAXIFS('9_3nf_customer_history'!$B$2:$B$500,'9_3nf_customer_history'!$A$2:$A$500,AD398,'9_3nf_customer_history'!$B$2:$B$500,"&lt;="&amp;L398)=0,"NOT FOUND",_xlfn.MAXIFS('9_3nf_customer_history'!$B$2:$B$500,'9_3nf_customer_history'!$A$2:$A$500,AD398,'9_3nf_customer_history'!$B$2:$B$500,"&lt;="&amp;L398))</f>
        <v/>
      </c>
      <c r="AJ398" s="2">
        <f>IF(AI398="NOT FOUND","NOT FOUND",INDEX('9_3nf_customer_history'!$C:$C,SUMPRODUCT(('9_3nf_customer_history'!$A$2:$A$500=AD398)*('9_3nf_customer_history'!$B$2:$B$500=AI398)*ROW('9_3nf_customer_history'!$A$2:$A$500))))</f>
        <v/>
      </c>
      <c r="AK398" s="2">
        <f>IF(AI398="NOT FOUND","NOT FOUND",INDEX('9_3nf_customer_history'!$D:$D,SUMPRODUCT(('9_3nf_customer_history'!$A$2:$A$500=AD398)*('9_3nf_customer_history'!$B$2:$B$500=AI398)*ROW('9_3nf_customer_history'!$A$2:$A$500))))</f>
        <v/>
      </c>
      <c r="AL398" s="2">
        <f>UPPER(TRIM(H398))</f>
        <v/>
      </c>
      <c r="AM398" s="30">
        <f>IF(_xlfn.MAXIFS('10_ref_fx_rate'!$B$2:$B$2000,'10_ref_fx_rate'!$A$2:$A$2000,AL398,'10_ref_fx_rate'!$B$2:$B$2000,"&lt;="&amp;L398)=0,"NOT FOUND",_xlfn.MAXIFS('10_ref_fx_rate'!$B$2:$B$2000,'10_ref_fx_rate'!$A$2:$A$2000,AL398,'10_ref_fx_rate'!$B$2:$B$2000,"&lt;="&amp;L398))</f>
        <v/>
      </c>
      <c r="AN398" s="8">
        <f>IF(AM398="NOT FOUND","NOT FOUND",SUMIFS('10_ref_fx_rate'!$D$2:$D$2000,'10_ref_fx_rate'!$A$2:$A$2000,AL398,'10_ref_fx_rate'!$B$2:$B$2000,AM398))</f>
        <v/>
      </c>
      <c r="AO398" s="37">
        <f>IF(ISNUMBER(AN398),I398*AN398,"NOT FOUND")</f>
        <v/>
      </c>
      <c r="AP398" s="2">
        <f>UPPER(TRIM(J398))</f>
        <v/>
      </c>
      <c r="AQ398" s="2">
        <f>IF(AP398="","SELF-DIRECTED",IF(ISNUMBER(MATCH(AP398,'11_3nf_sales_person'!$A:$A,0)),IF(EXACT(AP398,J398),"OK","OK (auto-fixed)"),IF(ISNA(MATCH($A398,'12_sales_person_confirmation'!$A:$A,0)),"CONFIRM (not logged)",IF(INDEX('12_sales_person_confirmation'!$I:$I,MATCH($A398,'12_sales_person_confirmation'!$A:$A,0))="CONFIRMED","CONFIRMED ("&amp;LOWER(INDEX('12_sales_person_confirmation'!$E:$E,MATCH($A398,'12_sales_person_confirmation'!$A:$A,0)))&amp;")","PENDING CONFIRM"))))</f>
        <v/>
      </c>
      <c r="AR398" s="2">
        <f>IF(OR(AQ398="OK",AQ398="OK (auto-fixed)"),AP398,IF(LEFT(AQ398,9)="CONFIRMED",INDEX('12_sales_person_confirmation'!$F:$F,MATCH($A398,'12_sales_person_confirmation'!$A:$A,0)),""))</f>
        <v/>
      </c>
      <c r="AS398" s="2">
        <f>IF(AR398="","",INDEX('11_3nf_sales_person'!$B:$B,MATCH(AR398,'11_3nf_sales_person'!$A:$A,0)))</f>
        <v/>
      </c>
    </row>
    <row r="399">
      <c r="A399" s="2">
        <f>IF(ISBLANK('1_raw_log'!A399),"",'1_raw_log'!A399)</f>
        <v/>
      </c>
      <c r="B399" s="3">
        <f>IF(ISBLANK('1_raw_log'!B399),"",'1_raw_log'!B399)</f>
        <v/>
      </c>
      <c r="C399" s="2">
        <f>IF(ISBLANK('1_raw_log'!C399),"",'1_raw_log'!C399)</f>
        <v/>
      </c>
      <c r="D399" s="2">
        <f>IF(ISBLANK('1_raw_log'!D399),"",'1_raw_log'!D399)</f>
        <v/>
      </c>
      <c r="E399" s="4">
        <f>IF(ISBLANK('1_raw_log'!E399),"",'1_raw_log'!E399)</f>
        <v/>
      </c>
      <c r="F399" s="2">
        <f>IF(ISBLANK('1_raw_log'!F399),"",'1_raw_log'!F399)</f>
        <v/>
      </c>
      <c r="G399" s="2">
        <f>IF(ISBLANK('1_raw_log'!G399),"",'1_raw_log'!G399)</f>
        <v/>
      </c>
      <c r="H399" s="2">
        <f>IF(ISBLANK('1_raw_log'!H399),"",'1_raw_log'!H399)</f>
        <v/>
      </c>
      <c r="I399" s="7">
        <f>IF(ISBLANK('1_raw_log'!I399),"",'1_raw_log'!I399)</f>
        <v/>
      </c>
      <c r="J399" s="2">
        <f>IF(ISBLANK('1_raw_log'!J399),"",'1_raw_log'!J399)</f>
        <v/>
      </c>
      <c r="K399" s="2">
        <f>IF(ISBLANK('1_raw_log'!K399),"",'1_raw_log'!K399)</f>
        <v/>
      </c>
      <c r="L399" s="30">
        <f>INT(B399)</f>
        <v/>
      </c>
      <c r="M399" s="20">
        <f>ROUND(MOD(B399,1)*1440,0)/1440</f>
        <v/>
      </c>
      <c r="N399" s="4">
        <f>IFERROR(INDEX('3_ref_date'!$B:$B,MATCH(L399,'3_ref_date'!$A:$A,0)),"NOT FOUND")</f>
        <v/>
      </c>
      <c r="O399" s="2">
        <f>IFERROR(INDEX('3_ref_date'!$C:$C,MATCH(L399,'3_ref_date'!$A:$A,0)),"NOT FOUND")</f>
        <v/>
      </c>
      <c r="P399" s="4">
        <f>IFERROR(INDEX('3_ref_date'!$D:$D,MATCH(L399,'3_ref_date'!$A:$A,0)),"NOT FOUND")</f>
        <v/>
      </c>
      <c r="Q399" s="4">
        <f>IFERROR(INDEX('3_ref_date'!$E:$E,MATCH(L399,'3_ref_date'!$A:$A,0)),"NOT FOUND")</f>
        <v/>
      </c>
      <c r="R399" s="2">
        <f>IFERROR(INDEX('3_ref_date'!$F:$F,MATCH(L399,'3_ref_date'!$A:$A,0)),"NOT FOUND")</f>
        <v/>
      </c>
      <c r="S399" s="2">
        <f>IFERROR(INDEX('4_ref_time'!$D:$D,MATCH(ROUND(M399*1440,0),'4_ref_time'!$A:$A,0)),"NOT FOUND")</f>
        <v/>
      </c>
      <c r="T399" s="2">
        <f>UPPER(TRIM(C399))</f>
        <v/>
      </c>
      <c r="U399" s="30">
        <f>IF(_xlfn.MAXIFS('6_3nf_branch_history'!$B$2:$B$50,'6_3nf_branch_history'!$A$2:$A$50,T399,'6_3nf_branch_history'!$B$2:$B$50,"&lt;="&amp;L399)=0,"NOT FOUND",_xlfn.MAXIFS('6_3nf_branch_history'!$B$2:$B$50,'6_3nf_branch_history'!$A$2:$A$50,T399,'6_3nf_branch_history'!$B$2:$B$50,"&lt;="&amp;L399))</f>
        <v/>
      </c>
      <c r="V399" s="2">
        <f>IF(U399="NOT FOUND","NOT FOUND",INDEX('6_3nf_branch_history'!$C:$C,SUMPRODUCT(('6_3nf_branch_history'!$A$2:$A$50=T399)*('6_3nf_branch_history'!$B$2:$B$50=U399)*ROW('6_3nf_branch_history'!$A$2:$A$50))))</f>
        <v/>
      </c>
      <c r="W399" s="2">
        <f>IF(U399="NOT FOUND","NOT FOUND",INDEX('6_3nf_branch_history'!$D:$D,SUMPRODUCT(('6_3nf_branch_history'!$A$2:$A$50=T399)*('6_3nf_branch_history'!$B$2:$B$50=U399)*ROW('6_3nf_branch_history'!$A$2:$A$50))))</f>
        <v/>
      </c>
      <c r="X399" s="2">
        <f>IF(U399="NOT FOUND","NOT FOUND",INDEX('6_3nf_branch_history'!$E:$E,SUMPRODUCT(('6_3nf_branch_history'!$A$2:$A$50=T399)*('6_3nf_branch_history'!$B$2:$B$50=U399)*ROW('6_3nf_branch_history'!$A$2:$A$50))))</f>
        <v/>
      </c>
      <c r="Y399" s="2">
        <f>UPPER(TRIM(D399))</f>
        <v/>
      </c>
      <c r="Z399" s="2">
        <f>IFERROR(INDEX('7_3nf_product'!$B:$B,MATCH(Y399,'7_3nf_product'!$A:$A,0)),"NOT FOUND")</f>
        <v/>
      </c>
      <c r="AA399" s="2">
        <f>IFERROR(INDEX('7_3nf_product'!$C:$C,MATCH(Y399,'7_3nf_product'!$A:$A,0)),"NOT FOUND")</f>
        <v/>
      </c>
      <c r="AB399" s="2">
        <f>IFERROR(INDEX('7_3nf_product'!$D:$D,MATCH(Y399,'7_3nf_product'!$A:$A,0)),"NOT FOUND")</f>
        <v/>
      </c>
      <c r="AC399" s="6">
        <f>IFERROR(INDEX('7_3nf_product'!$E:$E,MATCH(Y399,'7_3nf_product'!$A:$A,0)),"NOT FOUND")</f>
        <v/>
      </c>
      <c r="AD399" s="33">
        <f>IF(LEN(TRIM(E399))=10,TRIM(E399),IF(LEN(TRIM(E399))=8,"00"&amp;TRIM(E399),"CHECK"))</f>
        <v/>
      </c>
      <c r="AE399" s="2">
        <f>IFERROR(INDEX('8_3nf_customer'!$C:$C,MATCH(AD399,'8_3nf_customer'!$B:$B,0)),"NOT FOUND")</f>
        <v/>
      </c>
      <c r="AF399" s="30">
        <f>IFERROR(INDEX('8_3nf_customer'!$D:$D,MATCH(AD399,'8_3nf_customer'!$B:$B,0)),"NOT FOUND")</f>
        <v/>
      </c>
      <c r="AG399" s="4">
        <f>IF(ISNUMBER(AF399),DATEDIF(AF399,L399,"y"),"NOT FOUND")</f>
        <v/>
      </c>
      <c r="AH399" s="2">
        <f>IFERROR(INDEX('8_3nf_customer'!$E:$E,MATCH(AD399,'8_3nf_customer'!$B:$B,0)),"NOT FOUND")</f>
        <v/>
      </c>
      <c r="AI399" s="30">
        <f>IF(_xlfn.MAXIFS('9_3nf_customer_history'!$B$2:$B$500,'9_3nf_customer_history'!$A$2:$A$500,AD399,'9_3nf_customer_history'!$B$2:$B$500,"&lt;="&amp;L399)=0,"NOT FOUND",_xlfn.MAXIFS('9_3nf_customer_history'!$B$2:$B$500,'9_3nf_customer_history'!$A$2:$A$500,AD399,'9_3nf_customer_history'!$B$2:$B$500,"&lt;="&amp;L399))</f>
        <v/>
      </c>
      <c r="AJ399" s="2">
        <f>IF(AI399="NOT FOUND","NOT FOUND",INDEX('9_3nf_customer_history'!$C:$C,SUMPRODUCT(('9_3nf_customer_history'!$A$2:$A$500=AD399)*('9_3nf_customer_history'!$B$2:$B$500=AI399)*ROW('9_3nf_customer_history'!$A$2:$A$500))))</f>
        <v/>
      </c>
      <c r="AK399" s="2">
        <f>IF(AI399="NOT FOUND","NOT FOUND",INDEX('9_3nf_customer_history'!$D:$D,SUMPRODUCT(('9_3nf_customer_history'!$A$2:$A$500=AD399)*('9_3nf_customer_history'!$B$2:$B$500=AI399)*ROW('9_3nf_customer_history'!$A$2:$A$500))))</f>
        <v/>
      </c>
      <c r="AL399" s="2">
        <f>UPPER(TRIM(H399))</f>
        <v/>
      </c>
      <c r="AM399" s="30">
        <f>IF(_xlfn.MAXIFS('10_ref_fx_rate'!$B$2:$B$2000,'10_ref_fx_rate'!$A$2:$A$2000,AL399,'10_ref_fx_rate'!$B$2:$B$2000,"&lt;="&amp;L399)=0,"NOT FOUND",_xlfn.MAXIFS('10_ref_fx_rate'!$B$2:$B$2000,'10_ref_fx_rate'!$A$2:$A$2000,AL399,'10_ref_fx_rate'!$B$2:$B$2000,"&lt;="&amp;L399))</f>
        <v/>
      </c>
      <c r="AN399" s="8">
        <f>IF(AM399="NOT FOUND","NOT FOUND",SUMIFS('10_ref_fx_rate'!$D$2:$D$2000,'10_ref_fx_rate'!$A$2:$A$2000,AL399,'10_ref_fx_rate'!$B$2:$B$2000,AM399))</f>
        <v/>
      </c>
      <c r="AO399" s="37">
        <f>IF(ISNUMBER(AN399),I399*AN399,"NOT FOUND")</f>
        <v/>
      </c>
      <c r="AP399" s="2">
        <f>UPPER(TRIM(J399))</f>
        <v/>
      </c>
      <c r="AQ399" s="2">
        <f>IF(AP399="","SELF-DIRECTED",IF(ISNUMBER(MATCH(AP399,'11_3nf_sales_person'!$A:$A,0)),IF(EXACT(AP399,J399),"OK","OK (auto-fixed)"),IF(ISNA(MATCH($A399,'12_sales_person_confirmation'!$A:$A,0)),"CONFIRM (not logged)",IF(INDEX('12_sales_person_confirmation'!$I:$I,MATCH($A399,'12_sales_person_confirmation'!$A:$A,0))="CONFIRMED","CONFIRMED ("&amp;LOWER(INDEX('12_sales_person_confirmation'!$E:$E,MATCH($A399,'12_sales_person_confirmation'!$A:$A,0)))&amp;")","PENDING CONFIRM"))))</f>
        <v/>
      </c>
      <c r="AR399" s="2">
        <f>IF(OR(AQ399="OK",AQ399="OK (auto-fixed)"),AP399,IF(LEFT(AQ399,9)="CONFIRMED",INDEX('12_sales_person_confirmation'!$F:$F,MATCH($A399,'12_sales_person_confirmation'!$A:$A,0)),""))</f>
        <v/>
      </c>
      <c r="AS399" s="2">
        <f>IF(AR399="","",INDEX('11_3nf_sales_person'!$B:$B,MATCH(AR399,'11_3nf_sales_person'!$A:$A,0)))</f>
        <v/>
      </c>
    </row>
    <row r="400">
      <c r="A400" s="2">
        <f>IF(ISBLANK('1_raw_log'!A400),"",'1_raw_log'!A400)</f>
        <v/>
      </c>
      <c r="B400" s="3">
        <f>IF(ISBLANK('1_raw_log'!B400),"",'1_raw_log'!B400)</f>
        <v/>
      </c>
      <c r="C400" s="2">
        <f>IF(ISBLANK('1_raw_log'!C400),"",'1_raw_log'!C400)</f>
        <v/>
      </c>
      <c r="D400" s="2">
        <f>IF(ISBLANK('1_raw_log'!D400),"",'1_raw_log'!D400)</f>
        <v/>
      </c>
      <c r="E400" s="4">
        <f>IF(ISBLANK('1_raw_log'!E400),"",'1_raw_log'!E400)</f>
        <v/>
      </c>
      <c r="F400" s="2">
        <f>IF(ISBLANK('1_raw_log'!F400),"",'1_raw_log'!F400)</f>
        <v/>
      </c>
      <c r="G400" s="2">
        <f>IF(ISBLANK('1_raw_log'!G400),"",'1_raw_log'!G400)</f>
        <v/>
      </c>
      <c r="H400" s="2">
        <f>IF(ISBLANK('1_raw_log'!H400),"",'1_raw_log'!H400)</f>
        <v/>
      </c>
      <c r="I400" s="7">
        <f>IF(ISBLANK('1_raw_log'!I400),"",'1_raw_log'!I400)</f>
        <v/>
      </c>
      <c r="J400" s="2">
        <f>IF(ISBLANK('1_raw_log'!J400),"",'1_raw_log'!J400)</f>
        <v/>
      </c>
      <c r="K400" s="2">
        <f>IF(ISBLANK('1_raw_log'!K400),"",'1_raw_log'!K400)</f>
        <v/>
      </c>
      <c r="L400" s="30">
        <f>INT(B400)</f>
        <v/>
      </c>
      <c r="M400" s="20">
        <f>ROUND(MOD(B400,1)*1440,0)/1440</f>
        <v/>
      </c>
      <c r="N400" s="4">
        <f>IFERROR(INDEX('3_ref_date'!$B:$B,MATCH(L400,'3_ref_date'!$A:$A,0)),"NOT FOUND")</f>
        <v/>
      </c>
      <c r="O400" s="2">
        <f>IFERROR(INDEX('3_ref_date'!$C:$C,MATCH(L400,'3_ref_date'!$A:$A,0)),"NOT FOUND")</f>
        <v/>
      </c>
      <c r="P400" s="4">
        <f>IFERROR(INDEX('3_ref_date'!$D:$D,MATCH(L400,'3_ref_date'!$A:$A,0)),"NOT FOUND")</f>
        <v/>
      </c>
      <c r="Q400" s="4">
        <f>IFERROR(INDEX('3_ref_date'!$E:$E,MATCH(L400,'3_ref_date'!$A:$A,0)),"NOT FOUND")</f>
        <v/>
      </c>
      <c r="R400" s="2">
        <f>IFERROR(INDEX('3_ref_date'!$F:$F,MATCH(L400,'3_ref_date'!$A:$A,0)),"NOT FOUND")</f>
        <v/>
      </c>
      <c r="S400" s="2">
        <f>IFERROR(INDEX('4_ref_time'!$D:$D,MATCH(ROUND(M400*1440,0),'4_ref_time'!$A:$A,0)),"NOT FOUND")</f>
        <v/>
      </c>
      <c r="T400" s="2">
        <f>UPPER(TRIM(C400))</f>
        <v/>
      </c>
      <c r="U400" s="30">
        <f>IF(_xlfn.MAXIFS('6_3nf_branch_history'!$B$2:$B$50,'6_3nf_branch_history'!$A$2:$A$50,T400,'6_3nf_branch_history'!$B$2:$B$50,"&lt;="&amp;L400)=0,"NOT FOUND",_xlfn.MAXIFS('6_3nf_branch_history'!$B$2:$B$50,'6_3nf_branch_history'!$A$2:$A$50,T400,'6_3nf_branch_history'!$B$2:$B$50,"&lt;="&amp;L400))</f>
        <v/>
      </c>
      <c r="V400" s="2">
        <f>IF(U400="NOT FOUND","NOT FOUND",INDEX('6_3nf_branch_history'!$C:$C,SUMPRODUCT(('6_3nf_branch_history'!$A$2:$A$50=T400)*('6_3nf_branch_history'!$B$2:$B$50=U400)*ROW('6_3nf_branch_history'!$A$2:$A$50))))</f>
        <v/>
      </c>
      <c r="W400" s="2">
        <f>IF(U400="NOT FOUND","NOT FOUND",INDEX('6_3nf_branch_history'!$D:$D,SUMPRODUCT(('6_3nf_branch_history'!$A$2:$A$50=T400)*('6_3nf_branch_history'!$B$2:$B$50=U400)*ROW('6_3nf_branch_history'!$A$2:$A$50))))</f>
        <v/>
      </c>
      <c r="X400" s="2">
        <f>IF(U400="NOT FOUND","NOT FOUND",INDEX('6_3nf_branch_history'!$E:$E,SUMPRODUCT(('6_3nf_branch_history'!$A$2:$A$50=T400)*('6_3nf_branch_history'!$B$2:$B$50=U400)*ROW('6_3nf_branch_history'!$A$2:$A$50))))</f>
        <v/>
      </c>
      <c r="Y400" s="2">
        <f>UPPER(TRIM(D400))</f>
        <v/>
      </c>
      <c r="Z400" s="2">
        <f>IFERROR(INDEX('7_3nf_product'!$B:$B,MATCH(Y400,'7_3nf_product'!$A:$A,0)),"NOT FOUND")</f>
        <v/>
      </c>
      <c r="AA400" s="2">
        <f>IFERROR(INDEX('7_3nf_product'!$C:$C,MATCH(Y400,'7_3nf_product'!$A:$A,0)),"NOT FOUND")</f>
        <v/>
      </c>
      <c r="AB400" s="2">
        <f>IFERROR(INDEX('7_3nf_product'!$D:$D,MATCH(Y400,'7_3nf_product'!$A:$A,0)),"NOT FOUND")</f>
        <v/>
      </c>
      <c r="AC400" s="6">
        <f>IFERROR(INDEX('7_3nf_product'!$E:$E,MATCH(Y400,'7_3nf_product'!$A:$A,0)),"NOT FOUND")</f>
        <v/>
      </c>
      <c r="AD400" s="33">
        <f>IF(LEN(TRIM(E400))=10,TRIM(E400),IF(LEN(TRIM(E400))=8,"00"&amp;TRIM(E400),"CHECK"))</f>
        <v/>
      </c>
      <c r="AE400" s="2">
        <f>IFERROR(INDEX('8_3nf_customer'!$C:$C,MATCH(AD400,'8_3nf_customer'!$B:$B,0)),"NOT FOUND")</f>
        <v/>
      </c>
      <c r="AF400" s="30">
        <f>IFERROR(INDEX('8_3nf_customer'!$D:$D,MATCH(AD400,'8_3nf_customer'!$B:$B,0)),"NOT FOUND")</f>
        <v/>
      </c>
      <c r="AG400" s="4">
        <f>IF(ISNUMBER(AF400),DATEDIF(AF400,L400,"y"),"NOT FOUND")</f>
        <v/>
      </c>
      <c r="AH400" s="2">
        <f>IFERROR(INDEX('8_3nf_customer'!$E:$E,MATCH(AD400,'8_3nf_customer'!$B:$B,0)),"NOT FOUND")</f>
        <v/>
      </c>
      <c r="AI400" s="30">
        <f>IF(_xlfn.MAXIFS('9_3nf_customer_history'!$B$2:$B$500,'9_3nf_customer_history'!$A$2:$A$500,AD400,'9_3nf_customer_history'!$B$2:$B$500,"&lt;="&amp;L400)=0,"NOT FOUND",_xlfn.MAXIFS('9_3nf_customer_history'!$B$2:$B$500,'9_3nf_customer_history'!$A$2:$A$500,AD400,'9_3nf_customer_history'!$B$2:$B$500,"&lt;="&amp;L400))</f>
        <v/>
      </c>
      <c r="AJ400" s="2">
        <f>IF(AI400="NOT FOUND","NOT FOUND",INDEX('9_3nf_customer_history'!$C:$C,SUMPRODUCT(('9_3nf_customer_history'!$A$2:$A$500=AD400)*('9_3nf_customer_history'!$B$2:$B$500=AI400)*ROW('9_3nf_customer_history'!$A$2:$A$500))))</f>
        <v/>
      </c>
      <c r="AK400" s="2">
        <f>IF(AI400="NOT FOUND","NOT FOUND",INDEX('9_3nf_customer_history'!$D:$D,SUMPRODUCT(('9_3nf_customer_history'!$A$2:$A$500=AD400)*('9_3nf_customer_history'!$B$2:$B$500=AI400)*ROW('9_3nf_customer_history'!$A$2:$A$500))))</f>
        <v/>
      </c>
      <c r="AL400" s="2">
        <f>UPPER(TRIM(H400))</f>
        <v/>
      </c>
      <c r="AM400" s="30">
        <f>IF(_xlfn.MAXIFS('10_ref_fx_rate'!$B$2:$B$2000,'10_ref_fx_rate'!$A$2:$A$2000,AL400,'10_ref_fx_rate'!$B$2:$B$2000,"&lt;="&amp;L400)=0,"NOT FOUND",_xlfn.MAXIFS('10_ref_fx_rate'!$B$2:$B$2000,'10_ref_fx_rate'!$A$2:$A$2000,AL400,'10_ref_fx_rate'!$B$2:$B$2000,"&lt;="&amp;L400))</f>
        <v/>
      </c>
      <c r="AN400" s="8">
        <f>IF(AM400="NOT FOUND","NOT FOUND",SUMIFS('10_ref_fx_rate'!$D$2:$D$2000,'10_ref_fx_rate'!$A$2:$A$2000,AL400,'10_ref_fx_rate'!$B$2:$B$2000,AM400))</f>
        <v/>
      </c>
      <c r="AO400" s="37">
        <f>IF(ISNUMBER(AN400),I400*AN400,"NOT FOUND")</f>
        <v/>
      </c>
      <c r="AP400" s="2">
        <f>UPPER(TRIM(J400))</f>
        <v/>
      </c>
      <c r="AQ400" s="2">
        <f>IF(AP400="","SELF-DIRECTED",IF(ISNUMBER(MATCH(AP400,'11_3nf_sales_person'!$A:$A,0)),IF(EXACT(AP400,J400),"OK","OK (auto-fixed)"),IF(ISNA(MATCH($A400,'12_sales_person_confirmation'!$A:$A,0)),"CONFIRM (not logged)",IF(INDEX('12_sales_person_confirmation'!$I:$I,MATCH($A400,'12_sales_person_confirmation'!$A:$A,0))="CONFIRMED","CONFIRMED ("&amp;LOWER(INDEX('12_sales_person_confirmation'!$E:$E,MATCH($A400,'12_sales_person_confirmation'!$A:$A,0)))&amp;")","PENDING CONFIRM"))))</f>
        <v/>
      </c>
      <c r="AR400" s="2">
        <f>IF(OR(AQ400="OK",AQ400="OK (auto-fixed)"),AP400,IF(LEFT(AQ400,9)="CONFIRMED",INDEX('12_sales_person_confirmation'!$F:$F,MATCH($A400,'12_sales_person_confirmation'!$A:$A,0)),""))</f>
        <v/>
      </c>
      <c r="AS400" s="2">
        <f>IF(AR400="","",INDEX('11_3nf_sales_person'!$B:$B,MATCH(AR400,'11_3nf_sales_person'!$A:$A,0)))</f>
        <v/>
      </c>
    </row>
    <row r="401">
      <c r="A401" s="2">
        <f>IF(ISBLANK('1_raw_log'!A401),"",'1_raw_log'!A401)</f>
        <v/>
      </c>
      <c r="B401" s="3">
        <f>IF(ISBLANK('1_raw_log'!B401),"",'1_raw_log'!B401)</f>
        <v/>
      </c>
      <c r="C401" s="2">
        <f>IF(ISBLANK('1_raw_log'!C401),"",'1_raw_log'!C401)</f>
        <v/>
      </c>
      <c r="D401" s="2">
        <f>IF(ISBLANK('1_raw_log'!D401),"",'1_raw_log'!D401)</f>
        <v/>
      </c>
      <c r="E401" s="4">
        <f>IF(ISBLANK('1_raw_log'!E401),"",'1_raw_log'!E401)</f>
        <v/>
      </c>
      <c r="F401" s="2">
        <f>IF(ISBLANK('1_raw_log'!F401),"",'1_raw_log'!F401)</f>
        <v/>
      </c>
      <c r="G401" s="2">
        <f>IF(ISBLANK('1_raw_log'!G401),"",'1_raw_log'!G401)</f>
        <v/>
      </c>
      <c r="H401" s="2">
        <f>IF(ISBLANK('1_raw_log'!H401),"",'1_raw_log'!H401)</f>
        <v/>
      </c>
      <c r="I401" s="7">
        <f>IF(ISBLANK('1_raw_log'!I401),"",'1_raw_log'!I401)</f>
        <v/>
      </c>
      <c r="J401" s="2">
        <f>IF(ISBLANK('1_raw_log'!J401),"",'1_raw_log'!J401)</f>
        <v/>
      </c>
      <c r="K401" s="2">
        <f>IF(ISBLANK('1_raw_log'!K401),"",'1_raw_log'!K401)</f>
        <v/>
      </c>
      <c r="L401" s="30">
        <f>INT(B401)</f>
        <v/>
      </c>
      <c r="M401" s="20">
        <f>ROUND(MOD(B401,1)*1440,0)/1440</f>
        <v/>
      </c>
      <c r="N401" s="4">
        <f>IFERROR(INDEX('3_ref_date'!$B:$B,MATCH(L401,'3_ref_date'!$A:$A,0)),"NOT FOUND")</f>
        <v/>
      </c>
      <c r="O401" s="2">
        <f>IFERROR(INDEX('3_ref_date'!$C:$C,MATCH(L401,'3_ref_date'!$A:$A,0)),"NOT FOUND")</f>
        <v/>
      </c>
      <c r="P401" s="4">
        <f>IFERROR(INDEX('3_ref_date'!$D:$D,MATCH(L401,'3_ref_date'!$A:$A,0)),"NOT FOUND")</f>
        <v/>
      </c>
      <c r="Q401" s="4">
        <f>IFERROR(INDEX('3_ref_date'!$E:$E,MATCH(L401,'3_ref_date'!$A:$A,0)),"NOT FOUND")</f>
        <v/>
      </c>
      <c r="R401" s="2">
        <f>IFERROR(INDEX('3_ref_date'!$F:$F,MATCH(L401,'3_ref_date'!$A:$A,0)),"NOT FOUND")</f>
        <v/>
      </c>
      <c r="S401" s="2">
        <f>IFERROR(INDEX('4_ref_time'!$D:$D,MATCH(ROUND(M401*1440,0),'4_ref_time'!$A:$A,0)),"NOT FOUND")</f>
        <v/>
      </c>
      <c r="T401" s="2">
        <f>UPPER(TRIM(C401))</f>
        <v/>
      </c>
      <c r="U401" s="30">
        <f>IF(_xlfn.MAXIFS('6_3nf_branch_history'!$B$2:$B$50,'6_3nf_branch_history'!$A$2:$A$50,T401,'6_3nf_branch_history'!$B$2:$B$50,"&lt;="&amp;L401)=0,"NOT FOUND",_xlfn.MAXIFS('6_3nf_branch_history'!$B$2:$B$50,'6_3nf_branch_history'!$A$2:$A$50,T401,'6_3nf_branch_history'!$B$2:$B$50,"&lt;="&amp;L401))</f>
        <v/>
      </c>
      <c r="V401" s="2">
        <f>IF(U401="NOT FOUND","NOT FOUND",INDEX('6_3nf_branch_history'!$C:$C,SUMPRODUCT(('6_3nf_branch_history'!$A$2:$A$50=T401)*('6_3nf_branch_history'!$B$2:$B$50=U401)*ROW('6_3nf_branch_history'!$A$2:$A$50))))</f>
        <v/>
      </c>
      <c r="W401" s="2">
        <f>IF(U401="NOT FOUND","NOT FOUND",INDEX('6_3nf_branch_history'!$D:$D,SUMPRODUCT(('6_3nf_branch_history'!$A$2:$A$50=T401)*('6_3nf_branch_history'!$B$2:$B$50=U401)*ROW('6_3nf_branch_history'!$A$2:$A$50))))</f>
        <v/>
      </c>
      <c r="X401" s="2">
        <f>IF(U401="NOT FOUND","NOT FOUND",INDEX('6_3nf_branch_history'!$E:$E,SUMPRODUCT(('6_3nf_branch_history'!$A$2:$A$50=T401)*('6_3nf_branch_history'!$B$2:$B$50=U401)*ROW('6_3nf_branch_history'!$A$2:$A$50))))</f>
        <v/>
      </c>
      <c r="Y401" s="2">
        <f>UPPER(TRIM(D401))</f>
        <v/>
      </c>
      <c r="Z401" s="2">
        <f>IFERROR(INDEX('7_3nf_product'!$B:$B,MATCH(Y401,'7_3nf_product'!$A:$A,0)),"NOT FOUND")</f>
        <v/>
      </c>
      <c r="AA401" s="2">
        <f>IFERROR(INDEX('7_3nf_product'!$C:$C,MATCH(Y401,'7_3nf_product'!$A:$A,0)),"NOT FOUND")</f>
        <v/>
      </c>
      <c r="AB401" s="2">
        <f>IFERROR(INDEX('7_3nf_product'!$D:$D,MATCH(Y401,'7_3nf_product'!$A:$A,0)),"NOT FOUND")</f>
        <v/>
      </c>
      <c r="AC401" s="6">
        <f>IFERROR(INDEX('7_3nf_product'!$E:$E,MATCH(Y401,'7_3nf_product'!$A:$A,0)),"NOT FOUND")</f>
        <v/>
      </c>
      <c r="AD401" s="33">
        <f>IF(LEN(TRIM(E401))=10,TRIM(E401),IF(LEN(TRIM(E401))=8,"00"&amp;TRIM(E401),"CHECK"))</f>
        <v/>
      </c>
      <c r="AE401" s="2">
        <f>IFERROR(INDEX('8_3nf_customer'!$C:$C,MATCH(AD401,'8_3nf_customer'!$B:$B,0)),"NOT FOUND")</f>
        <v/>
      </c>
      <c r="AF401" s="30">
        <f>IFERROR(INDEX('8_3nf_customer'!$D:$D,MATCH(AD401,'8_3nf_customer'!$B:$B,0)),"NOT FOUND")</f>
        <v/>
      </c>
      <c r="AG401" s="4">
        <f>IF(ISNUMBER(AF401),DATEDIF(AF401,L401,"y"),"NOT FOUND")</f>
        <v/>
      </c>
      <c r="AH401" s="2">
        <f>IFERROR(INDEX('8_3nf_customer'!$E:$E,MATCH(AD401,'8_3nf_customer'!$B:$B,0)),"NOT FOUND")</f>
        <v/>
      </c>
      <c r="AI401" s="30">
        <f>IF(_xlfn.MAXIFS('9_3nf_customer_history'!$B$2:$B$500,'9_3nf_customer_history'!$A$2:$A$500,AD401,'9_3nf_customer_history'!$B$2:$B$500,"&lt;="&amp;L401)=0,"NOT FOUND",_xlfn.MAXIFS('9_3nf_customer_history'!$B$2:$B$500,'9_3nf_customer_history'!$A$2:$A$500,AD401,'9_3nf_customer_history'!$B$2:$B$500,"&lt;="&amp;L401))</f>
        <v/>
      </c>
      <c r="AJ401" s="2">
        <f>IF(AI401="NOT FOUND","NOT FOUND",INDEX('9_3nf_customer_history'!$C:$C,SUMPRODUCT(('9_3nf_customer_history'!$A$2:$A$500=AD401)*('9_3nf_customer_history'!$B$2:$B$500=AI401)*ROW('9_3nf_customer_history'!$A$2:$A$500))))</f>
        <v/>
      </c>
      <c r="AK401" s="2">
        <f>IF(AI401="NOT FOUND","NOT FOUND",INDEX('9_3nf_customer_history'!$D:$D,SUMPRODUCT(('9_3nf_customer_history'!$A$2:$A$500=AD401)*('9_3nf_customer_history'!$B$2:$B$500=AI401)*ROW('9_3nf_customer_history'!$A$2:$A$500))))</f>
        <v/>
      </c>
      <c r="AL401" s="2">
        <f>UPPER(TRIM(H401))</f>
        <v/>
      </c>
      <c r="AM401" s="30">
        <f>IF(_xlfn.MAXIFS('10_ref_fx_rate'!$B$2:$B$2000,'10_ref_fx_rate'!$A$2:$A$2000,AL401,'10_ref_fx_rate'!$B$2:$B$2000,"&lt;="&amp;L401)=0,"NOT FOUND",_xlfn.MAXIFS('10_ref_fx_rate'!$B$2:$B$2000,'10_ref_fx_rate'!$A$2:$A$2000,AL401,'10_ref_fx_rate'!$B$2:$B$2000,"&lt;="&amp;L401))</f>
        <v/>
      </c>
      <c r="AN401" s="8">
        <f>IF(AM401="NOT FOUND","NOT FOUND",SUMIFS('10_ref_fx_rate'!$D$2:$D$2000,'10_ref_fx_rate'!$A$2:$A$2000,AL401,'10_ref_fx_rate'!$B$2:$B$2000,AM401))</f>
        <v/>
      </c>
      <c r="AO401" s="37">
        <f>IF(ISNUMBER(AN401),I401*AN401,"NOT FOUND")</f>
        <v/>
      </c>
      <c r="AP401" s="2">
        <f>UPPER(TRIM(J401))</f>
        <v/>
      </c>
      <c r="AQ401" s="2">
        <f>IF(AP401="","SELF-DIRECTED",IF(ISNUMBER(MATCH(AP401,'11_3nf_sales_person'!$A:$A,0)),IF(EXACT(AP401,J401),"OK","OK (auto-fixed)"),IF(ISNA(MATCH($A401,'12_sales_person_confirmation'!$A:$A,0)),"CONFIRM (not logged)",IF(INDEX('12_sales_person_confirmation'!$I:$I,MATCH($A401,'12_sales_person_confirmation'!$A:$A,0))="CONFIRMED","CONFIRMED ("&amp;LOWER(INDEX('12_sales_person_confirmation'!$E:$E,MATCH($A401,'12_sales_person_confirmation'!$A:$A,0)))&amp;")","PENDING CONFIRM"))))</f>
        <v/>
      </c>
      <c r="AR401" s="2">
        <f>IF(OR(AQ401="OK",AQ401="OK (auto-fixed)"),AP401,IF(LEFT(AQ401,9)="CONFIRMED",INDEX('12_sales_person_confirmation'!$F:$F,MATCH($A401,'12_sales_person_confirmation'!$A:$A,0)),""))</f>
        <v/>
      </c>
      <c r="AS401" s="2">
        <f>IF(AR401="","",INDEX('11_3nf_sales_person'!$B:$B,MATCH(AR401,'11_3nf_sales_person'!$A:$A,0)))</f>
        <v/>
      </c>
    </row>
    <row r="402">
      <c r="A402" s="2">
        <f>IF(ISBLANK('1_raw_log'!A402),"",'1_raw_log'!A402)</f>
        <v/>
      </c>
      <c r="B402" s="3">
        <f>IF(ISBLANK('1_raw_log'!B402),"",'1_raw_log'!B402)</f>
        <v/>
      </c>
      <c r="C402" s="2">
        <f>IF(ISBLANK('1_raw_log'!C402),"",'1_raw_log'!C402)</f>
        <v/>
      </c>
      <c r="D402" s="2">
        <f>IF(ISBLANK('1_raw_log'!D402),"",'1_raw_log'!D402)</f>
        <v/>
      </c>
      <c r="E402" s="4">
        <f>IF(ISBLANK('1_raw_log'!E402),"",'1_raw_log'!E402)</f>
        <v/>
      </c>
      <c r="F402" s="2">
        <f>IF(ISBLANK('1_raw_log'!F402),"",'1_raw_log'!F402)</f>
        <v/>
      </c>
      <c r="G402" s="2">
        <f>IF(ISBLANK('1_raw_log'!G402),"",'1_raw_log'!G402)</f>
        <v/>
      </c>
      <c r="H402" s="2">
        <f>IF(ISBLANK('1_raw_log'!H402),"",'1_raw_log'!H402)</f>
        <v/>
      </c>
      <c r="I402" s="7">
        <f>IF(ISBLANK('1_raw_log'!I402),"",'1_raw_log'!I402)</f>
        <v/>
      </c>
      <c r="J402" s="2">
        <f>IF(ISBLANK('1_raw_log'!J402),"",'1_raw_log'!J402)</f>
        <v/>
      </c>
      <c r="K402" s="2">
        <f>IF(ISBLANK('1_raw_log'!K402),"",'1_raw_log'!K402)</f>
        <v/>
      </c>
      <c r="L402" s="30">
        <f>INT(B402)</f>
        <v/>
      </c>
      <c r="M402" s="20">
        <f>ROUND(MOD(B402,1)*1440,0)/1440</f>
        <v/>
      </c>
      <c r="N402" s="4">
        <f>IFERROR(INDEX('3_ref_date'!$B:$B,MATCH(L402,'3_ref_date'!$A:$A,0)),"NOT FOUND")</f>
        <v/>
      </c>
      <c r="O402" s="2">
        <f>IFERROR(INDEX('3_ref_date'!$C:$C,MATCH(L402,'3_ref_date'!$A:$A,0)),"NOT FOUND")</f>
        <v/>
      </c>
      <c r="P402" s="4">
        <f>IFERROR(INDEX('3_ref_date'!$D:$D,MATCH(L402,'3_ref_date'!$A:$A,0)),"NOT FOUND")</f>
        <v/>
      </c>
      <c r="Q402" s="4">
        <f>IFERROR(INDEX('3_ref_date'!$E:$E,MATCH(L402,'3_ref_date'!$A:$A,0)),"NOT FOUND")</f>
        <v/>
      </c>
      <c r="R402" s="2">
        <f>IFERROR(INDEX('3_ref_date'!$F:$F,MATCH(L402,'3_ref_date'!$A:$A,0)),"NOT FOUND")</f>
        <v/>
      </c>
      <c r="S402" s="2">
        <f>IFERROR(INDEX('4_ref_time'!$D:$D,MATCH(ROUND(M402*1440,0),'4_ref_time'!$A:$A,0)),"NOT FOUND")</f>
        <v/>
      </c>
      <c r="T402" s="2">
        <f>UPPER(TRIM(C402))</f>
        <v/>
      </c>
      <c r="U402" s="30">
        <f>IF(_xlfn.MAXIFS('6_3nf_branch_history'!$B$2:$B$50,'6_3nf_branch_history'!$A$2:$A$50,T402,'6_3nf_branch_history'!$B$2:$B$50,"&lt;="&amp;L402)=0,"NOT FOUND",_xlfn.MAXIFS('6_3nf_branch_history'!$B$2:$B$50,'6_3nf_branch_history'!$A$2:$A$50,T402,'6_3nf_branch_history'!$B$2:$B$50,"&lt;="&amp;L402))</f>
        <v/>
      </c>
      <c r="V402" s="2">
        <f>IF(U402="NOT FOUND","NOT FOUND",INDEX('6_3nf_branch_history'!$C:$C,SUMPRODUCT(('6_3nf_branch_history'!$A$2:$A$50=T402)*('6_3nf_branch_history'!$B$2:$B$50=U402)*ROW('6_3nf_branch_history'!$A$2:$A$50))))</f>
        <v/>
      </c>
      <c r="W402" s="2">
        <f>IF(U402="NOT FOUND","NOT FOUND",INDEX('6_3nf_branch_history'!$D:$D,SUMPRODUCT(('6_3nf_branch_history'!$A$2:$A$50=T402)*('6_3nf_branch_history'!$B$2:$B$50=U402)*ROW('6_3nf_branch_history'!$A$2:$A$50))))</f>
        <v/>
      </c>
      <c r="X402" s="2">
        <f>IF(U402="NOT FOUND","NOT FOUND",INDEX('6_3nf_branch_history'!$E:$E,SUMPRODUCT(('6_3nf_branch_history'!$A$2:$A$50=T402)*('6_3nf_branch_history'!$B$2:$B$50=U402)*ROW('6_3nf_branch_history'!$A$2:$A$50))))</f>
        <v/>
      </c>
      <c r="Y402" s="2">
        <f>UPPER(TRIM(D402))</f>
        <v/>
      </c>
      <c r="Z402" s="2">
        <f>IFERROR(INDEX('7_3nf_product'!$B:$B,MATCH(Y402,'7_3nf_product'!$A:$A,0)),"NOT FOUND")</f>
        <v/>
      </c>
      <c r="AA402" s="2">
        <f>IFERROR(INDEX('7_3nf_product'!$C:$C,MATCH(Y402,'7_3nf_product'!$A:$A,0)),"NOT FOUND")</f>
        <v/>
      </c>
      <c r="AB402" s="2">
        <f>IFERROR(INDEX('7_3nf_product'!$D:$D,MATCH(Y402,'7_3nf_product'!$A:$A,0)),"NOT FOUND")</f>
        <v/>
      </c>
      <c r="AC402" s="6">
        <f>IFERROR(INDEX('7_3nf_product'!$E:$E,MATCH(Y402,'7_3nf_product'!$A:$A,0)),"NOT FOUND")</f>
        <v/>
      </c>
      <c r="AD402" s="33">
        <f>IF(LEN(TRIM(E402))=10,TRIM(E402),IF(LEN(TRIM(E402))=8,"00"&amp;TRIM(E402),"CHECK"))</f>
        <v/>
      </c>
      <c r="AE402" s="2">
        <f>IFERROR(INDEX('8_3nf_customer'!$C:$C,MATCH(AD402,'8_3nf_customer'!$B:$B,0)),"NOT FOUND")</f>
        <v/>
      </c>
      <c r="AF402" s="30">
        <f>IFERROR(INDEX('8_3nf_customer'!$D:$D,MATCH(AD402,'8_3nf_customer'!$B:$B,0)),"NOT FOUND")</f>
        <v/>
      </c>
      <c r="AG402" s="4">
        <f>IF(ISNUMBER(AF402),DATEDIF(AF402,L402,"y"),"NOT FOUND")</f>
        <v/>
      </c>
      <c r="AH402" s="2">
        <f>IFERROR(INDEX('8_3nf_customer'!$E:$E,MATCH(AD402,'8_3nf_customer'!$B:$B,0)),"NOT FOUND")</f>
        <v/>
      </c>
      <c r="AI402" s="30">
        <f>IF(_xlfn.MAXIFS('9_3nf_customer_history'!$B$2:$B$500,'9_3nf_customer_history'!$A$2:$A$500,AD402,'9_3nf_customer_history'!$B$2:$B$500,"&lt;="&amp;L402)=0,"NOT FOUND",_xlfn.MAXIFS('9_3nf_customer_history'!$B$2:$B$500,'9_3nf_customer_history'!$A$2:$A$500,AD402,'9_3nf_customer_history'!$B$2:$B$500,"&lt;="&amp;L402))</f>
        <v/>
      </c>
      <c r="AJ402" s="2">
        <f>IF(AI402="NOT FOUND","NOT FOUND",INDEX('9_3nf_customer_history'!$C:$C,SUMPRODUCT(('9_3nf_customer_history'!$A$2:$A$500=AD402)*('9_3nf_customer_history'!$B$2:$B$500=AI402)*ROW('9_3nf_customer_history'!$A$2:$A$500))))</f>
        <v/>
      </c>
      <c r="AK402" s="2">
        <f>IF(AI402="NOT FOUND","NOT FOUND",INDEX('9_3nf_customer_history'!$D:$D,SUMPRODUCT(('9_3nf_customer_history'!$A$2:$A$500=AD402)*('9_3nf_customer_history'!$B$2:$B$500=AI402)*ROW('9_3nf_customer_history'!$A$2:$A$500))))</f>
        <v/>
      </c>
      <c r="AL402" s="2">
        <f>UPPER(TRIM(H402))</f>
        <v/>
      </c>
      <c r="AM402" s="30">
        <f>IF(_xlfn.MAXIFS('10_ref_fx_rate'!$B$2:$B$2000,'10_ref_fx_rate'!$A$2:$A$2000,AL402,'10_ref_fx_rate'!$B$2:$B$2000,"&lt;="&amp;L402)=0,"NOT FOUND",_xlfn.MAXIFS('10_ref_fx_rate'!$B$2:$B$2000,'10_ref_fx_rate'!$A$2:$A$2000,AL402,'10_ref_fx_rate'!$B$2:$B$2000,"&lt;="&amp;L402))</f>
        <v/>
      </c>
      <c r="AN402" s="8">
        <f>IF(AM402="NOT FOUND","NOT FOUND",SUMIFS('10_ref_fx_rate'!$D$2:$D$2000,'10_ref_fx_rate'!$A$2:$A$2000,AL402,'10_ref_fx_rate'!$B$2:$B$2000,AM402))</f>
        <v/>
      </c>
      <c r="AO402" s="37">
        <f>IF(ISNUMBER(AN402),I402*AN402,"NOT FOUND")</f>
        <v/>
      </c>
      <c r="AP402" s="2">
        <f>UPPER(TRIM(J402))</f>
        <v/>
      </c>
      <c r="AQ402" s="2">
        <f>IF(AP402="","SELF-DIRECTED",IF(ISNUMBER(MATCH(AP402,'11_3nf_sales_person'!$A:$A,0)),IF(EXACT(AP402,J402),"OK","OK (auto-fixed)"),IF(ISNA(MATCH($A402,'12_sales_person_confirmation'!$A:$A,0)),"CONFIRM (not logged)",IF(INDEX('12_sales_person_confirmation'!$I:$I,MATCH($A402,'12_sales_person_confirmation'!$A:$A,0))="CONFIRMED","CONFIRMED ("&amp;LOWER(INDEX('12_sales_person_confirmation'!$E:$E,MATCH($A402,'12_sales_person_confirmation'!$A:$A,0)))&amp;")","PENDING CONFIRM"))))</f>
        <v/>
      </c>
      <c r="AR402" s="2">
        <f>IF(OR(AQ402="OK",AQ402="OK (auto-fixed)"),AP402,IF(LEFT(AQ402,9)="CONFIRMED",INDEX('12_sales_person_confirmation'!$F:$F,MATCH($A402,'12_sales_person_confirmation'!$A:$A,0)),""))</f>
        <v/>
      </c>
      <c r="AS402" s="2">
        <f>IF(AR402="","",INDEX('11_3nf_sales_person'!$B:$B,MATCH(AR402,'11_3nf_sales_person'!$A:$A,0)))</f>
        <v/>
      </c>
    </row>
    <row r="403">
      <c r="A403" s="2">
        <f>IF(ISBLANK('1_raw_log'!A403),"",'1_raw_log'!A403)</f>
        <v/>
      </c>
      <c r="B403" s="3">
        <f>IF(ISBLANK('1_raw_log'!B403),"",'1_raw_log'!B403)</f>
        <v/>
      </c>
      <c r="C403" s="2">
        <f>IF(ISBLANK('1_raw_log'!C403),"",'1_raw_log'!C403)</f>
        <v/>
      </c>
      <c r="D403" s="2">
        <f>IF(ISBLANK('1_raw_log'!D403),"",'1_raw_log'!D403)</f>
        <v/>
      </c>
      <c r="E403" s="4">
        <f>IF(ISBLANK('1_raw_log'!E403),"",'1_raw_log'!E403)</f>
        <v/>
      </c>
      <c r="F403" s="2">
        <f>IF(ISBLANK('1_raw_log'!F403),"",'1_raw_log'!F403)</f>
        <v/>
      </c>
      <c r="G403" s="2">
        <f>IF(ISBLANK('1_raw_log'!G403),"",'1_raw_log'!G403)</f>
        <v/>
      </c>
      <c r="H403" s="2">
        <f>IF(ISBLANK('1_raw_log'!H403),"",'1_raw_log'!H403)</f>
        <v/>
      </c>
      <c r="I403" s="7">
        <f>IF(ISBLANK('1_raw_log'!I403),"",'1_raw_log'!I403)</f>
        <v/>
      </c>
      <c r="J403" s="2">
        <f>IF(ISBLANK('1_raw_log'!J403),"",'1_raw_log'!J403)</f>
        <v/>
      </c>
      <c r="K403" s="2">
        <f>IF(ISBLANK('1_raw_log'!K403),"",'1_raw_log'!K403)</f>
        <v/>
      </c>
      <c r="L403" s="30">
        <f>INT(B403)</f>
        <v/>
      </c>
      <c r="M403" s="20">
        <f>ROUND(MOD(B403,1)*1440,0)/1440</f>
        <v/>
      </c>
      <c r="N403" s="4">
        <f>IFERROR(INDEX('3_ref_date'!$B:$B,MATCH(L403,'3_ref_date'!$A:$A,0)),"NOT FOUND")</f>
        <v/>
      </c>
      <c r="O403" s="2">
        <f>IFERROR(INDEX('3_ref_date'!$C:$C,MATCH(L403,'3_ref_date'!$A:$A,0)),"NOT FOUND")</f>
        <v/>
      </c>
      <c r="P403" s="4">
        <f>IFERROR(INDEX('3_ref_date'!$D:$D,MATCH(L403,'3_ref_date'!$A:$A,0)),"NOT FOUND")</f>
        <v/>
      </c>
      <c r="Q403" s="4">
        <f>IFERROR(INDEX('3_ref_date'!$E:$E,MATCH(L403,'3_ref_date'!$A:$A,0)),"NOT FOUND")</f>
        <v/>
      </c>
      <c r="R403" s="2">
        <f>IFERROR(INDEX('3_ref_date'!$F:$F,MATCH(L403,'3_ref_date'!$A:$A,0)),"NOT FOUND")</f>
        <v/>
      </c>
      <c r="S403" s="2">
        <f>IFERROR(INDEX('4_ref_time'!$D:$D,MATCH(ROUND(M403*1440,0),'4_ref_time'!$A:$A,0)),"NOT FOUND")</f>
        <v/>
      </c>
      <c r="T403" s="2">
        <f>UPPER(TRIM(C403))</f>
        <v/>
      </c>
      <c r="U403" s="30">
        <f>IF(_xlfn.MAXIFS('6_3nf_branch_history'!$B$2:$B$50,'6_3nf_branch_history'!$A$2:$A$50,T403,'6_3nf_branch_history'!$B$2:$B$50,"&lt;="&amp;L403)=0,"NOT FOUND",_xlfn.MAXIFS('6_3nf_branch_history'!$B$2:$B$50,'6_3nf_branch_history'!$A$2:$A$50,T403,'6_3nf_branch_history'!$B$2:$B$50,"&lt;="&amp;L403))</f>
        <v/>
      </c>
      <c r="V403" s="2">
        <f>IF(U403="NOT FOUND","NOT FOUND",INDEX('6_3nf_branch_history'!$C:$C,SUMPRODUCT(('6_3nf_branch_history'!$A$2:$A$50=T403)*('6_3nf_branch_history'!$B$2:$B$50=U403)*ROW('6_3nf_branch_history'!$A$2:$A$50))))</f>
        <v/>
      </c>
      <c r="W403" s="2">
        <f>IF(U403="NOT FOUND","NOT FOUND",INDEX('6_3nf_branch_history'!$D:$D,SUMPRODUCT(('6_3nf_branch_history'!$A$2:$A$50=T403)*('6_3nf_branch_history'!$B$2:$B$50=U403)*ROW('6_3nf_branch_history'!$A$2:$A$50))))</f>
        <v/>
      </c>
      <c r="X403" s="2">
        <f>IF(U403="NOT FOUND","NOT FOUND",INDEX('6_3nf_branch_history'!$E:$E,SUMPRODUCT(('6_3nf_branch_history'!$A$2:$A$50=T403)*('6_3nf_branch_history'!$B$2:$B$50=U403)*ROW('6_3nf_branch_history'!$A$2:$A$50))))</f>
        <v/>
      </c>
      <c r="Y403" s="2">
        <f>UPPER(TRIM(D403))</f>
        <v/>
      </c>
      <c r="Z403" s="2">
        <f>IFERROR(INDEX('7_3nf_product'!$B:$B,MATCH(Y403,'7_3nf_product'!$A:$A,0)),"NOT FOUND")</f>
        <v/>
      </c>
      <c r="AA403" s="2">
        <f>IFERROR(INDEX('7_3nf_product'!$C:$C,MATCH(Y403,'7_3nf_product'!$A:$A,0)),"NOT FOUND")</f>
        <v/>
      </c>
      <c r="AB403" s="2">
        <f>IFERROR(INDEX('7_3nf_product'!$D:$D,MATCH(Y403,'7_3nf_product'!$A:$A,0)),"NOT FOUND")</f>
        <v/>
      </c>
      <c r="AC403" s="6">
        <f>IFERROR(INDEX('7_3nf_product'!$E:$E,MATCH(Y403,'7_3nf_product'!$A:$A,0)),"NOT FOUND")</f>
        <v/>
      </c>
      <c r="AD403" s="33">
        <f>IF(LEN(TRIM(E403))=10,TRIM(E403),IF(LEN(TRIM(E403))=8,"00"&amp;TRIM(E403),"CHECK"))</f>
        <v/>
      </c>
      <c r="AE403" s="2">
        <f>IFERROR(INDEX('8_3nf_customer'!$C:$C,MATCH(AD403,'8_3nf_customer'!$B:$B,0)),"NOT FOUND")</f>
        <v/>
      </c>
      <c r="AF403" s="30">
        <f>IFERROR(INDEX('8_3nf_customer'!$D:$D,MATCH(AD403,'8_3nf_customer'!$B:$B,0)),"NOT FOUND")</f>
        <v/>
      </c>
      <c r="AG403" s="4">
        <f>IF(ISNUMBER(AF403),DATEDIF(AF403,L403,"y"),"NOT FOUND")</f>
        <v/>
      </c>
      <c r="AH403" s="2">
        <f>IFERROR(INDEX('8_3nf_customer'!$E:$E,MATCH(AD403,'8_3nf_customer'!$B:$B,0)),"NOT FOUND")</f>
        <v/>
      </c>
      <c r="AI403" s="30">
        <f>IF(_xlfn.MAXIFS('9_3nf_customer_history'!$B$2:$B$500,'9_3nf_customer_history'!$A$2:$A$500,AD403,'9_3nf_customer_history'!$B$2:$B$500,"&lt;="&amp;L403)=0,"NOT FOUND",_xlfn.MAXIFS('9_3nf_customer_history'!$B$2:$B$500,'9_3nf_customer_history'!$A$2:$A$500,AD403,'9_3nf_customer_history'!$B$2:$B$500,"&lt;="&amp;L403))</f>
        <v/>
      </c>
      <c r="AJ403" s="2">
        <f>IF(AI403="NOT FOUND","NOT FOUND",INDEX('9_3nf_customer_history'!$C:$C,SUMPRODUCT(('9_3nf_customer_history'!$A$2:$A$500=AD403)*('9_3nf_customer_history'!$B$2:$B$500=AI403)*ROW('9_3nf_customer_history'!$A$2:$A$500))))</f>
        <v/>
      </c>
      <c r="AK403" s="2">
        <f>IF(AI403="NOT FOUND","NOT FOUND",INDEX('9_3nf_customer_history'!$D:$D,SUMPRODUCT(('9_3nf_customer_history'!$A$2:$A$500=AD403)*('9_3nf_customer_history'!$B$2:$B$500=AI403)*ROW('9_3nf_customer_history'!$A$2:$A$500))))</f>
        <v/>
      </c>
      <c r="AL403" s="2">
        <f>UPPER(TRIM(H403))</f>
        <v/>
      </c>
      <c r="AM403" s="30">
        <f>IF(_xlfn.MAXIFS('10_ref_fx_rate'!$B$2:$B$2000,'10_ref_fx_rate'!$A$2:$A$2000,AL403,'10_ref_fx_rate'!$B$2:$B$2000,"&lt;="&amp;L403)=0,"NOT FOUND",_xlfn.MAXIFS('10_ref_fx_rate'!$B$2:$B$2000,'10_ref_fx_rate'!$A$2:$A$2000,AL403,'10_ref_fx_rate'!$B$2:$B$2000,"&lt;="&amp;L403))</f>
        <v/>
      </c>
      <c r="AN403" s="8">
        <f>IF(AM403="NOT FOUND","NOT FOUND",SUMIFS('10_ref_fx_rate'!$D$2:$D$2000,'10_ref_fx_rate'!$A$2:$A$2000,AL403,'10_ref_fx_rate'!$B$2:$B$2000,AM403))</f>
        <v/>
      </c>
      <c r="AO403" s="37">
        <f>IF(ISNUMBER(AN403),I403*AN403,"NOT FOUND")</f>
        <v/>
      </c>
      <c r="AP403" s="2">
        <f>UPPER(TRIM(J403))</f>
        <v/>
      </c>
      <c r="AQ403" s="2">
        <f>IF(AP403="","SELF-DIRECTED",IF(ISNUMBER(MATCH(AP403,'11_3nf_sales_person'!$A:$A,0)),IF(EXACT(AP403,J403),"OK","OK (auto-fixed)"),IF(ISNA(MATCH($A403,'12_sales_person_confirmation'!$A:$A,0)),"CONFIRM (not logged)",IF(INDEX('12_sales_person_confirmation'!$I:$I,MATCH($A403,'12_sales_person_confirmation'!$A:$A,0))="CONFIRMED","CONFIRMED ("&amp;LOWER(INDEX('12_sales_person_confirmation'!$E:$E,MATCH($A403,'12_sales_person_confirmation'!$A:$A,0)))&amp;")","PENDING CONFIRM"))))</f>
        <v/>
      </c>
      <c r="AR403" s="2">
        <f>IF(OR(AQ403="OK",AQ403="OK (auto-fixed)"),AP403,IF(LEFT(AQ403,9)="CONFIRMED",INDEX('12_sales_person_confirmation'!$F:$F,MATCH($A403,'12_sales_person_confirmation'!$A:$A,0)),""))</f>
        <v/>
      </c>
      <c r="AS403" s="2">
        <f>IF(AR403="","",INDEX('11_3nf_sales_person'!$B:$B,MATCH(AR403,'11_3nf_sales_person'!$A:$A,0)))</f>
        <v/>
      </c>
    </row>
    <row r="404">
      <c r="A404" s="2">
        <f>IF(ISBLANK('1_raw_log'!A404),"",'1_raw_log'!A404)</f>
        <v/>
      </c>
      <c r="B404" s="3">
        <f>IF(ISBLANK('1_raw_log'!B404),"",'1_raw_log'!B404)</f>
        <v/>
      </c>
      <c r="C404" s="2">
        <f>IF(ISBLANK('1_raw_log'!C404),"",'1_raw_log'!C404)</f>
        <v/>
      </c>
      <c r="D404" s="2">
        <f>IF(ISBLANK('1_raw_log'!D404),"",'1_raw_log'!D404)</f>
        <v/>
      </c>
      <c r="E404" s="4">
        <f>IF(ISBLANK('1_raw_log'!E404),"",'1_raw_log'!E404)</f>
        <v/>
      </c>
      <c r="F404" s="2">
        <f>IF(ISBLANK('1_raw_log'!F404),"",'1_raw_log'!F404)</f>
        <v/>
      </c>
      <c r="G404" s="2">
        <f>IF(ISBLANK('1_raw_log'!G404),"",'1_raw_log'!G404)</f>
        <v/>
      </c>
      <c r="H404" s="2">
        <f>IF(ISBLANK('1_raw_log'!H404),"",'1_raw_log'!H404)</f>
        <v/>
      </c>
      <c r="I404" s="7">
        <f>IF(ISBLANK('1_raw_log'!I404),"",'1_raw_log'!I404)</f>
        <v/>
      </c>
      <c r="J404" s="2">
        <f>IF(ISBLANK('1_raw_log'!J404),"",'1_raw_log'!J404)</f>
        <v/>
      </c>
      <c r="K404" s="2">
        <f>IF(ISBLANK('1_raw_log'!K404),"",'1_raw_log'!K404)</f>
        <v/>
      </c>
      <c r="L404" s="30">
        <f>INT(B404)</f>
        <v/>
      </c>
      <c r="M404" s="20">
        <f>ROUND(MOD(B404,1)*1440,0)/1440</f>
        <v/>
      </c>
      <c r="N404" s="4">
        <f>IFERROR(INDEX('3_ref_date'!$B:$B,MATCH(L404,'3_ref_date'!$A:$A,0)),"NOT FOUND")</f>
        <v/>
      </c>
      <c r="O404" s="2">
        <f>IFERROR(INDEX('3_ref_date'!$C:$C,MATCH(L404,'3_ref_date'!$A:$A,0)),"NOT FOUND")</f>
        <v/>
      </c>
      <c r="P404" s="4">
        <f>IFERROR(INDEX('3_ref_date'!$D:$D,MATCH(L404,'3_ref_date'!$A:$A,0)),"NOT FOUND")</f>
        <v/>
      </c>
      <c r="Q404" s="4">
        <f>IFERROR(INDEX('3_ref_date'!$E:$E,MATCH(L404,'3_ref_date'!$A:$A,0)),"NOT FOUND")</f>
        <v/>
      </c>
      <c r="R404" s="2">
        <f>IFERROR(INDEX('3_ref_date'!$F:$F,MATCH(L404,'3_ref_date'!$A:$A,0)),"NOT FOUND")</f>
        <v/>
      </c>
      <c r="S404" s="2">
        <f>IFERROR(INDEX('4_ref_time'!$D:$D,MATCH(ROUND(M404*1440,0),'4_ref_time'!$A:$A,0)),"NOT FOUND")</f>
        <v/>
      </c>
      <c r="T404" s="2">
        <f>UPPER(TRIM(C404))</f>
        <v/>
      </c>
      <c r="U404" s="30">
        <f>IF(_xlfn.MAXIFS('6_3nf_branch_history'!$B$2:$B$50,'6_3nf_branch_history'!$A$2:$A$50,T404,'6_3nf_branch_history'!$B$2:$B$50,"&lt;="&amp;L404)=0,"NOT FOUND",_xlfn.MAXIFS('6_3nf_branch_history'!$B$2:$B$50,'6_3nf_branch_history'!$A$2:$A$50,T404,'6_3nf_branch_history'!$B$2:$B$50,"&lt;="&amp;L404))</f>
        <v/>
      </c>
      <c r="V404" s="2">
        <f>IF(U404="NOT FOUND","NOT FOUND",INDEX('6_3nf_branch_history'!$C:$C,SUMPRODUCT(('6_3nf_branch_history'!$A$2:$A$50=T404)*('6_3nf_branch_history'!$B$2:$B$50=U404)*ROW('6_3nf_branch_history'!$A$2:$A$50))))</f>
        <v/>
      </c>
      <c r="W404" s="2">
        <f>IF(U404="NOT FOUND","NOT FOUND",INDEX('6_3nf_branch_history'!$D:$D,SUMPRODUCT(('6_3nf_branch_history'!$A$2:$A$50=T404)*('6_3nf_branch_history'!$B$2:$B$50=U404)*ROW('6_3nf_branch_history'!$A$2:$A$50))))</f>
        <v/>
      </c>
      <c r="X404" s="2">
        <f>IF(U404="NOT FOUND","NOT FOUND",INDEX('6_3nf_branch_history'!$E:$E,SUMPRODUCT(('6_3nf_branch_history'!$A$2:$A$50=T404)*('6_3nf_branch_history'!$B$2:$B$50=U404)*ROW('6_3nf_branch_history'!$A$2:$A$50))))</f>
        <v/>
      </c>
      <c r="Y404" s="2">
        <f>UPPER(TRIM(D404))</f>
        <v/>
      </c>
      <c r="Z404" s="2">
        <f>IFERROR(INDEX('7_3nf_product'!$B:$B,MATCH(Y404,'7_3nf_product'!$A:$A,0)),"NOT FOUND")</f>
        <v/>
      </c>
      <c r="AA404" s="2">
        <f>IFERROR(INDEX('7_3nf_product'!$C:$C,MATCH(Y404,'7_3nf_product'!$A:$A,0)),"NOT FOUND")</f>
        <v/>
      </c>
      <c r="AB404" s="2">
        <f>IFERROR(INDEX('7_3nf_product'!$D:$D,MATCH(Y404,'7_3nf_product'!$A:$A,0)),"NOT FOUND")</f>
        <v/>
      </c>
      <c r="AC404" s="6">
        <f>IFERROR(INDEX('7_3nf_product'!$E:$E,MATCH(Y404,'7_3nf_product'!$A:$A,0)),"NOT FOUND")</f>
        <v/>
      </c>
      <c r="AD404" s="33">
        <f>IF(LEN(TRIM(E404))=10,TRIM(E404),IF(LEN(TRIM(E404))=8,"00"&amp;TRIM(E404),"CHECK"))</f>
        <v/>
      </c>
      <c r="AE404" s="2">
        <f>IFERROR(INDEX('8_3nf_customer'!$C:$C,MATCH(AD404,'8_3nf_customer'!$B:$B,0)),"NOT FOUND")</f>
        <v/>
      </c>
      <c r="AF404" s="30">
        <f>IFERROR(INDEX('8_3nf_customer'!$D:$D,MATCH(AD404,'8_3nf_customer'!$B:$B,0)),"NOT FOUND")</f>
        <v/>
      </c>
      <c r="AG404" s="4">
        <f>IF(ISNUMBER(AF404),DATEDIF(AF404,L404,"y"),"NOT FOUND")</f>
        <v/>
      </c>
      <c r="AH404" s="2">
        <f>IFERROR(INDEX('8_3nf_customer'!$E:$E,MATCH(AD404,'8_3nf_customer'!$B:$B,0)),"NOT FOUND")</f>
        <v/>
      </c>
      <c r="AI404" s="30">
        <f>IF(_xlfn.MAXIFS('9_3nf_customer_history'!$B$2:$B$500,'9_3nf_customer_history'!$A$2:$A$500,AD404,'9_3nf_customer_history'!$B$2:$B$500,"&lt;="&amp;L404)=0,"NOT FOUND",_xlfn.MAXIFS('9_3nf_customer_history'!$B$2:$B$500,'9_3nf_customer_history'!$A$2:$A$500,AD404,'9_3nf_customer_history'!$B$2:$B$500,"&lt;="&amp;L404))</f>
        <v/>
      </c>
      <c r="AJ404" s="2">
        <f>IF(AI404="NOT FOUND","NOT FOUND",INDEX('9_3nf_customer_history'!$C:$C,SUMPRODUCT(('9_3nf_customer_history'!$A$2:$A$500=AD404)*('9_3nf_customer_history'!$B$2:$B$500=AI404)*ROW('9_3nf_customer_history'!$A$2:$A$500))))</f>
        <v/>
      </c>
      <c r="AK404" s="2">
        <f>IF(AI404="NOT FOUND","NOT FOUND",INDEX('9_3nf_customer_history'!$D:$D,SUMPRODUCT(('9_3nf_customer_history'!$A$2:$A$500=AD404)*('9_3nf_customer_history'!$B$2:$B$500=AI404)*ROW('9_3nf_customer_history'!$A$2:$A$500))))</f>
        <v/>
      </c>
      <c r="AL404" s="2">
        <f>UPPER(TRIM(H404))</f>
        <v/>
      </c>
      <c r="AM404" s="30">
        <f>IF(_xlfn.MAXIFS('10_ref_fx_rate'!$B$2:$B$2000,'10_ref_fx_rate'!$A$2:$A$2000,AL404,'10_ref_fx_rate'!$B$2:$B$2000,"&lt;="&amp;L404)=0,"NOT FOUND",_xlfn.MAXIFS('10_ref_fx_rate'!$B$2:$B$2000,'10_ref_fx_rate'!$A$2:$A$2000,AL404,'10_ref_fx_rate'!$B$2:$B$2000,"&lt;="&amp;L404))</f>
        <v/>
      </c>
      <c r="AN404" s="8">
        <f>IF(AM404="NOT FOUND","NOT FOUND",SUMIFS('10_ref_fx_rate'!$D$2:$D$2000,'10_ref_fx_rate'!$A$2:$A$2000,AL404,'10_ref_fx_rate'!$B$2:$B$2000,AM404))</f>
        <v/>
      </c>
      <c r="AO404" s="37">
        <f>IF(ISNUMBER(AN404),I404*AN404,"NOT FOUND")</f>
        <v/>
      </c>
      <c r="AP404" s="2">
        <f>UPPER(TRIM(J404))</f>
        <v/>
      </c>
      <c r="AQ404" s="2">
        <f>IF(AP404="","SELF-DIRECTED",IF(ISNUMBER(MATCH(AP404,'11_3nf_sales_person'!$A:$A,0)),IF(EXACT(AP404,J404),"OK","OK (auto-fixed)"),IF(ISNA(MATCH($A404,'12_sales_person_confirmation'!$A:$A,0)),"CONFIRM (not logged)",IF(INDEX('12_sales_person_confirmation'!$I:$I,MATCH($A404,'12_sales_person_confirmation'!$A:$A,0))="CONFIRMED","CONFIRMED ("&amp;LOWER(INDEX('12_sales_person_confirmation'!$E:$E,MATCH($A404,'12_sales_person_confirmation'!$A:$A,0)))&amp;")","PENDING CONFIRM"))))</f>
        <v/>
      </c>
      <c r="AR404" s="2">
        <f>IF(OR(AQ404="OK",AQ404="OK (auto-fixed)"),AP404,IF(LEFT(AQ404,9)="CONFIRMED",INDEX('12_sales_person_confirmation'!$F:$F,MATCH($A404,'12_sales_person_confirmation'!$A:$A,0)),""))</f>
        <v/>
      </c>
      <c r="AS404" s="2">
        <f>IF(AR404="","",INDEX('11_3nf_sales_person'!$B:$B,MATCH(AR404,'11_3nf_sales_person'!$A:$A,0)))</f>
        <v/>
      </c>
    </row>
    <row r="405">
      <c r="A405" s="2">
        <f>IF(ISBLANK('1_raw_log'!A405),"",'1_raw_log'!A405)</f>
        <v/>
      </c>
      <c r="B405" s="3">
        <f>IF(ISBLANK('1_raw_log'!B405),"",'1_raw_log'!B405)</f>
        <v/>
      </c>
      <c r="C405" s="2">
        <f>IF(ISBLANK('1_raw_log'!C405),"",'1_raw_log'!C405)</f>
        <v/>
      </c>
      <c r="D405" s="2">
        <f>IF(ISBLANK('1_raw_log'!D405),"",'1_raw_log'!D405)</f>
        <v/>
      </c>
      <c r="E405" s="4">
        <f>IF(ISBLANK('1_raw_log'!E405),"",'1_raw_log'!E405)</f>
        <v/>
      </c>
      <c r="F405" s="2">
        <f>IF(ISBLANK('1_raw_log'!F405),"",'1_raw_log'!F405)</f>
        <v/>
      </c>
      <c r="G405" s="2">
        <f>IF(ISBLANK('1_raw_log'!G405),"",'1_raw_log'!G405)</f>
        <v/>
      </c>
      <c r="H405" s="2">
        <f>IF(ISBLANK('1_raw_log'!H405),"",'1_raw_log'!H405)</f>
        <v/>
      </c>
      <c r="I405" s="7">
        <f>IF(ISBLANK('1_raw_log'!I405),"",'1_raw_log'!I405)</f>
        <v/>
      </c>
      <c r="J405" s="2">
        <f>IF(ISBLANK('1_raw_log'!J405),"",'1_raw_log'!J405)</f>
        <v/>
      </c>
      <c r="K405" s="2">
        <f>IF(ISBLANK('1_raw_log'!K405),"",'1_raw_log'!K405)</f>
        <v/>
      </c>
      <c r="L405" s="30">
        <f>INT(B405)</f>
        <v/>
      </c>
      <c r="M405" s="20">
        <f>ROUND(MOD(B405,1)*1440,0)/1440</f>
        <v/>
      </c>
      <c r="N405" s="4">
        <f>IFERROR(INDEX('3_ref_date'!$B:$B,MATCH(L405,'3_ref_date'!$A:$A,0)),"NOT FOUND")</f>
        <v/>
      </c>
      <c r="O405" s="2">
        <f>IFERROR(INDEX('3_ref_date'!$C:$C,MATCH(L405,'3_ref_date'!$A:$A,0)),"NOT FOUND")</f>
        <v/>
      </c>
      <c r="P405" s="4">
        <f>IFERROR(INDEX('3_ref_date'!$D:$D,MATCH(L405,'3_ref_date'!$A:$A,0)),"NOT FOUND")</f>
        <v/>
      </c>
      <c r="Q405" s="4">
        <f>IFERROR(INDEX('3_ref_date'!$E:$E,MATCH(L405,'3_ref_date'!$A:$A,0)),"NOT FOUND")</f>
        <v/>
      </c>
      <c r="R405" s="2">
        <f>IFERROR(INDEX('3_ref_date'!$F:$F,MATCH(L405,'3_ref_date'!$A:$A,0)),"NOT FOUND")</f>
        <v/>
      </c>
      <c r="S405" s="2">
        <f>IFERROR(INDEX('4_ref_time'!$D:$D,MATCH(ROUND(M405*1440,0),'4_ref_time'!$A:$A,0)),"NOT FOUND")</f>
        <v/>
      </c>
      <c r="T405" s="2">
        <f>UPPER(TRIM(C405))</f>
        <v/>
      </c>
      <c r="U405" s="30">
        <f>IF(_xlfn.MAXIFS('6_3nf_branch_history'!$B$2:$B$50,'6_3nf_branch_history'!$A$2:$A$50,T405,'6_3nf_branch_history'!$B$2:$B$50,"&lt;="&amp;L405)=0,"NOT FOUND",_xlfn.MAXIFS('6_3nf_branch_history'!$B$2:$B$50,'6_3nf_branch_history'!$A$2:$A$50,T405,'6_3nf_branch_history'!$B$2:$B$50,"&lt;="&amp;L405))</f>
        <v/>
      </c>
      <c r="V405" s="2">
        <f>IF(U405="NOT FOUND","NOT FOUND",INDEX('6_3nf_branch_history'!$C:$C,SUMPRODUCT(('6_3nf_branch_history'!$A$2:$A$50=T405)*('6_3nf_branch_history'!$B$2:$B$50=U405)*ROW('6_3nf_branch_history'!$A$2:$A$50))))</f>
        <v/>
      </c>
      <c r="W405" s="2">
        <f>IF(U405="NOT FOUND","NOT FOUND",INDEX('6_3nf_branch_history'!$D:$D,SUMPRODUCT(('6_3nf_branch_history'!$A$2:$A$50=T405)*('6_3nf_branch_history'!$B$2:$B$50=U405)*ROW('6_3nf_branch_history'!$A$2:$A$50))))</f>
        <v/>
      </c>
      <c r="X405" s="2">
        <f>IF(U405="NOT FOUND","NOT FOUND",INDEX('6_3nf_branch_history'!$E:$E,SUMPRODUCT(('6_3nf_branch_history'!$A$2:$A$50=T405)*('6_3nf_branch_history'!$B$2:$B$50=U405)*ROW('6_3nf_branch_history'!$A$2:$A$50))))</f>
        <v/>
      </c>
      <c r="Y405" s="2">
        <f>UPPER(TRIM(D405))</f>
        <v/>
      </c>
      <c r="Z405" s="2">
        <f>IFERROR(INDEX('7_3nf_product'!$B:$B,MATCH(Y405,'7_3nf_product'!$A:$A,0)),"NOT FOUND")</f>
        <v/>
      </c>
      <c r="AA405" s="2">
        <f>IFERROR(INDEX('7_3nf_product'!$C:$C,MATCH(Y405,'7_3nf_product'!$A:$A,0)),"NOT FOUND")</f>
        <v/>
      </c>
      <c r="AB405" s="2">
        <f>IFERROR(INDEX('7_3nf_product'!$D:$D,MATCH(Y405,'7_3nf_product'!$A:$A,0)),"NOT FOUND")</f>
        <v/>
      </c>
      <c r="AC405" s="6">
        <f>IFERROR(INDEX('7_3nf_product'!$E:$E,MATCH(Y405,'7_3nf_product'!$A:$A,0)),"NOT FOUND")</f>
        <v/>
      </c>
      <c r="AD405" s="33">
        <f>IF(LEN(TRIM(E405))=10,TRIM(E405),IF(LEN(TRIM(E405))=8,"00"&amp;TRIM(E405),"CHECK"))</f>
        <v/>
      </c>
      <c r="AE405" s="2">
        <f>IFERROR(INDEX('8_3nf_customer'!$C:$C,MATCH(AD405,'8_3nf_customer'!$B:$B,0)),"NOT FOUND")</f>
        <v/>
      </c>
      <c r="AF405" s="30">
        <f>IFERROR(INDEX('8_3nf_customer'!$D:$D,MATCH(AD405,'8_3nf_customer'!$B:$B,0)),"NOT FOUND")</f>
        <v/>
      </c>
      <c r="AG405" s="4">
        <f>IF(ISNUMBER(AF405),DATEDIF(AF405,L405,"y"),"NOT FOUND")</f>
        <v/>
      </c>
      <c r="AH405" s="2">
        <f>IFERROR(INDEX('8_3nf_customer'!$E:$E,MATCH(AD405,'8_3nf_customer'!$B:$B,0)),"NOT FOUND")</f>
        <v/>
      </c>
      <c r="AI405" s="30">
        <f>IF(_xlfn.MAXIFS('9_3nf_customer_history'!$B$2:$B$500,'9_3nf_customer_history'!$A$2:$A$500,AD405,'9_3nf_customer_history'!$B$2:$B$500,"&lt;="&amp;L405)=0,"NOT FOUND",_xlfn.MAXIFS('9_3nf_customer_history'!$B$2:$B$500,'9_3nf_customer_history'!$A$2:$A$500,AD405,'9_3nf_customer_history'!$B$2:$B$500,"&lt;="&amp;L405))</f>
        <v/>
      </c>
      <c r="AJ405" s="2">
        <f>IF(AI405="NOT FOUND","NOT FOUND",INDEX('9_3nf_customer_history'!$C:$C,SUMPRODUCT(('9_3nf_customer_history'!$A$2:$A$500=AD405)*('9_3nf_customer_history'!$B$2:$B$500=AI405)*ROW('9_3nf_customer_history'!$A$2:$A$500))))</f>
        <v/>
      </c>
      <c r="AK405" s="2">
        <f>IF(AI405="NOT FOUND","NOT FOUND",INDEX('9_3nf_customer_history'!$D:$D,SUMPRODUCT(('9_3nf_customer_history'!$A$2:$A$500=AD405)*('9_3nf_customer_history'!$B$2:$B$500=AI405)*ROW('9_3nf_customer_history'!$A$2:$A$500))))</f>
        <v/>
      </c>
      <c r="AL405" s="2">
        <f>UPPER(TRIM(H405))</f>
        <v/>
      </c>
      <c r="AM405" s="30">
        <f>IF(_xlfn.MAXIFS('10_ref_fx_rate'!$B$2:$B$2000,'10_ref_fx_rate'!$A$2:$A$2000,AL405,'10_ref_fx_rate'!$B$2:$B$2000,"&lt;="&amp;L405)=0,"NOT FOUND",_xlfn.MAXIFS('10_ref_fx_rate'!$B$2:$B$2000,'10_ref_fx_rate'!$A$2:$A$2000,AL405,'10_ref_fx_rate'!$B$2:$B$2000,"&lt;="&amp;L405))</f>
        <v/>
      </c>
      <c r="AN405" s="8">
        <f>IF(AM405="NOT FOUND","NOT FOUND",SUMIFS('10_ref_fx_rate'!$D$2:$D$2000,'10_ref_fx_rate'!$A$2:$A$2000,AL405,'10_ref_fx_rate'!$B$2:$B$2000,AM405))</f>
        <v/>
      </c>
      <c r="AO405" s="37">
        <f>IF(ISNUMBER(AN405),I405*AN405,"NOT FOUND")</f>
        <v/>
      </c>
      <c r="AP405" s="2">
        <f>UPPER(TRIM(J405))</f>
        <v/>
      </c>
      <c r="AQ405" s="2">
        <f>IF(AP405="","SELF-DIRECTED",IF(ISNUMBER(MATCH(AP405,'11_3nf_sales_person'!$A:$A,0)),IF(EXACT(AP405,J405),"OK","OK (auto-fixed)"),IF(ISNA(MATCH($A405,'12_sales_person_confirmation'!$A:$A,0)),"CONFIRM (not logged)",IF(INDEX('12_sales_person_confirmation'!$I:$I,MATCH($A405,'12_sales_person_confirmation'!$A:$A,0))="CONFIRMED","CONFIRMED ("&amp;LOWER(INDEX('12_sales_person_confirmation'!$E:$E,MATCH($A405,'12_sales_person_confirmation'!$A:$A,0)))&amp;")","PENDING CONFIRM"))))</f>
        <v/>
      </c>
      <c r="AR405" s="2">
        <f>IF(OR(AQ405="OK",AQ405="OK (auto-fixed)"),AP405,IF(LEFT(AQ405,9)="CONFIRMED",INDEX('12_sales_person_confirmation'!$F:$F,MATCH($A405,'12_sales_person_confirmation'!$A:$A,0)),""))</f>
        <v/>
      </c>
      <c r="AS405" s="2">
        <f>IF(AR405="","",INDEX('11_3nf_sales_person'!$B:$B,MATCH(AR405,'11_3nf_sales_person'!$A:$A,0)))</f>
        <v/>
      </c>
    </row>
    <row r="406">
      <c r="A406" s="2">
        <f>IF(ISBLANK('1_raw_log'!A406),"",'1_raw_log'!A406)</f>
        <v/>
      </c>
      <c r="B406" s="3">
        <f>IF(ISBLANK('1_raw_log'!B406),"",'1_raw_log'!B406)</f>
        <v/>
      </c>
      <c r="C406" s="2">
        <f>IF(ISBLANK('1_raw_log'!C406),"",'1_raw_log'!C406)</f>
        <v/>
      </c>
      <c r="D406" s="2">
        <f>IF(ISBLANK('1_raw_log'!D406),"",'1_raw_log'!D406)</f>
        <v/>
      </c>
      <c r="E406" s="4">
        <f>IF(ISBLANK('1_raw_log'!E406),"",'1_raw_log'!E406)</f>
        <v/>
      </c>
      <c r="F406" s="2">
        <f>IF(ISBLANK('1_raw_log'!F406),"",'1_raw_log'!F406)</f>
        <v/>
      </c>
      <c r="G406" s="2">
        <f>IF(ISBLANK('1_raw_log'!G406),"",'1_raw_log'!G406)</f>
        <v/>
      </c>
      <c r="H406" s="2">
        <f>IF(ISBLANK('1_raw_log'!H406),"",'1_raw_log'!H406)</f>
        <v/>
      </c>
      <c r="I406" s="7">
        <f>IF(ISBLANK('1_raw_log'!I406),"",'1_raw_log'!I406)</f>
        <v/>
      </c>
      <c r="J406" s="2">
        <f>IF(ISBLANK('1_raw_log'!J406),"",'1_raw_log'!J406)</f>
        <v/>
      </c>
      <c r="K406" s="2">
        <f>IF(ISBLANK('1_raw_log'!K406),"",'1_raw_log'!K406)</f>
        <v/>
      </c>
      <c r="L406" s="30">
        <f>INT(B406)</f>
        <v/>
      </c>
      <c r="M406" s="20">
        <f>ROUND(MOD(B406,1)*1440,0)/1440</f>
        <v/>
      </c>
      <c r="N406" s="4">
        <f>IFERROR(INDEX('3_ref_date'!$B:$B,MATCH(L406,'3_ref_date'!$A:$A,0)),"NOT FOUND")</f>
        <v/>
      </c>
      <c r="O406" s="2">
        <f>IFERROR(INDEX('3_ref_date'!$C:$C,MATCH(L406,'3_ref_date'!$A:$A,0)),"NOT FOUND")</f>
        <v/>
      </c>
      <c r="P406" s="4">
        <f>IFERROR(INDEX('3_ref_date'!$D:$D,MATCH(L406,'3_ref_date'!$A:$A,0)),"NOT FOUND")</f>
        <v/>
      </c>
      <c r="Q406" s="4">
        <f>IFERROR(INDEX('3_ref_date'!$E:$E,MATCH(L406,'3_ref_date'!$A:$A,0)),"NOT FOUND")</f>
        <v/>
      </c>
      <c r="R406" s="2">
        <f>IFERROR(INDEX('3_ref_date'!$F:$F,MATCH(L406,'3_ref_date'!$A:$A,0)),"NOT FOUND")</f>
        <v/>
      </c>
      <c r="S406" s="2">
        <f>IFERROR(INDEX('4_ref_time'!$D:$D,MATCH(ROUND(M406*1440,0),'4_ref_time'!$A:$A,0)),"NOT FOUND")</f>
        <v/>
      </c>
      <c r="T406" s="2">
        <f>UPPER(TRIM(C406))</f>
        <v/>
      </c>
      <c r="U406" s="30">
        <f>IF(_xlfn.MAXIFS('6_3nf_branch_history'!$B$2:$B$50,'6_3nf_branch_history'!$A$2:$A$50,T406,'6_3nf_branch_history'!$B$2:$B$50,"&lt;="&amp;L406)=0,"NOT FOUND",_xlfn.MAXIFS('6_3nf_branch_history'!$B$2:$B$50,'6_3nf_branch_history'!$A$2:$A$50,T406,'6_3nf_branch_history'!$B$2:$B$50,"&lt;="&amp;L406))</f>
        <v/>
      </c>
      <c r="V406" s="2">
        <f>IF(U406="NOT FOUND","NOT FOUND",INDEX('6_3nf_branch_history'!$C:$C,SUMPRODUCT(('6_3nf_branch_history'!$A$2:$A$50=T406)*('6_3nf_branch_history'!$B$2:$B$50=U406)*ROW('6_3nf_branch_history'!$A$2:$A$50))))</f>
        <v/>
      </c>
      <c r="W406" s="2">
        <f>IF(U406="NOT FOUND","NOT FOUND",INDEX('6_3nf_branch_history'!$D:$D,SUMPRODUCT(('6_3nf_branch_history'!$A$2:$A$50=T406)*('6_3nf_branch_history'!$B$2:$B$50=U406)*ROW('6_3nf_branch_history'!$A$2:$A$50))))</f>
        <v/>
      </c>
      <c r="X406" s="2">
        <f>IF(U406="NOT FOUND","NOT FOUND",INDEX('6_3nf_branch_history'!$E:$E,SUMPRODUCT(('6_3nf_branch_history'!$A$2:$A$50=T406)*('6_3nf_branch_history'!$B$2:$B$50=U406)*ROW('6_3nf_branch_history'!$A$2:$A$50))))</f>
        <v/>
      </c>
      <c r="Y406" s="2">
        <f>UPPER(TRIM(D406))</f>
        <v/>
      </c>
      <c r="Z406" s="2">
        <f>IFERROR(INDEX('7_3nf_product'!$B:$B,MATCH(Y406,'7_3nf_product'!$A:$A,0)),"NOT FOUND")</f>
        <v/>
      </c>
      <c r="AA406" s="2">
        <f>IFERROR(INDEX('7_3nf_product'!$C:$C,MATCH(Y406,'7_3nf_product'!$A:$A,0)),"NOT FOUND")</f>
        <v/>
      </c>
      <c r="AB406" s="2">
        <f>IFERROR(INDEX('7_3nf_product'!$D:$D,MATCH(Y406,'7_3nf_product'!$A:$A,0)),"NOT FOUND")</f>
        <v/>
      </c>
      <c r="AC406" s="6">
        <f>IFERROR(INDEX('7_3nf_product'!$E:$E,MATCH(Y406,'7_3nf_product'!$A:$A,0)),"NOT FOUND")</f>
        <v/>
      </c>
      <c r="AD406" s="33">
        <f>IF(LEN(TRIM(E406))=10,TRIM(E406),IF(LEN(TRIM(E406))=8,"00"&amp;TRIM(E406),"CHECK"))</f>
        <v/>
      </c>
      <c r="AE406" s="2">
        <f>IFERROR(INDEX('8_3nf_customer'!$C:$C,MATCH(AD406,'8_3nf_customer'!$B:$B,0)),"NOT FOUND")</f>
        <v/>
      </c>
      <c r="AF406" s="30">
        <f>IFERROR(INDEX('8_3nf_customer'!$D:$D,MATCH(AD406,'8_3nf_customer'!$B:$B,0)),"NOT FOUND")</f>
        <v/>
      </c>
      <c r="AG406" s="4">
        <f>IF(ISNUMBER(AF406),DATEDIF(AF406,L406,"y"),"NOT FOUND")</f>
        <v/>
      </c>
      <c r="AH406" s="2">
        <f>IFERROR(INDEX('8_3nf_customer'!$E:$E,MATCH(AD406,'8_3nf_customer'!$B:$B,0)),"NOT FOUND")</f>
        <v/>
      </c>
      <c r="AI406" s="30">
        <f>IF(_xlfn.MAXIFS('9_3nf_customer_history'!$B$2:$B$500,'9_3nf_customer_history'!$A$2:$A$500,AD406,'9_3nf_customer_history'!$B$2:$B$500,"&lt;="&amp;L406)=0,"NOT FOUND",_xlfn.MAXIFS('9_3nf_customer_history'!$B$2:$B$500,'9_3nf_customer_history'!$A$2:$A$500,AD406,'9_3nf_customer_history'!$B$2:$B$500,"&lt;="&amp;L406))</f>
        <v/>
      </c>
      <c r="AJ406" s="2">
        <f>IF(AI406="NOT FOUND","NOT FOUND",INDEX('9_3nf_customer_history'!$C:$C,SUMPRODUCT(('9_3nf_customer_history'!$A$2:$A$500=AD406)*('9_3nf_customer_history'!$B$2:$B$500=AI406)*ROW('9_3nf_customer_history'!$A$2:$A$500))))</f>
        <v/>
      </c>
      <c r="AK406" s="2">
        <f>IF(AI406="NOT FOUND","NOT FOUND",INDEX('9_3nf_customer_history'!$D:$D,SUMPRODUCT(('9_3nf_customer_history'!$A$2:$A$500=AD406)*('9_3nf_customer_history'!$B$2:$B$500=AI406)*ROW('9_3nf_customer_history'!$A$2:$A$500))))</f>
        <v/>
      </c>
      <c r="AL406" s="2">
        <f>UPPER(TRIM(H406))</f>
        <v/>
      </c>
      <c r="AM406" s="30">
        <f>IF(_xlfn.MAXIFS('10_ref_fx_rate'!$B$2:$B$2000,'10_ref_fx_rate'!$A$2:$A$2000,AL406,'10_ref_fx_rate'!$B$2:$B$2000,"&lt;="&amp;L406)=0,"NOT FOUND",_xlfn.MAXIFS('10_ref_fx_rate'!$B$2:$B$2000,'10_ref_fx_rate'!$A$2:$A$2000,AL406,'10_ref_fx_rate'!$B$2:$B$2000,"&lt;="&amp;L406))</f>
        <v/>
      </c>
      <c r="AN406" s="8">
        <f>IF(AM406="NOT FOUND","NOT FOUND",SUMIFS('10_ref_fx_rate'!$D$2:$D$2000,'10_ref_fx_rate'!$A$2:$A$2000,AL406,'10_ref_fx_rate'!$B$2:$B$2000,AM406))</f>
        <v/>
      </c>
      <c r="AO406" s="37">
        <f>IF(ISNUMBER(AN406),I406*AN406,"NOT FOUND")</f>
        <v/>
      </c>
      <c r="AP406" s="2">
        <f>UPPER(TRIM(J406))</f>
        <v/>
      </c>
      <c r="AQ406" s="2">
        <f>IF(AP406="","SELF-DIRECTED",IF(ISNUMBER(MATCH(AP406,'11_3nf_sales_person'!$A:$A,0)),IF(EXACT(AP406,J406),"OK","OK (auto-fixed)"),IF(ISNA(MATCH($A406,'12_sales_person_confirmation'!$A:$A,0)),"CONFIRM (not logged)",IF(INDEX('12_sales_person_confirmation'!$I:$I,MATCH($A406,'12_sales_person_confirmation'!$A:$A,0))="CONFIRMED","CONFIRMED ("&amp;LOWER(INDEX('12_sales_person_confirmation'!$E:$E,MATCH($A406,'12_sales_person_confirmation'!$A:$A,0)))&amp;")","PENDING CONFIRM"))))</f>
        <v/>
      </c>
      <c r="AR406" s="2">
        <f>IF(OR(AQ406="OK",AQ406="OK (auto-fixed)"),AP406,IF(LEFT(AQ406,9)="CONFIRMED",INDEX('12_sales_person_confirmation'!$F:$F,MATCH($A406,'12_sales_person_confirmation'!$A:$A,0)),""))</f>
        <v/>
      </c>
      <c r="AS406" s="2">
        <f>IF(AR406="","",INDEX('11_3nf_sales_person'!$B:$B,MATCH(AR406,'11_3nf_sales_person'!$A:$A,0)))</f>
        <v/>
      </c>
    </row>
    <row r="407">
      <c r="A407" s="2">
        <f>IF(ISBLANK('1_raw_log'!A407),"",'1_raw_log'!A407)</f>
        <v/>
      </c>
      <c r="B407" s="3">
        <f>IF(ISBLANK('1_raw_log'!B407),"",'1_raw_log'!B407)</f>
        <v/>
      </c>
      <c r="C407" s="2">
        <f>IF(ISBLANK('1_raw_log'!C407),"",'1_raw_log'!C407)</f>
        <v/>
      </c>
      <c r="D407" s="2">
        <f>IF(ISBLANK('1_raw_log'!D407),"",'1_raw_log'!D407)</f>
        <v/>
      </c>
      <c r="E407" s="4">
        <f>IF(ISBLANK('1_raw_log'!E407),"",'1_raw_log'!E407)</f>
        <v/>
      </c>
      <c r="F407" s="2">
        <f>IF(ISBLANK('1_raw_log'!F407),"",'1_raw_log'!F407)</f>
        <v/>
      </c>
      <c r="G407" s="2">
        <f>IF(ISBLANK('1_raw_log'!G407),"",'1_raw_log'!G407)</f>
        <v/>
      </c>
      <c r="H407" s="2">
        <f>IF(ISBLANK('1_raw_log'!H407),"",'1_raw_log'!H407)</f>
        <v/>
      </c>
      <c r="I407" s="7">
        <f>IF(ISBLANK('1_raw_log'!I407),"",'1_raw_log'!I407)</f>
        <v/>
      </c>
      <c r="J407" s="2">
        <f>IF(ISBLANK('1_raw_log'!J407),"",'1_raw_log'!J407)</f>
        <v/>
      </c>
      <c r="K407" s="2">
        <f>IF(ISBLANK('1_raw_log'!K407),"",'1_raw_log'!K407)</f>
        <v/>
      </c>
      <c r="L407" s="30">
        <f>INT(B407)</f>
        <v/>
      </c>
      <c r="M407" s="20">
        <f>ROUND(MOD(B407,1)*1440,0)/1440</f>
        <v/>
      </c>
      <c r="N407" s="4">
        <f>IFERROR(INDEX('3_ref_date'!$B:$B,MATCH(L407,'3_ref_date'!$A:$A,0)),"NOT FOUND")</f>
        <v/>
      </c>
      <c r="O407" s="2">
        <f>IFERROR(INDEX('3_ref_date'!$C:$C,MATCH(L407,'3_ref_date'!$A:$A,0)),"NOT FOUND")</f>
        <v/>
      </c>
      <c r="P407" s="4">
        <f>IFERROR(INDEX('3_ref_date'!$D:$D,MATCH(L407,'3_ref_date'!$A:$A,0)),"NOT FOUND")</f>
        <v/>
      </c>
      <c r="Q407" s="4">
        <f>IFERROR(INDEX('3_ref_date'!$E:$E,MATCH(L407,'3_ref_date'!$A:$A,0)),"NOT FOUND")</f>
        <v/>
      </c>
      <c r="R407" s="2">
        <f>IFERROR(INDEX('3_ref_date'!$F:$F,MATCH(L407,'3_ref_date'!$A:$A,0)),"NOT FOUND")</f>
        <v/>
      </c>
      <c r="S407" s="2">
        <f>IFERROR(INDEX('4_ref_time'!$D:$D,MATCH(ROUND(M407*1440,0),'4_ref_time'!$A:$A,0)),"NOT FOUND")</f>
        <v/>
      </c>
      <c r="T407" s="2">
        <f>UPPER(TRIM(C407))</f>
        <v/>
      </c>
      <c r="U407" s="30">
        <f>IF(_xlfn.MAXIFS('6_3nf_branch_history'!$B$2:$B$50,'6_3nf_branch_history'!$A$2:$A$50,T407,'6_3nf_branch_history'!$B$2:$B$50,"&lt;="&amp;L407)=0,"NOT FOUND",_xlfn.MAXIFS('6_3nf_branch_history'!$B$2:$B$50,'6_3nf_branch_history'!$A$2:$A$50,T407,'6_3nf_branch_history'!$B$2:$B$50,"&lt;="&amp;L407))</f>
        <v/>
      </c>
      <c r="V407" s="2">
        <f>IF(U407="NOT FOUND","NOT FOUND",INDEX('6_3nf_branch_history'!$C:$C,SUMPRODUCT(('6_3nf_branch_history'!$A$2:$A$50=T407)*('6_3nf_branch_history'!$B$2:$B$50=U407)*ROW('6_3nf_branch_history'!$A$2:$A$50))))</f>
        <v/>
      </c>
      <c r="W407" s="2">
        <f>IF(U407="NOT FOUND","NOT FOUND",INDEX('6_3nf_branch_history'!$D:$D,SUMPRODUCT(('6_3nf_branch_history'!$A$2:$A$50=T407)*('6_3nf_branch_history'!$B$2:$B$50=U407)*ROW('6_3nf_branch_history'!$A$2:$A$50))))</f>
        <v/>
      </c>
      <c r="X407" s="2">
        <f>IF(U407="NOT FOUND","NOT FOUND",INDEX('6_3nf_branch_history'!$E:$E,SUMPRODUCT(('6_3nf_branch_history'!$A$2:$A$50=T407)*('6_3nf_branch_history'!$B$2:$B$50=U407)*ROW('6_3nf_branch_history'!$A$2:$A$50))))</f>
        <v/>
      </c>
      <c r="Y407" s="2">
        <f>UPPER(TRIM(D407))</f>
        <v/>
      </c>
      <c r="Z407" s="2">
        <f>IFERROR(INDEX('7_3nf_product'!$B:$B,MATCH(Y407,'7_3nf_product'!$A:$A,0)),"NOT FOUND")</f>
        <v/>
      </c>
      <c r="AA407" s="2">
        <f>IFERROR(INDEX('7_3nf_product'!$C:$C,MATCH(Y407,'7_3nf_product'!$A:$A,0)),"NOT FOUND")</f>
        <v/>
      </c>
      <c r="AB407" s="2">
        <f>IFERROR(INDEX('7_3nf_product'!$D:$D,MATCH(Y407,'7_3nf_product'!$A:$A,0)),"NOT FOUND")</f>
        <v/>
      </c>
      <c r="AC407" s="6">
        <f>IFERROR(INDEX('7_3nf_product'!$E:$E,MATCH(Y407,'7_3nf_product'!$A:$A,0)),"NOT FOUND")</f>
        <v/>
      </c>
      <c r="AD407" s="33">
        <f>IF(LEN(TRIM(E407))=10,TRIM(E407),IF(LEN(TRIM(E407))=8,"00"&amp;TRIM(E407),"CHECK"))</f>
        <v/>
      </c>
      <c r="AE407" s="2">
        <f>IFERROR(INDEX('8_3nf_customer'!$C:$C,MATCH(AD407,'8_3nf_customer'!$B:$B,0)),"NOT FOUND")</f>
        <v/>
      </c>
      <c r="AF407" s="30">
        <f>IFERROR(INDEX('8_3nf_customer'!$D:$D,MATCH(AD407,'8_3nf_customer'!$B:$B,0)),"NOT FOUND")</f>
        <v/>
      </c>
      <c r="AG407" s="4">
        <f>IF(ISNUMBER(AF407),DATEDIF(AF407,L407,"y"),"NOT FOUND")</f>
        <v/>
      </c>
      <c r="AH407" s="2">
        <f>IFERROR(INDEX('8_3nf_customer'!$E:$E,MATCH(AD407,'8_3nf_customer'!$B:$B,0)),"NOT FOUND")</f>
        <v/>
      </c>
      <c r="AI407" s="30">
        <f>IF(_xlfn.MAXIFS('9_3nf_customer_history'!$B$2:$B$500,'9_3nf_customer_history'!$A$2:$A$500,AD407,'9_3nf_customer_history'!$B$2:$B$500,"&lt;="&amp;L407)=0,"NOT FOUND",_xlfn.MAXIFS('9_3nf_customer_history'!$B$2:$B$500,'9_3nf_customer_history'!$A$2:$A$500,AD407,'9_3nf_customer_history'!$B$2:$B$500,"&lt;="&amp;L407))</f>
        <v/>
      </c>
      <c r="AJ407" s="2">
        <f>IF(AI407="NOT FOUND","NOT FOUND",INDEX('9_3nf_customer_history'!$C:$C,SUMPRODUCT(('9_3nf_customer_history'!$A$2:$A$500=AD407)*('9_3nf_customer_history'!$B$2:$B$500=AI407)*ROW('9_3nf_customer_history'!$A$2:$A$500))))</f>
        <v/>
      </c>
      <c r="AK407" s="2">
        <f>IF(AI407="NOT FOUND","NOT FOUND",INDEX('9_3nf_customer_history'!$D:$D,SUMPRODUCT(('9_3nf_customer_history'!$A$2:$A$500=AD407)*('9_3nf_customer_history'!$B$2:$B$500=AI407)*ROW('9_3nf_customer_history'!$A$2:$A$500))))</f>
        <v/>
      </c>
      <c r="AL407" s="2">
        <f>UPPER(TRIM(H407))</f>
        <v/>
      </c>
      <c r="AM407" s="30">
        <f>IF(_xlfn.MAXIFS('10_ref_fx_rate'!$B$2:$B$2000,'10_ref_fx_rate'!$A$2:$A$2000,AL407,'10_ref_fx_rate'!$B$2:$B$2000,"&lt;="&amp;L407)=0,"NOT FOUND",_xlfn.MAXIFS('10_ref_fx_rate'!$B$2:$B$2000,'10_ref_fx_rate'!$A$2:$A$2000,AL407,'10_ref_fx_rate'!$B$2:$B$2000,"&lt;="&amp;L407))</f>
        <v/>
      </c>
      <c r="AN407" s="8">
        <f>IF(AM407="NOT FOUND","NOT FOUND",SUMIFS('10_ref_fx_rate'!$D$2:$D$2000,'10_ref_fx_rate'!$A$2:$A$2000,AL407,'10_ref_fx_rate'!$B$2:$B$2000,AM407))</f>
        <v/>
      </c>
      <c r="AO407" s="37">
        <f>IF(ISNUMBER(AN407),I407*AN407,"NOT FOUND")</f>
        <v/>
      </c>
      <c r="AP407" s="2">
        <f>UPPER(TRIM(J407))</f>
        <v/>
      </c>
      <c r="AQ407" s="2">
        <f>IF(AP407="","SELF-DIRECTED",IF(ISNUMBER(MATCH(AP407,'11_3nf_sales_person'!$A:$A,0)),IF(EXACT(AP407,J407),"OK","OK (auto-fixed)"),IF(ISNA(MATCH($A407,'12_sales_person_confirmation'!$A:$A,0)),"CONFIRM (not logged)",IF(INDEX('12_sales_person_confirmation'!$I:$I,MATCH($A407,'12_sales_person_confirmation'!$A:$A,0))="CONFIRMED","CONFIRMED ("&amp;LOWER(INDEX('12_sales_person_confirmation'!$E:$E,MATCH($A407,'12_sales_person_confirmation'!$A:$A,0)))&amp;")","PENDING CONFIRM"))))</f>
        <v/>
      </c>
      <c r="AR407" s="2">
        <f>IF(OR(AQ407="OK",AQ407="OK (auto-fixed)"),AP407,IF(LEFT(AQ407,9)="CONFIRMED",INDEX('12_sales_person_confirmation'!$F:$F,MATCH($A407,'12_sales_person_confirmation'!$A:$A,0)),""))</f>
        <v/>
      </c>
      <c r="AS407" s="2">
        <f>IF(AR407="","",INDEX('11_3nf_sales_person'!$B:$B,MATCH(AR407,'11_3nf_sales_person'!$A:$A,0)))</f>
        <v/>
      </c>
    </row>
    <row r="408">
      <c r="A408" s="2">
        <f>IF(ISBLANK('1_raw_log'!A408),"",'1_raw_log'!A408)</f>
        <v/>
      </c>
      <c r="B408" s="3">
        <f>IF(ISBLANK('1_raw_log'!B408),"",'1_raw_log'!B408)</f>
        <v/>
      </c>
      <c r="C408" s="2">
        <f>IF(ISBLANK('1_raw_log'!C408),"",'1_raw_log'!C408)</f>
        <v/>
      </c>
      <c r="D408" s="2">
        <f>IF(ISBLANK('1_raw_log'!D408),"",'1_raw_log'!D408)</f>
        <v/>
      </c>
      <c r="E408" s="4">
        <f>IF(ISBLANK('1_raw_log'!E408),"",'1_raw_log'!E408)</f>
        <v/>
      </c>
      <c r="F408" s="2">
        <f>IF(ISBLANK('1_raw_log'!F408),"",'1_raw_log'!F408)</f>
        <v/>
      </c>
      <c r="G408" s="2">
        <f>IF(ISBLANK('1_raw_log'!G408),"",'1_raw_log'!G408)</f>
        <v/>
      </c>
      <c r="H408" s="2">
        <f>IF(ISBLANK('1_raw_log'!H408),"",'1_raw_log'!H408)</f>
        <v/>
      </c>
      <c r="I408" s="7">
        <f>IF(ISBLANK('1_raw_log'!I408),"",'1_raw_log'!I408)</f>
        <v/>
      </c>
      <c r="J408" s="2">
        <f>IF(ISBLANK('1_raw_log'!J408),"",'1_raw_log'!J408)</f>
        <v/>
      </c>
      <c r="K408" s="2">
        <f>IF(ISBLANK('1_raw_log'!K408),"",'1_raw_log'!K408)</f>
        <v/>
      </c>
      <c r="L408" s="30">
        <f>INT(B408)</f>
        <v/>
      </c>
      <c r="M408" s="20">
        <f>ROUND(MOD(B408,1)*1440,0)/1440</f>
        <v/>
      </c>
      <c r="N408" s="4">
        <f>IFERROR(INDEX('3_ref_date'!$B:$B,MATCH(L408,'3_ref_date'!$A:$A,0)),"NOT FOUND")</f>
        <v/>
      </c>
      <c r="O408" s="2">
        <f>IFERROR(INDEX('3_ref_date'!$C:$C,MATCH(L408,'3_ref_date'!$A:$A,0)),"NOT FOUND")</f>
        <v/>
      </c>
      <c r="P408" s="4">
        <f>IFERROR(INDEX('3_ref_date'!$D:$D,MATCH(L408,'3_ref_date'!$A:$A,0)),"NOT FOUND")</f>
        <v/>
      </c>
      <c r="Q408" s="4">
        <f>IFERROR(INDEX('3_ref_date'!$E:$E,MATCH(L408,'3_ref_date'!$A:$A,0)),"NOT FOUND")</f>
        <v/>
      </c>
      <c r="R408" s="2">
        <f>IFERROR(INDEX('3_ref_date'!$F:$F,MATCH(L408,'3_ref_date'!$A:$A,0)),"NOT FOUND")</f>
        <v/>
      </c>
      <c r="S408" s="2">
        <f>IFERROR(INDEX('4_ref_time'!$D:$D,MATCH(ROUND(M408*1440,0),'4_ref_time'!$A:$A,0)),"NOT FOUND")</f>
        <v/>
      </c>
      <c r="T408" s="2">
        <f>UPPER(TRIM(C408))</f>
        <v/>
      </c>
      <c r="U408" s="30">
        <f>IF(_xlfn.MAXIFS('6_3nf_branch_history'!$B$2:$B$50,'6_3nf_branch_history'!$A$2:$A$50,T408,'6_3nf_branch_history'!$B$2:$B$50,"&lt;="&amp;L408)=0,"NOT FOUND",_xlfn.MAXIFS('6_3nf_branch_history'!$B$2:$B$50,'6_3nf_branch_history'!$A$2:$A$50,T408,'6_3nf_branch_history'!$B$2:$B$50,"&lt;="&amp;L408))</f>
        <v/>
      </c>
      <c r="V408" s="2">
        <f>IF(U408="NOT FOUND","NOT FOUND",INDEX('6_3nf_branch_history'!$C:$C,SUMPRODUCT(('6_3nf_branch_history'!$A$2:$A$50=T408)*('6_3nf_branch_history'!$B$2:$B$50=U408)*ROW('6_3nf_branch_history'!$A$2:$A$50))))</f>
        <v/>
      </c>
      <c r="W408" s="2">
        <f>IF(U408="NOT FOUND","NOT FOUND",INDEX('6_3nf_branch_history'!$D:$D,SUMPRODUCT(('6_3nf_branch_history'!$A$2:$A$50=T408)*('6_3nf_branch_history'!$B$2:$B$50=U408)*ROW('6_3nf_branch_history'!$A$2:$A$50))))</f>
        <v/>
      </c>
      <c r="X408" s="2">
        <f>IF(U408="NOT FOUND","NOT FOUND",INDEX('6_3nf_branch_history'!$E:$E,SUMPRODUCT(('6_3nf_branch_history'!$A$2:$A$50=T408)*('6_3nf_branch_history'!$B$2:$B$50=U408)*ROW('6_3nf_branch_history'!$A$2:$A$50))))</f>
        <v/>
      </c>
      <c r="Y408" s="2">
        <f>UPPER(TRIM(D408))</f>
        <v/>
      </c>
      <c r="Z408" s="2">
        <f>IFERROR(INDEX('7_3nf_product'!$B:$B,MATCH(Y408,'7_3nf_product'!$A:$A,0)),"NOT FOUND")</f>
        <v/>
      </c>
      <c r="AA408" s="2">
        <f>IFERROR(INDEX('7_3nf_product'!$C:$C,MATCH(Y408,'7_3nf_product'!$A:$A,0)),"NOT FOUND")</f>
        <v/>
      </c>
      <c r="AB408" s="2">
        <f>IFERROR(INDEX('7_3nf_product'!$D:$D,MATCH(Y408,'7_3nf_product'!$A:$A,0)),"NOT FOUND")</f>
        <v/>
      </c>
      <c r="AC408" s="6">
        <f>IFERROR(INDEX('7_3nf_product'!$E:$E,MATCH(Y408,'7_3nf_product'!$A:$A,0)),"NOT FOUND")</f>
        <v/>
      </c>
      <c r="AD408" s="33">
        <f>IF(LEN(TRIM(E408))=10,TRIM(E408),IF(LEN(TRIM(E408))=8,"00"&amp;TRIM(E408),"CHECK"))</f>
        <v/>
      </c>
      <c r="AE408" s="2">
        <f>IFERROR(INDEX('8_3nf_customer'!$C:$C,MATCH(AD408,'8_3nf_customer'!$B:$B,0)),"NOT FOUND")</f>
        <v/>
      </c>
      <c r="AF408" s="30">
        <f>IFERROR(INDEX('8_3nf_customer'!$D:$D,MATCH(AD408,'8_3nf_customer'!$B:$B,0)),"NOT FOUND")</f>
        <v/>
      </c>
      <c r="AG408" s="4">
        <f>IF(ISNUMBER(AF408),DATEDIF(AF408,L408,"y"),"NOT FOUND")</f>
        <v/>
      </c>
      <c r="AH408" s="2">
        <f>IFERROR(INDEX('8_3nf_customer'!$E:$E,MATCH(AD408,'8_3nf_customer'!$B:$B,0)),"NOT FOUND")</f>
        <v/>
      </c>
      <c r="AI408" s="30">
        <f>IF(_xlfn.MAXIFS('9_3nf_customer_history'!$B$2:$B$500,'9_3nf_customer_history'!$A$2:$A$500,AD408,'9_3nf_customer_history'!$B$2:$B$500,"&lt;="&amp;L408)=0,"NOT FOUND",_xlfn.MAXIFS('9_3nf_customer_history'!$B$2:$B$500,'9_3nf_customer_history'!$A$2:$A$500,AD408,'9_3nf_customer_history'!$B$2:$B$500,"&lt;="&amp;L408))</f>
        <v/>
      </c>
      <c r="AJ408" s="2">
        <f>IF(AI408="NOT FOUND","NOT FOUND",INDEX('9_3nf_customer_history'!$C:$C,SUMPRODUCT(('9_3nf_customer_history'!$A$2:$A$500=AD408)*('9_3nf_customer_history'!$B$2:$B$500=AI408)*ROW('9_3nf_customer_history'!$A$2:$A$500))))</f>
        <v/>
      </c>
      <c r="AK408" s="2">
        <f>IF(AI408="NOT FOUND","NOT FOUND",INDEX('9_3nf_customer_history'!$D:$D,SUMPRODUCT(('9_3nf_customer_history'!$A$2:$A$500=AD408)*('9_3nf_customer_history'!$B$2:$B$500=AI408)*ROW('9_3nf_customer_history'!$A$2:$A$500))))</f>
        <v/>
      </c>
      <c r="AL408" s="2">
        <f>UPPER(TRIM(H408))</f>
        <v/>
      </c>
      <c r="AM408" s="30">
        <f>IF(_xlfn.MAXIFS('10_ref_fx_rate'!$B$2:$B$2000,'10_ref_fx_rate'!$A$2:$A$2000,AL408,'10_ref_fx_rate'!$B$2:$B$2000,"&lt;="&amp;L408)=0,"NOT FOUND",_xlfn.MAXIFS('10_ref_fx_rate'!$B$2:$B$2000,'10_ref_fx_rate'!$A$2:$A$2000,AL408,'10_ref_fx_rate'!$B$2:$B$2000,"&lt;="&amp;L408))</f>
        <v/>
      </c>
      <c r="AN408" s="8">
        <f>IF(AM408="NOT FOUND","NOT FOUND",SUMIFS('10_ref_fx_rate'!$D$2:$D$2000,'10_ref_fx_rate'!$A$2:$A$2000,AL408,'10_ref_fx_rate'!$B$2:$B$2000,AM408))</f>
        <v/>
      </c>
      <c r="AO408" s="37">
        <f>IF(ISNUMBER(AN408),I408*AN408,"NOT FOUND")</f>
        <v/>
      </c>
      <c r="AP408" s="2">
        <f>UPPER(TRIM(J408))</f>
        <v/>
      </c>
      <c r="AQ408" s="2">
        <f>IF(AP408="","SELF-DIRECTED",IF(ISNUMBER(MATCH(AP408,'11_3nf_sales_person'!$A:$A,0)),IF(EXACT(AP408,J408),"OK","OK (auto-fixed)"),IF(ISNA(MATCH($A408,'12_sales_person_confirmation'!$A:$A,0)),"CONFIRM (not logged)",IF(INDEX('12_sales_person_confirmation'!$I:$I,MATCH($A408,'12_sales_person_confirmation'!$A:$A,0))="CONFIRMED","CONFIRMED ("&amp;LOWER(INDEX('12_sales_person_confirmation'!$E:$E,MATCH($A408,'12_sales_person_confirmation'!$A:$A,0)))&amp;")","PENDING CONFIRM"))))</f>
        <v/>
      </c>
      <c r="AR408" s="2">
        <f>IF(OR(AQ408="OK",AQ408="OK (auto-fixed)"),AP408,IF(LEFT(AQ408,9)="CONFIRMED",INDEX('12_sales_person_confirmation'!$F:$F,MATCH($A408,'12_sales_person_confirmation'!$A:$A,0)),""))</f>
        <v/>
      </c>
      <c r="AS408" s="2">
        <f>IF(AR408="","",INDEX('11_3nf_sales_person'!$B:$B,MATCH(AR408,'11_3nf_sales_person'!$A:$A,0)))</f>
        <v/>
      </c>
    </row>
    <row r="409">
      <c r="A409" s="2">
        <f>IF(ISBLANK('1_raw_log'!A409),"",'1_raw_log'!A409)</f>
        <v/>
      </c>
      <c r="B409" s="3">
        <f>IF(ISBLANK('1_raw_log'!B409),"",'1_raw_log'!B409)</f>
        <v/>
      </c>
      <c r="C409" s="2">
        <f>IF(ISBLANK('1_raw_log'!C409),"",'1_raw_log'!C409)</f>
        <v/>
      </c>
      <c r="D409" s="2">
        <f>IF(ISBLANK('1_raw_log'!D409),"",'1_raw_log'!D409)</f>
        <v/>
      </c>
      <c r="E409" s="4">
        <f>IF(ISBLANK('1_raw_log'!E409),"",'1_raw_log'!E409)</f>
        <v/>
      </c>
      <c r="F409" s="2">
        <f>IF(ISBLANK('1_raw_log'!F409),"",'1_raw_log'!F409)</f>
        <v/>
      </c>
      <c r="G409" s="2">
        <f>IF(ISBLANK('1_raw_log'!G409),"",'1_raw_log'!G409)</f>
        <v/>
      </c>
      <c r="H409" s="2">
        <f>IF(ISBLANK('1_raw_log'!H409),"",'1_raw_log'!H409)</f>
        <v/>
      </c>
      <c r="I409" s="7">
        <f>IF(ISBLANK('1_raw_log'!I409),"",'1_raw_log'!I409)</f>
        <v/>
      </c>
      <c r="J409" s="2">
        <f>IF(ISBLANK('1_raw_log'!J409),"",'1_raw_log'!J409)</f>
        <v/>
      </c>
      <c r="K409" s="2">
        <f>IF(ISBLANK('1_raw_log'!K409),"",'1_raw_log'!K409)</f>
        <v/>
      </c>
      <c r="L409" s="30">
        <f>INT(B409)</f>
        <v/>
      </c>
      <c r="M409" s="20">
        <f>ROUND(MOD(B409,1)*1440,0)/1440</f>
        <v/>
      </c>
      <c r="N409" s="4">
        <f>IFERROR(INDEX('3_ref_date'!$B:$B,MATCH(L409,'3_ref_date'!$A:$A,0)),"NOT FOUND")</f>
        <v/>
      </c>
      <c r="O409" s="2">
        <f>IFERROR(INDEX('3_ref_date'!$C:$C,MATCH(L409,'3_ref_date'!$A:$A,0)),"NOT FOUND")</f>
        <v/>
      </c>
      <c r="P409" s="4">
        <f>IFERROR(INDEX('3_ref_date'!$D:$D,MATCH(L409,'3_ref_date'!$A:$A,0)),"NOT FOUND")</f>
        <v/>
      </c>
      <c r="Q409" s="4">
        <f>IFERROR(INDEX('3_ref_date'!$E:$E,MATCH(L409,'3_ref_date'!$A:$A,0)),"NOT FOUND")</f>
        <v/>
      </c>
      <c r="R409" s="2">
        <f>IFERROR(INDEX('3_ref_date'!$F:$F,MATCH(L409,'3_ref_date'!$A:$A,0)),"NOT FOUND")</f>
        <v/>
      </c>
      <c r="S409" s="2">
        <f>IFERROR(INDEX('4_ref_time'!$D:$D,MATCH(ROUND(M409*1440,0),'4_ref_time'!$A:$A,0)),"NOT FOUND")</f>
        <v/>
      </c>
      <c r="T409" s="2">
        <f>UPPER(TRIM(C409))</f>
        <v/>
      </c>
      <c r="U409" s="30">
        <f>IF(_xlfn.MAXIFS('6_3nf_branch_history'!$B$2:$B$50,'6_3nf_branch_history'!$A$2:$A$50,T409,'6_3nf_branch_history'!$B$2:$B$50,"&lt;="&amp;L409)=0,"NOT FOUND",_xlfn.MAXIFS('6_3nf_branch_history'!$B$2:$B$50,'6_3nf_branch_history'!$A$2:$A$50,T409,'6_3nf_branch_history'!$B$2:$B$50,"&lt;="&amp;L409))</f>
        <v/>
      </c>
      <c r="V409" s="2">
        <f>IF(U409="NOT FOUND","NOT FOUND",INDEX('6_3nf_branch_history'!$C:$C,SUMPRODUCT(('6_3nf_branch_history'!$A$2:$A$50=T409)*('6_3nf_branch_history'!$B$2:$B$50=U409)*ROW('6_3nf_branch_history'!$A$2:$A$50))))</f>
        <v/>
      </c>
      <c r="W409" s="2">
        <f>IF(U409="NOT FOUND","NOT FOUND",INDEX('6_3nf_branch_history'!$D:$D,SUMPRODUCT(('6_3nf_branch_history'!$A$2:$A$50=T409)*('6_3nf_branch_history'!$B$2:$B$50=U409)*ROW('6_3nf_branch_history'!$A$2:$A$50))))</f>
        <v/>
      </c>
      <c r="X409" s="2">
        <f>IF(U409="NOT FOUND","NOT FOUND",INDEX('6_3nf_branch_history'!$E:$E,SUMPRODUCT(('6_3nf_branch_history'!$A$2:$A$50=T409)*('6_3nf_branch_history'!$B$2:$B$50=U409)*ROW('6_3nf_branch_history'!$A$2:$A$50))))</f>
        <v/>
      </c>
      <c r="Y409" s="2">
        <f>UPPER(TRIM(D409))</f>
        <v/>
      </c>
      <c r="Z409" s="2">
        <f>IFERROR(INDEX('7_3nf_product'!$B:$B,MATCH(Y409,'7_3nf_product'!$A:$A,0)),"NOT FOUND")</f>
        <v/>
      </c>
      <c r="AA409" s="2">
        <f>IFERROR(INDEX('7_3nf_product'!$C:$C,MATCH(Y409,'7_3nf_product'!$A:$A,0)),"NOT FOUND")</f>
        <v/>
      </c>
      <c r="AB409" s="2">
        <f>IFERROR(INDEX('7_3nf_product'!$D:$D,MATCH(Y409,'7_3nf_product'!$A:$A,0)),"NOT FOUND")</f>
        <v/>
      </c>
      <c r="AC409" s="6">
        <f>IFERROR(INDEX('7_3nf_product'!$E:$E,MATCH(Y409,'7_3nf_product'!$A:$A,0)),"NOT FOUND")</f>
        <v/>
      </c>
      <c r="AD409" s="33">
        <f>IF(LEN(TRIM(E409))=10,TRIM(E409),IF(LEN(TRIM(E409))=8,"00"&amp;TRIM(E409),"CHECK"))</f>
        <v/>
      </c>
      <c r="AE409" s="2">
        <f>IFERROR(INDEX('8_3nf_customer'!$C:$C,MATCH(AD409,'8_3nf_customer'!$B:$B,0)),"NOT FOUND")</f>
        <v/>
      </c>
      <c r="AF409" s="30">
        <f>IFERROR(INDEX('8_3nf_customer'!$D:$D,MATCH(AD409,'8_3nf_customer'!$B:$B,0)),"NOT FOUND")</f>
        <v/>
      </c>
      <c r="AG409" s="4">
        <f>IF(ISNUMBER(AF409),DATEDIF(AF409,L409,"y"),"NOT FOUND")</f>
        <v/>
      </c>
      <c r="AH409" s="2">
        <f>IFERROR(INDEX('8_3nf_customer'!$E:$E,MATCH(AD409,'8_3nf_customer'!$B:$B,0)),"NOT FOUND")</f>
        <v/>
      </c>
      <c r="AI409" s="30">
        <f>IF(_xlfn.MAXIFS('9_3nf_customer_history'!$B$2:$B$500,'9_3nf_customer_history'!$A$2:$A$500,AD409,'9_3nf_customer_history'!$B$2:$B$500,"&lt;="&amp;L409)=0,"NOT FOUND",_xlfn.MAXIFS('9_3nf_customer_history'!$B$2:$B$500,'9_3nf_customer_history'!$A$2:$A$500,AD409,'9_3nf_customer_history'!$B$2:$B$500,"&lt;="&amp;L409))</f>
        <v/>
      </c>
      <c r="AJ409" s="2">
        <f>IF(AI409="NOT FOUND","NOT FOUND",INDEX('9_3nf_customer_history'!$C:$C,SUMPRODUCT(('9_3nf_customer_history'!$A$2:$A$500=AD409)*('9_3nf_customer_history'!$B$2:$B$500=AI409)*ROW('9_3nf_customer_history'!$A$2:$A$500))))</f>
        <v/>
      </c>
      <c r="AK409" s="2">
        <f>IF(AI409="NOT FOUND","NOT FOUND",INDEX('9_3nf_customer_history'!$D:$D,SUMPRODUCT(('9_3nf_customer_history'!$A$2:$A$500=AD409)*('9_3nf_customer_history'!$B$2:$B$500=AI409)*ROW('9_3nf_customer_history'!$A$2:$A$500))))</f>
        <v/>
      </c>
      <c r="AL409" s="2">
        <f>UPPER(TRIM(H409))</f>
        <v/>
      </c>
      <c r="AM409" s="30">
        <f>IF(_xlfn.MAXIFS('10_ref_fx_rate'!$B$2:$B$2000,'10_ref_fx_rate'!$A$2:$A$2000,AL409,'10_ref_fx_rate'!$B$2:$B$2000,"&lt;="&amp;L409)=0,"NOT FOUND",_xlfn.MAXIFS('10_ref_fx_rate'!$B$2:$B$2000,'10_ref_fx_rate'!$A$2:$A$2000,AL409,'10_ref_fx_rate'!$B$2:$B$2000,"&lt;="&amp;L409))</f>
        <v/>
      </c>
      <c r="AN409" s="8">
        <f>IF(AM409="NOT FOUND","NOT FOUND",SUMIFS('10_ref_fx_rate'!$D$2:$D$2000,'10_ref_fx_rate'!$A$2:$A$2000,AL409,'10_ref_fx_rate'!$B$2:$B$2000,AM409))</f>
        <v/>
      </c>
      <c r="AO409" s="37">
        <f>IF(ISNUMBER(AN409),I409*AN409,"NOT FOUND")</f>
        <v/>
      </c>
      <c r="AP409" s="2">
        <f>UPPER(TRIM(J409))</f>
        <v/>
      </c>
      <c r="AQ409" s="2">
        <f>IF(AP409="","SELF-DIRECTED",IF(ISNUMBER(MATCH(AP409,'11_3nf_sales_person'!$A:$A,0)),IF(EXACT(AP409,J409),"OK","OK (auto-fixed)"),IF(ISNA(MATCH($A409,'12_sales_person_confirmation'!$A:$A,0)),"CONFIRM (not logged)",IF(INDEX('12_sales_person_confirmation'!$I:$I,MATCH($A409,'12_sales_person_confirmation'!$A:$A,0))="CONFIRMED","CONFIRMED ("&amp;LOWER(INDEX('12_sales_person_confirmation'!$E:$E,MATCH($A409,'12_sales_person_confirmation'!$A:$A,0)))&amp;")","PENDING CONFIRM"))))</f>
        <v/>
      </c>
      <c r="AR409" s="2">
        <f>IF(OR(AQ409="OK",AQ409="OK (auto-fixed)"),AP409,IF(LEFT(AQ409,9)="CONFIRMED",INDEX('12_sales_person_confirmation'!$F:$F,MATCH($A409,'12_sales_person_confirmation'!$A:$A,0)),""))</f>
        <v/>
      </c>
      <c r="AS409" s="2">
        <f>IF(AR409="","",INDEX('11_3nf_sales_person'!$B:$B,MATCH(AR409,'11_3nf_sales_person'!$A:$A,0)))</f>
        <v/>
      </c>
    </row>
    <row r="410">
      <c r="A410" s="2">
        <f>IF(ISBLANK('1_raw_log'!A410),"",'1_raw_log'!A410)</f>
        <v/>
      </c>
      <c r="B410" s="3">
        <f>IF(ISBLANK('1_raw_log'!B410),"",'1_raw_log'!B410)</f>
        <v/>
      </c>
      <c r="C410" s="2">
        <f>IF(ISBLANK('1_raw_log'!C410),"",'1_raw_log'!C410)</f>
        <v/>
      </c>
      <c r="D410" s="2">
        <f>IF(ISBLANK('1_raw_log'!D410),"",'1_raw_log'!D410)</f>
        <v/>
      </c>
      <c r="E410" s="4">
        <f>IF(ISBLANK('1_raw_log'!E410),"",'1_raw_log'!E410)</f>
        <v/>
      </c>
      <c r="F410" s="2">
        <f>IF(ISBLANK('1_raw_log'!F410),"",'1_raw_log'!F410)</f>
        <v/>
      </c>
      <c r="G410" s="2">
        <f>IF(ISBLANK('1_raw_log'!G410),"",'1_raw_log'!G410)</f>
        <v/>
      </c>
      <c r="H410" s="2">
        <f>IF(ISBLANK('1_raw_log'!H410),"",'1_raw_log'!H410)</f>
        <v/>
      </c>
      <c r="I410" s="7">
        <f>IF(ISBLANK('1_raw_log'!I410),"",'1_raw_log'!I410)</f>
        <v/>
      </c>
      <c r="J410" s="2">
        <f>IF(ISBLANK('1_raw_log'!J410),"",'1_raw_log'!J410)</f>
        <v/>
      </c>
      <c r="K410" s="2">
        <f>IF(ISBLANK('1_raw_log'!K410),"",'1_raw_log'!K410)</f>
        <v/>
      </c>
      <c r="L410" s="30">
        <f>INT(B410)</f>
        <v/>
      </c>
      <c r="M410" s="20">
        <f>ROUND(MOD(B410,1)*1440,0)/1440</f>
        <v/>
      </c>
      <c r="N410" s="4">
        <f>IFERROR(INDEX('3_ref_date'!$B:$B,MATCH(L410,'3_ref_date'!$A:$A,0)),"NOT FOUND")</f>
        <v/>
      </c>
      <c r="O410" s="2">
        <f>IFERROR(INDEX('3_ref_date'!$C:$C,MATCH(L410,'3_ref_date'!$A:$A,0)),"NOT FOUND")</f>
        <v/>
      </c>
      <c r="P410" s="4">
        <f>IFERROR(INDEX('3_ref_date'!$D:$D,MATCH(L410,'3_ref_date'!$A:$A,0)),"NOT FOUND")</f>
        <v/>
      </c>
      <c r="Q410" s="4">
        <f>IFERROR(INDEX('3_ref_date'!$E:$E,MATCH(L410,'3_ref_date'!$A:$A,0)),"NOT FOUND")</f>
        <v/>
      </c>
      <c r="R410" s="2">
        <f>IFERROR(INDEX('3_ref_date'!$F:$F,MATCH(L410,'3_ref_date'!$A:$A,0)),"NOT FOUND")</f>
        <v/>
      </c>
      <c r="S410" s="2">
        <f>IFERROR(INDEX('4_ref_time'!$D:$D,MATCH(ROUND(M410*1440,0),'4_ref_time'!$A:$A,0)),"NOT FOUND")</f>
        <v/>
      </c>
      <c r="T410" s="2">
        <f>UPPER(TRIM(C410))</f>
        <v/>
      </c>
      <c r="U410" s="30">
        <f>IF(_xlfn.MAXIFS('6_3nf_branch_history'!$B$2:$B$50,'6_3nf_branch_history'!$A$2:$A$50,T410,'6_3nf_branch_history'!$B$2:$B$50,"&lt;="&amp;L410)=0,"NOT FOUND",_xlfn.MAXIFS('6_3nf_branch_history'!$B$2:$B$50,'6_3nf_branch_history'!$A$2:$A$50,T410,'6_3nf_branch_history'!$B$2:$B$50,"&lt;="&amp;L410))</f>
        <v/>
      </c>
      <c r="V410" s="2">
        <f>IF(U410="NOT FOUND","NOT FOUND",INDEX('6_3nf_branch_history'!$C:$C,SUMPRODUCT(('6_3nf_branch_history'!$A$2:$A$50=T410)*('6_3nf_branch_history'!$B$2:$B$50=U410)*ROW('6_3nf_branch_history'!$A$2:$A$50))))</f>
        <v/>
      </c>
      <c r="W410" s="2">
        <f>IF(U410="NOT FOUND","NOT FOUND",INDEX('6_3nf_branch_history'!$D:$D,SUMPRODUCT(('6_3nf_branch_history'!$A$2:$A$50=T410)*('6_3nf_branch_history'!$B$2:$B$50=U410)*ROW('6_3nf_branch_history'!$A$2:$A$50))))</f>
        <v/>
      </c>
      <c r="X410" s="2">
        <f>IF(U410="NOT FOUND","NOT FOUND",INDEX('6_3nf_branch_history'!$E:$E,SUMPRODUCT(('6_3nf_branch_history'!$A$2:$A$50=T410)*('6_3nf_branch_history'!$B$2:$B$50=U410)*ROW('6_3nf_branch_history'!$A$2:$A$50))))</f>
        <v/>
      </c>
      <c r="Y410" s="2">
        <f>UPPER(TRIM(D410))</f>
        <v/>
      </c>
      <c r="Z410" s="2">
        <f>IFERROR(INDEX('7_3nf_product'!$B:$B,MATCH(Y410,'7_3nf_product'!$A:$A,0)),"NOT FOUND")</f>
        <v/>
      </c>
      <c r="AA410" s="2">
        <f>IFERROR(INDEX('7_3nf_product'!$C:$C,MATCH(Y410,'7_3nf_product'!$A:$A,0)),"NOT FOUND")</f>
        <v/>
      </c>
      <c r="AB410" s="2">
        <f>IFERROR(INDEX('7_3nf_product'!$D:$D,MATCH(Y410,'7_3nf_product'!$A:$A,0)),"NOT FOUND")</f>
        <v/>
      </c>
      <c r="AC410" s="6">
        <f>IFERROR(INDEX('7_3nf_product'!$E:$E,MATCH(Y410,'7_3nf_product'!$A:$A,0)),"NOT FOUND")</f>
        <v/>
      </c>
      <c r="AD410" s="33">
        <f>IF(LEN(TRIM(E410))=10,TRIM(E410),IF(LEN(TRIM(E410))=8,"00"&amp;TRIM(E410),"CHECK"))</f>
        <v/>
      </c>
      <c r="AE410" s="2">
        <f>IFERROR(INDEX('8_3nf_customer'!$C:$C,MATCH(AD410,'8_3nf_customer'!$B:$B,0)),"NOT FOUND")</f>
        <v/>
      </c>
      <c r="AF410" s="30">
        <f>IFERROR(INDEX('8_3nf_customer'!$D:$D,MATCH(AD410,'8_3nf_customer'!$B:$B,0)),"NOT FOUND")</f>
        <v/>
      </c>
      <c r="AG410" s="4">
        <f>IF(ISNUMBER(AF410),DATEDIF(AF410,L410,"y"),"NOT FOUND")</f>
        <v/>
      </c>
      <c r="AH410" s="2">
        <f>IFERROR(INDEX('8_3nf_customer'!$E:$E,MATCH(AD410,'8_3nf_customer'!$B:$B,0)),"NOT FOUND")</f>
        <v/>
      </c>
      <c r="AI410" s="30">
        <f>IF(_xlfn.MAXIFS('9_3nf_customer_history'!$B$2:$B$500,'9_3nf_customer_history'!$A$2:$A$500,AD410,'9_3nf_customer_history'!$B$2:$B$500,"&lt;="&amp;L410)=0,"NOT FOUND",_xlfn.MAXIFS('9_3nf_customer_history'!$B$2:$B$500,'9_3nf_customer_history'!$A$2:$A$500,AD410,'9_3nf_customer_history'!$B$2:$B$500,"&lt;="&amp;L410))</f>
        <v/>
      </c>
      <c r="AJ410" s="2">
        <f>IF(AI410="NOT FOUND","NOT FOUND",INDEX('9_3nf_customer_history'!$C:$C,SUMPRODUCT(('9_3nf_customer_history'!$A$2:$A$500=AD410)*('9_3nf_customer_history'!$B$2:$B$500=AI410)*ROW('9_3nf_customer_history'!$A$2:$A$500))))</f>
        <v/>
      </c>
      <c r="AK410" s="2">
        <f>IF(AI410="NOT FOUND","NOT FOUND",INDEX('9_3nf_customer_history'!$D:$D,SUMPRODUCT(('9_3nf_customer_history'!$A$2:$A$500=AD410)*('9_3nf_customer_history'!$B$2:$B$500=AI410)*ROW('9_3nf_customer_history'!$A$2:$A$500))))</f>
        <v/>
      </c>
      <c r="AL410" s="2">
        <f>UPPER(TRIM(H410))</f>
        <v/>
      </c>
      <c r="AM410" s="30">
        <f>IF(_xlfn.MAXIFS('10_ref_fx_rate'!$B$2:$B$2000,'10_ref_fx_rate'!$A$2:$A$2000,AL410,'10_ref_fx_rate'!$B$2:$B$2000,"&lt;="&amp;L410)=0,"NOT FOUND",_xlfn.MAXIFS('10_ref_fx_rate'!$B$2:$B$2000,'10_ref_fx_rate'!$A$2:$A$2000,AL410,'10_ref_fx_rate'!$B$2:$B$2000,"&lt;="&amp;L410))</f>
        <v/>
      </c>
      <c r="AN410" s="8">
        <f>IF(AM410="NOT FOUND","NOT FOUND",SUMIFS('10_ref_fx_rate'!$D$2:$D$2000,'10_ref_fx_rate'!$A$2:$A$2000,AL410,'10_ref_fx_rate'!$B$2:$B$2000,AM410))</f>
        <v/>
      </c>
      <c r="AO410" s="37">
        <f>IF(ISNUMBER(AN410),I410*AN410,"NOT FOUND")</f>
        <v/>
      </c>
      <c r="AP410" s="2">
        <f>UPPER(TRIM(J410))</f>
        <v/>
      </c>
      <c r="AQ410" s="2">
        <f>IF(AP410="","SELF-DIRECTED",IF(ISNUMBER(MATCH(AP410,'11_3nf_sales_person'!$A:$A,0)),IF(EXACT(AP410,J410),"OK","OK (auto-fixed)"),IF(ISNA(MATCH($A410,'12_sales_person_confirmation'!$A:$A,0)),"CONFIRM (not logged)",IF(INDEX('12_sales_person_confirmation'!$I:$I,MATCH($A410,'12_sales_person_confirmation'!$A:$A,0))="CONFIRMED","CONFIRMED ("&amp;LOWER(INDEX('12_sales_person_confirmation'!$E:$E,MATCH($A410,'12_sales_person_confirmation'!$A:$A,0)))&amp;")","PENDING CONFIRM"))))</f>
        <v/>
      </c>
      <c r="AR410" s="2">
        <f>IF(OR(AQ410="OK",AQ410="OK (auto-fixed)"),AP410,IF(LEFT(AQ410,9)="CONFIRMED",INDEX('12_sales_person_confirmation'!$F:$F,MATCH($A410,'12_sales_person_confirmation'!$A:$A,0)),""))</f>
        <v/>
      </c>
      <c r="AS410" s="2">
        <f>IF(AR410="","",INDEX('11_3nf_sales_person'!$B:$B,MATCH(AR410,'11_3nf_sales_person'!$A:$A,0)))</f>
        <v/>
      </c>
    </row>
    <row r="411">
      <c r="A411" s="2">
        <f>IF(ISBLANK('1_raw_log'!A411),"",'1_raw_log'!A411)</f>
        <v/>
      </c>
      <c r="B411" s="3">
        <f>IF(ISBLANK('1_raw_log'!B411),"",'1_raw_log'!B411)</f>
        <v/>
      </c>
      <c r="C411" s="2">
        <f>IF(ISBLANK('1_raw_log'!C411),"",'1_raw_log'!C411)</f>
        <v/>
      </c>
      <c r="D411" s="2">
        <f>IF(ISBLANK('1_raw_log'!D411),"",'1_raw_log'!D411)</f>
        <v/>
      </c>
      <c r="E411" s="4">
        <f>IF(ISBLANK('1_raw_log'!E411),"",'1_raw_log'!E411)</f>
        <v/>
      </c>
      <c r="F411" s="2">
        <f>IF(ISBLANK('1_raw_log'!F411),"",'1_raw_log'!F411)</f>
        <v/>
      </c>
      <c r="G411" s="2">
        <f>IF(ISBLANK('1_raw_log'!G411),"",'1_raw_log'!G411)</f>
        <v/>
      </c>
      <c r="H411" s="2">
        <f>IF(ISBLANK('1_raw_log'!H411),"",'1_raw_log'!H411)</f>
        <v/>
      </c>
      <c r="I411" s="7">
        <f>IF(ISBLANK('1_raw_log'!I411),"",'1_raw_log'!I411)</f>
        <v/>
      </c>
      <c r="J411" s="2">
        <f>IF(ISBLANK('1_raw_log'!J411),"",'1_raw_log'!J411)</f>
        <v/>
      </c>
      <c r="K411" s="2">
        <f>IF(ISBLANK('1_raw_log'!K411),"",'1_raw_log'!K411)</f>
        <v/>
      </c>
      <c r="L411" s="30">
        <f>INT(B411)</f>
        <v/>
      </c>
      <c r="M411" s="20">
        <f>ROUND(MOD(B411,1)*1440,0)/1440</f>
        <v/>
      </c>
      <c r="N411" s="4">
        <f>IFERROR(INDEX('3_ref_date'!$B:$B,MATCH(L411,'3_ref_date'!$A:$A,0)),"NOT FOUND")</f>
        <v/>
      </c>
      <c r="O411" s="2">
        <f>IFERROR(INDEX('3_ref_date'!$C:$C,MATCH(L411,'3_ref_date'!$A:$A,0)),"NOT FOUND")</f>
        <v/>
      </c>
      <c r="P411" s="4">
        <f>IFERROR(INDEX('3_ref_date'!$D:$D,MATCH(L411,'3_ref_date'!$A:$A,0)),"NOT FOUND")</f>
        <v/>
      </c>
      <c r="Q411" s="4">
        <f>IFERROR(INDEX('3_ref_date'!$E:$E,MATCH(L411,'3_ref_date'!$A:$A,0)),"NOT FOUND")</f>
        <v/>
      </c>
      <c r="R411" s="2">
        <f>IFERROR(INDEX('3_ref_date'!$F:$F,MATCH(L411,'3_ref_date'!$A:$A,0)),"NOT FOUND")</f>
        <v/>
      </c>
      <c r="S411" s="2">
        <f>IFERROR(INDEX('4_ref_time'!$D:$D,MATCH(ROUND(M411*1440,0),'4_ref_time'!$A:$A,0)),"NOT FOUND")</f>
        <v/>
      </c>
      <c r="T411" s="2">
        <f>UPPER(TRIM(C411))</f>
        <v/>
      </c>
      <c r="U411" s="30">
        <f>IF(_xlfn.MAXIFS('6_3nf_branch_history'!$B$2:$B$50,'6_3nf_branch_history'!$A$2:$A$50,T411,'6_3nf_branch_history'!$B$2:$B$50,"&lt;="&amp;L411)=0,"NOT FOUND",_xlfn.MAXIFS('6_3nf_branch_history'!$B$2:$B$50,'6_3nf_branch_history'!$A$2:$A$50,T411,'6_3nf_branch_history'!$B$2:$B$50,"&lt;="&amp;L411))</f>
        <v/>
      </c>
      <c r="V411" s="2">
        <f>IF(U411="NOT FOUND","NOT FOUND",INDEX('6_3nf_branch_history'!$C:$C,SUMPRODUCT(('6_3nf_branch_history'!$A$2:$A$50=T411)*('6_3nf_branch_history'!$B$2:$B$50=U411)*ROW('6_3nf_branch_history'!$A$2:$A$50))))</f>
        <v/>
      </c>
      <c r="W411" s="2">
        <f>IF(U411="NOT FOUND","NOT FOUND",INDEX('6_3nf_branch_history'!$D:$D,SUMPRODUCT(('6_3nf_branch_history'!$A$2:$A$50=T411)*('6_3nf_branch_history'!$B$2:$B$50=U411)*ROW('6_3nf_branch_history'!$A$2:$A$50))))</f>
        <v/>
      </c>
      <c r="X411" s="2">
        <f>IF(U411="NOT FOUND","NOT FOUND",INDEX('6_3nf_branch_history'!$E:$E,SUMPRODUCT(('6_3nf_branch_history'!$A$2:$A$50=T411)*('6_3nf_branch_history'!$B$2:$B$50=U411)*ROW('6_3nf_branch_history'!$A$2:$A$50))))</f>
        <v/>
      </c>
      <c r="Y411" s="2">
        <f>UPPER(TRIM(D411))</f>
        <v/>
      </c>
      <c r="Z411" s="2">
        <f>IFERROR(INDEX('7_3nf_product'!$B:$B,MATCH(Y411,'7_3nf_product'!$A:$A,0)),"NOT FOUND")</f>
        <v/>
      </c>
      <c r="AA411" s="2">
        <f>IFERROR(INDEX('7_3nf_product'!$C:$C,MATCH(Y411,'7_3nf_product'!$A:$A,0)),"NOT FOUND")</f>
        <v/>
      </c>
      <c r="AB411" s="2">
        <f>IFERROR(INDEX('7_3nf_product'!$D:$D,MATCH(Y411,'7_3nf_product'!$A:$A,0)),"NOT FOUND")</f>
        <v/>
      </c>
      <c r="AC411" s="6">
        <f>IFERROR(INDEX('7_3nf_product'!$E:$E,MATCH(Y411,'7_3nf_product'!$A:$A,0)),"NOT FOUND")</f>
        <v/>
      </c>
      <c r="AD411" s="33">
        <f>IF(LEN(TRIM(E411))=10,TRIM(E411),IF(LEN(TRIM(E411))=8,"00"&amp;TRIM(E411),"CHECK"))</f>
        <v/>
      </c>
      <c r="AE411" s="2">
        <f>IFERROR(INDEX('8_3nf_customer'!$C:$C,MATCH(AD411,'8_3nf_customer'!$B:$B,0)),"NOT FOUND")</f>
        <v/>
      </c>
      <c r="AF411" s="30">
        <f>IFERROR(INDEX('8_3nf_customer'!$D:$D,MATCH(AD411,'8_3nf_customer'!$B:$B,0)),"NOT FOUND")</f>
        <v/>
      </c>
      <c r="AG411" s="4">
        <f>IF(ISNUMBER(AF411),DATEDIF(AF411,L411,"y"),"NOT FOUND")</f>
        <v/>
      </c>
      <c r="AH411" s="2">
        <f>IFERROR(INDEX('8_3nf_customer'!$E:$E,MATCH(AD411,'8_3nf_customer'!$B:$B,0)),"NOT FOUND")</f>
        <v/>
      </c>
      <c r="AI411" s="30">
        <f>IF(_xlfn.MAXIFS('9_3nf_customer_history'!$B$2:$B$500,'9_3nf_customer_history'!$A$2:$A$500,AD411,'9_3nf_customer_history'!$B$2:$B$500,"&lt;="&amp;L411)=0,"NOT FOUND",_xlfn.MAXIFS('9_3nf_customer_history'!$B$2:$B$500,'9_3nf_customer_history'!$A$2:$A$500,AD411,'9_3nf_customer_history'!$B$2:$B$500,"&lt;="&amp;L411))</f>
        <v/>
      </c>
      <c r="AJ411" s="2">
        <f>IF(AI411="NOT FOUND","NOT FOUND",INDEX('9_3nf_customer_history'!$C:$C,SUMPRODUCT(('9_3nf_customer_history'!$A$2:$A$500=AD411)*('9_3nf_customer_history'!$B$2:$B$500=AI411)*ROW('9_3nf_customer_history'!$A$2:$A$500))))</f>
        <v/>
      </c>
      <c r="AK411" s="2">
        <f>IF(AI411="NOT FOUND","NOT FOUND",INDEX('9_3nf_customer_history'!$D:$D,SUMPRODUCT(('9_3nf_customer_history'!$A$2:$A$500=AD411)*('9_3nf_customer_history'!$B$2:$B$500=AI411)*ROW('9_3nf_customer_history'!$A$2:$A$500))))</f>
        <v/>
      </c>
      <c r="AL411" s="2">
        <f>UPPER(TRIM(H411))</f>
        <v/>
      </c>
      <c r="AM411" s="30">
        <f>IF(_xlfn.MAXIFS('10_ref_fx_rate'!$B$2:$B$2000,'10_ref_fx_rate'!$A$2:$A$2000,AL411,'10_ref_fx_rate'!$B$2:$B$2000,"&lt;="&amp;L411)=0,"NOT FOUND",_xlfn.MAXIFS('10_ref_fx_rate'!$B$2:$B$2000,'10_ref_fx_rate'!$A$2:$A$2000,AL411,'10_ref_fx_rate'!$B$2:$B$2000,"&lt;="&amp;L411))</f>
        <v/>
      </c>
      <c r="AN411" s="8">
        <f>IF(AM411="NOT FOUND","NOT FOUND",SUMIFS('10_ref_fx_rate'!$D$2:$D$2000,'10_ref_fx_rate'!$A$2:$A$2000,AL411,'10_ref_fx_rate'!$B$2:$B$2000,AM411))</f>
        <v/>
      </c>
      <c r="AO411" s="37">
        <f>IF(ISNUMBER(AN411),I411*AN411,"NOT FOUND")</f>
        <v/>
      </c>
      <c r="AP411" s="2">
        <f>UPPER(TRIM(J411))</f>
        <v/>
      </c>
      <c r="AQ411" s="2">
        <f>IF(AP411="","SELF-DIRECTED",IF(ISNUMBER(MATCH(AP411,'11_3nf_sales_person'!$A:$A,0)),IF(EXACT(AP411,J411),"OK","OK (auto-fixed)"),IF(ISNA(MATCH($A411,'12_sales_person_confirmation'!$A:$A,0)),"CONFIRM (not logged)",IF(INDEX('12_sales_person_confirmation'!$I:$I,MATCH($A411,'12_sales_person_confirmation'!$A:$A,0))="CONFIRMED","CONFIRMED ("&amp;LOWER(INDEX('12_sales_person_confirmation'!$E:$E,MATCH($A411,'12_sales_person_confirmation'!$A:$A,0)))&amp;")","PENDING CONFIRM"))))</f>
        <v/>
      </c>
      <c r="AR411" s="2">
        <f>IF(OR(AQ411="OK",AQ411="OK (auto-fixed)"),AP411,IF(LEFT(AQ411,9)="CONFIRMED",INDEX('12_sales_person_confirmation'!$F:$F,MATCH($A411,'12_sales_person_confirmation'!$A:$A,0)),""))</f>
        <v/>
      </c>
      <c r="AS411" s="2">
        <f>IF(AR411="","",INDEX('11_3nf_sales_person'!$B:$B,MATCH(AR411,'11_3nf_sales_person'!$A:$A,0)))</f>
        <v/>
      </c>
    </row>
    <row r="412">
      <c r="A412" s="2">
        <f>IF(ISBLANK('1_raw_log'!A412),"",'1_raw_log'!A412)</f>
        <v/>
      </c>
      <c r="B412" s="3">
        <f>IF(ISBLANK('1_raw_log'!B412),"",'1_raw_log'!B412)</f>
        <v/>
      </c>
      <c r="C412" s="2">
        <f>IF(ISBLANK('1_raw_log'!C412),"",'1_raw_log'!C412)</f>
        <v/>
      </c>
      <c r="D412" s="2">
        <f>IF(ISBLANK('1_raw_log'!D412),"",'1_raw_log'!D412)</f>
        <v/>
      </c>
      <c r="E412" s="4">
        <f>IF(ISBLANK('1_raw_log'!E412),"",'1_raw_log'!E412)</f>
        <v/>
      </c>
      <c r="F412" s="2">
        <f>IF(ISBLANK('1_raw_log'!F412),"",'1_raw_log'!F412)</f>
        <v/>
      </c>
      <c r="G412" s="2">
        <f>IF(ISBLANK('1_raw_log'!G412),"",'1_raw_log'!G412)</f>
        <v/>
      </c>
      <c r="H412" s="2">
        <f>IF(ISBLANK('1_raw_log'!H412),"",'1_raw_log'!H412)</f>
        <v/>
      </c>
      <c r="I412" s="7">
        <f>IF(ISBLANK('1_raw_log'!I412),"",'1_raw_log'!I412)</f>
        <v/>
      </c>
      <c r="J412" s="2">
        <f>IF(ISBLANK('1_raw_log'!J412),"",'1_raw_log'!J412)</f>
        <v/>
      </c>
      <c r="K412" s="2">
        <f>IF(ISBLANK('1_raw_log'!K412),"",'1_raw_log'!K412)</f>
        <v/>
      </c>
      <c r="L412" s="30">
        <f>INT(B412)</f>
        <v/>
      </c>
      <c r="M412" s="20">
        <f>ROUND(MOD(B412,1)*1440,0)/1440</f>
        <v/>
      </c>
      <c r="N412" s="4">
        <f>IFERROR(INDEX('3_ref_date'!$B:$B,MATCH(L412,'3_ref_date'!$A:$A,0)),"NOT FOUND")</f>
        <v/>
      </c>
      <c r="O412" s="2">
        <f>IFERROR(INDEX('3_ref_date'!$C:$C,MATCH(L412,'3_ref_date'!$A:$A,0)),"NOT FOUND")</f>
        <v/>
      </c>
      <c r="P412" s="4">
        <f>IFERROR(INDEX('3_ref_date'!$D:$D,MATCH(L412,'3_ref_date'!$A:$A,0)),"NOT FOUND")</f>
        <v/>
      </c>
      <c r="Q412" s="4">
        <f>IFERROR(INDEX('3_ref_date'!$E:$E,MATCH(L412,'3_ref_date'!$A:$A,0)),"NOT FOUND")</f>
        <v/>
      </c>
      <c r="R412" s="2">
        <f>IFERROR(INDEX('3_ref_date'!$F:$F,MATCH(L412,'3_ref_date'!$A:$A,0)),"NOT FOUND")</f>
        <v/>
      </c>
      <c r="S412" s="2">
        <f>IFERROR(INDEX('4_ref_time'!$D:$D,MATCH(ROUND(M412*1440,0),'4_ref_time'!$A:$A,0)),"NOT FOUND")</f>
        <v/>
      </c>
      <c r="T412" s="2">
        <f>UPPER(TRIM(C412))</f>
        <v/>
      </c>
      <c r="U412" s="30">
        <f>IF(_xlfn.MAXIFS('6_3nf_branch_history'!$B$2:$B$50,'6_3nf_branch_history'!$A$2:$A$50,T412,'6_3nf_branch_history'!$B$2:$B$50,"&lt;="&amp;L412)=0,"NOT FOUND",_xlfn.MAXIFS('6_3nf_branch_history'!$B$2:$B$50,'6_3nf_branch_history'!$A$2:$A$50,T412,'6_3nf_branch_history'!$B$2:$B$50,"&lt;="&amp;L412))</f>
        <v/>
      </c>
      <c r="V412" s="2">
        <f>IF(U412="NOT FOUND","NOT FOUND",INDEX('6_3nf_branch_history'!$C:$C,SUMPRODUCT(('6_3nf_branch_history'!$A$2:$A$50=T412)*('6_3nf_branch_history'!$B$2:$B$50=U412)*ROW('6_3nf_branch_history'!$A$2:$A$50))))</f>
        <v/>
      </c>
      <c r="W412" s="2">
        <f>IF(U412="NOT FOUND","NOT FOUND",INDEX('6_3nf_branch_history'!$D:$D,SUMPRODUCT(('6_3nf_branch_history'!$A$2:$A$50=T412)*('6_3nf_branch_history'!$B$2:$B$50=U412)*ROW('6_3nf_branch_history'!$A$2:$A$50))))</f>
        <v/>
      </c>
      <c r="X412" s="2">
        <f>IF(U412="NOT FOUND","NOT FOUND",INDEX('6_3nf_branch_history'!$E:$E,SUMPRODUCT(('6_3nf_branch_history'!$A$2:$A$50=T412)*('6_3nf_branch_history'!$B$2:$B$50=U412)*ROW('6_3nf_branch_history'!$A$2:$A$50))))</f>
        <v/>
      </c>
      <c r="Y412" s="2">
        <f>UPPER(TRIM(D412))</f>
        <v/>
      </c>
      <c r="Z412" s="2">
        <f>IFERROR(INDEX('7_3nf_product'!$B:$B,MATCH(Y412,'7_3nf_product'!$A:$A,0)),"NOT FOUND")</f>
        <v/>
      </c>
      <c r="AA412" s="2">
        <f>IFERROR(INDEX('7_3nf_product'!$C:$C,MATCH(Y412,'7_3nf_product'!$A:$A,0)),"NOT FOUND")</f>
        <v/>
      </c>
      <c r="AB412" s="2">
        <f>IFERROR(INDEX('7_3nf_product'!$D:$D,MATCH(Y412,'7_3nf_product'!$A:$A,0)),"NOT FOUND")</f>
        <v/>
      </c>
      <c r="AC412" s="6">
        <f>IFERROR(INDEX('7_3nf_product'!$E:$E,MATCH(Y412,'7_3nf_product'!$A:$A,0)),"NOT FOUND")</f>
        <v/>
      </c>
      <c r="AD412" s="33">
        <f>IF(LEN(TRIM(E412))=10,TRIM(E412),IF(LEN(TRIM(E412))=8,"00"&amp;TRIM(E412),"CHECK"))</f>
        <v/>
      </c>
      <c r="AE412" s="2">
        <f>IFERROR(INDEX('8_3nf_customer'!$C:$C,MATCH(AD412,'8_3nf_customer'!$B:$B,0)),"NOT FOUND")</f>
        <v/>
      </c>
      <c r="AF412" s="30">
        <f>IFERROR(INDEX('8_3nf_customer'!$D:$D,MATCH(AD412,'8_3nf_customer'!$B:$B,0)),"NOT FOUND")</f>
        <v/>
      </c>
      <c r="AG412" s="4">
        <f>IF(ISNUMBER(AF412),DATEDIF(AF412,L412,"y"),"NOT FOUND")</f>
        <v/>
      </c>
      <c r="AH412" s="2">
        <f>IFERROR(INDEX('8_3nf_customer'!$E:$E,MATCH(AD412,'8_3nf_customer'!$B:$B,0)),"NOT FOUND")</f>
        <v/>
      </c>
      <c r="AI412" s="30">
        <f>IF(_xlfn.MAXIFS('9_3nf_customer_history'!$B$2:$B$500,'9_3nf_customer_history'!$A$2:$A$500,AD412,'9_3nf_customer_history'!$B$2:$B$500,"&lt;="&amp;L412)=0,"NOT FOUND",_xlfn.MAXIFS('9_3nf_customer_history'!$B$2:$B$500,'9_3nf_customer_history'!$A$2:$A$500,AD412,'9_3nf_customer_history'!$B$2:$B$500,"&lt;="&amp;L412))</f>
        <v/>
      </c>
      <c r="AJ412" s="2">
        <f>IF(AI412="NOT FOUND","NOT FOUND",INDEX('9_3nf_customer_history'!$C:$C,SUMPRODUCT(('9_3nf_customer_history'!$A$2:$A$500=AD412)*('9_3nf_customer_history'!$B$2:$B$500=AI412)*ROW('9_3nf_customer_history'!$A$2:$A$500))))</f>
        <v/>
      </c>
      <c r="AK412" s="2">
        <f>IF(AI412="NOT FOUND","NOT FOUND",INDEX('9_3nf_customer_history'!$D:$D,SUMPRODUCT(('9_3nf_customer_history'!$A$2:$A$500=AD412)*('9_3nf_customer_history'!$B$2:$B$500=AI412)*ROW('9_3nf_customer_history'!$A$2:$A$500))))</f>
        <v/>
      </c>
      <c r="AL412" s="2">
        <f>UPPER(TRIM(H412))</f>
        <v/>
      </c>
      <c r="AM412" s="30">
        <f>IF(_xlfn.MAXIFS('10_ref_fx_rate'!$B$2:$B$2000,'10_ref_fx_rate'!$A$2:$A$2000,AL412,'10_ref_fx_rate'!$B$2:$B$2000,"&lt;="&amp;L412)=0,"NOT FOUND",_xlfn.MAXIFS('10_ref_fx_rate'!$B$2:$B$2000,'10_ref_fx_rate'!$A$2:$A$2000,AL412,'10_ref_fx_rate'!$B$2:$B$2000,"&lt;="&amp;L412))</f>
        <v/>
      </c>
      <c r="AN412" s="8">
        <f>IF(AM412="NOT FOUND","NOT FOUND",SUMIFS('10_ref_fx_rate'!$D$2:$D$2000,'10_ref_fx_rate'!$A$2:$A$2000,AL412,'10_ref_fx_rate'!$B$2:$B$2000,AM412))</f>
        <v/>
      </c>
      <c r="AO412" s="37">
        <f>IF(ISNUMBER(AN412),I412*AN412,"NOT FOUND")</f>
        <v/>
      </c>
      <c r="AP412" s="2">
        <f>UPPER(TRIM(J412))</f>
        <v/>
      </c>
      <c r="AQ412" s="2">
        <f>IF(AP412="","SELF-DIRECTED",IF(ISNUMBER(MATCH(AP412,'11_3nf_sales_person'!$A:$A,0)),IF(EXACT(AP412,J412),"OK","OK (auto-fixed)"),IF(ISNA(MATCH($A412,'12_sales_person_confirmation'!$A:$A,0)),"CONFIRM (not logged)",IF(INDEX('12_sales_person_confirmation'!$I:$I,MATCH($A412,'12_sales_person_confirmation'!$A:$A,0))="CONFIRMED","CONFIRMED ("&amp;LOWER(INDEX('12_sales_person_confirmation'!$E:$E,MATCH($A412,'12_sales_person_confirmation'!$A:$A,0)))&amp;")","PENDING CONFIRM"))))</f>
        <v/>
      </c>
      <c r="AR412" s="2">
        <f>IF(OR(AQ412="OK",AQ412="OK (auto-fixed)"),AP412,IF(LEFT(AQ412,9)="CONFIRMED",INDEX('12_sales_person_confirmation'!$F:$F,MATCH($A412,'12_sales_person_confirmation'!$A:$A,0)),""))</f>
        <v/>
      </c>
      <c r="AS412" s="2">
        <f>IF(AR412="","",INDEX('11_3nf_sales_person'!$B:$B,MATCH(AR412,'11_3nf_sales_person'!$A:$A,0)))</f>
        <v/>
      </c>
    </row>
    <row r="413">
      <c r="A413" s="2">
        <f>IF(ISBLANK('1_raw_log'!A413),"",'1_raw_log'!A413)</f>
        <v/>
      </c>
      <c r="B413" s="3">
        <f>IF(ISBLANK('1_raw_log'!B413),"",'1_raw_log'!B413)</f>
        <v/>
      </c>
      <c r="C413" s="2">
        <f>IF(ISBLANK('1_raw_log'!C413),"",'1_raw_log'!C413)</f>
        <v/>
      </c>
      <c r="D413" s="2">
        <f>IF(ISBLANK('1_raw_log'!D413),"",'1_raw_log'!D413)</f>
        <v/>
      </c>
      <c r="E413" s="4">
        <f>IF(ISBLANK('1_raw_log'!E413),"",'1_raw_log'!E413)</f>
        <v/>
      </c>
      <c r="F413" s="2">
        <f>IF(ISBLANK('1_raw_log'!F413),"",'1_raw_log'!F413)</f>
        <v/>
      </c>
      <c r="G413" s="2">
        <f>IF(ISBLANK('1_raw_log'!G413),"",'1_raw_log'!G413)</f>
        <v/>
      </c>
      <c r="H413" s="2">
        <f>IF(ISBLANK('1_raw_log'!H413),"",'1_raw_log'!H413)</f>
        <v/>
      </c>
      <c r="I413" s="7">
        <f>IF(ISBLANK('1_raw_log'!I413),"",'1_raw_log'!I413)</f>
        <v/>
      </c>
      <c r="J413" s="2">
        <f>IF(ISBLANK('1_raw_log'!J413),"",'1_raw_log'!J413)</f>
        <v/>
      </c>
      <c r="K413" s="2">
        <f>IF(ISBLANK('1_raw_log'!K413),"",'1_raw_log'!K413)</f>
        <v/>
      </c>
      <c r="L413" s="30">
        <f>INT(B413)</f>
        <v/>
      </c>
      <c r="M413" s="20">
        <f>ROUND(MOD(B413,1)*1440,0)/1440</f>
        <v/>
      </c>
      <c r="N413" s="4">
        <f>IFERROR(INDEX('3_ref_date'!$B:$B,MATCH(L413,'3_ref_date'!$A:$A,0)),"NOT FOUND")</f>
        <v/>
      </c>
      <c r="O413" s="2">
        <f>IFERROR(INDEX('3_ref_date'!$C:$C,MATCH(L413,'3_ref_date'!$A:$A,0)),"NOT FOUND")</f>
        <v/>
      </c>
      <c r="P413" s="4">
        <f>IFERROR(INDEX('3_ref_date'!$D:$D,MATCH(L413,'3_ref_date'!$A:$A,0)),"NOT FOUND")</f>
        <v/>
      </c>
      <c r="Q413" s="4">
        <f>IFERROR(INDEX('3_ref_date'!$E:$E,MATCH(L413,'3_ref_date'!$A:$A,0)),"NOT FOUND")</f>
        <v/>
      </c>
      <c r="R413" s="2">
        <f>IFERROR(INDEX('3_ref_date'!$F:$F,MATCH(L413,'3_ref_date'!$A:$A,0)),"NOT FOUND")</f>
        <v/>
      </c>
      <c r="S413" s="2">
        <f>IFERROR(INDEX('4_ref_time'!$D:$D,MATCH(ROUND(M413*1440,0),'4_ref_time'!$A:$A,0)),"NOT FOUND")</f>
        <v/>
      </c>
      <c r="T413" s="2">
        <f>UPPER(TRIM(C413))</f>
        <v/>
      </c>
      <c r="U413" s="30">
        <f>IF(_xlfn.MAXIFS('6_3nf_branch_history'!$B$2:$B$50,'6_3nf_branch_history'!$A$2:$A$50,T413,'6_3nf_branch_history'!$B$2:$B$50,"&lt;="&amp;L413)=0,"NOT FOUND",_xlfn.MAXIFS('6_3nf_branch_history'!$B$2:$B$50,'6_3nf_branch_history'!$A$2:$A$50,T413,'6_3nf_branch_history'!$B$2:$B$50,"&lt;="&amp;L413))</f>
        <v/>
      </c>
      <c r="V413" s="2">
        <f>IF(U413="NOT FOUND","NOT FOUND",INDEX('6_3nf_branch_history'!$C:$C,SUMPRODUCT(('6_3nf_branch_history'!$A$2:$A$50=T413)*('6_3nf_branch_history'!$B$2:$B$50=U413)*ROW('6_3nf_branch_history'!$A$2:$A$50))))</f>
        <v/>
      </c>
      <c r="W413" s="2">
        <f>IF(U413="NOT FOUND","NOT FOUND",INDEX('6_3nf_branch_history'!$D:$D,SUMPRODUCT(('6_3nf_branch_history'!$A$2:$A$50=T413)*('6_3nf_branch_history'!$B$2:$B$50=U413)*ROW('6_3nf_branch_history'!$A$2:$A$50))))</f>
        <v/>
      </c>
      <c r="X413" s="2">
        <f>IF(U413="NOT FOUND","NOT FOUND",INDEX('6_3nf_branch_history'!$E:$E,SUMPRODUCT(('6_3nf_branch_history'!$A$2:$A$50=T413)*('6_3nf_branch_history'!$B$2:$B$50=U413)*ROW('6_3nf_branch_history'!$A$2:$A$50))))</f>
        <v/>
      </c>
      <c r="Y413" s="2">
        <f>UPPER(TRIM(D413))</f>
        <v/>
      </c>
      <c r="Z413" s="2">
        <f>IFERROR(INDEX('7_3nf_product'!$B:$B,MATCH(Y413,'7_3nf_product'!$A:$A,0)),"NOT FOUND")</f>
        <v/>
      </c>
      <c r="AA413" s="2">
        <f>IFERROR(INDEX('7_3nf_product'!$C:$C,MATCH(Y413,'7_3nf_product'!$A:$A,0)),"NOT FOUND")</f>
        <v/>
      </c>
      <c r="AB413" s="2">
        <f>IFERROR(INDEX('7_3nf_product'!$D:$D,MATCH(Y413,'7_3nf_product'!$A:$A,0)),"NOT FOUND")</f>
        <v/>
      </c>
      <c r="AC413" s="6">
        <f>IFERROR(INDEX('7_3nf_product'!$E:$E,MATCH(Y413,'7_3nf_product'!$A:$A,0)),"NOT FOUND")</f>
        <v/>
      </c>
      <c r="AD413" s="33">
        <f>IF(LEN(TRIM(E413))=10,TRIM(E413),IF(LEN(TRIM(E413))=8,"00"&amp;TRIM(E413),"CHECK"))</f>
        <v/>
      </c>
      <c r="AE413" s="2">
        <f>IFERROR(INDEX('8_3nf_customer'!$C:$C,MATCH(AD413,'8_3nf_customer'!$B:$B,0)),"NOT FOUND")</f>
        <v/>
      </c>
      <c r="AF413" s="30">
        <f>IFERROR(INDEX('8_3nf_customer'!$D:$D,MATCH(AD413,'8_3nf_customer'!$B:$B,0)),"NOT FOUND")</f>
        <v/>
      </c>
      <c r="AG413" s="4">
        <f>IF(ISNUMBER(AF413),DATEDIF(AF413,L413,"y"),"NOT FOUND")</f>
        <v/>
      </c>
      <c r="AH413" s="2">
        <f>IFERROR(INDEX('8_3nf_customer'!$E:$E,MATCH(AD413,'8_3nf_customer'!$B:$B,0)),"NOT FOUND")</f>
        <v/>
      </c>
      <c r="AI413" s="30">
        <f>IF(_xlfn.MAXIFS('9_3nf_customer_history'!$B$2:$B$500,'9_3nf_customer_history'!$A$2:$A$500,AD413,'9_3nf_customer_history'!$B$2:$B$500,"&lt;="&amp;L413)=0,"NOT FOUND",_xlfn.MAXIFS('9_3nf_customer_history'!$B$2:$B$500,'9_3nf_customer_history'!$A$2:$A$500,AD413,'9_3nf_customer_history'!$B$2:$B$500,"&lt;="&amp;L413))</f>
        <v/>
      </c>
      <c r="AJ413" s="2">
        <f>IF(AI413="NOT FOUND","NOT FOUND",INDEX('9_3nf_customer_history'!$C:$C,SUMPRODUCT(('9_3nf_customer_history'!$A$2:$A$500=AD413)*('9_3nf_customer_history'!$B$2:$B$500=AI413)*ROW('9_3nf_customer_history'!$A$2:$A$500))))</f>
        <v/>
      </c>
      <c r="AK413" s="2">
        <f>IF(AI413="NOT FOUND","NOT FOUND",INDEX('9_3nf_customer_history'!$D:$D,SUMPRODUCT(('9_3nf_customer_history'!$A$2:$A$500=AD413)*('9_3nf_customer_history'!$B$2:$B$500=AI413)*ROW('9_3nf_customer_history'!$A$2:$A$500))))</f>
        <v/>
      </c>
      <c r="AL413" s="2">
        <f>UPPER(TRIM(H413))</f>
        <v/>
      </c>
      <c r="AM413" s="30">
        <f>IF(_xlfn.MAXIFS('10_ref_fx_rate'!$B$2:$B$2000,'10_ref_fx_rate'!$A$2:$A$2000,AL413,'10_ref_fx_rate'!$B$2:$B$2000,"&lt;="&amp;L413)=0,"NOT FOUND",_xlfn.MAXIFS('10_ref_fx_rate'!$B$2:$B$2000,'10_ref_fx_rate'!$A$2:$A$2000,AL413,'10_ref_fx_rate'!$B$2:$B$2000,"&lt;="&amp;L413))</f>
        <v/>
      </c>
      <c r="AN413" s="8">
        <f>IF(AM413="NOT FOUND","NOT FOUND",SUMIFS('10_ref_fx_rate'!$D$2:$D$2000,'10_ref_fx_rate'!$A$2:$A$2000,AL413,'10_ref_fx_rate'!$B$2:$B$2000,AM413))</f>
        <v/>
      </c>
      <c r="AO413" s="37">
        <f>IF(ISNUMBER(AN413),I413*AN413,"NOT FOUND")</f>
        <v/>
      </c>
      <c r="AP413" s="2">
        <f>UPPER(TRIM(J413))</f>
        <v/>
      </c>
      <c r="AQ413" s="2">
        <f>IF(AP413="","SELF-DIRECTED",IF(ISNUMBER(MATCH(AP413,'11_3nf_sales_person'!$A:$A,0)),IF(EXACT(AP413,J413),"OK","OK (auto-fixed)"),IF(ISNA(MATCH($A413,'12_sales_person_confirmation'!$A:$A,0)),"CONFIRM (not logged)",IF(INDEX('12_sales_person_confirmation'!$I:$I,MATCH($A413,'12_sales_person_confirmation'!$A:$A,0))="CONFIRMED","CONFIRMED ("&amp;LOWER(INDEX('12_sales_person_confirmation'!$E:$E,MATCH($A413,'12_sales_person_confirmation'!$A:$A,0)))&amp;")","PENDING CONFIRM"))))</f>
        <v/>
      </c>
      <c r="AR413" s="2">
        <f>IF(OR(AQ413="OK",AQ413="OK (auto-fixed)"),AP413,IF(LEFT(AQ413,9)="CONFIRMED",INDEX('12_sales_person_confirmation'!$F:$F,MATCH($A413,'12_sales_person_confirmation'!$A:$A,0)),""))</f>
        <v/>
      </c>
      <c r="AS413" s="2">
        <f>IF(AR413="","",INDEX('11_3nf_sales_person'!$B:$B,MATCH(AR413,'11_3nf_sales_person'!$A:$A,0)))</f>
        <v/>
      </c>
    </row>
    <row r="414">
      <c r="A414" s="2">
        <f>IF(ISBLANK('1_raw_log'!A414),"",'1_raw_log'!A414)</f>
        <v/>
      </c>
      <c r="B414" s="3">
        <f>IF(ISBLANK('1_raw_log'!B414),"",'1_raw_log'!B414)</f>
        <v/>
      </c>
      <c r="C414" s="2">
        <f>IF(ISBLANK('1_raw_log'!C414),"",'1_raw_log'!C414)</f>
        <v/>
      </c>
      <c r="D414" s="2">
        <f>IF(ISBLANK('1_raw_log'!D414),"",'1_raw_log'!D414)</f>
        <v/>
      </c>
      <c r="E414" s="4">
        <f>IF(ISBLANK('1_raw_log'!E414),"",'1_raw_log'!E414)</f>
        <v/>
      </c>
      <c r="F414" s="2">
        <f>IF(ISBLANK('1_raw_log'!F414),"",'1_raw_log'!F414)</f>
        <v/>
      </c>
      <c r="G414" s="2">
        <f>IF(ISBLANK('1_raw_log'!G414),"",'1_raw_log'!G414)</f>
        <v/>
      </c>
      <c r="H414" s="2">
        <f>IF(ISBLANK('1_raw_log'!H414),"",'1_raw_log'!H414)</f>
        <v/>
      </c>
      <c r="I414" s="7">
        <f>IF(ISBLANK('1_raw_log'!I414),"",'1_raw_log'!I414)</f>
        <v/>
      </c>
      <c r="J414" s="2">
        <f>IF(ISBLANK('1_raw_log'!J414),"",'1_raw_log'!J414)</f>
        <v/>
      </c>
      <c r="K414" s="2">
        <f>IF(ISBLANK('1_raw_log'!K414),"",'1_raw_log'!K414)</f>
        <v/>
      </c>
      <c r="L414" s="30">
        <f>INT(B414)</f>
        <v/>
      </c>
      <c r="M414" s="20">
        <f>ROUND(MOD(B414,1)*1440,0)/1440</f>
        <v/>
      </c>
      <c r="N414" s="4">
        <f>IFERROR(INDEX('3_ref_date'!$B:$B,MATCH(L414,'3_ref_date'!$A:$A,0)),"NOT FOUND")</f>
        <v/>
      </c>
      <c r="O414" s="2">
        <f>IFERROR(INDEX('3_ref_date'!$C:$C,MATCH(L414,'3_ref_date'!$A:$A,0)),"NOT FOUND")</f>
        <v/>
      </c>
      <c r="P414" s="4">
        <f>IFERROR(INDEX('3_ref_date'!$D:$D,MATCH(L414,'3_ref_date'!$A:$A,0)),"NOT FOUND")</f>
        <v/>
      </c>
      <c r="Q414" s="4">
        <f>IFERROR(INDEX('3_ref_date'!$E:$E,MATCH(L414,'3_ref_date'!$A:$A,0)),"NOT FOUND")</f>
        <v/>
      </c>
      <c r="R414" s="2">
        <f>IFERROR(INDEX('3_ref_date'!$F:$F,MATCH(L414,'3_ref_date'!$A:$A,0)),"NOT FOUND")</f>
        <v/>
      </c>
      <c r="S414" s="2">
        <f>IFERROR(INDEX('4_ref_time'!$D:$D,MATCH(ROUND(M414*1440,0),'4_ref_time'!$A:$A,0)),"NOT FOUND")</f>
        <v/>
      </c>
      <c r="T414" s="2">
        <f>UPPER(TRIM(C414))</f>
        <v/>
      </c>
      <c r="U414" s="30">
        <f>IF(_xlfn.MAXIFS('6_3nf_branch_history'!$B$2:$B$50,'6_3nf_branch_history'!$A$2:$A$50,T414,'6_3nf_branch_history'!$B$2:$B$50,"&lt;="&amp;L414)=0,"NOT FOUND",_xlfn.MAXIFS('6_3nf_branch_history'!$B$2:$B$50,'6_3nf_branch_history'!$A$2:$A$50,T414,'6_3nf_branch_history'!$B$2:$B$50,"&lt;="&amp;L414))</f>
        <v/>
      </c>
      <c r="V414" s="2">
        <f>IF(U414="NOT FOUND","NOT FOUND",INDEX('6_3nf_branch_history'!$C:$C,SUMPRODUCT(('6_3nf_branch_history'!$A$2:$A$50=T414)*('6_3nf_branch_history'!$B$2:$B$50=U414)*ROW('6_3nf_branch_history'!$A$2:$A$50))))</f>
        <v/>
      </c>
      <c r="W414" s="2">
        <f>IF(U414="NOT FOUND","NOT FOUND",INDEX('6_3nf_branch_history'!$D:$D,SUMPRODUCT(('6_3nf_branch_history'!$A$2:$A$50=T414)*('6_3nf_branch_history'!$B$2:$B$50=U414)*ROW('6_3nf_branch_history'!$A$2:$A$50))))</f>
        <v/>
      </c>
      <c r="X414" s="2">
        <f>IF(U414="NOT FOUND","NOT FOUND",INDEX('6_3nf_branch_history'!$E:$E,SUMPRODUCT(('6_3nf_branch_history'!$A$2:$A$50=T414)*('6_3nf_branch_history'!$B$2:$B$50=U414)*ROW('6_3nf_branch_history'!$A$2:$A$50))))</f>
        <v/>
      </c>
      <c r="Y414" s="2">
        <f>UPPER(TRIM(D414))</f>
        <v/>
      </c>
      <c r="Z414" s="2">
        <f>IFERROR(INDEX('7_3nf_product'!$B:$B,MATCH(Y414,'7_3nf_product'!$A:$A,0)),"NOT FOUND")</f>
        <v/>
      </c>
      <c r="AA414" s="2">
        <f>IFERROR(INDEX('7_3nf_product'!$C:$C,MATCH(Y414,'7_3nf_product'!$A:$A,0)),"NOT FOUND")</f>
        <v/>
      </c>
      <c r="AB414" s="2">
        <f>IFERROR(INDEX('7_3nf_product'!$D:$D,MATCH(Y414,'7_3nf_product'!$A:$A,0)),"NOT FOUND")</f>
        <v/>
      </c>
      <c r="AC414" s="6">
        <f>IFERROR(INDEX('7_3nf_product'!$E:$E,MATCH(Y414,'7_3nf_product'!$A:$A,0)),"NOT FOUND")</f>
        <v/>
      </c>
      <c r="AD414" s="33">
        <f>IF(LEN(TRIM(E414))=10,TRIM(E414),IF(LEN(TRIM(E414))=8,"00"&amp;TRIM(E414),"CHECK"))</f>
        <v/>
      </c>
      <c r="AE414" s="2">
        <f>IFERROR(INDEX('8_3nf_customer'!$C:$C,MATCH(AD414,'8_3nf_customer'!$B:$B,0)),"NOT FOUND")</f>
        <v/>
      </c>
      <c r="AF414" s="30">
        <f>IFERROR(INDEX('8_3nf_customer'!$D:$D,MATCH(AD414,'8_3nf_customer'!$B:$B,0)),"NOT FOUND")</f>
        <v/>
      </c>
      <c r="AG414" s="4">
        <f>IF(ISNUMBER(AF414),DATEDIF(AF414,L414,"y"),"NOT FOUND")</f>
        <v/>
      </c>
      <c r="AH414" s="2">
        <f>IFERROR(INDEX('8_3nf_customer'!$E:$E,MATCH(AD414,'8_3nf_customer'!$B:$B,0)),"NOT FOUND")</f>
        <v/>
      </c>
      <c r="AI414" s="30">
        <f>IF(_xlfn.MAXIFS('9_3nf_customer_history'!$B$2:$B$500,'9_3nf_customer_history'!$A$2:$A$500,AD414,'9_3nf_customer_history'!$B$2:$B$500,"&lt;="&amp;L414)=0,"NOT FOUND",_xlfn.MAXIFS('9_3nf_customer_history'!$B$2:$B$500,'9_3nf_customer_history'!$A$2:$A$500,AD414,'9_3nf_customer_history'!$B$2:$B$500,"&lt;="&amp;L414))</f>
        <v/>
      </c>
      <c r="AJ414" s="2">
        <f>IF(AI414="NOT FOUND","NOT FOUND",INDEX('9_3nf_customer_history'!$C:$C,SUMPRODUCT(('9_3nf_customer_history'!$A$2:$A$500=AD414)*('9_3nf_customer_history'!$B$2:$B$500=AI414)*ROW('9_3nf_customer_history'!$A$2:$A$500))))</f>
        <v/>
      </c>
      <c r="AK414" s="2">
        <f>IF(AI414="NOT FOUND","NOT FOUND",INDEX('9_3nf_customer_history'!$D:$D,SUMPRODUCT(('9_3nf_customer_history'!$A$2:$A$500=AD414)*('9_3nf_customer_history'!$B$2:$B$500=AI414)*ROW('9_3nf_customer_history'!$A$2:$A$500))))</f>
        <v/>
      </c>
      <c r="AL414" s="2">
        <f>UPPER(TRIM(H414))</f>
        <v/>
      </c>
      <c r="AM414" s="30">
        <f>IF(_xlfn.MAXIFS('10_ref_fx_rate'!$B$2:$B$2000,'10_ref_fx_rate'!$A$2:$A$2000,AL414,'10_ref_fx_rate'!$B$2:$B$2000,"&lt;="&amp;L414)=0,"NOT FOUND",_xlfn.MAXIFS('10_ref_fx_rate'!$B$2:$B$2000,'10_ref_fx_rate'!$A$2:$A$2000,AL414,'10_ref_fx_rate'!$B$2:$B$2000,"&lt;="&amp;L414))</f>
        <v/>
      </c>
      <c r="AN414" s="8">
        <f>IF(AM414="NOT FOUND","NOT FOUND",SUMIFS('10_ref_fx_rate'!$D$2:$D$2000,'10_ref_fx_rate'!$A$2:$A$2000,AL414,'10_ref_fx_rate'!$B$2:$B$2000,AM414))</f>
        <v/>
      </c>
      <c r="AO414" s="37">
        <f>IF(ISNUMBER(AN414),I414*AN414,"NOT FOUND")</f>
        <v/>
      </c>
      <c r="AP414" s="2">
        <f>UPPER(TRIM(J414))</f>
        <v/>
      </c>
      <c r="AQ414" s="2">
        <f>IF(AP414="","SELF-DIRECTED",IF(ISNUMBER(MATCH(AP414,'11_3nf_sales_person'!$A:$A,0)),IF(EXACT(AP414,J414),"OK","OK (auto-fixed)"),IF(ISNA(MATCH($A414,'12_sales_person_confirmation'!$A:$A,0)),"CONFIRM (not logged)",IF(INDEX('12_sales_person_confirmation'!$I:$I,MATCH($A414,'12_sales_person_confirmation'!$A:$A,0))="CONFIRMED","CONFIRMED ("&amp;LOWER(INDEX('12_sales_person_confirmation'!$E:$E,MATCH($A414,'12_sales_person_confirmation'!$A:$A,0)))&amp;")","PENDING CONFIRM"))))</f>
        <v/>
      </c>
      <c r="AR414" s="2">
        <f>IF(OR(AQ414="OK",AQ414="OK (auto-fixed)"),AP414,IF(LEFT(AQ414,9)="CONFIRMED",INDEX('12_sales_person_confirmation'!$F:$F,MATCH($A414,'12_sales_person_confirmation'!$A:$A,0)),""))</f>
        <v/>
      </c>
      <c r="AS414" s="2">
        <f>IF(AR414="","",INDEX('11_3nf_sales_person'!$B:$B,MATCH(AR414,'11_3nf_sales_person'!$A:$A,0)))</f>
        <v/>
      </c>
    </row>
    <row r="415">
      <c r="A415" s="2">
        <f>IF(ISBLANK('1_raw_log'!A415),"",'1_raw_log'!A415)</f>
        <v/>
      </c>
      <c r="B415" s="3">
        <f>IF(ISBLANK('1_raw_log'!B415),"",'1_raw_log'!B415)</f>
        <v/>
      </c>
      <c r="C415" s="2">
        <f>IF(ISBLANK('1_raw_log'!C415),"",'1_raw_log'!C415)</f>
        <v/>
      </c>
      <c r="D415" s="2">
        <f>IF(ISBLANK('1_raw_log'!D415),"",'1_raw_log'!D415)</f>
        <v/>
      </c>
      <c r="E415" s="4">
        <f>IF(ISBLANK('1_raw_log'!E415),"",'1_raw_log'!E415)</f>
        <v/>
      </c>
      <c r="F415" s="2">
        <f>IF(ISBLANK('1_raw_log'!F415),"",'1_raw_log'!F415)</f>
        <v/>
      </c>
      <c r="G415" s="2">
        <f>IF(ISBLANK('1_raw_log'!G415),"",'1_raw_log'!G415)</f>
        <v/>
      </c>
      <c r="H415" s="2">
        <f>IF(ISBLANK('1_raw_log'!H415),"",'1_raw_log'!H415)</f>
        <v/>
      </c>
      <c r="I415" s="7">
        <f>IF(ISBLANK('1_raw_log'!I415),"",'1_raw_log'!I415)</f>
        <v/>
      </c>
      <c r="J415" s="2">
        <f>IF(ISBLANK('1_raw_log'!J415),"",'1_raw_log'!J415)</f>
        <v/>
      </c>
      <c r="K415" s="2">
        <f>IF(ISBLANK('1_raw_log'!K415),"",'1_raw_log'!K415)</f>
        <v/>
      </c>
      <c r="L415" s="30">
        <f>INT(B415)</f>
        <v/>
      </c>
      <c r="M415" s="20">
        <f>ROUND(MOD(B415,1)*1440,0)/1440</f>
        <v/>
      </c>
      <c r="N415" s="4">
        <f>IFERROR(INDEX('3_ref_date'!$B:$B,MATCH(L415,'3_ref_date'!$A:$A,0)),"NOT FOUND")</f>
        <v/>
      </c>
      <c r="O415" s="2">
        <f>IFERROR(INDEX('3_ref_date'!$C:$C,MATCH(L415,'3_ref_date'!$A:$A,0)),"NOT FOUND")</f>
        <v/>
      </c>
      <c r="P415" s="4">
        <f>IFERROR(INDEX('3_ref_date'!$D:$D,MATCH(L415,'3_ref_date'!$A:$A,0)),"NOT FOUND")</f>
        <v/>
      </c>
      <c r="Q415" s="4">
        <f>IFERROR(INDEX('3_ref_date'!$E:$E,MATCH(L415,'3_ref_date'!$A:$A,0)),"NOT FOUND")</f>
        <v/>
      </c>
      <c r="R415" s="2">
        <f>IFERROR(INDEX('3_ref_date'!$F:$F,MATCH(L415,'3_ref_date'!$A:$A,0)),"NOT FOUND")</f>
        <v/>
      </c>
      <c r="S415" s="2">
        <f>IFERROR(INDEX('4_ref_time'!$D:$D,MATCH(ROUND(M415*1440,0),'4_ref_time'!$A:$A,0)),"NOT FOUND")</f>
        <v/>
      </c>
      <c r="T415" s="2">
        <f>UPPER(TRIM(C415))</f>
        <v/>
      </c>
      <c r="U415" s="30">
        <f>IF(_xlfn.MAXIFS('6_3nf_branch_history'!$B$2:$B$50,'6_3nf_branch_history'!$A$2:$A$50,T415,'6_3nf_branch_history'!$B$2:$B$50,"&lt;="&amp;L415)=0,"NOT FOUND",_xlfn.MAXIFS('6_3nf_branch_history'!$B$2:$B$50,'6_3nf_branch_history'!$A$2:$A$50,T415,'6_3nf_branch_history'!$B$2:$B$50,"&lt;="&amp;L415))</f>
        <v/>
      </c>
      <c r="V415" s="2">
        <f>IF(U415="NOT FOUND","NOT FOUND",INDEX('6_3nf_branch_history'!$C:$C,SUMPRODUCT(('6_3nf_branch_history'!$A$2:$A$50=T415)*('6_3nf_branch_history'!$B$2:$B$50=U415)*ROW('6_3nf_branch_history'!$A$2:$A$50))))</f>
        <v/>
      </c>
      <c r="W415" s="2">
        <f>IF(U415="NOT FOUND","NOT FOUND",INDEX('6_3nf_branch_history'!$D:$D,SUMPRODUCT(('6_3nf_branch_history'!$A$2:$A$50=T415)*('6_3nf_branch_history'!$B$2:$B$50=U415)*ROW('6_3nf_branch_history'!$A$2:$A$50))))</f>
        <v/>
      </c>
      <c r="X415" s="2">
        <f>IF(U415="NOT FOUND","NOT FOUND",INDEX('6_3nf_branch_history'!$E:$E,SUMPRODUCT(('6_3nf_branch_history'!$A$2:$A$50=T415)*('6_3nf_branch_history'!$B$2:$B$50=U415)*ROW('6_3nf_branch_history'!$A$2:$A$50))))</f>
        <v/>
      </c>
      <c r="Y415" s="2">
        <f>UPPER(TRIM(D415))</f>
        <v/>
      </c>
      <c r="Z415" s="2">
        <f>IFERROR(INDEX('7_3nf_product'!$B:$B,MATCH(Y415,'7_3nf_product'!$A:$A,0)),"NOT FOUND")</f>
        <v/>
      </c>
      <c r="AA415" s="2">
        <f>IFERROR(INDEX('7_3nf_product'!$C:$C,MATCH(Y415,'7_3nf_product'!$A:$A,0)),"NOT FOUND")</f>
        <v/>
      </c>
      <c r="AB415" s="2">
        <f>IFERROR(INDEX('7_3nf_product'!$D:$D,MATCH(Y415,'7_3nf_product'!$A:$A,0)),"NOT FOUND")</f>
        <v/>
      </c>
      <c r="AC415" s="6">
        <f>IFERROR(INDEX('7_3nf_product'!$E:$E,MATCH(Y415,'7_3nf_product'!$A:$A,0)),"NOT FOUND")</f>
        <v/>
      </c>
      <c r="AD415" s="33">
        <f>IF(LEN(TRIM(E415))=10,TRIM(E415),IF(LEN(TRIM(E415))=8,"00"&amp;TRIM(E415),"CHECK"))</f>
        <v/>
      </c>
      <c r="AE415" s="2">
        <f>IFERROR(INDEX('8_3nf_customer'!$C:$C,MATCH(AD415,'8_3nf_customer'!$B:$B,0)),"NOT FOUND")</f>
        <v/>
      </c>
      <c r="AF415" s="30">
        <f>IFERROR(INDEX('8_3nf_customer'!$D:$D,MATCH(AD415,'8_3nf_customer'!$B:$B,0)),"NOT FOUND")</f>
        <v/>
      </c>
      <c r="AG415" s="4">
        <f>IF(ISNUMBER(AF415),DATEDIF(AF415,L415,"y"),"NOT FOUND")</f>
        <v/>
      </c>
      <c r="AH415" s="2">
        <f>IFERROR(INDEX('8_3nf_customer'!$E:$E,MATCH(AD415,'8_3nf_customer'!$B:$B,0)),"NOT FOUND")</f>
        <v/>
      </c>
      <c r="AI415" s="30">
        <f>IF(_xlfn.MAXIFS('9_3nf_customer_history'!$B$2:$B$500,'9_3nf_customer_history'!$A$2:$A$500,AD415,'9_3nf_customer_history'!$B$2:$B$500,"&lt;="&amp;L415)=0,"NOT FOUND",_xlfn.MAXIFS('9_3nf_customer_history'!$B$2:$B$500,'9_3nf_customer_history'!$A$2:$A$500,AD415,'9_3nf_customer_history'!$B$2:$B$500,"&lt;="&amp;L415))</f>
        <v/>
      </c>
      <c r="AJ415" s="2">
        <f>IF(AI415="NOT FOUND","NOT FOUND",INDEX('9_3nf_customer_history'!$C:$C,SUMPRODUCT(('9_3nf_customer_history'!$A$2:$A$500=AD415)*('9_3nf_customer_history'!$B$2:$B$500=AI415)*ROW('9_3nf_customer_history'!$A$2:$A$500))))</f>
        <v/>
      </c>
      <c r="AK415" s="2">
        <f>IF(AI415="NOT FOUND","NOT FOUND",INDEX('9_3nf_customer_history'!$D:$D,SUMPRODUCT(('9_3nf_customer_history'!$A$2:$A$500=AD415)*('9_3nf_customer_history'!$B$2:$B$500=AI415)*ROW('9_3nf_customer_history'!$A$2:$A$500))))</f>
        <v/>
      </c>
      <c r="AL415" s="2">
        <f>UPPER(TRIM(H415))</f>
        <v/>
      </c>
      <c r="AM415" s="30">
        <f>IF(_xlfn.MAXIFS('10_ref_fx_rate'!$B$2:$B$2000,'10_ref_fx_rate'!$A$2:$A$2000,AL415,'10_ref_fx_rate'!$B$2:$B$2000,"&lt;="&amp;L415)=0,"NOT FOUND",_xlfn.MAXIFS('10_ref_fx_rate'!$B$2:$B$2000,'10_ref_fx_rate'!$A$2:$A$2000,AL415,'10_ref_fx_rate'!$B$2:$B$2000,"&lt;="&amp;L415))</f>
        <v/>
      </c>
      <c r="AN415" s="8">
        <f>IF(AM415="NOT FOUND","NOT FOUND",SUMIFS('10_ref_fx_rate'!$D$2:$D$2000,'10_ref_fx_rate'!$A$2:$A$2000,AL415,'10_ref_fx_rate'!$B$2:$B$2000,AM415))</f>
        <v/>
      </c>
      <c r="AO415" s="37">
        <f>IF(ISNUMBER(AN415),I415*AN415,"NOT FOUND")</f>
        <v/>
      </c>
      <c r="AP415" s="2">
        <f>UPPER(TRIM(J415))</f>
        <v/>
      </c>
      <c r="AQ415" s="2">
        <f>IF(AP415="","SELF-DIRECTED",IF(ISNUMBER(MATCH(AP415,'11_3nf_sales_person'!$A:$A,0)),IF(EXACT(AP415,J415),"OK","OK (auto-fixed)"),IF(ISNA(MATCH($A415,'12_sales_person_confirmation'!$A:$A,0)),"CONFIRM (not logged)",IF(INDEX('12_sales_person_confirmation'!$I:$I,MATCH($A415,'12_sales_person_confirmation'!$A:$A,0))="CONFIRMED","CONFIRMED ("&amp;LOWER(INDEX('12_sales_person_confirmation'!$E:$E,MATCH($A415,'12_sales_person_confirmation'!$A:$A,0)))&amp;")","PENDING CONFIRM"))))</f>
        <v/>
      </c>
      <c r="AR415" s="2">
        <f>IF(OR(AQ415="OK",AQ415="OK (auto-fixed)"),AP415,IF(LEFT(AQ415,9)="CONFIRMED",INDEX('12_sales_person_confirmation'!$F:$F,MATCH($A415,'12_sales_person_confirmation'!$A:$A,0)),""))</f>
        <v/>
      </c>
      <c r="AS415" s="2">
        <f>IF(AR415="","",INDEX('11_3nf_sales_person'!$B:$B,MATCH(AR415,'11_3nf_sales_person'!$A:$A,0)))</f>
        <v/>
      </c>
    </row>
    <row r="416">
      <c r="A416" s="2">
        <f>IF(ISBLANK('1_raw_log'!A416),"",'1_raw_log'!A416)</f>
        <v/>
      </c>
      <c r="B416" s="3">
        <f>IF(ISBLANK('1_raw_log'!B416),"",'1_raw_log'!B416)</f>
        <v/>
      </c>
      <c r="C416" s="2">
        <f>IF(ISBLANK('1_raw_log'!C416),"",'1_raw_log'!C416)</f>
        <v/>
      </c>
      <c r="D416" s="2">
        <f>IF(ISBLANK('1_raw_log'!D416),"",'1_raw_log'!D416)</f>
        <v/>
      </c>
      <c r="E416" s="4">
        <f>IF(ISBLANK('1_raw_log'!E416),"",'1_raw_log'!E416)</f>
        <v/>
      </c>
      <c r="F416" s="2">
        <f>IF(ISBLANK('1_raw_log'!F416),"",'1_raw_log'!F416)</f>
        <v/>
      </c>
      <c r="G416" s="2">
        <f>IF(ISBLANK('1_raw_log'!G416),"",'1_raw_log'!G416)</f>
        <v/>
      </c>
      <c r="H416" s="2">
        <f>IF(ISBLANK('1_raw_log'!H416),"",'1_raw_log'!H416)</f>
        <v/>
      </c>
      <c r="I416" s="7">
        <f>IF(ISBLANK('1_raw_log'!I416),"",'1_raw_log'!I416)</f>
        <v/>
      </c>
      <c r="J416" s="2">
        <f>IF(ISBLANK('1_raw_log'!J416),"",'1_raw_log'!J416)</f>
        <v/>
      </c>
      <c r="K416" s="2">
        <f>IF(ISBLANK('1_raw_log'!K416),"",'1_raw_log'!K416)</f>
        <v/>
      </c>
      <c r="L416" s="30">
        <f>INT(B416)</f>
        <v/>
      </c>
      <c r="M416" s="20">
        <f>ROUND(MOD(B416,1)*1440,0)/1440</f>
        <v/>
      </c>
      <c r="N416" s="4">
        <f>IFERROR(INDEX('3_ref_date'!$B:$B,MATCH(L416,'3_ref_date'!$A:$A,0)),"NOT FOUND")</f>
        <v/>
      </c>
      <c r="O416" s="2">
        <f>IFERROR(INDEX('3_ref_date'!$C:$C,MATCH(L416,'3_ref_date'!$A:$A,0)),"NOT FOUND")</f>
        <v/>
      </c>
      <c r="P416" s="4">
        <f>IFERROR(INDEX('3_ref_date'!$D:$D,MATCH(L416,'3_ref_date'!$A:$A,0)),"NOT FOUND")</f>
        <v/>
      </c>
      <c r="Q416" s="4">
        <f>IFERROR(INDEX('3_ref_date'!$E:$E,MATCH(L416,'3_ref_date'!$A:$A,0)),"NOT FOUND")</f>
        <v/>
      </c>
      <c r="R416" s="2">
        <f>IFERROR(INDEX('3_ref_date'!$F:$F,MATCH(L416,'3_ref_date'!$A:$A,0)),"NOT FOUND")</f>
        <v/>
      </c>
      <c r="S416" s="2">
        <f>IFERROR(INDEX('4_ref_time'!$D:$D,MATCH(ROUND(M416*1440,0),'4_ref_time'!$A:$A,0)),"NOT FOUND")</f>
        <v/>
      </c>
      <c r="T416" s="2">
        <f>UPPER(TRIM(C416))</f>
        <v/>
      </c>
      <c r="U416" s="30">
        <f>IF(_xlfn.MAXIFS('6_3nf_branch_history'!$B$2:$B$50,'6_3nf_branch_history'!$A$2:$A$50,T416,'6_3nf_branch_history'!$B$2:$B$50,"&lt;="&amp;L416)=0,"NOT FOUND",_xlfn.MAXIFS('6_3nf_branch_history'!$B$2:$B$50,'6_3nf_branch_history'!$A$2:$A$50,T416,'6_3nf_branch_history'!$B$2:$B$50,"&lt;="&amp;L416))</f>
        <v/>
      </c>
      <c r="V416" s="2">
        <f>IF(U416="NOT FOUND","NOT FOUND",INDEX('6_3nf_branch_history'!$C:$C,SUMPRODUCT(('6_3nf_branch_history'!$A$2:$A$50=T416)*('6_3nf_branch_history'!$B$2:$B$50=U416)*ROW('6_3nf_branch_history'!$A$2:$A$50))))</f>
        <v/>
      </c>
      <c r="W416" s="2">
        <f>IF(U416="NOT FOUND","NOT FOUND",INDEX('6_3nf_branch_history'!$D:$D,SUMPRODUCT(('6_3nf_branch_history'!$A$2:$A$50=T416)*('6_3nf_branch_history'!$B$2:$B$50=U416)*ROW('6_3nf_branch_history'!$A$2:$A$50))))</f>
        <v/>
      </c>
      <c r="X416" s="2">
        <f>IF(U416="NOT FOUND","NOT FOUND",INDEX('6_3nf_branch_history'!$E:$E,SUMPRODUCT(('6_3nf_branch_history'!$A$2:$A$50=T416)*('6_3nf_branch_history'!$B$2:$B$50=U416)*ROW('6_3nf_branch_history'!$A$2:$A$50))))</f>
        <v/>
      </c>
      <c r="Y416" s="2">
        <f>UPPER(TRIM(D416))</f>
        <v/>
      </c>
      <c r="Z416" s="2">
        <f>IFERROR(INDEX('7_3nf_product'!$B:$B,MATCH(Y416,'7_3nf_product'!$A:$A,0)),"NOT FOUND")</f>
        <v/>
      </c>
      <c r="AA416" s="2">
        <f>IFERROR(INDEX('7_3nf_product'!$C:$C,MATCH(Y416,'7_3nf_product'!$A:$A,0)),"NOT FOUND")</f>
        <v/>
      </c>
      <c r="AB416" s="2">
        <f>IFERROR(INDEX('7_3nf_product'!$D:$D,MATCH(Y416,'7_3nf_product'!$A:$A,0)),"NOT FOUND")</f>
        <v/>
      </c>
      <c r="AC416" s="6">
        <f>IFERROR(INDEX('7_3nf_product'!$E:$E,MATCH(Y416,'7_3nf_product'!$A:$A,0)),"NOT FOUND")</f>
        <v/>
      </c>
      <c r="AD416" s="33">
        <f>IF(LEN(TRIM(E416))=10,TRIM(E416),IF(LEN(TRIM(E416))=8,"00"&amp;TRIM(E416),"CHECK"))</f>
        <v/>
      </c>
      <c r="AE416" s="2">
        <f>IFERROR(INDEX('8_3nf_customer'!$C:$C,MATCH(AD416,'8_3nf_customer'!$B:$B,0)),"NOT FOUND")</f>
        <v/>
      </c>
      <c r="AF416" s="30">
        <f>IFERROR(INDEX('8_3nf_customer'!$D:$D,MATCH(AD416,'8_3nf_customer'!$B:$B,0)),"NOT FOUND")</f>
        <v/>
      </c>
      <c r="AG416" s="4">
        <f>IF(ISNUMBER(AF416),DATEDIF(AF416,L416,"y"),"NOT FOUND")</f>
        <v/>
      </c>
      <c r="AH416" s="2">
        <f>IFERROR(INDEX('8_3nf_customer'!$E:$E,MATCH(AD416,'8_3nf_customer'!$B:$B,0)),"NOT FOUND")</f>
        <v/>
      </c>
      <c r="AI416" s="30">
        <f>IF(_xlfn.MAXIFS('9_3nf_customer_history'!$B$2:$B$500,'9_3nf_customer_history'!$A$2:$A$500,AD416,'9_3nf_customer_history'!$B$2:$B$500,"&lt;="&amp;L416)=0,"NOT FOUND",_xlfn.MAXIFS('9_3nf_customer_history'!$B$2:$B$500,'9_3nf_customer_history'!$A$2:$A$500,AD416,'9_3nf_customer_history'!$B$2:$B$500,"&lt;="&amp;L416))</f>
        <v/>
      </c>
      <c r="AJ416" s="2">
        <f>IF(AI416="NOT FOUND","NOT FOUND",INDEX('9_3nf_customer_history'!$C:$C,SUMPRODUCT(('9_3nf_customer_history'!$A$2:$A$500=AD416)*('9_3nf_customer_history'!$B$2:$B$500=AI416)*ROW('9_3nf_customer_history'!$A$2:$A$500))))</f>
        <v/>
      </c>
      <c r="AK416" s="2">
        <f>IF(AI416="NOT FOUND","NOT FOUND",INDEX('9_3nf_customer_history'!$D:$D,SUMPRODUCT(('9_3nf_customer_history'!$A$2:$A$500=AD416)*('9_3nf_customer_history'!$B$2:$B$500=AI416)*ROW('9_3nf_customer_history'!$A$2:$A$500))))</f>
        <v/>
      </c>
      <c r="AL416" s="2">
        <f>UPPER(TRIM(H416))</f>
        <v/>
      </c>
      <c r="AM416" s="30">
        <f>IF(_xlfn.MAXIFS('10_ref_fx_rate'!$B$2:$B$2000,'10_ref_fx_rate'!$A$2:$A$2000,AL416,'10_ref_fx_rate'!$B$2:$B$2000,"&lt;="&amp;L416)=0,"NOT FOUND",_xlfn.MAXIFS('10_ref_fx_rate'!$B$2:$B$2000,'10_ref_fx_rate'!$A$2:$A$2000,AL416,'10_ref_fx_rate'!$B$2:$B$2000,"&lt;="&amp;L416))</f>
        <v/>
      </c>
      <c r="AN416" s="8">
        <f>IF(AM416="NOT FOUND","NOT FOUND",SUMIFS('10_ref_fx_rate'!$D$2:$D$2000,'10_ref_fx_rate'!$A$2:$A$2000,AL416,'10_ref_fx_rate'!$B$2:$B$2000,AM416))</f>
        <v/>
      </c>
      <c r="AO416" s="37">
        <f>IF(ISNUMBER(AN416),I416*AN416,"NOT FOUND")</f>
        <v/>
      </c>
      <c r="AP416" s="2">
        <f>UPPER(TRIM(J416))</f>
        <v/>
      </c>
      <c r="AQ416" s="2">
        <f>IF(AP416="","SELF-DIRECTED",IF(ISNUMBER(MATCH(AP416,'11_3nf_sales_person'!$A:$A,0)),IF(EXACT(AP416,J416),"OK","OK (auto-fixed)"),IF(ISNA(MATCH($A416,'12_sales_person_confirmation'!$A:$A,0)),"CONFIRM (not logged)",IF(INDEX('12_sales_person_confirmation'!$I:$I,MATCH($A416,'12_sales_person_confirmation'!$A:$A,0))="CONFIRMED","CONFIRMED ("&amp;LOWER(INDEX('12_sales_person_confirmation'!$E:$E,MATCH($A416,'12_sales_person_confirmation'!$A:$A,0)))&amp;")","PENDING CONFIRM"))))</f>
        <v/>
      </c>
      <c r="AR416" s="2">
        <f>IF(OR(AQ416="OK",AQ416="OK (auto-fixed)"),AP416,IF(LEFT(AQ416,9)="CONFIRMED",INDEX('12_sales_person_confirmation'!$F:$F,MATCH($A416,'12_sales_person_confirmation'!$A:$A,0)),""))</f>
        <v/>
      </c>
      <c r="AS416" s="2">
        <f>IF(AR416="","",INDEX('11_3nf_sales_person'!$B:$B,MATCH(AR416,'11_3nf_sales_person'!$A:$A,0)))</f>
        <v/>
      </c>
    </row>
    <row r="417">
      <c r="A417" s="2">
        <f>IF(ISBLANK('1_raw_log'!A417),"",'1_raw_log'!A417)</f>
        <v/>
      </c>
      <c r="B417" s="3">
        <f>IF(ISBLANK('1_raw_log'!B417),"",'1_raw_log'!B417)</f>
        <v/>
      </c>
      <c r="C417" s="2">
        <f>IF(ISBLANK('1_raw_log'!C417),"",'1_raw_log'!C417)</f>
        <v/>
      </c>
      <c r="D417" s="2">
        <f>IF(ISBLANK('1_raw_log'!D417),"",'1_raw_log'!D417)</f>
        <v/>
      </c>
      <c r="E417" s="4">
        <f>IF(ISBLANK('1_raw_log'!E417),"",'1_raw_log'!E417)</f>
        <v/>
      </c>
      <c r="F417" s="2">
        <f>IF(ISBLANK('1_raw_log'!F417),"",'1_raw_log'!F417)</f>
        <v/>
      </c>
      <c r="G417" s="2">
        <f>IF(ISBLANK('1_raw_log'!G417),"",'1_raw_log'!G417)</f>
        <v/>
      </c>
      <c r="H417" s="2">
        <f>IF(ISBLANK('1_raw_log'!H417),"",'1_raw_log'!H417)</f>
        <v/>
      </c>
      <c r="I417" s="7">
        <f>IF(ISBLANK('1_raw_log'!I417),"",'1_raw_log'!I417)</f>
        <v/>
      </c>
      <c r="J417" s="2">
        <f>IF(ISBLANK('1_raw_log'!J417),"",'1_raw_log'!J417)</f>
        <v/>
      </c>
      <c r="K417" s="2">
        <f>IF(ISBLANK('1_raw_log'!K417),"",'1_raw_log'!K417)</f>
        <v/>
      </c>
      <c r="L417" s="30">
        <f>INT(B417)</f>
        <v/>
      </c>
      <c r="M417" s="20">
        <f>ROUND(MOD(B417,1)*1440,0)/1440</f>
        <v/>
      </c>
      <c r="N417" s="4">
        <f>IFERROR(INDEX('3_ref_date'!$B:$B,MATCH(L417,'3_ref_date'!$A:$A,0)),"NOT FOUND")</f>
        <v/>
      </c>
      <c r="O417" s="2">
        <f>IFERROR(INDEX('3_ref_date'!$C:$C,MATCH(L417,'3_ref_date'!$A:$A,0)),"NOT FOUND")</f>
        <v/>
      </c>
      <c r="P417" s="4">
        <f>IFERROR(INDEX('3_ref_date'!$D:$D,MATCH(L417,'3_ref_date'!$A:$A,0)),"NOT FOUND")</f>
        <v/>
      </c>
      <c r="Q417" s="4">
        <f>IFERROR(INDEX('3_ref_date'!$E:$E,MATCH(L417,'3_ref_date'!$A:$A,0)),"NOT FOUND")</f>
        <v/>
      </c>
      <c r="R417" s="2">
        <f>IFERROR(INDEX('3_ref_date'!$F:$F,MATCH(L417,'3_ref_date'!$A:$A,0)),"NOT FOUND")</f>
        <v/>
      </c>
      <c r="S417" s="2">
        <f>IFERROR(INDEX('4_ref_time'!$D:$D,MATCH(ROUND(M417*1440,0),'4_ref_time'!$A:$A,0)),"NOT FOUND")</f>
        <v/>
      </c>
      <c r="T417" s="2">
        <f>UPPER(TRIM(C417))</f>
        <v/>
      </c>
      <c r="U417" s="30">
        <f>IF(_xlfn.MAXIFS('6_3nf_branch_history'!$B$2:$B$50,'6_3nf_branch_history'!$A$2:$A$50,T417,'6_3nf_branch_history'!$B$2:$B$50,"&lt;="&amp;L417)=0,"NOT FOUND",_xlfn.MAXIFS('6_3nf_branch_history'!$B$2:$B$50,'6_3nf_branch_history'!$A$2:$A$50,T417,'6_3nf_branch_history'!$B$2:$B$50,"&lt;="&amp;L417))</f>
        <v/>
      </c>
      <c r="V417" s="2">
        <f>IF(U417="NOT FOUND","NOT FOUND",INDEX('6_3nf_branch_history'!$C:$C,SUMPRODUCT(('6_3nf_branch_history'!$A$2:$A$50=T417)*('6_3nf_branch_history'!$B$2:$B$50=U417)*ROW('6_3nf_branch_history'!$A$2:$A$50))))</f>
        <v/>
      </c>
      <c r="W417" s="2">
        <f>IF(U417="NOT FOUND","NOT FOUND",INDEX('6_3nf_branch_history'!$D:$D,SUMPRODUCT(('6_3nf_branch_history'!$A$2:$A$50=T417)*('6_3nf_branch_history'!$B$2:$B$50=U417)*ROW('6_3nf_branch_history'!$A$2:$A$50))))</f>
        <v/>
      </c>
      <c r="X417" s="2">
        <f>IF(U417="NOT FOUND","NOT FOUND",INDEX('6_3nf_branch_history'!$E:$E,SUMPRODUCT(('6_3nf_branch_history'!$A$2:$A$50=T417)*('6_3nf_branch_history'!$B$2:$B$50=U417)*ROW('6_3nf_branch_history'!$A$2:$A$50))))</f>
        <v/>
      </c>
      <c r="Y417" s="2">
        <f>UPPER(TRIM(D417))</f>
        <v/>
      </c>
      <c r="Z417" s="2">
        <f>IFERROR(INDEX('7_3nf_product'!$B:$B,MATCH(Y417,'7_3nf_product'!$A:$A,0)),"NOT FOUND")</f>
        <v/>
      </c>
      <c r="AA417" s="2">
        <f>IFERROR(INDEX('7_3nf_product'!$C:$C,MATCH(Y417,'7_3nf_product'!$A:$A,0)),"NOT FOUND")</f>
        <v/>
      </c>
      <c r="AB417" s="2">
        <f>IFERROR(INDEX('7_3nf_product'!$D:$D,MATCH(Y417,'7_3nf_product'!$A:$A,0)),"NOT FOUND")</f>
        <v/>
      </c>
      <c r="AC417" s="6">
        <f>IFERROR(INDEX('7_3nf_product'!$E:$E,MATCH(Y417,'7_3nf_product'!$A:$A,0)),"NOT FOUND")</f>
        <v/>
      </c>
      <c r="AD417" s="33">
        <f>IF(LEN(TRIM(E417))=10,TRIM(E417),IF(LEN(TRIM(E417))=8,"00"&amp;TRIM(E417),"CHECK"))</f>
        <v/>
      </c>
      <c r="AE417" s="2">
        <f>IFERROR(INDEX('8_3nf_customer'!$C:$C,MATCH(AD417,'8_3nf_customer'!$B:$B,0)),"NOT FOUND")</f>
        <v/>
      </c>
      <c r="AF417" s="30">
        <f>IFERROR(INDEX('8_3nf_customer'!$D:$D,MATCH(AD417,'8_3nf_customer'!$B:$B,0)),"NOT FOUND")</f>
        <v/>
      </c>
      <c r="AG417" s="4">
        <f>IF(ISNUMBER(AF417),DATEDIF(AF417,L417,"y"),"NOT FOUND")</f>
        <v/>
      </c>
      <c r="AH417" s="2">
        <f>IFERROR(INDEX('8_3nf_customer'!$E:$E,MATCH(AD417,'8_3nf_customer'!$B:$B,0)),"NOT FOUND")</f>
        <v/>
      </c>
      <c r="AI417" s="30">
        <f>IF(_xlfn.MAXIFS('9_3nf_customer_history'!$B$2:$B$500,'9_3nf_customer_history'!$A$2:$A$500,AD417,'9_3nf_customer_history'!$B$2:$B$500,"&lt;="&amp;L417)=0,"NOT FOUND",_xlfn.MAXIFS('9_3nf_customer_history'!$B$2:$B$500,'9_3nf_customer_history'!$A$2:$A$500,AD417,'9_3nf_customer_history'!$B$2:$B$500,"&lt;="&amp;L417))</f>
        <v/>
      </c>
      <c r="AJ417" s="2">
        <f>IF(AI417="NOT FOUND","NOT FOUND",INDEX('9_3nf_customer_history'!$C:$C,SUMPRODUCT(('9_3nf_customer_history'!$A$2:$A$500=AD417)*('9_3nf_customer_history'!$B$2:$B$500=AI417)*ROW('9_3nf_customer_history'!$A$2:$A$500))))</f>
        <v/>
      </c>
      <c r="AK417" s="2">
        <f>IF(AI417="NOT FOUND","NOT FOUND",INDEX('9_3nf_customer_history'!$D:$D,SUMPRODUCT(('9_3nf_customer_history'!$A$2:$A$500=AD417)*('9_3nf_customer_history'!$B$2:$B$500=AI417)*ROW('9_3nf_customer_history'!$A$2:$A$500))))</f>
        <v/>
      </c>
      <c r="AL417" s="2">
        <f>UPPER(TRIM(H417))</f>
        <v/>
      </c>
      <c r="AM417" s="30">
        <f>IF(_xlfn.MAXIFS('10_ref_fx_rate'!$B$2:$B$2000,'10_ref_fx_rate'!$A$2:$A$2000,AL417,'10_ref_fx_rate'!$B$2:$B$2000,"&lt;="&amp;L417)=0,"NOT FOUND",_xlfn.MAXIFS('10_ref_fx_rate'!$B$2:$B$2000,'10_ref_fx_rate'!$A$2:$A$2000,AL417,'10_ref_fx_rate'!$B$2:$B$2000,"&lt;="&amp;L417))</f>
        <v/>
      </c>
      <c r="AN417" s="8">
        <f>IF(AM417="NOT FOUND","NOT FOUND",SUMIFS('10_ref_fx_rate'!$D$2:$D$2000,'10_ref_fx_rate'!$A$2:$A$2000,AL417,'10_ref_fx_rate'!$B$2:$B$2000,AM417))</f>
        <v/>
      </c>
      <c r="AO417" s="37">
        <f>IF(ISNUMBER(AN417),I417*AN417,"NOT FOUND")</f>
        <v/>
      </c>
      <c r="AP417" s="2">
        <f>UPPER(TRIM(J417))</f>
        <v/>
      </c>
      <c r="AQ417" s="2">
        <f>IF(AP417="","SELF-DIRECTED",IF(ISNUMBER(MATCH(AP417,'11_3nf_sales_person'!$A:$A,0)),IF(EXACT(AP417,J417),"OK","OK (auto-fixed)"),IF(ISNA(MATCH($A417,'12_sales_person_confirmation'!$A:$A,0)),"CONFIRM (not logged)",IF(INDEX('12_sales_person_confirmation'!$I:$I,MATCH($A417,'12_sales_person_confirmation'!$A:$A,0))="CONFIRMED","CONFIRMED ("&amp;LOWER(INDEX('12_sales_person_confirmation'!$E:$E,MATCH($A417,'12_sales_person_confirmation'!$A:$A,0)))&amp;")","PENDING CONFIRM"))))</f>
        <v/>
      </c>
      <c r="AR417" s="2">
        <f>IF(OR(AQ417="OK",AQ417="OK (auto-fixed)"),AP417,IF(LEFT(AQ417,9)="CONFIRMED",INDEX('12_sales_person_confirmation'!$F:$F,MATCH($A417,'12_sales_person_confirmation'!$A:$A,0)),""))</f>
        <v/>
      </c>
      <c r="AS417" s="2">
        <f>IF(AR417="","",INDEX('11_3nf_sales_person'!$B:$B,MATCH(AR417,'11_3nf_sales_person'!$A:$A,0)))</f>
        <v/>
      </c>
    </row>
    <row r="418">
      <c r="A418" s="2">
        <f>IF(ISBLANK('1_raw_log'!A418),"",'1_raw_log'!A418)</f>
        <v/>
      </c>
      <c r="B418" s="3">
        <f>IF(ISBLANK('1_raw_log'!B418),"",'1_raw_log'!B418)</f>
        <v/>
      </c>
      <c r="C418" s="2">
        <f>IF(ISBLANK('1_raw_log'!C418),"",'1_raw_log'!C418)</f>
        <v/>
      </c>
      <c r="D418" s="2">
        <f>IF(ISBLANK('1_raw_log'!D418),"",'1_raw_log'!D418)</f>
        <v/>
      </c>
      <c r="E418" s="4">
        <f>IF(ISBLANK('1_raw_log'!E418),"",'1_raw_log'!E418)</f>
        <v/>
      </c>
      <c r="F418" s="2">
        <f>IF(ISBLANK('1_raw_log'!F418),"",'1_raw_log'!F418)</f>
        <v/>
      </c>
      <c r="G418" s="2">
        <f>IF(ISBLANK('1_raw_log'!G418),"",'1_raw_log'!G418)</f>
        <v/>
      </c>
      <c r="H418" s="2">
        <f>IF(ISBLANK('1_raw_log'!H418),"",'1_raw_log'!H418)</f>
        <v/>
      </c>
      <c r="I418" s="7">
        <f>IF(ISBLANK('1_raw_log'!I418),"",'1_raw_log'!I418)</f>
        <v/>
      </c>
      <c r="J418" s="2">
        <f>IF(ISBLANK('1_raw_log'!J418),"",'1_raw_log'!J418)</f>
        <v/>
      </c>
      <c r="K418" s="2">
        <f>IF(ISBLANK('1_raw_log'!K418),"",'1_raw_log'!K418)</f>
        <v/>
      </c>
      <c r="L418" s="30">
        <f>INT(B418)</f>
        <v/>
      </c>
      <c r="M418" s="20">
        <f>ROUND(MOD(B418,1)*1440,0)/1440</f>
        <v/>
      </c>
      <c r="N418" s="4">
        <f>IFERROR(INDEX('3_ref_date'!$B:$B,MATCH(L418,'3_ref_date'!$A:$A,0)),"NOT FOUND")</f>
        <v/>
      </c>
      <c r="O418" s="2">
        <f>IFERROR(INDEX('3_ref_date'!$C:$C,MATCH(L418,'3_ref_date'!$A:$A,0)),"NOT FOUND")</f>
        <v/>
      </c>
      <c r="P418" s="4">
        <f>IFERROR(INDEX('3_ref_date'!$D:$D,MATCH(L418,'3_ref_date'!$A:$A,0)),"NOT FOUND")</f>
        <v/>
      </c>
      <c r="Q418" s="4">
        <f>IFERROR(INDEX('3_ref_date'!$E:$E,MATCH(L418,'3_ref_date'!$A:$A,0)),"NOT FOUND")</f>
        <v/>
      </c>
      <c r="R418" s="2">
        <f>IFERROR(INDEX('3_ref_date'!$F:$F,MATCH(L418,'3_ref_date'!$A:$A,0)),"NOT FOUND")</f>
        <v/>
      </c>
      <c r="S418" s="2">
        <f>IFERROR(INDEX('4_ref_time'!$D:$D,MATCH(ROUND(M418*1440,0),'4_ref_time'!$A:$A,0)),"NOT FOUND")</f>
        <v/>
      </c>
      <c r="T418" s="2">
        <f>UPPER(TRIM(C418))</f>
        <v/>
      </c>
      <c r="U418" s="30">
        <f>IF(_xlfn.MAXIFS('6_3nf_branch_history'!$B$2:$B$50,'6_3nf_branch_history'!$A$2:$A$50,T418,'6_3nf_branch_history'!$B$2:$B$50,"&lt;="&amp;L418)=0,"NOT FOUND",_xlfn.MAXIFS('6_3nf_branch_history'!$B$2:$B$50,'6_3nf_branch_history'!$A$2:$A$50,T418,'6_3nf_branch_history'!$B$2:$B$50,"&lt;="&amp;L418))</f>
        <v/>
      </c>
      <c r="V418" s="2">
        <f>IF(U418="NOT FOUND","NOT FOUND",INDEX('6_3nf_branch_history'!$C:$C,SUMPRODUCT(('6_3nf_branch_history'!$A$2:$A$50=T418)*('6_3nf_branch_history'!$B$2:$B$50=U418)*ROW('6_3nf_branch_history'!$A$2:$A$50))))</f>
        <v/>
      </c>
      <c r="W418" s="2">
        <f>IF(U418="NOT FOUND","NOT FOUND",INDEX('6_3nf_branch_history'!$D:$D,SUMPRODUCT(('6_3nf_branch_history'!$A$2:$A$50=T418)*('6_3nf_branch_history'!$B$2:$B$50=U418)*ROW('6_3nf_branch_history'!$A$2:$A$50))))</f>
        <v/>
      </c>
      <c r="X418" s="2">
        <f>IF(U418="NOT FOUND","NOT FOUND",INDEX('6_3nf_branch_history'!$E:$E,SUMPRODUCT(('6_3nf_branch_history'!$A$2:$A$50=T418)*('6_3nf_branch_history'!$B$2:$B$50=U418)*ROW('6_3nf_branch_history'!$A$2:$A$50))))</f>
        <v/>
      </c>
      <c r="Y418" s="2">
        <f>UPPER(TRIM(D418))</f>
        <v/>
      </c>
      <c r="Z418" s="2">
        <f>IFERROR(INDEX('7_3nf_product'!$B:$B,MATCH(Y418,'7_3nf_product'!$A:$A,0)),"NOT FOUND")</f>
        <v/>
      </c>
      <c r="AA418" s="2">
        <f>IFERROR(INDEX('7_3nf_product'!$C:$C,MATCH(Y418,'7_3nf_product'!$A:$A,0)),"NOT FOUND")</f>
        <v/>
      </c>
      <c r="AB418" s="2">
        <f>IFERROR(INDEX('7_3nf_product'!$D:$D,MATCH(Y418,'7_3nf_product'!$A:$A,0)),"NOT FOUND")</f>
        <v/>
      </c>
      <c r="AC418" s="6">
        <f>IFERROR(INDEX('7_3nf_product'!$E:$E,MATCH(Y418,'7_3nf_product'!$A:$A,0)),"NOT FOUND")</f>
        <v/>
      </c>
      <c r="AD418" s="33">
        <f>IF(LEN(TRIM(E418))=10,TRIM(E418),IF(LEN(TRIM(E418))=8,"00"&amp;TRIM(E418),"CHECK"))</f>
        <v/>
      </c>
      <c r="AE418" s="2">
        <f>IFERROR(INDEX('8_3nf_customer'!$C:$C,MATCH(AD418,'8_3nf_customer'!$B:$B,0)),"NOT FOUND")</f>
        <v/>
      </c>
      <c r="AF418" s="30">
        <f>IFERROR(INDEX('8_3nf_customer'!$D:$D,MATCH(AD418,'8_3nf_customer'!$B:$B,0)),"NOT FOUND")</f>
        <v/>
      </c>
      <c r="AG418" s="4">
        <f>IF(ISNUMBER(AF418),DATEDIF(AF418,L418,"y"),"NOT FOUND")</f>
        <v/>
      </c>
      <c r="AH418" s="2">
        <f>IFERROR(INDEX('8_3nf_customer'!$E:$E,MATCH(AD418,'8_3nf_customer'!$B:$B,0)),"NOT FOUND")</f>
        <v/>
      </c>
      <c r="AI418" s="30">
        <f>IF(_xlfn.MAXIFS('9_3nf_customer_history'!$B$2:$B$500,'9_3nf_customer_history'!$A$2:$A$500,AD418,'9_3nf_customer_history'!$B$2:$B$500,"&lt;="&amp;L418)=0,"NOT FOUND",_xlfn.MAXIFS('9_3nf_customer_history'!$B$2:$B$500,'9_3nf_customer_history'!$A$2:$A$500,AD418,'9_3nf_customer_history'!$B$2:$B$500,"&lt;="&amp;L418))</f>
        <v/>
      </c>
      <c r="AJ418" s="2">
        <f>IF(AI418="NOT FOUND","NOT FOUND",INDEX('9_3nf_customer_history'!$C:$C,SUMPRODUCT(('9_3nf_customer_history'!$A$2:$A$500=AD418)*('9_3nf_customer_history'!$B$2:$B$500=AI418)*ROW('9_3nf_customer_history'!$A$2:$A$500))))</f>
        <v/>
      </c>
      <c r="AK418" s="2">
        <f>IF(AI418="NOT FOUND","NOT FOUND",INDEX('9_3nf_customer_history'!$D:$D,SUMPRODUCT(('9_3nf_customer_history'!$A$2:$A$500=AD418)*('9_3nf_customer_history'!$B$2:$B$500=AI418)*ROW('9_3nf_customer_history'!$A$2:$A$500))))</f>
        <v/>
      </c>
      <c r="AL418" s="2">
        <f>UPPER(TRIM(H418))</f>
        <v/>
      </c>
      <c r="AM418" s="30">
        <f>IF(_xlfn.MAXIFS('10_ref_fx_rate'!$B$2:$B$2000,'10_ref_fx_rate'!$A$2:$A$2000,AL418,'10_ref_fx_rate'!$B$2:$B$2000,"&lt;="&amp;L418)=0,"NOT FOUND",_xlfn.MAXIFS('10_ref_fx_rate'!$B$2:$B$2000,'10_ref_fx_rate'!$A$2:$A$2000,AL418,'10_ref_fx_rate'!$B$2:$B$2000,"&lt;="&amp;L418))</f>
        <v/>
      </c>
      <c r="AN418" s="8">
        <f>IF(AM418="NOT FOUND","NOT FOUND",SUMIFS('10_ref_fx_rate'!$D$2:$D$2000,'10_ref_fx_rate'!$A$2:$A$2000,AL418,'10_ref_fx_rate'!$B$2:$B$2000,AM418))</f>
        <v/>
      </c>
      <c r="AO418" s="37">
        <f>IF(ISNUMBER(AN418),I418*AN418,"NOT FOUND")</f>
        <v/>
      </c>
      <c r="AP418" s="2">
        <f>UPPER(TRIM(J418))</f>
        <v/>
      </c>
      <c r="AQ418" s="2">
        <f>IF(AP418="","SELF-DIRECTED",IF(ISNUMBER(MATCH(AP418,'11_3nf_sales_person'!$A:$A,0)),IF(EXACT(AP418,J418),"OK","OK (auto-fixed)"),IF(ISNA(MATCH($A418,'12_sales_person_confirmation'!$A:$A,0)),"CONFIRM (not logged)",IF(INDEX('12_sales_person_confirmation'!$I:$I,MATCH($A418,'12_sales_person_confirmation'!$A:$A,0))="CONFIRMED","CONFIRMED ("&amp;LOWER(INDEX('12_sales_person_confirmation'!$E:$E,MATCH($A418,'12_sales_person_confirmation'!$A:$A,0)))&amp;")","PENDING CONFIRM"))))</f>
        <v/>
      </c>
      <c r="AR418" s="2">
        <f>IF(OR(AQ418="OK",AQ418="OK (auto-fixed)"),AP418,IF(LEFT(AQ418,9)="CONFIRMED",INDEX('12_sales_person_confirmation'!$F:$F,MATCH($A418,'12_sales_person_confirmation'!$A:$A,0)),""))</f>
        <v/>
      </c>
      <c r="AS418" s="2">
        <f>IF(AR418="","",INDEX('11_3nf_sales_person'!$B:$B,MATCH(AR418,'11_3nf_sales_person'!$A:$A,0)))</f>
        <v/>
      </c>
    </row>
    <row r="419">
      <c r="A419" s="2">
        <f>IF(ISBLANK('1_raw_log'!A419),"",'1_raw_log'!A419)</f>
        <v/>
      </c>
      <c r="B419" s="3">
        <f>IF(ISBLANK('1_raw_log'!B419),"",'1_raw_log'!B419)</f>
        <v/>
      </c>
      <c r="C419" s="2">
        <f>IF(ISBLANK('1_raw_log'!C419),"",'1_raw_log'!C419)</f>
        <v/>
      </c>
      <c r="D419" s="2">
        <f>IF(ISBLANK('1_raw_log'!D419),"",'1_raw_log'!D419)</f>
        <v/>
      </c>
      <c r="E419" s="4">
        <f>IF(ISBLANK('1_raw_log'!E419),"",'1_raw_log'!E419)</f>
        <v/>
      </c>
      <c r="F419" s="2">
        <f>IF(ISBLANK('1_raw_log'!F419),"",'1_raw_log'!F419)</f>
        <v/>
      </c>
      <c r="G419" s="2">
        <f>IF(ISBLANK('1_raw_log'!G419),"",'1_raw_log'!G419)</f>
        <v/>
      </c>
      <c r="H419" s="2">
        <f>IF(ISBLANK('1_raw_log'!H419),"",'1_raw_log'!H419)</f>
        <v/>
      </c>
      <c r="I419" s="7">
        <f>IF(ISBLANK('1_raw_log'!I419),"",'1_raw_log'!I419)</f>
        <v/>
      </c>
      <c r="J419" s="2">
        <f>IF(ISBLANK('1_raw_log'!J419),"",'1_raw_log'!J419)</f>
        <v/>
      </c>
      <c r="K419" s="2">
        <f>IF(ISBLANK('1_raw_log'!K419),"",'1_raw_log'!K419)</f>
        <v/>
      </c>
      <c r="L419" s="30">
        <f>INT(B419)</f>
        <v/>
      </c>
      <c r="M419" s="20">
        <f>ROUND(MOD(B419,1)*1440,0)/1440</f>
        <v/>
      </c>
      <c r="N419" s="4">
        <f>IFERROR(INDEX('3_ref_date'!$B:$B,MATCH(L419,'3_ref_date'!$A:$A,0)),"NOT FOUND")</f>
        <v/>
      </c>
      <c r="O419" s="2">
        <f>IFERROR(INDEX('3_ref_date'!$C:$C,MATCH(L419,'3_ref_date'!$A:$A,0)),"NOT FOUND")</f>
        <v/>
      </c>
      <c r="P419" s="4">
        <f>IFERROR(INDEX('3_ref_date'!$D:$D,MATCH(L419,'3_ref_date'!$A:$A,0)),"NOT FOUND")</f>
        <v/>
      </c>
      <c r="Q419" s="4">
        <f>IFERROR(INDEX('3_ref_date'!$E:$E,MATCH(L419,'3_ref_date'!$A:$A,0)),"NOT FOUND")</f>
        <v/>
      </c>
      <c r="R419" s="2">
        <f>IFERROR(INDEX('3_ref_date'!$F:$F,MATCH(L419,'3_ref_date'!$A:$A,0)),"NOT FOUND")</f>
        <v/>
      </c>
      <c r="S419" s="2">
        <f>IFERROR(INDEX('4_ref_time'!$D:$D,MATCH(ROUND(M419*1440,0),'4_ref_time'!$A:$A,0)),"NOT FOUND")</f>
        <v/>
      </c>
      <c r="T419" s="2">
        <f>UPPER(TRIM(C419))</f>
        <v/>
      </c>
      <c r="U419" s="30">
        <f>IF(_xlfn.MAXIFS('6_3nf_branch_history'!$B$2:$B$50,'6_3nf_branch_history'!$A$2:$A$50,T419,'6_3nf_branch_history'!$B$2:$B$50,"&lt;="&amp;L419)=0,"NOT FOUND",_xlfn.MAXIFS('6_3nf_branch_history'!$B$2:$B$50,'6_3nf_branch_history'!$A$2:$A$50,T419,'6_3nf_branch_history'!$B$2:$B$50,"&lt;="&amp;L419))</f>
        <v/>
      </c>
      <c r="V419" s="2">
        <f>IF(U419="NOT FOUND","NOT FOUND",INDEX('6_3nf_branch_history'!$C:$C,SUMPRODUCT(('6_3nf_branch_history'!$A$2:$A$50=T419)*('6_3nf_branch_history'!$B$2:$B$50=U419)*ROW('6_3nf_branch_history'!$A$2:$A$50))))</f>
        <v/>
      </c>
      <c r="W419" s="2">
        <f>IF(U419="NOT FOUND","NOT FOUND",INDEX('6_3nf_branch_history'!$D:$D,SUMPRODUCT(('6_3nf_branch_history'!$A$2:$A$50=T419)*('6_3nf_branch_history'!$B$2:$B$50=U419)*ROW('6_3nf_branch_history'!$A$2:$A$50))))</f>
        <v/>
      </c>
      <c r="X419" s="2">
        <f>IF(U419="NOT FOUND","NOT FOUND",INDEX('6_3nf_branch_history'!$E:$E,SUMPRODUCT(('6_3nf_branch_history'!$A$2:$A$50=T419)*('6_3nf_branch_history'!$B$2:$B$50=U419)*ROW('6_3nf_branch_history'!$A$2:$A$50))))</f>
        <v/>
      </c>
      <c r="Y419" s="2">
        <f>UPPER(TRIM(D419))</f>
        <v/>
      </c>
      <c r="Z419" s="2">
        <f>IFERROR(INDEX('7_3nf_product'!$B:$B,MATCH(Y419,'7_3nf_product'!$A:$A,0)),"NOT FOUND")</f>
        <v/>
      </c>
      <c r="AA419" s="2">
        <f>IFERROR(INDEX('7_3nf_product'!$C:$C,MATCH(Y419,'7_3nf_product'!$A:$A,0)),"NOT FOUND")</f>
        <v/>
      </c>
      <c r="AB419" s="2">
        <f>IFERROR(INDEX('7_3nf_product'!$D:$D,MATCH(Y419,'7_3nf_product'!$A:$A,0)),"NOT FOUND")</f>
        <v/>
      </c>
      <c r="AC419" s="6">
        <f>IFERROR(INDEX('7_3nf_product'!$E:$E,MATCH(Y419,'7_3nf_product'!$A:$A,0)),"NOT FOUND")</f>
        <v/>
      </c>
      <c r="AD419" s="33">
        <f>IF(LEN(TRIM(E419))=10,TRIM(E419),IF(LEN(TRIM(E419))=8,"00"&amp;TRIM(E419),"CHECK"))</f>
        <v/>
      </c>
      <c r="AE419" s="2">
        <f>IFERROR(INDEX('8_3nf_customer'!$C:$C,MATCH(AD419,'8_3nf_customer'!$B:$B,0)),"NOT FOUND")</f>
        <v/>
      </c>
      <c r="AF419" s="30">
        <f>IFERROR(INDEX('8_3nf_customer'!$D:$D,MATCH(AD419,'8_3nf_customer'!$B:$B,0)),"NOT FOUND")</f>
        <v/>
      </c>
      <c r="AG419" s="4">
        <f>IF(ISNUMBER(AF419),DATEDIF(AF419,L419,"y"),"NOT FOUND")</f>
        <v/>
      </c>
      <c r="AH419" s="2">
        <f>IFERROR(INDEX('8_3nf_customer'!$E:$E,MATCH(AD419,'8_3nf_customer'!$B:$B,0)),"NOT FOUND")</f>
        <v/>
      </c>
      <c r="AI419" s="30">
        <f>IF(_xlfn.MAXIFS('9_3nf_customer_history'!$B$2:$B$500,'9_3nf_customer_history'!$A$2:$A$500,AD419,'9_3nf_customer_history'!$B$2:$B$500,"&lt;="&amp;L419)=0,"NOT FOUND",_xlfn.MAXIFS('9_3nf_customer_history'!$B$2:$B$500,'9_3nf_customer_history'!$A$2:$A$500,AD419,'9_3nf_customer_history'!$B$2:$B$500,"&lt;="&amp;L419))</f>
        <v/>
      </c>
      <c r="AJ419" s="2">
        <f>IF(AI419="NOT FOUND","NOT FOUND",INDEX('9_3nf_customer_history'!$C:$C,SUMPRODUCT(('9_3nf_customer_history'!$A$2:$A$500=AD419)*('9_3nf_customer_history'!$B$2:$B$500=AI419)*ROW('9_3nf_customer_history'!$A$2:$A$500))))</f>
        <v/>
      </c>
      <c r="AK419" s="2">
        <f>IF(AI419="NOT FOUND","NOT FOUND",INDEX('9_3nf_customer_history'!$D:$D,SUMPRODUCT(('9_3nf_customer_history'!$A$2:$A$500=AD419)*('9_3nf_customer_history'!$B$2:$B$500=AI419)*ROW('9_3nf_customer_history'!$A$2:$A$500))))</f>
        <v/>
      </c>
      <c r="AL419" s="2">
        <f>UPPER(TRIM(H419))</f>
        <v/>
      </c>
      <c r="AM419" s="30">
        <f>IF(_xlfn.MAXIFS('10_ref_fx_rate'!$B$2:$B$2000,'10_ref_fx_rate'!$A$2:$A$2000,AL419,'10_ref_fx_rate'!$B$2:$B$2000,"&lt;="&amp;L419)=0,"NOT FOUND",_xlfn.MAXIFS('10_ref_fx_rate'!$B$2:$B$2000,'10_ref_fx_rate'!$A$2:$A$2000,AL419,'10_ref_fx_rate'!$B$2:$B$2000,"&lt;="&amp;L419))</f>
        <v/>
      </c>
      <c r="AN419" s="8">
        <f>IF(AM419="NOT FOUND","NOT FOUND",SUMIFS('10_ref_fx_rate'!$D$2:$D$2000,'10_ref_fx_rate'!$A$2:$A$2000,AL419,'10_ref_fx_rate'!$B$2:$B$2000,AM419))</f>
        <v/>
      </c>
      <c r="AO419" s="37">
        <f>IF(ISNUMBER(AN419),I419*AN419,"NOT FOUND")</f>
        <v/>
      </c>
      <c r="AP419" s="2">
        <f>UPPER(TRIM(J419))</f>
        <v/>
      </c>
      <c r="AQ419" s="2">
        <f>IF(AP419="","SELF-DIRECTED",IF(ISNUMBER(MATCH(AP419,'11_3nf_sales_person'!$A:$A,0)),IF(EXACT(AP419,J419),"OK","OK (auto-fixed)"),IF(ISNA(MATCH($A419,'12_sales_person_confirmation'!$A:$A,0)),"CONFIRM (not logged)",IF(INDEX('12_sales_person_confirmation'!$I:$I,MATCH($A419,'12_sales_person_confirmation'!$A:$A,0))="CONFIRMED","CONFIRMED ("&amp;LOWER(INDEX('12_sales_person_confirmation'!$E:$E,MATCH($A419,'12_sales_person_confirmation'!$A:$A,0)))&amp;")","PENDING CONFIRM"))))</f>
        <v/>
      </c>
      <c r="AR419" s="2">
        <f>IF(OR(AQ419="OK",AQ419="OK (auto-fixed)"),AP419,IF(LEFT(AQ419,9)="CONFIRMED",INDEX('12_sales_person_confirmation'!$F:$F,MATCH($A419,'12_sales_person_confirmation'!$A:$A,0)),""))</f>
        <v/>
      </c>
      <c r="AS419" s="2">
        <f>IF(AR419="","",INDEX('11_3nf_sales_person'!$B:$B,MATCH(AR419,'11_3nf_sales_person'!$A:$A,0)))</f>
        <v/>
      </c>
    </row>
    <row r="420">
      <c r="A420" s="2">
        <f>IF(ISBLANK('1_raw_log'!A420),"",'1_raw_log'!A420)</f>
        <v/>
      </c>
      <c r="B420" s="3">
        <f>IF(ISBLANK('1_raw_log'!B420),"",'1_raw_log'!B420)</f>
        <v/>
      </c>
      <c r="C420" s="2">
        <f>IF(ISBLANK('1_raw_log'!C420),"",'1_raw_log'!C420)</f>
        <v/>
      </c>
      <c r="D420" s="2">
        <f>IF(ISBLANK('1_raw_log'!D420),"",'1_raw_log'!D420)</f>
        <v/>
      </c>
      <c r="E420" s="4">
        <f>IF(ISBLANK('1_raw_log'!E420),"",'1_raw_log'!E420)</f>
        <v/>
      </c>
      <c r="F420" s="2">
        <f>IF(ISBLANK('1_raw_log'!F420),"",'1_raw_log'!F420)</f>
        <v/>
      </c>
      <c r="G420" s="2">
        <f>IF(ISBLANK('1_raw_log'!G420),"",'1_raw_log'!G420)</f>
        <v/>
      </c>
      <c r="H420" s="2">
        <f>IF(ISBLANK('1_raw_log'!H420),"",'1_raw_log'!H420)</f>
        <v/>
      </c>
      <c r="I420" s="7">
        <f>IF(ISBLANK('1_raw_log'!I420),"",'1_raw_log'!I420)</f>
        <v/>
      </c>
      <c r="J420" s="2">
        <f>IF(ISBLANK('1_raw_log'!J420),"",'1_raw_log'!J420)</f>
        <v/>
      </c>
      <c r="K420" s="2">
        <f>IF(ISBLANK('1_raw_log'!K420),"",'1_raw_log'!K420)</f>
        <v/>
      </c>
      <c r="L420" s="30">
        <f>INT(B420)</f>
        <v/>
      </c>
      <c r="M420" s="20">
        <f>ROUND(MOD(B420,1)*1440,0)/1440</f>
        <v/>
      </c>
      <c r="N420" s="4">
        <f>IFERROR(INDEX('3_ref_date'!$B:$B,MATCH(L420,'3_ref_date'!$A:$A,0)),"NOT FOUND")</f>
        <v/>
      </c>
      <c r="O420" s="2">
        <f>IFERROR(INDEX('3_ref_date'!$C:$C,MATCH(L420,'3_ref_date'!$A:$A,0)),"NOT FOUND")</f>
        <v/>
      </c>
      <c r="P420" s="4">
        <f>IFERROR(INDEX('3_ref_date'!$D:$D,MATCH(L420,'3_ref_date'!$A:$A,0)),"NOT FOUND")</f>
        <v/>
      </c>
      <c r="Q420" s="4">
        <f>IFERROR(INDEX('3_ref_date'!$E:$E,MATCH(L420,'3_ref_date'!$A:$A,0)),"NOT FOUND")</f>
        <v/>
      </c>
      <c r="R420" s="2">
        <f>IFERROR(INDEX('3_ref_date'!$F:$F,MATCH(L420,'3_ref_date'!$A:$A,0)),"NOT FOUND")</f>
        <v/>
      </c>
      <c r="S420" s="2">
        <f>IFERROR(INDEX('4_ref_time'!$D:$D,MATCH(ROUND(M420*1440,0),'4_ref_time'!$A:$A,0)),"NOT FOUND")</f>
        <v/>
      </c>
      <c r="T420" s="2">
        <f>UPPER(TRIM(C420))</f>
        <v/>
      </c>
      <c r="U420" s="30">
        <f>IF(_xlfn.MAXIFS('6_3nf_branch_history'!$B$2:$B$50,'6_3nf_branch_history'!$A$2:$A$50,T420,'6_3nf_branch_history'!$B$2:$B$50,"&lt;="&amp;L420)=0,"NOT FOUND",_xlfn.MAXIFS('6_3nf_branch_history'!$B$2:$B$50,'6_3nf_branch_history'!$A$2:$A$50,T420,'6_3nf_branch_history'!$B$2:$B$50,"&lt;="&amp;L420))</f>
        <v/>
      </c>
      <c r="V420" s="2">
        <f>IF(U420="NOT FOUND","NOT FOUND",INDEX('6_3nf_branch_history'!$C:$C,SUMPRODUCT(('6_3nf_branch_history'!$A$2:$A$50=T420)*('6_3nf_branch_history'!$B$2:$B$50=U420)*ROW('6_3nf_branch_history'!$A$2:$A$50))))</f>
        <v/>
      </c>
      <c r="W420" s="2">
        <f>IF(U420="NOT FOUND","NOT FOUND",INDEX('6_3nf_branch_history'!$D:$D,SUMPRODUCT(('6_3nf_branch_history'!$A$2:$A$50=T420)*('6_3nf_branch_history'!$B$2:$B$50=U420)*ROW('6_3nf_branch_history'!$A$2:$A$50))))</f>
        <v/>
      </c>
      <c r="X420" s="2">
        <f>IF(U420="NOT FOUND","NOT FOUND",INDEX('6_3nf_branch_history'!$E:$E,SUMPRODUCT(('6_3nf_branch_history'!$A$2:$A$50=T420)*('6_3nf_branch_history'!$B$2:$B$50=U420)*ROW('6_3nf_branch_history'!$A$2:$A$50))))</f>
        <v/>
      </c>
      <c r="Y420" s="2">
        <f>UPPER(TRIM(D420))</f>
        <v/>
      </c>
      <c r="Z420" s="2">
        <f>IFERROR(INDEX('7_3nf_product'!$B:$B,MATCH(Y420,'7_3nf_product'!$A:$A,0)),"NOT FOUND")</f>
        <v/>
      </c>
      <c r="AA420" s="2">
        <f>IFERROR(INDEX('7_3nf_product'!$C:$C,MATCH(Y420,'7_3nf_product'!$A:$A,0)),"NOT FOUND")</f>
        <v/>
      </c>
      <c r="AB420" s="2">
        <f>IFERROR(INDEX('7_3nf_product'!$D:$D,MATCH(Y420,'7_3nf_product'!$A:$A,0)),"NOT FOUND")</f>
        <v/>
      </c>
      <c r="AC420" s="6">
        <f>IFERROR(INDEX('7_3nf_product'!$E:$E,MATCH(Y420,'7_3nf_product'!$A:$A,0)),"NOT FOUND")</f>
        <v/>
      </c>
      <c r="AD420" s="33">
        <f>IF(LEN(TRIM(E420))=10,TRIM(E420),IF(LEN(TRIM(E420))=8,"00"&amp;TRIM(E420),"CHECK"))</f>
        <v/>
      </c>
      <c r="AE420" s="2">
        <f>IFERROR(INDEX('8_3nf_customer'!$C:$C,MATCH(AD420,'8_3nf_customer'!$B:$B,0)),"NOT FOUND")</f>
        <v/>
      </c>
      <c r="AF420" s="30">
        <f>IFERROR(INDEX('8_3nf_customer'!$D:$D,MATCH(AD420,'8_3nf_customer'!$B:$B,0)),"NOT FOUND")</f>
        <v/>
      </c>
      <c r="AG420" s="4">
        <f>IF(ISNUMBER(AF420),DATEDIF(AF420,L420,"y"),"NOT FOUND")</f>
        <v/>
      </c>
      <c r="AH420" s="2">
        <f>IFERROR(INDEX('8_3nf_customer'!$E:$E,MATCH(AD420,'8_3nf_customer'!$B:$B,0)),"NOT FOUND")</f>
        <v/>
      </c>
      <c r="AI420" s="30">
        <f>IF(_xlfn.MAXIFS('9_3nf_customer_history'!$B$2:$B$500,'9_3nf_customer_history'!$A$2:$A$500,AD420,'9_3nf_customer_history'!$B$2:$B$500,"&lt;="&amp;L420)=0,"NOT FOUND",_xlfn.MAXIFS('9_3nf_customer_history'!$B$2:$B$500,'9_3nf_customer_history'!$A$2:$A$500,AD420,'9_3nf_customer_history'!$B$2:$B$500,"&lt;="&amp;L420))</f>
        <v/>
      </c>
      <c r="AJ420" s="2">
        <f>IF(AI420="NOT FOUND","NOT FOUND",INDEX('9_3nf_customer_history'!$C:$C,SUMPRODUCT(('9_3nf_customer_history'!$A$2:$A$500=AD420)*('9_3nf_customer_history'!$B$2:$B$500=AI420)*ROW('9_3nf_customer_history'!$A$2:$A$500))))</f>
        <v/>
      </c>
      <c r="AK420" s="2">
        <f>IF(AI420="NOT FOUND","NOT FOUND",INDEX('9_3nf_customer_history'!$D:$D,SUMPRODUCT(('9_3nf_customer_history'!$A$2:$A$500=AD420)*('9_3nf_customer_history'!$B$2:$B$500=AI420)*ROW('9_3nf_customer_history'!$A$2:$A$500))))</f>
        <v/>
      </c>
      <c r="AL420" s="2">
        <f>UPPER(TRIM(H420))</f>
        <v/>
      </c>
      <c r="AM420" s="30">
        <f>IF(_xlfn.MAXIFS('10_ref_fx_rate'!$B$2:$B$2000,'10_ref_fx_rate'!$A$2:$A$2000,AL420,'10_ref_fx_rate'!$B$2:$B$2000,"&lt;="&amp;L420)=0,"NOT FOUND",_xlfn.MAXIFS('10_ref_fx_rate'!$B$2:$B$2000,'10_ref_fx_rate'!$A$2:$A$2000,AL420,'10_ref_fx_rate'!$B$2:$B$2000,"&lt;="&amp;L420))</f>
        <v/>
      </c>
      <c r="AN420" s="8">
        <f>IF(AM420="NOT FOUND","NOT FOUND",SUMIFS('10_ref_fx_rate'!$D$2:$D$2000,'10_ref_fx_rate'!$A$2:$A$2000,AL420,'10_ref_fx_rate'!$B$2:$B$2000,AM420))</f>
        <v/>
      </c>
      <c r="AO420" s="37">
        <f>IF(ISNUMBER(AN420),I420*AN420,"NOT FOUND")</f>
        <v/>
      </c>
      <c r="AP420" s="2">
        <f>UPPER(TRIM(J420))</f>
        <v/>
      </c>
      <c r="AQ420" s="2">
        <f>IF(AP420="","SELF-DIRECTED",IF(ISNUMBER(MATCH(AP420,'11_3nf_sales_person'!$A:$A,0)),IF(EXACT(AP420,J420),"OK","OK (auto-fixed)"),IF(ISNA(MATCH($A420,'12_sales_person_confirmation'!$A:$A,0)),"CONFIRM (not logged)",IF(INDEX('12_sales_person_confirmation'!$I:$I,MATCH($A420,'12_sales_person_confirmation'!$A:$A,0))="CONFIRMED","CONFIRMED ("&amp;LOWER(INDEX('12_sales_person_confirmation'!$E:$E,MATCH($A420,'12_sales_person_confirmation'!$A:$A,0)))&amp;")","PENDING CONFIRM"))))</f>
        <v/>
      </c>
      <c r="AR420" s="2">
        <f>IF(OR(AQ420="OK",AQ420="OK (auto-fixed)"),AP420,IF(LEFT(AQ420,9)="CONFIRMED",INDEX('12_sales_person_confirmation'!$F:$F,MATCH($A420,'12_sales_person_confirmation'!$A:$A,0)),""))</f>
        <v/>
      </c>
      <c r="AS420" s="2">
        <f>IF(AR420="","",INDEX('11_3nf_sales_person'!$B:$B,MATCH(AR420,'11_3nf_sales_person'!$A:$A,0)))</f>
        <v/>
      </c>
    </row>
    <row r="421">
      <c r="A421" s="2">
        <f>IF(ISBLANK('1_raw_log'!A421),"",'1_raw_log'!A421)</f>
        <v/>
      </c>
      <c r="B421" s="3">
        <f>IF(ISBLANK('1_raw_log'!B421),"",'1_raw_log'!B421)</f>
        <v/>
      </c>
      <c r="C421" s="2">
        <f>IF(ISBLANK('1_raw_log'!C421),"",'1_raw_log'!C421)</f>
        <v/>
      </c>
      <c r="D421" s="2">
        <f>IF(ISBLANK('1_raw_log'!D421),"",'1_raw_log'!D421)</f>
        <v/>
      </c>
      <c r="E421" s="4">
        <f>IF(ISBLANK('1_raw_log'!E421),"",'1_raw_log'!E421)</f>
        <v/>
      </c>
      <c r="F421" s="2">
        <f>IF(ISBLANK('1_raw_log'!F421),"",'1_raw_log'!F421)</f>
        <v/>
      </c>
      <c r="G421" s="2">
        <f>IF(ISBLANK('1_raw_log'!G421),"",'1_raw_log'!G421)</f>
        <v/>
      </c>
      <c r="H421" s="2">
        <f>IF(ISBLANK('1_raw_log'!H421),"",'1_raw_log'!H421)</f>
        <v/>
      </c>
      <c r="I421" s="7">
        <f>IF(ISBLANK('1_raw_log'!I421),"",'1_raw_log'!I421)</f>
        <v/>
      </c>
      <c r="J421" s="2">
        <f>IF(ISBLANK('1_raw_log'!J421),"",'1_raw_log'!J421)</f>
        <v/>
      </c>
      <c r="K421" s="2">
        <f>IF(ISBLANK('1_raw_log'!K421),"",'1_raw_log'!K421)</f>
        <v/>
      </c>
      <c r="L421" s="30">
        <f>INT(B421)</f>
        <v/>
      </c>
      <c r="M421" s="20">
        <f>ROUND(MOD(B421,1)*1440,0)/1440</f>
        <v/>
      </c>
      <c r="N421" s="4">
        <f>IFERROR(INDEX('3_ref_date'!$B:$B,MATCH(L421,'3_ref_date'!$A:$A,0)),"NOT FOUND")</f>
        <v/>
      </c>
      <c r="O421" s="2">
        <f>IFERROR(INDEX('3_ref_date'!$C:$C,MATCH(L421,'3_ref_date'!$A:$A,0)),"NOT FOUND")</f>
        <v/>
      </c>
      <c r="P421" s="4">
        <f>IFERROR(INDEX('3_ref_date'!$D:$D,MATCH(L421,'3_ref_date'!$A:$A,0)),"NOT FOUND")</f>
        <v/>
      </c>
      <c r="Q421" s="4">
        <f>IFERROR(INDEX('3_ref_date'!$E:$E,MATCH(L421,'3_ref_date'!$A:$A,0)),"NOT FOUND")</f>
        <v/>
      </c>
      <c r="R421" s="2">
        <f>IFERROR(INDEX('3_ref_date'!$F:$F,MATCH(L421,'3_ref_date'!$A:$A,0)),"NOT FOUND")</f>
        <v/>
      </c>
      <c r="S421" s="2">
        <f>IFERROR(INDEX('4_ref_time'!$D:$D,MATCH(ROUND(M421*1440,0),'4_ref_time'!$A:$A,0)),"NOT FOUND")</f>
        <v/>
      </c>
      <c r="T421" s="2">
        <f>UPPER(TRIM(C421))</f>
        <v/>
      </c>
      <c r="U421" s="30">
        <f>IF(_xlfn.MAXIFS('6_3nf_branch_history'!$B$2:$B$50,'6_3nf_branch_history'!$A$2:$A$50,T421,'6_3nf_branch_history'!$B$2:$B$50,"&lt;="&amp;L421)=0,"NOT FOUND",_xlfn.MAXIFS('6_3nf_branch_history'!$B$2:$B$50,'6_3nf_branch_history'!$A$2:$A$50,T421,'6_3nf_branch_history'!$B$2:$B$50,"&lt;="&amp;L421))</f>
        <v/>
      </c>
      <c r="V421" s="2">
        <f>IF(U421="NOT FOUND","NOT FOUND",INDEX('6_3nf_branch_history'!$C:$C,SUMPRODUCT(('6_3nf_branch_history'!$A$2:$A$50=T421)*('6_3nf_branch_history'!$B$2:$B$50=U421)*ROW('6_3nf_branch_history'!$A$2:$A$50))))</f>
        <v/>
      </c>
      <c r="W421" s="2">
        <f>IF(U421="NOT FOUND","NOT FOUND",INDEX('6_3nf_branch_history'!$D:$D,SUMPRODUCT(('6_3nf_branch_history'!$A$2:$A$50=T421)*('6_3nf_branch_history'!$B$2:$B$50=U421)*ROW('6_3nf_branch_history'!$A$2:$A$50))))</f>
        <v/>
      </c>
      <c r="X421" s="2">
        <f>IF(U421="NOT FOUND","NOT FOUND",INDEX('6_3nf_branch_history'!$E:$E,SUMPRODUCT(('6_3nf_branch_history'!$A$2:$A$50=T421)*('6_3nf_branch_history'!$B$2:$B$50=U421)*ROW('6_3nf_branch_history'!$A$2:$A$50))))</f>
        <v/>
      </c>
      <c r="Y421" s="2">
        <f>UPPER(TRIM(D421))</f>
        <v/>
      </c>
      <c r="Z421" s="2">
        <f>IFERROR(INDEX('7_3nf_product'!$B:$B,MATCH(Y421,'7_3nf_product'!$A:$A,0)),"NOT FOUND")</f>
        <v/>
      </c>
      <c r="AA421" s="2">
        <f>IFERROR(INDEX('7_3nf_product'!$C:$C,MATCH(Y421,'7_3nf_product'!$A:$A,0)),"NOT FOUND")</f>
        <v/>
      </c>
      <c r="AB421" s="2">
        <f>IFERROR(INDEX('7_3nf_product'!$D:$D,MATCH(Y421,'7_3nf_product'!$A:$A,0)),"NOT FOUND")</f>
        <v/>
      </c>
      <c r="AC421" s="6">
        <f>IFERROR(INDEX('7_3nf_product'!$E:$E,MATCH(Y421,'7_3nf_product'!$A:$A,0)),"NOT FOUND")</f>
        <v/>
      </c>
      <c r="AD421" s="33">
        <f>IF(LEN(TRIM(E421))=10,TRIM(E421),IF(LEN(TRIM(E421))=8,"00"&amp;TRIM(E421),"CHECK"))</f>
        <v/>
      </c>
      <c r="AE421" s="2">
        <f>IFERROR(INDEX('8_3nf_customer'!$C:$C,MATCH(AD421,'8_3nf_customer'!$B:$B,0)),"NOT FOUND")</f>
        <v/>
      </c>
      <c r="AF421" s="30">
        <f>IFERROR(INDEX('8_3nf_customer'!$D:$D,MATCH(AD421,'8_3nf_customer'!$B:$B,0)),"NOT FOUND")</f>
        <v/>
      </c>
      <c r="AG421" s="4">
        <f>IF(ISNUMBER(AF421),DATEDIF(AF421,L421,"y"),"NOT FOUND")</f>
        <v/>
      </c>
      <c r="AH421" s="2">
        <f>IFERROR(INDEX('8_3nf_customer'!$E:$E,MATCH(AD421,'8_3nf_customer'!$B:$B,0)),"NOT FOUND")</f>
        <v/>
      </c>
      <c r="AI421" s="30">
        <f>IF(_xlfn.MAXIFS('9_3nf_customer_history'!$B$2:$B$500,'9_3nf_customer_history'!$A$2:$A$500,AD421,'9_3nf_customer_history'!$B$2:$B$500,"&lt;="&amp;L421)=0,"NOT FOUND",_xlfn.MAXIFS('9_3nf_customer_history'!$B$2:$B$500,'9_3nf_customer_history'!$A$2:$A$500,AD421,'9_3nf_customer_history'!$B$2:$B$500,"&lt;="&amp;L421))</f>
        <v/>
      </c>
      <c r="AJ421" s="2">
        <f>IF(AI421="NOT FOUND","NOT FOUND",INDEX('9_3nf_customer_history'!$C:$C,SUMPRODUCT(('9_3nf_customer_history'!$A$2:$A$500=AD421)*('9_3nf_customer_history'!$B$2:$B$500=AI421)*ROW('9_3nf_customer_history'!$A$2:$A$500))))</f>
        <v/>
      </c>
      <c r="AK421" s="2">
        <f>IF(AI421="NOT FOUND","NOT FOUND",INDEX('9_3nf_customer_history'!$D:$D,SUMPRODUCT(('9_3nf_customer_history'!$A$2:$A$500=AD421)*('9_3nf_customer_history'!$B$2:$B$500=AI421)*ROW('9_3nf_customer_history'!$A$2:$A$500))))</f>
        <v/>
      </c>
      <c r="AL421" s="2">
        <f>UPPER(TRIM(H421))</f>
        <v/>
      </c>
      <c r="AM421" s="30">
        <f>IF(_xlfn.MAXIFS('10_ref_fx_rate'!$B$2:$B$2000,'10_ref_fx_rate'!$A$2:$A$2000,AL421,'10_ref_fx_rate'!$B$2:$B$2000,"&lt;="&amp;L421)=0,"NOT FOUND",_xlfn.MAXIFS('10_ref_fx_rate'!$B$2:$B$2000,'10_ref_fx_rate'!$A$2:$A$2000,AL421,'10_ref_fx_rate'!$B$2:$B$2000,"&lt;="&amp;L421))</f>
        <v/>
      </c>
      <c r="AN421" s="8">
        <f>IF(AM421="NOT FOUND","NOT FOUND",SUMIFS('10_ref_fx_rate'!$D$2:$D$2000,'10_ref_fx_rate'!$A$2:$A$2000,AL421,'10_ref_fx_rate'!$B$2:$B$2000,AM421))</f>
        <v/>
      </c>
      <c r="AO421" s="37">
        <f>IF(ISNUMBER(AN421),I421*AN421,"NOT FOUND")</f>
        <v/>
      </c>
      <c r="AP421" s="2">
        <f>UPPER(TRIM(J421))</f>
        <v/>
      </c>
      <c r="AQ421" s="2">
        <f>IF(AP421="","SELF-DIRECTED",IF(ISNUMBER(MATCH(AP421,'11_3nf_sales_person'!$A:$A,0)),IF(EXACT(AP421,J421),"OK","OK (auto-fixed)"),IF(ISNA(MATCH($A421,'12_sales_person_confirmation'!$A:$A,0)),"CONFIRM (not logged)",IF(INDEX('12_sales_person_confirmation'!$I:$I,MATCH($A421,'12_sales_person_confirmation'!$A:$A,0))="CONFIRMED","CONFIRMED ("&amp;LOWER(INDEX('12_sales_person_confirmation'!$E:$E,MATCH($A421,'12_sales_person_confirmation'!$A:$A,0)))&amp;")","PENDING CONFIRM"))))</f>
        <v/>
      </c>
      <c r="AR421" s="2">
        <f>IF(OR(AQ421="OK",AQ421="OK (auto-fixed)"),AP421,IF(LEFT(AQ421,9)="CONFIRMED",INDEX('12_sales_person_confirmation'!$F:$F,MATCH($A421,'12_sales_person_confirmation'!$A:$A,0)),""))</f>
        <v/>
      </c>
      <c r="AS421" s="2">
        <f>IF(AR421="","",INDEX('11_3nf_sales_person'!$B:$B,MATCH(AR421,'11_3nf_sales_person'!$A:$A,0)))</f>
        <v/>
      </c>
    </row>
    <row r="422">
      <c r="A422" s="2">
        <f>IF(ISBLANK('1_raw_log'!A422),"",'1_raw_log'!A422)</f>
        <v/>
      </c>
      <c r="B422" s="3">
        <f>IF(ISBLANK('1_raw_log'!B422),"",'1_raw_log'!B422)</f>
        <v/>
      </c>
      <c r="C422" s="2">
        <f>IF(ISBLANK('1_raw_log'!C422),"",'1_raw_log'!C422)</f>
        <v/>
      </c>
      <c r="D422" s="2">
        <f>IF(ISBLANK('1_raw_log'!D422),"",'1_raw_log'!D422)</f>
        <v/>
      </c>
      <c r="E422" s="4">
        <f>IF(ISBLANK('1_raw_log'!E422),"",'1_raw_log'!E422)</f>
        <v/>
      </c>
      <c r="F422" s="2">
        <f>IF(ISBLANK('1_raw_log'!F422),"",'1_raw_log'!F422)</f>
        <v/>
      </c>
      <c r="G422" s="2">
        <f>IF(ISBLANK('1_raw_log'!G422),"",'1_raw_log'!G422)</f>
        <v/>
      </c>
      <c r="H422" s="2">
        <f>IF(ISBLANK('1_raw_log'!H422),"",'1_raw_log'!H422)</f>
        <v/>
      </c>
      <c r="I422" s="7">
        <f>IF(ISBLANK('1_raw_log'!I422),"",'1_raw_log'!I422)</f>
        <v/>
      </c>
      <c r="J422" s="2">
        <f>IF(ISBLANK('1_raw_log'!J422),"",'1_raw_log'!J422)</f>
        <v/>
      </c>
      <c r="K422" s="2">
        <f>IF(ISBLANK('1_raw_log'!K422),"",'1_raw_log'!K422)</f>
        <v/>
      </c>
      <c r="L422" s="30">
        <f>INT(B422)</f>
        <v/>
      </c>
      <c r="M422" s="20">
        <f>ROUND(MOD(B422,1)*1440,0)/1440</f>
        <v/>
      </c>
      <c r="N422" s="4">
        <f>IFERROR(INDEX('3_ref_date'!$B:$B,MATCH(L422,'3_ref_date'!$A:$A,0)),"NOT FOUND")</f>
        <v/>
      </c>
      <c r="O422" s="2">
        <f>IFERROR(INDEX('3_ref_date'!$C:$C,MATCH(L422,'3_ref_date'!$A:$A,0)),"NOT FOUND")</f>
        <v/>
      </c>
      <c r="P422" s="4">
        <f>IFERROR(INDEX('3_ref_date'!$D:$D,MATCH(L422,'3_ref_date'!$A:$A,0)),"NOT FOUND")</f>
        <v/>
      </c>
      <c r="Q422" s="4">
        <f>IFERROR(INDEX('3_ref_date'!$E:$E,MATCH(L422,'3_ref_date'!$A:$A,0)),"NOT FOUND")</f>
        <v/>
      </c>
      <c r="R422" s="2">
        <f>IFERROR(INDEX('3_ref_date'!$F:$F,MATCH(L422,'3_ref_date'!$A:$A,0)),"NOT FOUND")</f>
        <v/>
      </c>
      <c r="S422" s="2">
        <f>IFERROR(INDEX('4_ref_time'!$D:$D,MATCH(ROUND(M422*1440,0),'4_ref_time'!$A:$A,0)),"NOT FOUND")</f>
        <v/>
      </c>
      <c r="T422" s="2">
        <f>UPPER(TRIM(C422))</f>
        <v/>
      </c>
      <c r="U422" s="30">
        <f>IF(_xlfn.MAXIFS('6_3nf_branch_history'!$B$2:$B$50,'6_3nf_branch_history'!$A$2:$A$50,T422,'6_3nf_branch_history'!$B$2:$B$50,"&lt;="&amp;L422)=0,"NOT FOUND",_xlfn.MAXIFS('6_3nf_branch_history'!$B$2:$B$50,'6_3nf_branch_history'!$A$2:$A$50,T422,'6_3nf_branch_history'!$B$2:$B$50,"&lt;="&amp;L422))</f>
        <v/>
      </c>
      <c r="V422" s="2">
        <f>IF(U422="NOT FOUND","NOT FOUND",INDEX('6_3nf_branch_history'!$C:$C,SUMPRODUCT(('6_3nf_branch_history'!$A$2:$A$50=T422)*('6_3nf_branch_history'!$B$2:$B$50=U422)*ROW('6_3nf_branch_history'!$A$2:$A$50))))</f>
        <v/>
      </c>
      <c r="W422" s="2">
        <f>IF(U422="NOT FOUND","NOT FOUND",INDEX('6_3nf_branch_history'!$D:$D,SUMPRODUCT(('6_3nf_branch_history'!$A$2:$A$50=T422)*('6_3nf_branch_history'!$B$2:$B$50=U422)*ROW('6_3nf_branch_history'!$A$2:$A$50))))</f>
        <v/>
      </c>
      <c r="X422" s="2">
        <f>IF(U422="NOT FOUND","NOT FOUND",INDEX('6_3nf_branch_history'!$E:$E,SUMPRODUCT(('6_3nf_branch_history'!$A$2:$A$50=T422)*('6_3nf_branch_history'!$B$2:$B$50=U422)*ROW('6_3nf_branch_history'!$A$2:$A$50))))</f>
        <v/>
      </c>
      <c r="Y422" s="2">
        <f>UPPER(TRIM(D422))</f>
        <v/>
      </c>
      <c r="Z422" s="2">
        <f>IFERROR(INDEX('7_3nf_product'!$B:$B,MATCH(Y422,'7_3nf_product'!$A:$A,0)),"NOT FOUND")</f>
        <v/>
      </c>
      <c r="AA422" s="2">
        <f>IFERROR(INDEX('7_3nf_product'!$C:$C,MATCH(Y422,'7_3nf_product'!$A:$A,0)),"NOT FOUND")</f>
        <v/>
      </c>
      <c r="AB422" s="2">
        <f>IFERROR(INDEX('7_3nf_product'!$D:$D,MATCH(Y422,'7_3nf_product'!$A:$A,0)),"NOT FOUND")</f>
        <v/>
      </c>
      <c r="AC422" s="6">
        <f>IFERROR(INDEX('7_3nf_product'!$E:$E,MATCH(Y422,'7_3nf_product'!$A:$A,0)),"NOT FOUND")</f>
        <v/>
      </c>
      <c r="AD422" s="33">
        <f>IF(LEN(TRIM(E422))=10,TRIM(E422),IF(LEN(TRIM(E422))=8,"00"&amp;TRIM(E422),"CHECK"))</f>
        <v/>
      </c>
      <c r="AE422" s="2">
        <f>IFERROR(INDEX('8_3nf_customer'!$C:$C,MATCH(AD422,'8_3nf_customer'!$B:$B,0)),"NOT FOUND")</f>
        <v/>
      </c>
      <c r="AF422" s="30">
        <f>IFERROR(INDEX('8_3nf_customer'!$D:$D,MATCH(AD422,'8_3nf_customer'!$B:$B,0)),"NOT FOUND")</f>
        <v/>
      </c>
      <c r="AG422" s="4">
        <f>IF(ISNUMBER(AF422),DATEDIF(AF422,L422,"y"),"NOT FOUND")</f>
        <v/>
      </c>
      <c r="AH422" s="2">
        <f>IFERROR(INDEX('8_3nf_customer'!$E:$E,MATCH(AD422,'8_3nf_customer'!$B:$B,0)),"NOT FOUND")</f>
        <v/>
      </c>
      <c r="AI422" s="30">
        <f>IF(_xlfn.MAXIFS('9_3nf_customer_history'!$B$2:$B$500,'9_3nf_customer_history'!$A$2:$A$500,AD422,'9_3nf_customer_history'!$B$2:$B$500,"&lt;="&amp;L422)=0,"NOT FOUND",_xlfn.MAXIFS('9_3nf_customer_history'!$B$2:$B$500,'9_3nf_customer_history'!$A$2:$A$500,AD422,'9_3nf_customer_history'!$B$2:$B$500,"&lt;="&amp;L422))</f>
        <v/>
      </c>
      <c r="AJ422" s="2">
        <f>IF(AI422="NOT FOUND","NOT FOUND",INDEX('9_3nf_customer_history'!$C:$C,SUMPRODUCT(('9_3nf_customer_history'!$A$2:$A$500=AD422)*('9_3nf_customer_history'!$B$2:$B$500=AI422)*ROW('9_3nf_customer_history'!$A$2:$A$500))))</f>
        <v/>
      </c>
      <c r="AK422" s="2">
        <f>IF(AI422="NOT FOUND","NOT FOUND",INDEX('9_3nf_customer_history'!$D:$D,SUMPRODUCT(('9_3nf_customer_history'!$A$2:$A$500=AD422)*('9_3nf_customer_history'!$B$2:$B$500=AI422)*ROW('9_3nf_customer_history'!$A$2:$A$500))))</f>
        <v/>
      </c>
      <c r="AL422" s="2">
        <f>UPPER(TRIM(H422))</f>
        <v/>
      </c>
      <c r="AM422" s="30">
        <f>IF(_xlfn.MAXIFS('10_ref_fx_rate'!$B$2:$B$2000,'10_ref_fx_rate'!$A$2:$A$2000,AL422,'10_ref_fx_rate'!$B$2:$B$2000,"&lt;="&amp;L422)=0,"NOT FOUND",_xlfn.MAXIFS('10_ref_fx_rate'!$B$2:$B$2000,'10_ref_fx_rate'!$A$2:$A$2000,AL422,'10_ref_fx_rate'!$B$2:$B$2000,"&lt;="&amp;L422))</f>
        <v/>
      </c>
      <c r="AN422" s="8">
        <f>IF(AM422="NOT FOUND","NOT FOUND",SUMIFS('10_ref_fx_rate'!$D$2:$D$2000,'10_ref_fx_rate'!$A$2:$A$2000,AL422,'10_ref_fx_rate'!$B$2:$B$2000,AM422))</f>
        <v/>
      </c>
      <c r="AO422" s="37">
        <f>IF(ISNUMBER(AN422),I422*AN422,"NOT FOUND")</f>
        <v/>
      </c>
      <c r="AP422" s="2">
        <f>UPPER(TRIM(J422))</f>
        <v/>
      </c>
      <c r="AQ422" s="2">
        <f>IF(AP422="","SELF-DIRECTED",IF(ISNUMBER(MATCH(AP422,'11_3nf_sales_person'!$A:$A,0)),IF(EXACT(AP422,J422),"OK","OK (auto-fixed)"),IF(ISNA(MATCH($A422,'12_sales_person_confirmation'!$A:$A,0)),"CONFIRM (not logged)",IF(INDEX('12_sales_person_confirmation'!$I:$I,MATCH($A422,'12_sales_person_confirmation'!$A:$A,0))="CONFIRMED","CONFIRMED ("&amp;LOWER(INDEX('12_sales_person_confirmation'!$E:$E,MATCH($A422,'12_sales_person_confirmation'!$A:$A,0)))&amp;")","PENDING CONFIRM"))))</f>
        <v/>
      </c>
      <c r="AR422" s="2">
        <f>IF(OR(AQ422="OK",AQ422="OK (auto-fixed)"),AP422,IF(LEFT(AQ422,9)="CONFIRMED",INDEX('12_sales_person_confirmation'!$F:$F,MATCH($A422,'12_sales_person_confirmation'!$A:$A,0)),""))</f>
        <v/>
      </c>
      <c r="AS422" s="2">
        <f>IF(AR422="","",INDEX('11_3nf_sales_person'!$B:$B,MATCH(AR422,'11_3nf_sales_person'!$A:$A,0)))</f>
        <v/>
      </c>
    </row>
    <row r="423">
      <c r="A423" s="2">
        <f>IF(ISBLANK('1_raw_log'!A423),"",'1_raw_log'!A423)</f>
        <v/>
      </c>
      <c r="B423" s="3">
        <f>IF(ISBLANK('1_raw_log'!B423),"",'1_raw_log'!B423)</f>
        <v/>
      </c>
      <c r="C423" s="2">
        <f>IF(ISBLANK('1_raw_log'!C423),"",'1_raw_log'!C423)</f>
        <v/>
      </c>
      <c r="D423" s="2">
        <f>IF(ISBLANK('1_raw_log'!D423),"",'1_raw_log'!D423)</f>
        <v/>
      </c>
      <c r="E423" s="4">
        <f>IF(ISBLANK('1_raw_log'!E423),"",'1_raw_log'!E423)</f>
        <v/>
      </c>
      <c r="F423" s="2">
        <f>IF(ISBLANK('1_raw_log'!F423),"",'1_raw_log'!F423)</f>
        <v/>
      </c>
      <c r="G423" s="2">
        <f>IF(ISBLANK('1_raw_log'!G423),"",'1_raw_log'!G423)</f>
        <v/>
      </c>
      <c r="H423" s="2">
        <f>IF(ISBLANK('1_raw_log'!H423),"",'1_raw_log'!H423)</f>
        <v/>
      </c>
      <c r="I423" s="7">
        <f>IF(ISBLANK('1_raw_log'!I423),"",'1_raw_log'!I423)</f>
        <v/>
      </c>
      <c r="J423" s="2">
        <f>IF(ISBLANK('1_raw_log'!J423),"",'1_raw_log'!J423)</f>
        <v/>
      </c>
      <c r="K423" s="2">
        <f>IF(ISBLANK('1_raw_log'!K423),"",'1_raw_log'!K423)</f>
        <v/>
      </c>
      <c r="L423" s="30">
        <f>INT(B423)</f>
        <v/>
      </c>
      <c r="M423" s="20">
        <f>ROUND(MOD(B423,1)*1440,0)/1440</f>
        <v/>
      </c>
      <c r="N423" s="4">
        <f>IFERROR(INDEX('3_ref_date'!$B:$B,MATCH(L423,'3_ref_date'!$A:$A,0)),"NOT FOUND")</f>
        <v/>
      </c>
      <c r="O423" s="2">
        <f>IFERROR(INDEX('3_ref_date'!$C:$C,MATCH(L423,'3_ref_date'!$A:$A,0)),"NOT FOUND")</f>
        <v/>
      </c>
      <c r="P423" s="4">
        <f>IFERROR(INDEX('3_ref_date'!$D:$D,MATCH(L423,'3_ref_date'!$A:$A,0)),"NOT FOUND")</f>
        <v/>
      </c>
      <c r="Q423" s="4">
        <f>IFERROR(INDEX('3_ref_date'!$E:$E,MATCH(L423,'3_ref_date'!$A:$A,0)),"NOT FOUND")</f>
        <v/>
      </c>
      <c r="R423" s="2">
        <f>IFERROR(INDEX('3_ref_date'!$F:$F,MATCH(L423,'3_ref_date'!$A:$A,0)),"NOT FOUND")</f>
        <v/>
      </c>
      <c r="S423" s="2">
        <f>IFERROR(INDEX('4_ref_time'!$D:$D,MATCH(ROUND(M423*1440,0),'4_ref_time'!$A:$A,0)),"NOT FOUND")</f>
        <v/>
      </c>
      <c r="T423" s="2">
        <f>UPPER(TRIM(C423))</f>
        <v/>
      </c>
      <c r="U423" s="30">
        <f>IF(_xlfn.MAXIFS('6_3nf_branch_history'!$B$2:$B$50,'6_3nf_branch_history'!$A$2:$A$50,T423,'6_3nf_branch_history'!$B$2:$B$50,"&lt;="&amp;L423)=0,"NOT FOUND",_xlfn.MAXIFS('6_3nf_branch_history'!$B$2:$B$50,'6_3nf_branch_history'!$A$2:$A$50,T423,'6_3nf_branch_history'!$B$2:$B$50,"&lt;="&amp;L423))</f>
        <v/>
      </c>
      <c r="V423" s="2">
        <f>IF(U423="NOT FOUND","NOT FOUND",INDEX('6_3nf_branch_history'!$C:$C,SUMPRODUCT(('6_3nf_branch_history'!$A$2:$A$50=T423)*('6_3nf_branch_history'!$B$2:$B$50=U423)*ROW('6_3nf_branch_history'!$A$2:$A$50))))</f>
        <v/>
      </c>
      <c r="W423" s="2">
        <f>IF(U423="NOT FOUND","NOT FOUND",INDEX('6_3nf_branch_history'!$D:$D,SUMPRODUCT(('6_3nf_branch_history'!$A$2:$A$50=T423)*('6_3nf_branch_history'!$B$2:$B$50=U423)*ROW('6_3nf_branch_history'!$A$2:$A$50))))</f>
        <v/>
      </c>
      <c r="X423" s="2">
        <f>IF(U423="NOT FOUND","NOT FOUND",INDEX('6_3nf_branch_history'!$E:$E,SUMPRODUCT(('6_3nf_branch_history'!$A$2:$A$50=T423)*('6_3nf_branch_history'!$B$2:$B$50=U423)*ROW('6_3nf_branch_history'!$A$2:$A$50))))</f>
        <v/>
      </c>
      <c r="Y423" s="2">
        <f>UPPER(TRIM(D423))</f>
        <v/>
      </c>
      <c r="Z423" s="2">
        <f>IFERROR(INDEX('7_3nf_product'!$B:$B,MATCH(Y423,'7_3nf_product'!$A:$A,0)),"NOT FOUND")</f>
        <v/>
      </c>
      <c r="AA423" s="2">
        <f>IFERROR(INDEX('7_3nf_product'!$C:$C,MATCH(Y423,'7_3nf_product'!$A:$A,0)),"NOT FOUND")</f>
        <v/>
      </c>
      <c r="AB423" s="2">
        <f>IFERROR(INDEX('7_3nf_product'!$D:$D,MATCH(Y423,'7_3nf_product'!$A:$A,0)),"NOT FOUND")</f>
        <v/>
      </c>
      <c r="AC423" s="6">
        <f>IFERROR(INDEX('7_3nf_product'!$E:$E,MATCH(Y423,'7_3nf_product'!$A:$A,0)),"NOT FOUND")</f>
        <v/>
      </c>
      <c r="AD423" s="33">
        <f>IF(LEN(TRIM(E423))=10,TRIM(E423),IF(LEN(TRIM(E423))=8,"00"&amp;TRIM(E423),"CHECK"))</f>
        <v/>
      </c>
      <c r="AE423" s="2">
        <f>IFERROR(INDEX('8_3nf_customer'!$C:$C,MATCH(AD423,'8_3nf_customer'!$B:$B,0)),"NOT FOUND")</f>
        <v/>
      </c>
      <c r="AF423" s="30">
        <f>IFERROR(INDEX('8_3nf_customer'!$D:$D,MATCH(AD423,'8_3nf_customer'!$B:$B,0)),"NOT FOUND")</f>
        <v/>
      </c>
      <c r="AG423" s="4">
        <f>IF(ISNUMBER(AF423),DATEDIF(AF423,L423,"y"),"NOT FOUND")</f>
        <v/>
      </c>
      <c r="AH423" s="2">
        <f>IFERROR(INDEX('8_3nf_customer'!$E:$E,MATCH(AD423,'8_3nf_customer'!$B:$B,0)),"NOT FOUND")</f>
        <v/>
      </c>
      <c r="AI423" s="30">
        <f>IF(_xlfn.MAXIFS('9_3nf_customer_history'!$B$2:$B$500,'9_3nf_customer_history'!$A$2:$A$500,AD423,'9_3nf_customer_history'!$B$2:$B$500,"&lt;="&amp;L423)=0,"NOT FOUND",_xlfn.MAXIFS('9_3nf_customer_history'!$B$2:$B$500,'9_3nf_customer_history'!$A$2:$A$500,AD423,'9_3nf_customer_history'!$B$2:$B$500,"&lt;="&amp;L423))</f>
        <v/>
      </c>
      <c r="AJ423" s="2">
        <f>IF(AI423="NOT FOUND","NOT FOUND",INDEX('9_3nf_customer_history'!$C:$C,SUMPRODUCT(('9_3nf_customer_history'!$A$2:$A$500=AD423)*('9_3nf_customer_history'!$B$2:$B$500=AI423)*ROW('9_3nf_customer_history'!$A$2:$A$500))))</f>
        <v/>
      </c>
      <c r="AK423" s="2">
        <f>IF(AI423="NOT FOUND","NOT FOUND",INDEX('9_3nf_customer_history'!$D:$D,SUMPRODUCT(('9_3nf_customer_history'!$A$2:$A$500=AD423)*('9_3nf_customer_history'!$B$2:$B$500=AI423)*ROW('9_3nf_customer_history'!$A$2:$A$500))))</f>
        <v/>
      </c>
      <c r="AL423" s="2">
        <f>UPPER(TRIM(H423))</f>
        <v/>
      </c>
      <c r="AM423" s="30">
        <f>IF(_xlfn.MAXIFS('10_ref_fx_rate'!$B$2:$B$2000,'10_ref_fx_rate'!$A$2:$A$2000,AL423,'10_ref_fx_rate'!$B$2:$B$2000,"&lt;="&amp;L423)=0,"NOT FOUND",_xlfn.MAXIFS('10_ref_fx_rate'!$B$2:$B$2000,'10_ref_fx_rate'!$A$2:$A$2000,AL423,'10_ref_fx_rate'!$B$2:$B$2000,"&lt;="&amp;L423))</f>
        <v/>
      </c>
      <c r="AN423" s="8">
        <f>IF(AM423="NOT FOUND","NOT FOUND",SUMIFS('10_ref_fx_rate'!$D$2:$D$2000,'10_ref_fx_rate'!$A$2:$A$2000,AL423,'10_ref_fx_rate'!$B$2:$B$2000,AM423))</f>
        <v/>
      </c>
      <c r="AO423" s="37">
        <f>IF(ISNUMBER(AN423),I423*AN423,"NOT FOUND")</f>
        <v/>
      </c>
      <c r="AP423" s="2">
        <f>UPPER(TRIM(J423))</f>
        <v/>
      </c>
      <c r="AQ423" s="2">
        <f>IF(AP423="","SELF-DIRECTED",IF(ISNUMBER(MATCH(AP423,'11_3nf_sales_person'!$A:$A,0)),IF(EXACT(AP423,J423),"OK","OK (auto-fixed)"),IF(ISNA(MATCH($A423,'12_sales_person_confirmation'!$A:$A,0)),"CONFIRM (not logged)",IF(INDEX('12_sales_person_confirmation'!$I:$I,MATCH($A423,'12_sales_person_confirmation'!$A:$A,0))="CONFIRMED","CONFIRMED ("&amp;LOWER(INDEX('12_sales_person_confirmation'!$E:$E,MATCH($A423,'12_sales_person_confirmation'!$A:$A,0)))&amp;")","PENDING CONFIRM"))))</f>
        <v/>
      </c>
      <c r="AR423" s="2">
        <f>IF(OR(AQ423="OK",AQ423="OK (auto-fixed)"),AP423,IF(LEFT(AQ423,9)="CONFIRMED",INDEX('12_sales_person_confirmation'!$F:$F,MATCH($A423,'12_sales_person_confirmation'!$A:$A,0)),""))</f>
        <v/>
      </c>
      <c r="AS423" s="2">
        <f>IF(AR423="","",INDEX('11_3nf_sales_person'!$B:$B,MATCH(AR423,'11_3nf_sales_person'!$A:$A,0)))</f>
        <v/>
      </c>
    </row>
    <row r="424">
      <c r="A424" s="2">
        <f>IF(ISBLANK('1_raw_log'!A424),"",'1_raw_log'!A424)</f>
        <v/>
      </c>
      <c r="B424" s="3">
        <f>IF(ISBLANK('1_raw_log'!B424),"",'1_raw_log'!B424)</f>
        <v/>
      </c>
      <c r="C424" s="2">
        <f>IF(ISBLANK('1_raw_log'!C424),"",'1_raw_log'!C424)</f>
        <v/>
      </c>
      <c r="D424" s="2">
        <f>IF(ISBLANK('1_raw_log'!D424),"",'1_raw_log'!D424)</f>
        <v/>
      </c>
      <c r="E424" s="4">
        <f>IF(ISBLANK('1_raw_log'!E424),"",'1_raw_log'!E424)</f>
        <v/>
      </c>
      <c r="F424" s="2">
        <f>IF(ISBLANK('1_raw_log'!F424),"",'1_raw_log'!F424)</f>
        <v/>
      </c>
      <c r="G424" s="2">
        <f>IF(ISBLANK('1_raw_log'!G424),"",'1_raw_log'!G424)</f>
        <v/>
      </c>
      <c r="H424" s="2">
        <f>IF(ISBLANK('1_raw_log'!H424),"",'1_raw_log'!H424)</f>
        <v/>
      </c>
      <c r="I424" s="7">
        <f>IF(ISBLANK('1_raw_log'!I424),"",'1_raw_log'!I424)</f>
        <v/>
      </c>
      <c r="J424" s="2">
        <f>IF(ISBLANK('1_raw_log'!J424),"",'1_raw_log'!J424)</f>
        <v/>
      </c>
      <c r="K424" s="2">
        <f>IF(ISBLANK('1_raw_log'!K424),"",'1_raw_log'!K424)</f>
        <v/>
      </c>
      <c r="L424" s="30">
        <f>INT(B424)</f>
        <v/>
      </c>
      <c r="M424" s="20">
        <f>ROUND(MOD(B424,1)*1440,0)/1440</f>
        <v/>
      </c>
      <c r="N424" s="4">
        <f>IFERROR(INDEX('3_ref_date'!$B:$B,MATCH(L424,'3_ref_date'!$A:$A,0)),"NOT FOUND")</f>
        <v/>
      </c>
      <c r="O424" s="2">
        <f>IFERROR(INDEX('3_ref_date'!$C:$C,MATCH(L424,'3_ref_date'!$A:$A,0)),"NOT FOUND")</f>
        <v/>
      </c>
      <c r="P424" s="4">
        <f>IFERROR(INDEX('3_ref_date'!$D:$D,MATCH(L424,'3_ref_date'!$A:$A,0)),"NOT FOUND")</f>
        <v/>
      </c>
      <c r="Q424" s="4">
        <f>IFERROR(INDEX('3_ref_date'!$E:$E,MATCH(L424,'3_ref_date'!$A:$A,0)),"NOT FOUND")</f>
        <v/>
      </c>
      <c r="R424" s="2">
        <f>IFERROR(INDEX('3_ref_date'!$F:$F,MATCH(L424,'3_ref_date'!$A:$A,0)),"NOT FOUND")</f>
        <v/>
      </c>
      <c r="S424" s="2">
        <f>IFERROR(INDEX('4_ref_time'!$D:$D,MATCH(ROUND(M424*1440,0),'4_ref_time'!$A:$A,0)),"NOT FOUND")</f>
        <v/>
      </c>
      <c r="T424" s="2">
        <f>UPPER(TRIM(C424))</f>
        <v/>
      </c>
      <c r="U424" s="30">
        <f>IF(_xlfn.MAXIFS('6_3nf_branch_history'!$B$2:$B$50,'6_3nf_branch_history'!$A$2:$A$50,T424,'6_3nf_branch_history'!$B$2:$B$50,"&lt;="&amp;L424)=0,"NOT FOUND",_xlfn.MAXIFS('6_3nf_branch_history'!$B$2:$B$50,'6_3nf_branch_history'!$A$2:$A$50,T424,'6_3nf_branch_history'!$B$2:$B$50,"&lt;="&amp;L424))</f>
        <v/>
      </c>
      <c r="V424" s="2">
        <f>IF(U424="NOT FOUND","NOT FOUND",INDEX('6_3nf_branch_history'!$C:$C,SUMPRODUCT(('6_3nf_branch_history'!$A$2:$A$50=T424)*('6_3nf_branch_history'!$B$2:$B$50=U424)*ROW('6_3nf_branch_history'!$A$2:$A$50))))</f>
        <v/>
      </c>
      <c r="W424" s="2">
        <f>IF(U424="NOT FOUND","NOT FOUND",INDEX('6_3nf_branch_history'!$D:$D,SUMPRODUCT(('6_3nf_branch_history'!$A$2:$A$50=T424)*('6_3nf_branch_history'!$B$2:$B$50=U424)*ROW('6_3nf_branch_history'!$A$2:$A$50))))</f>
        <v/>
      </c>
      <c r="X424" s="2">
        <f>IF(U424="NOT FOUND","NOT FOUND",INDEX('6_3nf_branch_history'!$E:$E,SUMPRODUCT(('6_3nf_branch_history'!$A$2:$A$50=T424)*('6_3nf_branch_history'!$B$2:$B$50=U424)*ROW('6_3nf_branch_history'!$A$2:$A$50))))</f>
        <v/>
      </c>
      <c r="Y424" s="2">
        <f>UPPER(TRIM(D424))</f>
        <v/>
      </c>
      <c r="Z424" s="2">
        <f>IFERROR(INDEX('7_3nf_product'!$B:$B,MATCH(Y424,'7_3nf_product'!$A:$A,0)),"NOT FOUND")</f>
        <v/>
      </c>
      <c r="AA424" s="2">
        <f>IFERROR(INDEX('7_3nf_product'!$C:$C,MATCH(Y424,'7_3nf_product'!$A:$A,0)),"NOT FOUND")</f>
        <v/>
      </c>
      <c r="AB424" s="2">
        <f>IFERROR(INDEX('7_3nf_product'!$D:$D,MATCH(Y424,'7_3nf_product'!$A:$A,0)),"NOT FOUND")</f>
        <v/>
      </c>
      <c r="AC424" s="6">
        <f>IFERROR(INDEX('7_3nf_product'!$E:$E,MATCH(Y424,'7_3nf_product'!$A:$A,0)),"NOT FOUND")</f>
        <v/>
      </c>
      <c r="AD424" s="33">
        <f>IF(LEN(TRIM(E424))=10,TRIM(E424),IF(LEN(TRIM(E424))=8,"00"&amp;TRIM(E424),"CHECK"))</f>
        <v/>
      </c>
      <c r="AE424" s="2">
        <f>IFERROR(INDEX('8_3nf_customer'!$C:$C,MATCH(AD424,'8_3nf_customer'!$B:$B,0)),"NOT FOUND")</f>
        <v/>
      </c>
      <c r="AF424" s="30">
        <f>IFERROR(INDEX('8_3nf_customer'!$D:$D,MATCH(AD424,'8_3nf_customer'!$B:$B,0)),"NOT FOUND")</f>
        <v/>
      </c>
      <c r="AG424" s="4">
        <f>IF(ISNUMBER(AF424),DATEDIF(AF424,L424,"y"),"NOT FOUND")</f>
        <v/>
      </c>
      <c r="AH424" s="2">
        <f>IFERROR(INDEX('8_3nf_customer'!$E:$E,MATCH(AD424,'8_3nf_customer'!$B:$B,0)),"NOT FOUND")</f>
        <v/>
      </c>
      <c r="AI424" s="30">
        <f>IF(_xlfn.MAXIFS('9_3nf_customer_history'!$B$2:$B$500,'9_3nf_customer_history'!$A$2:$A$500,AD424,'9_3nf_customer_history'!$B$2:$B$500,"&lt;="&amp;L424)=0,"NOT FOUND",_xlfn.MAXIFS('9_3nf_customer_history'!$B$2:$B$500,'9_3nf_customer_history'!$A$2:$A$500,AD424,'9_3nf_customer_history'!$B$2:$B$500,"&lt;="&amp;L424))</f>
        <v/>
      </c>
      <c r="AJ424" s="2">
        <f>IF(AI424="NOT FOUND","NOT FOUND",INDEX('9_3nf_customer_history'!$C:$C,SUMPRODUCT(('9_3nf_customer_history'!$A$2:$A$500=AD424)*('9_3nf_customer_history'!$B$2:$B$500=AI424)*ROW('9_3nf_customer_history'!$A$2:$A$500))))</f>
        <v/>
      </c>
      <c r="AK424" s="2">
        <f>IF(AI424="NOT FOUND","NOT FOUND",INDEX('9_3nf_customer_history'!$D:$D,SUMPRODUCT(('9_3nf_customer_history'!$A$2:$A$500=AD424)*('9_3nf_customer_history'!$B$2:$B$500=AI424)*ROW('9_3nf_customer_history'!$A$2:$A$500))))</f>
        <v/>
      </c>
      <c r="AL424" s="2">
        <f>UPPER(TRIM(H424))</f>
        <v/>
      </c>
      <c r="AM424" s="30">
        <f>IF(_xlfn.MAXIFS('10_ref_fx_rate'!$B$2:$B$2000,'10_ref_fx_rate'!$A$2:$A$2000,AL424,'10_ref_fx_rate'!$B$2:$B$2000,"&lt;="&amp;L424)=0,"NOT FOUND",_xlfn.MAXIFS('10_ref_fx_rate'!$B$2:$B$2000,'10_ref_fx_rate'!$A$2:$A$2000,AL424,'10_ref_fx_rate'!$B$2:$B$2000,"&lt;="&amp;L424))</f>
        <v/>
      </c>
      <c r="AN424" s="8">
        <f>IF(AM424="NOT FOUND","NOT FOUND",SUMIFS('10_ref_fx_rate'!$D$2:$D$2000,'10_ref_fx_rate'!$A$2:$A$2000,AL424,'10_ref_fx_rate'!$B$2:$B$2000,AM424))</f>
        <v/>
      </c>
      <c r="AO424" s="37">
        <f>IF(ISNUMBER(AN424),I424*AN424,"NOT FOUND")</f>
        <v/>
      </c>
      <c r="AP424" s="2">
        <f>UPPER(TRIM(J424))</f>
        <v/>
      </c>
      <c r="AQ424" s="2">
        <f>IF(AP424="","SELF-DIRECTED",IF(ISNUMBER(MATCH(AP424,'11_3nf_sales_person'!$A:$A,0)),IF(EXACT(AP424,J424),"OK","OK (auto-fixed)"),IF(ISNA(MATCH($A424,'12_sales_person_confirmation'!$A:$A,0)),"CONFIRM (not logged)",IF(INDEX('12_sales_person_confirmation'!$I:$I,MATCH($A424,'12_sales_person_confirmation'!$A:$A,0))="CONFIRMED","CONFIRMED ("&amp;LOWER(INDEX('12_sales_person_confirmation'!$E:$E,MATCH($A424,'12_sales_person_confirmation'!$A:$A,0)))&amp;")","PENDING CONFIRM"))))</f>
        <v/>
      </c>
      <c r="AR424" s="2">
        <f>IF(OR(AQ424="OK",AQ424="OK (auto-fixed)"),AP424,IF(LEFT(AQ424,9)="CONFIRMED",INDEX('12_sales_person_confirmation'!$F:$F,MATCH($A424,'12_sales_person_confirmation'!$A:$A,0)),""))</f>
        <v/>
      </c>
      <c r="AS424" s="2">
        <f>IF(AR424="","",INDEX('11_3nf_sales_person'!$B:$B,MATCH(AR424,'11_3nf_sales_person'!$A:$A,0)))</f>
        <v/>
      </c>
    </row>
    <row r="425">
      <c r="A425" s="2">
        <f>IF(ISBLANK('1_raw_log'!A425),"",'1_raw_log'!A425)</f>
        <v/>
      </c>
      <c r="B425" s="3">
        <f>IF(ISBLANK('1_raw_log'!B425),"",'1_raw_log'!B425)</f>
        <v/>
      </c>
      <c r="C425" s="2">
        <f>IF(ISBLANK('1_raw_log'!C425),"",'1_raw_log'!C425)</f>
        <v/>
      </c>
      <c r="D425" s="2">
        <f>IF(ISBLANK('1_raw_log'!D425),"",'1_raw_log'!D425)</f>
        <v/>
      </c>
      <c r="E425" s="4">
        <f>IF(ISBLANK('1_raw_log'!E425),"",'1_raw_log'!E425)</f>
        <v/>
      </c>
      <c r="F425" s="2">
        <f>IF(ISBLANK('1_raw_log'!F425),"",'1_raw_log'!F425)</f>
        <v/>
      </c>
      <c r="G425" s="2">
        <f>IF(ISBLANK('1_raw_log'!G425),"",'1_raw_log'!G425)</f>
        <v/>
      </c>
      <c r="H425" s="2">
        <f>IF(ISBLANK('1_raw_log'!H425),"",'1_raw_log'!H425)</f>
        <v/>
      </c>
      <c r="I425" s="7">
        <f>IF(ISBLANK('1_raw_log'!I425),"",'1_raw_log'!I425)</f>
        <v/>
      </c>
      <c r="J425" s="2">
        <f>IF(ISBLANK('1_raw_log'!J425),"",'1_raw_log'!J425)</f>
        <v/>
      </c>
      <c r="K425" s="2">
        <f>IF(ISBLANK('1_raw_log'!K425),"",'1_raw_log'!K425)</f>
        <v/>
      </c>
      <c r="L425" s="30">
        <f>INT(B425)</f>
        <v/>
      </c>
      <c r="M425" s="20">
        <f>ROUND(MOD(B425,1)*1440,0)/1440</f>
        <v/>
      </c>
      <c r="N425" s="4">
        <f>IFERROR(INDEX('3_ref_date'!$B:$B,MATCH(L425,'3_ref_date'!$A:$A,0)),"NOT FOUND")</f>
        <v/>
      </c>
      <c r="O425" s="2">
        <f>IFERROR(INDEX('3_ref_date'!$C:$C,MATCH(L425,'3_ref_date'!$A:$A,0)),"NOT FOUND")</f>
        <v/>
      </c>
      <c r="P425" s="4">
        <f>IFERROR(INDEX('3_ref_date'!$D:$D,MATCH(L425,'3_ref_date'!$A:$A,0)),"NOT FOUND")</f>
        <v/>
      </c>
      <c r="Q425" s="4">
        <f>IFERROR(INDEX('3_ref_date'!$E:$E,MATCH(L425,'3_ref_date'!$A:$A,0)),"NOT FOUND")</f>
        <v/>
      </c>
      <c r="R425" s="2">
        <f>IFERROR(INDEX('3_ref_date'!$F:$F,MATCH(L425,'3_ref_date'!$A:$A,0)),"NOT FOUND")</f>
        <v/>
      </c>
      <c r="S425" s="2">
        <f>IFERROR(INDEX('4_ref_time'!$D:$D,MATCH(ROUND(M425*1440,0),'4_ref_time'!$A:$A,0)),"NOT FOUND")</f>
        <v/>
      </c>
      <c r="T425" s="2">
        <f>UPPER(TRIM(C425))</f>
        <v/>
      </c>
      <c r="U425" s="30">
        <f>IF(_xlfn.MAXIFS('6_3nf_branch_history'!$B$2:$B$50,'6_3nf_branch_history'!$A$2:$A$50,T425,'6_3nf_branch_history'!$B$2:$B$50,"&lt;="&amp;L425)=0,"NOT FOUND",_xlfn.MAXIFS('6_3nf_branch_history'!$B$2:$B$50,'6_3nf_branch_history'!$A$2:$A$50,T425,'6_3nf_branch_history'!$B$2:$B$50,"&lt;="&amp;L425))</f>
        <v/>
      </c>
      <c r="V425" s="2">
        <f>IF(U425="NOT FOUND","NOT FOUND",INDEX('6_3nf_branch_history'!$C:$C,SUMPRODUCT(('6_3nf_branch_history'!$A$2:$A$50=T425)*('6_3nf_branch_history'!$B$2:$B$50=U425)*ROW('6_3nf_branch_history'!$A$2:$A$50))))</f>
        <v/>
      </c>
      <c r="W425" s="2">
        <f>IF(U425="NOT FOUND","NOT FOUND",INDEX('6_3nf_branch_history'!$D:$D,SUMPRODUCT(('6_3nf_branch_history'!$A$2:$A$50=T425)*('6_3nf_branch_history'!$B$2:$B$50=U425)*ROW('6_3nf_branch_history'!$A$2:$A$50))))</f>
        <v/>
      </c>
      <c r="X425" s="2">
        <f>IF(U425="NOT FOUND","NOT FOUND",INDEX('6_3nf_branch_history'!$E:$E,SUMPRODUCT(('6_3nf_branch_history'!$A$2:$A$50=T425)*('6_3nf_branch_history'!$B$2:$B$50=U425)*ROW('6_3nf_branch_history'!$A$2:$A$50))))</f>
        <v/>
      </c>
      <c r="Y425" s="2">
        <f>UPPER(TRIM(D425))</f>
        <v/>
      </c>
      <c r="Z425" s="2">
        <f>IFERROR(INDEX('7_3nf_product'!$B:$B,MATCH(Y425,'7_3nf_product'!$A:$A,0)),"NOT FOUND")</f>
        <v/>
      </c>
      <c r="AA425" s="2">
        <f>IFERROR(INDEX('7_3nf_product'!$C:$C,MATCH(Y425,'7_3nf_product'!$A:$A,0)),"NOT FOUND")</f>
        <v/>
      </c>
      <c r="AB425" s="2">
        <f>IFERROR(INDEX('7_3nf_product'!$D:$D,MATCH(Y425,'7_3nf_product'!$A:$A,0)),"NOT FOUND")</f>
        <v/>
      </c>
      <c r="AC425" s="6">
        <f>IFERROR(INDEX('7_3nf_product'!$E:$E,MATCH(Y425,'7_3nf_product'!$A:$A,0)),"NOT FOUND")</f>
        <v/>
      </c>
      <c r="AD425" s="33">
        <f>IF(LEN(TRIM(E425))=10,TRIM(E425),IF(LEN(TRIM(E425))=8,"00"&amp;TRIM(E425),"CHECK"))</f>
        <v/>
      </c>
      <c r="AE425" s="2">
        <f>IFERROR(INDEX('8_3nf_customer'!$C:$C,MATCH(AD425,'8_3nf_customer'!$B:$B,0)),"NOT FOUND")</f>
        <v/>
      </c>
      <c r="AF425" s="30">
        <f>IFERROR(INDEX('8_3nf_customer'!$D:$D,MATCH(AD425,'8_3nf_customer'!$B:$B,0)),"NOT FOUND")</f>
        <v/>
      </c>
      <c r="AG425" s="4">
        <f>IF(ISNUMBER(AF425),DATEDIF(AF425,L425,"y"),"NOT FOUND")</f>
        <v/>
      </c>
      <c r="AH425" s="2">
        <f>IFERROR(INDEX('8_3nf_customer'!$E:$E,MATCH(AD425,'8_3nf_customer'!$B:$B,0)),"NOT FOUND")</f>
        <v/>
      </c>
      <c r="AI425" s="30">
        <f>IF(_xlfn.MAXIFS('9_3nf_customer_history'!$B$2:$B$500,'9_3nf_customer_history'!$A$2:$A$500,AD425,'9_3nf_customer_history'!$B$2:$B$500,"&lt;="&amp;L425)=0,"NOT FOUND",_xlfn.MAXIFS('9_3nf_customer_history'!$B$2:$B$500,'9_3nf_customer_history'!$A$2:$A$500,AD425,'9_3nf_customer_history'!$B$2:$B$500,"&lt;="&amp;L425))</f>
        <v/>
      </c>
      <c r="AJ425" s="2">
        <f>IF(AI425="NOT FOUND","NOT FOUND",INDEX('9_3nf_customer_history'!$C:$C,SUMPRODUCT(('9_3nf_customer_history'!$A$2:$A$500=AD425)*('9_3nf_customer_history'!$B$2:$B$500=AI425)*ROW('9_3nf_customer_history'!$A$2:$A$500))))</f>
        <v/>
      </c>
      <c r="AK425" s="2">
        <f>IF(AI425="NOT FOUND","NOT FOUND",INDEX('9_3nf_customer_history'!$D:$D,SUMPRODUCT(('9_3nf_customer_history'!$A$2:$A$500=AD425)*('9_3nf_customer_history'!$B$2:$B$500=AI425)*ROW('9_3nf_customer_history'!$A$2:$A$500))))</f>
        <v/>
      </c>
      <c r="AL425" s="2">
        <f>UPPER(TRIM(H425))</f>
        <v/>
      </c>
      <c r="AM425" s="30">
        <f>IF(_xlfn.MAXIFS('10_ref_fx_rate'!$B$2:$B$2000,'10_ref_fx_rate'!$A$2:$A$2000,AL425,'10_ref_fx_rate'!$B$2:$B$2000,"&lt;="&amp;L425)=0,"NOT FOUND",_xlfn.MAXIFS('10_ref_fx_rate'!$B$2:$B$2000,'10_ref_fx_rate'!$A$2:$A$2000,AL425,'10_ref_fx_rate'!$B$2:$B$2000,"&lt;="&amp;L425))</f>
        <v/>
      </c>
      <c r="AN425" s="8">
        <f>IF(AM425="NOT FOUND","NOT FOUND",SUMIFS('10_ref_fx_rate'!$D$2:$D$2000,'10_ref_fx_rate'!$A$2:$A$2000,AL425,'10_ref_fx_rate'!$B$2:$B$2000,AM425))</f>
        <v/>
      </c>
      <c r="AO425" s="37">
        <f>IF(ISNUMBER(AN425),I425*AN425,"NOT FOUND")</f>
        <v/>
      </c>
      <c r="AP425" s="2">
        <f>UPPER(TRIM(J425))</f>
        <v/>
      </c>
      <c r="AQ425" s="2">
        <f>IF(AP425="","SELF-DIRECTED",IF(ISNUMBER(MATCH(AP425,'11_3nf_sales_person'!$A:$A,0)),IF(EXACT(AP425,J425),"OK","OK (auto-fixed)"),IF(ISNA(MATCH($A425,'12_sales_person_confirmation'!$A:$A,0)),"CONFIRM (not logged)",IF(INDEX('12_sales_person_confirmation'!$I:$I,MATCH($A425,'12_sales_person_confirmation'!$A:$A,0))="CONFIRMED","CONFIRMED ("&amp;LOWER(INDEX('12_sales_person_confirmation'!$E:$E,MATCH($A425,'12_sales_person_confirmation'!$A:$A,0)))&amp;")","PENDING CONFIRM"))))</f>
        <v/>
      </c>
      <c r="AR425" s="2">
        <f>IF(OR(AQ425="OK",AQ425="OK (auto-fixed)"),AP425,IF(LEFT(AQ425,9)="CONFIRMED",INDEX('12_sales_person_confirmation'!$F:$F,MATCH($A425,'12_sales_person_confirmation'!$A:$A,0)),""))</f>
        <v/>
      </c>
      <c r="AS425" s="2">
        <f>IF(AR425="","",INDEX('11_3nf_sales_person'!$B:$B,MATCH(AR425,'11_3nf_sales_person'!$A:$A,0)))</f>
        <v/>
      </c>
    </row>
    <row r="426">
      <c r="A426" s="2">
        <f>IF(ISBLANK('1_raw_log'!A426),"",'1_raw_log'!A426)</f>
        <v/>
      </c>
      <c r="B426" s="3">
        <f>IF(ISBLANK('1_raw_log'!B426),"",'1_raw_log'!B426)</f>
        <v/>
      </c>
      <c r="C426" s="2">
        <f>IF(ISBLANK('1_raw_log'!C426),"",'1_raw_log'!C426)</f>
        <v/>
      </c>
      <c r="D426" s="2">
        <f>IF(ISBLANK('1_raw_log'!D426),"",'1_raw_log'!D426)</f>
        <v/>
      </c>
      <c r="E426" s="4">
        <f>IF(ISBLANK('1_raw_log'!E426),"",'1_raw_log'!E426)</f>
        <v/>
      </c>
      <c r="F426" s="2">
        <f>IF(ISBLANK('1_raw_log'!F426),"",'1_raw_log'!F426)</f>
        <v/>
      </c>
      <c r="G426" s="2">
        <f>IF(ISBLANK('1_raw_log'!G426),"",'1_raw_log'!G426)</f>
        <v/>
      </c>
      <c r="H426" s="2">
        <f>IF(ISBLANK('1_raw_log'!H426),"",'1_raw_log'!H426)</f>
        <v/>
      </c>
      <c r="I426" s="7">
        <f>IF(ISBLANK('1_raw_log'!I426),"",'1_raw_log'!I426)</f>
        <v/>
      </c>
      <c r="J426" s="2">
        <f>IF(ISBLANK('1_raw_log'!J426),"",'1_raw_log'!J426)</f>
        <v/>
      </c>
      <c r="K426" s="2">
        <f>IF(ISBLANK('1_raw_log'!K426),"",'1_raw_log'!K426)</f>
        <v/>
      </c>
      <c r="L426" s="30">
        <f>INT(B426)</f>
        <v/>
      </c>
      <c r="M426" s="20">
        <f>ROUND(MOD(B426,1)*1440,0)/1440</f>
        <v/>
      </c>
      <c r="N426" s="4">
        <f>IFERROR(INDEX('3_ref_date'!$B:$B,MATCH(L426,'3_ref_date'!$A:$A,0)),"NOT FOUND")</f>
        <v/>
      </c>
      <c r="O426" s="2">
        <f>IFERROR(INDEX('3_ref_date'!$C:$C,MATCH(L426,'3_ref_date'!$A:$A,0)),"NOT FOUND")</f>
        <v/>
      </c>
      <c r="P426" s="4">
        <f>IFERROR(INDEX('3_ref_date'!$D:$D,MATCH(L426,'3_ref_date'!$A:$A,0)),"NOT FOUND")</f>
        <v/>
      </c>
      <c r="Q426" s="4">
        <f>IFERROR(INDEX('3_ref_date'!$E:$E,MATCH(L426,'3_ref_date'!$A:$A,0)),"NOT FOUND")</f>
        <v/>
      </c>
      <c r="R426" s="2">
        <f>IFERROR(INDEX('3_ref_date'!$F:$F,MATCH(L426,'3_ref_date'!$A:$A,0)),"NOT FOUND")</f>
        <v/>
      </c>
      <c r="S426" s="2">
        <f>IFERROR(INDEX('4_ref_time'!$D:$D,MATCH(ROUND(M426*1440,0),'4_ref_time'!$A:$A,0)),"NOT FOUND")</f>
        <v/>
      </c>
      <c r="T426" s="2">
        <f>UPPER(TRIM(C426))</f>
        <v/>
      </c>
      <c r="U426" s="30">
        <f>IF(_xlfn.MAXIFS('6_3nf_branch_history'!$B$2:$B$50,'6_3nf_branch_history'!$A$2:$A$50,T426,'6_3nf_branch_history'!$B$2:$B$50,"&lt;="&amp;L426)=0,"NOT FOUND",_xlfn.MAXIFS('6_3nf_branch_history'!$B$2:$B$50,'6_3nf_branch_history'!$A$2:$A$50,T426,'6_3nf_branch_history'!$B$2:$B$50,"&lt;="&amp;L426))</f>
        <v/>
      </c>
      <c r="V426" s="2">
        <f>IF(U426="NOT FOUND","NOT FOUND",INDEX('6_3nf_branch_history'!$C:$C,SUMPRODUCT(('6_3nf_branch_history'!$A$2:$A$50=T426)*('6_3nf_branch_history'!$B$2:$B$50=U426)*ROW('6_3nf_branch_history'!$A$2:$A$50))))</f>
        <v/>
      </c>
      <c r="W426" s="2">
        <f>IF(U426="NOT FOUND","NOT FOUND",INDEX('6_3nf_branch_history'!$D:$D,SUMPRODUCT(('6_3nf_branch_history'!$A$2:$A$50=T426)*('6_3nf_branch_history'!$B$2:$B$50=U426)*ROW('6_3nf_branch_history'!$A$2:$A$50))))</f>
        <v/>
      </c>
      <c r="X426" s="2">
        <f>IF(U426="NOT FOUND","NOT FOUND",INDEX('6_3nf_branch_history'!$E:$E,SUMPRODUCT(('6_3nf_branch_history'!$A$2:$A$50=T426)*('6_3nf_branch_history'!$B$2:$B$50=U426)*ROW('6_3nf_branch_history'!$A$2:$A$50))))</f>
        <v/>
      </c>
      <c r="Y426" s="2">
        <f>UPPER(TRIM(D426))</f>
        <v/>
      </c>
      <c r="Z426" s="2">
        <f>IFERROR(INDEX('7_3nf_product'!$B:$B,MATCH(Y426,'7_3nf_product'!$A:$A,0)),"NOT FOUND")</f>
        <v/>
      </c>
      <c r="AA426" s="2">
        <f>IFERROR(INDEX('7_3nf_product'!$C:$C,MATCH(Y426,'7_3nf_product'!$A:$A,0)),"NOT FOUND")</f>
        <v/>
      </c>
      <c r="AB426" s="2">
        <f>IFERROR(INDEX('7_3nf_product'!$D:$D,MATCH(Y426,'7_3nf_product'!$A:$A,0)),"NOT FOUND")</f>
        <v/>
      </c>
      <c r="AC426" s="6">
        <f>IFERROR(INDEX('7_3nf_product'!$E:$E,MATCH(Y426,'7_3nf_product'!$A:$A,0)),"NOT FOUND")</f>
        <v/>
      </c>
      <c r="AD426" s="33">
        <f>IF(LEN(TRIM(E426))=10,TRIM(E426),IF(LEN(TRIM(E426))=8,"00"&amp;TRIM(E426),"CHECK"))</f>
        <v/>
      </c>
      <c r="AE426" s="2">
        <f>IFERROR(INDEX('8_3nf_customer'!$C:$C,MATCH(AD426,'8_3nf_customer'!$B:$B,0)),"NOT FOUND")</f>
        <v/>
      </c>
      <c r="AF426" s="30">
        <f>IFERROR(INDEX('8_3nf_customer'!$D:$D,MATCH(AD426,'8_3nf_customer'!$B:$B,0)),"NOT FOUND")</f>
        <v/>
      </c>
      <c r="AG426" s="4">
        <f>IF(ISNUMBER(AF426),DATEDIF(AF426,L426,"y"),"NOT FOUND")</f>
        <v/>
      </c>
      <c r="AH426" s="2">
        <f>IFERROR(INDEX('8_3nf_customer'!$E:$E,MATCH(AD426,'8_3nf_customer'!$B:$B,0)),"NOT FOUND")</f>
        <v/>
      </c>
      <c r="AI426" s="30">
        <f>IF(_xlfn.MAXIFS('9_3nf_customer_history'!$B$2:$B$500,'9_3nf_customer_history'!$A$2:$A$500,AD426,'9_3nf_customer_history'!$B$2:$B$500,"&lt;="&amp;L426)=0,"NOT FOUND",_xlfn.MAXIFS('9_3nf_customer_history'!$B$2:$B$500,'9_3nf_customer_history'!$A$2:$A$500,AD426,'9_3nf_customer_history'!$B$2:$B$500,"&lt;="&amp;L426))</f>
        <v/>
      </c>
      <c r="AJ426" s="2">
        <f>IF(AI426="NOT FOUND","NOT FOUND",INDEX('9_3nf_customer_history'!$C:$C,SUMPRODUCT(('9_3nf_customer_history'!$A$2:$A$500=AD426)*('9_3nf_customer_history'!$B$2:$B$500=AI426)*ROW('9_3nf_customer_history'!$A$2:$A$500))))</f>
        <v/>
      </c>
      <c r="AK426" s="2">
        <f>IF(AI426="NOT FOUND","NOT FOUND",INDEX('9_3nf_customer_history'!$D:$D,SUMPRODUCT(('9_3nf_customer_history'!$A$2:$A$500=AD426)*('9_3nf_customer_history'!$B$2:$B$500=AI426)*ROW('9_3nf_customer_history'!$A$2:$A$500))))</f>
        <v/>
      </c>
      <c r="AL426" s="2">
        <f>UPPER(TRIM(H426))</f>
        <v/>
      </c>
      <c r="AM426" s="30">
        <f>IF(_xlfn.MAXIFS('10_ref_fx_rate'!$B$2:$B$2000,'10_ref_fx_rate'!$A$2:$A$2000,AL426,'10_ref_fx_rate'!$B$2:$B$2000,"&lt;="&amp;L426)=0,"NOT FOUND",_xlfn.MAXIFS('10_ref_fx_rate'!$B$2:$B$2000,'10_ref_fx_rate'!$A$2:$A$2000,AL426,'10_ref_fx_rate'!$B$2:$B$2000,"&lt;="&amp;L426))</f>
        <v/>
      </c>
      <c r="AN426" s="8">
        <f>IF(AM426="NOT FOUND","NOT FOUND",SUMIFS('10_ref_fx_rate'!$D$2:$D$2000,'10_ref_fx_rate'!$A$2:$A$2000,AL426,'10_ref_fx_rate'!$B$2:$B$2000,AM426))</f>
        <v/>
      </c>
      <c r="AO426" s="37">
        <f>IF(ISNUMBER(AN426),I426*AN426,"NOT FOUND")</f>
        <v/>
      </c>
      <c r="AP426" s="2">
        <f>UPPER(TRIM(J426))</f>
        <v/>
      </c>
      <c r="AQ426" s="2">
        <f>IF(AP426="","SELF-DIRECTED",IF(ISNUMBER(MATCH(AP426,'11_3nf_sales_person'!$A:$A,0)),IF(EXACT(AP426,J426),"OK","OK (auto-fixed)"),IF(ISNA(MATCH($A426,'12_sales_person_confirmation'!$A:$A,0)),"CONFIRM (not logged)",IF(INDEX('12_sales_person_confirmation'!$I:$I,MATCH($A426,'12_sales_person_confirmation'!$A:$A,0))="CONFIRMED","CONFIRMED ("&amp;LOWER(INDEX('12_sales_person_confirmation'!$E:$E,MATCH($A426,'12_sales_person_confirmation'!$A:$A,0)))&amp;")","PENDING CONFIRM"))))</f>
        <v/>
      </c>
      <c r="AR426" s="2">
        <f>IF(OR(AQ426="OK",AQ426="OK (auto-fixed)"),AP426,IF(LEFT(AQ426,9)="CONFIRMED",INDEX('12_sales_person_confirmation'!$F:$F,MATCH($A426,'12_sales_person_confirmation'!$A:$A,0)),""))</f>
        <v/>
      </c>
      <c r="AS426" s="2">
        <f>IF(AR426="","",INDEX('11_3nf_sales_person'!$B:$B,MATCH(AR426,'11_3nf_sales_person'!$A:$A,0)))</f>
        <v/>
      </c>
    </row>
    <row r="427">
      <c r="A427" s="2">
        <f>IF(ISBLANK('1_raw_log'!A427),"",'1_raw_log'!A427)</f>
        <v/>
      </c>
      <c r="B427" s="3">
        <f>IF(ISBLANK('1_raw_log'!B427),"",'1_raw_log'!B427)</f>
        <v/>
      </c>
      <c r="C427" s="2">
        <f>IF(ISBLANK('1_raw_log'!C427),"",'1_raw_log'!C427)</f>
        <v/>
      </c>
      <c r="D427" s="2">
        <f>IF(ISBLANK('1_raw_log'!D427),"",'1_raw_log'!D427)</f>
        <v/>
      </c>
      <c r="E427" s="4">
        <f>IF(ISBLANK('1_raw_log'!E427),"",'1_raw_log'!E427)</f>
        <v/>
      </c>
      <c r="F427" s="2">
        <f>IF(ISBLANK('1_raw_log'!F427),"",'1_raw_log'!F427)</f>
        <v/>
      </c>
      <c r="G427" s="2">
        <f>IF(ISBLANK('1_raw_log'!G427),"",'1_raw_log'!G427)</f>
        <v/>
      </c>
      <c r="H427" s="2">
        <f>IF(ISBLANK('1_raw_log'!H427),"",'1_raw_log'!H427)</f>
        <v/>
      </c>
      <c r="I427" s="7">
        <f>IF(ISBLANK('1_raw_log'!I427),"",'1_raw_log'!I427)</f>
        <v/>
      </c>
      <c r="J427" s="2">
        <f>IF(ISBLANK('1_raw_log'!J427),"",'1_raw_log'!J427)</f>
        <v/>
      </c>
      <c r="K427" s="2">
        <f>IF(ISBLANK('1_raw_log'!K427),"",'1_raw_log'!K427)</f>
        <v/>
      </c>
      <c r="L427" s="30">
        <f>INT(B427)</f>
        <v/>
      </c>
      <c r="M427" s="20">
        <f>ROUND(MOD(B427,1)*1440,0)/1440</f>
        <v/>
      </c>
      <c r="N427" s="4">
        <f>IFERROR(INDEX('3_ref_date'!$B:$B,MATCH(L427,'3_ref_date'!$A:$A,0)),"NOT FOUND")</f>
        <v/>
      </c>
      <c r="O427" s="2">
        <f>IFERROR(INDEX('3_ref_date'!$C:$C,MATCH(L427,'3_ref_date'!$A:$A,0)),"NOT FOUND")</f>
        <v/>
      </c>
      <c r="P427" s="4">
        <f>IFERROR(INDEX('3_ref_date'!$D:$D,MATCH(L427,'3_ref_date'!$A:$A,0)),"NOT FOUND")</f>
        <v/>
      </c>
      <c r="Q427" s="4">
        <f>IFERROR(INDEX('3_ref_date'!$E:$E,MATCH(L427,'3_ref_date'!$A:$A,0)),"NOT FOUND")</f>
        <v/>
      </c>
      <c r="R427" s="2">
        <f>IFERROR(INDEX('3_ref_date'!$F:$F,MATCH(L427,'3_ref_date'!$A:$A,0)),"NOT FOUND")</f>
        <v/>
      </c>
      <c r="S427" s="2">
        <f>IFERROR(INDEX('4_ref_time'!$D:$D,MATCH(ROUND(M427*1440,0),'4_ref_time'!$A:$A,0)),"NOT FOUND")</f>
        <v/>
      </c>
      <c r="T427" s="2">
        <f>UPPER(TRIM(C427))</f>
        <v/>
      </c>
      <c r="U427" s="30">
        <f>IF(_xlfn.MAXIFS('6_3nf_branch_history'!$B$2:$B$50,'6_3nf_branch_history'!$A$2:$A$50,T427,'6_3nf_branch_history'!$B$2:$B$50,"&lt;="&amp;L427)=0,"NOT FOUND",_xlfn.MAXIFS('6_3nf_branch_history'!$B$2:$B$50,'6_3nf_branch_history'!$A$2:$A$50,T427,'6_3nf_branch_history'!$B$2:$B$50,"&lt;="&amp;L427))</f>
        <v/>
      </c>
      <c r="V427" s="2">
        <f>IF(U427="NOT FOUND","NOT FOUND",INDEX('6_3nf_branch_history'!$C:$C,SUMPRODUCT(('6_3nf_branch_history'!$A$2:$A$50=T427)*('6_3nf_branch_history'!$B$2:$B$50=U427)*ROW('6_3nf_branch_history'!$A$2:$A$50))))</f>
        <v/>
      </c>
      <c r="W427" s="2">
        <f>IF(U427="NOT FOUND","NOT FOUND",INDEX('6_3nf_branch_history'!$D:$D,SUMPRODUCT(('6_3nf_branch_history'!$A$2:$A$50=T427)*('6_3nf_branch_history'!$B$2:$B$50=U427)*ROW('6_3nf_branch_history'!$A$2:$A$50))))</f>
        <v/>
      </c>
      <c r="X427" s="2">
        <f>IF(U427="NOT FOUND","NOT FOUND",INDEX('6_3nf_branch_history'!$E:$E,SUMPRODUCT(('6_3nf_branch_history'!$A$2:$A$50=T427)*('6_3nf_branch_history'!$B$2:$B$50=U427)*ROW('6_3nf_branch_history'!$A$2:$A$50))))</f>
        <v/>
      </c>
      <c r="Y427" s="2">
        <f>UPPER(TRIM(D427))</f>
        <v/>
      </c>
      <c r="Z427" s="2">
        <f>IFERROR(INDEX('7_3nf_product'!$B:$B,MATCH(Y427,'7_3nf_product'!$A:$A,0)),"NOT FOUND")</f>
        <v/>
      </c>
      <c r="AA427" s="2">
        <f>IFERROR(INDEX('7_3nf_product'!$C:$C,MATCH(Y427,'7_3nf_product'!$A:$A,0)),"NOT FOUND")</f>
        <v/>
      </c>
      <c r="AB427" s="2">
        <f>IFERROR(INDEX('7_3nf_product'!$D:$D,MATCH(Y427,'7_3nf_product'!$A:$A,0)),"NOT FOUND")</f>
        <v/>
      </c>
      <c r="AC427" s="6">
        <f>IFERROR(INDEX('7_3nf_product'!$E:$E,MATCH(Y427,'7_3nf_product'!$A:$A,0)),"NOT FOUND")</f>
        <v/>
      </c>
      <c r="AD427" s="33">
        <f>IF(LEN(TRIM(E427))=10,TRIM(E427),IF(LEN(TRIM(E427))=8,"00"&amp;TRIM(E427),"CHECK"))</f>
        <v/>
      </c>
      <c r="AE427" s="2">
        <f>IFERROR(INDEX('8_3nf_customer'!$C:$C,MATCH(AD427,'8_3nf_customer'!$B:$B,0)),"NOT FOUND")</f>
        <v/>
      </c>
      <c r="AF427" s="30">
        <f>IFERROR(INDEX('8_3nf_customer'!$D:$D,MATCH(AD427,'8_3nf_customer'!$B:$B,0)),"NOT FOUND")</f>
        <v/>
      </c>
      <c r="AG427" s="4">
        <f>IF(ISNUMBER(AF427),DATEDIF(AF427,L427,"y"),"NOT FOUND")</f>
        <v/>
      </c>
      <c r="AH427" s="2">
        <f>IFERROR(INDEX('8_3nf_customer'!$E:$E,MATCH(AD427,'8_3nf_customer'!$B:$B,0)),"NOT FOUND")</f>
        <v/>
      </c>
      <c r="AI427" s="30">
        <f>IF(_xlfn.MAXIFS('9_3nf_customer_history'!$B$2:$B$500,'9_3nf_customer_history'!$A$2:$A$500,AD427,'9_3nf_customer_history'!$B$2:$B$500,"&lt;="&amp;L427)=0,"NOT FOUND",_xlfn.MAXIFS('9_3nf_customer_history'!$B$2:$B$500,'9_3nf_customer_history'!$A$2:$A$500,AD427,'9_3nf_customer_history'!$B$2:$B$500,"&lt;="&amp;L427))</f>
        <v/>
      </c>
      <c r="AJ427" s="2">
        <f>IF(AI427="NOT FOUND","NOT FOUND",INDEX('9_3nf_customer_history'!$C:$C,SUMPRODUCT(('9_3nf_customer_history'!$A$2:$A$500=AD427)*('9_3nf_customer_history'!$B$2:$B$500=AI427)*ROW('9_3nf_customer_history'!$A$2:$A$500))))</f>
        <v/>
      </c>
      <c r="AK427" s="2">
        <f>IF(AI427="NOT FOUND","NOT FOUND",INDEX('9_3nf_customer_history'!$D:$D,SUMPRODUCT(('9_3nf_customer_history'!$A$2:$A$500=AD427)*('9_3nf_customer_history'!$B$2:$B$500=AI427)*ROW('9_3nf_customer_history'!$A$2:$A$500))))</f>
        <v/>
      </c>
      <c r="AL427" s="2">
        <f>UPPER(TRIM(H427))</f>
        <v/>
      </c>
      <c r="AM427" s="30">
        <f>IF(_xlfn.MAXIFS('10_ref_fx_rate'!$B$2:$B$2000,'10_ref_fx_rate'!$A$2:$A$2000,AL427,'10_ref_fx_rate'!$B$2:$B$2000,"&lt;="&amp;L427)=0,"NOT FOUND",_xlfn.MAXIFS('10_ref_fx_rate'!$B$2:$B$2000,'10_ref_fx_rate'!$A$2:$A$2000,AL427,'10_ref_fx_rate'!$B$2:$B$2000,"&lt;="&amp;L427))</f>
        <v/>
      </c>
      <c r="AN427" s="8">
        <f>IF(AM427="NOT FOUND","NOT FOUND",SUMIFS('10_ref_fx_rate'!$D$2:$D$2000,'10_ref_fx_rate'!$A$2:$A$2000,AL427,'10_ref_fx_rate'!$B$2:$B$2000,AM427))</f>
        <v/>
      </c>
      <c r="AO427" s="37">
        <f>IF(ISNUMBER(AN427),I427*AN427,"NOT FOUND")</f>
        <v/>
      </c>
      <c r="AP427" s="2">
        <f>UPPER(TRIM(J427))</f>
        <v/>
      </c>
      <c r="AQ427" s="2">
        <f>IF(AP427="","SELF-DIRECTED",IF(ISNUMBER(MATCH(AP427,'11_3nf_sales_person'!$A:$A,0)),IF(EXACT(AP427,J427),"OK","OK (auto-fixed)"),IF(ISNA(MATCH($A427,'12_sales_person_confirmation'!$A:$A,0)),"CONFIRM (not logged)",IF(INDEX('12_sales_person_confirmation'!$I:$I,MATCH($A427,'12_sales_person_confirmation'!$A:$A,0))="CONFIRMED","CONFIRMED ("&amp;LOWER(INDEX('12_sales_person_confirmation'!$E:$E,MATCH($A427,'12_sales_person_confirmation'!$A:$A,0)))&amp;")","PENDING CONFIRM"))))</f>
        <v/>
      </c>
      <c r="AR427" s="2">
        <f>IF(OR(AQ427="OK",AQ427="OK (auto-fixed)"),AP427,IF(LEFT(AQ427,9)="CONFIRMED",INDEX('12_sales_person_confirmation'!$F:$F,MATCH($A427,'12_sales_person_confirmation'!$A:$A,0)),""))</f>
        <v/>
      </c>
      <c r="AS427" s="2">
        <f>IF(AR427="","",INDEX('11_3nf_sales_person'!$B:$B,MATCH(AR427,'11_3nf_sales_person'!$A:$A,0)))</f>
        <v/>
      </c>
    </row>
    <row r="428">
      <c r="A428" s="2">
        <f>IF(ISBLANK('1_raw_log'!A428),"",'1_raw_log'!A428)</f>
        <v/>
      </c>
      <c r="B428" s="3">
        <f>IF(ISBLANK('1_raw_log'!B428),"",'1_raw_log'!B428)</f>
        <v/>
      </c>
      <c r="C428" s="2">
        <f>IF(ISBLANK('1_raw_log'!C428),"",'1_raw_log'!C428)</f>
        <v/>
      </c>
      <c r="D428" s="2">
        <f>IF(ISBLANK('1_raw_log'!D428),"",'1_raw_log'!D428)</f>
        <v/>
      </c>
      <c r="E428" s="4">
        <f>IF(ISBLANK('1_raw_log'!E428),"",'1_raw_log'!E428)</f>
        <v/>
      </c>
      <c r="F428" s="2">
        <f>IF(ISBLANK('1_raw_log'!F428),"",'1_raw_log'!F428)</f>
        <v/>
      </c>
      <c r="G428" s="2">
        <f>IF(ISBLANK('1_raw_log'!G428),"",'1_raw_log'!G428)</f>
        <v/>
      </c>
      <c r="H428" s="2">
        <f>IF(ISBLANK('1_raw_log'!H428),"",'1_raw_log'!H428)</f>
        <v/>
      </c>
      <c r="I428" s="7">
        <f>IF(ISBLANK('1_raw_log'!I428),"",'1_raw_log'!I428)</f>
        <v/>
      </c>
      <c r="J428" s="2">
        <f>IF(ISBLANK('1_raw_log'!J428),"",'1_raw_log'!J428)</f>
        <v/>
      </c>
      <c r="K428" s="2">
        <f>IF(ISBLANK('1_raw_log'!K428),"",'1_raw_log'!K428)</f>
        <v/>
      </c>
      <c r="L428" s="30">
        <f>INT(B428)</f>
        <v/>
      </c>
      <c r="M428" s="20">
        <f>ROUND(MOD(B428,1)*1440,0)/1440</f>
        <v/>
      </c>
      <c r="N428" s="4">
        <f>IFERROR(INDEX('3_ref_date'!$B:$B,MATCH(L428,'3_ref_date'!$A:$A,0)),"NOT FOUND")</f>
        <v/>
      </c>
      <c r="O428" s="2">
        <f>IFERROR(INDEX('3_ref_date'!$C:$C,MATCH(L428,'3_ref_date'!$A:$A,0)),"NOT FOUND")</f>
        <v/>
      </c>
      <c r="P428" s="4">
        <f>IFERROR(INDEX('3_ref_date'!$D:$D,MATCH(L428,'3_ref_date'!$A:$A,0)),"NOT FOUND")</f>
        <v/>
      </c>
      <c r="Q428" s="4">
        <f>IFERROR(INDEX('3_ref_date'!$E:$E,MATCH(L428,'3_ref_date'!$A:$A,0)),"NOT FOUND")</f>
        <v/>
      </c>
      <c r="R428" s="2">
        <f>IFERROR(INDEX('3_ref_date'!$F:$F,MATCH(L428,'3_ref_date'!$A:$A,0)),"NOT FOUND")</f>
        <v/>
      </c>
      <c r="S428" s="2">
        <f>IFERROR(INDEX('4_ref_time'!$D:$D,MATCH(ROUND(M428*1440,0),'4_ref_time'!$A:$A,0)),"NOT FOUND")</f>
        <v/>
      </c>
      <c r="T428" s="2">
        <f>UPPER(TRIM(C428))</f>
        <v/>
      </c>
      <c r="U428" s="30">
        <f>IF(_xlfn.MAXIFS('6_3nf_branch_history'!$B$2:$B$50,'6_3nf_branch_history'!$A$2:$A$50,T428,'6_3nf_branch_history'!$B$2:$B$50,"&lt;="&amp;L428)=0,"NOT FOUND",_xlfn.MAXIFS('6_3nf_branch_history'!$B$2:$B$50,'6_3nf_branch_history'!$A$2:$A$50,T428,'6_3nf_branch_history'!$B$2:$B$50,"&lt;="&amp;L428))</f>
        <v/>
      </c>
      <c r="V428" s="2">
        <f>IF(U428="NOT FOUND","NOT FOUND",INDEX('6_3nf_branch_history'!$C:$C,SUMPRODUCT(('6_3nf_branch_history'!$A$2:$A$50=T428)*('6_3nf_branch_history'!$B$2:$B$50=U428)*ROW('6_3nf_branch_history'!$A$2:$A$50))))</f>
        <v/>
      </c>
      <c r="W428" s="2">
        <f>IF(U428="NOT FOUND","NOT FOUND",INDEX('6_3nf_branch_history'!$D:$D,SUMPRODUCT(('6_3nf_branch_history'!$A$2:$A$50=T428)*('6_3nf_branch_history'!$B$2:$B$50=U428)*ROW('6_3nf_branch_history'!$A$2:$A$50))))</f>
        <v/>
      </c>
      <c r="X428" s="2">
        <f>IF(U428="NOT FOUND","NOT FOUND",INDEX('6_3nf_branch_history'!$E:$E,SUMPRODUCT(('6_3nf_branch_history'!$A$2:$A$50=T428)*('6_3nf_branch_history'!$B$2:$B$50=U428)*ROW('6_3nf_branch_history'!$A$2:$A$50))))</f>
        <v/>
      </c>
      <c r="Y428" s="2">
        <f>UPPER(TRIM(D428))</f>
        <v/>
      </c>
      <c r="Z428" s="2">
        <f>IFERROR(INDEX('7_3nf_product'!$B:$B,MATCH(Y428,'7_3nf_product'!$A:$A,0)),"NOT FOUND")</f>
        <v/>
      </c>
      <c r="AA428" s="2">
        <f>IFERROR(INDEX('7_3nf_product'!$C:$C,MATCH(Y428,'7_3nf_product'!$A:$A,0)),"NOT FOUND")</f>
        <v/>
      </c>
      <c r="AB428" s="2">
        <f>IFERROR(INDEX('7_3nf_product'!$D:$D,MATCH(Y428,'7_3nf_product'!$A:$A,0)),"NOT FOUND")</f>
        <v/>
      </c>
      <c r="AC428" s="6">
        <f>IFERROR(INDEX('7_3nf_product'!$E:$E,MATCH(Y428,'7_3nf_product'!$A:$A,0)),"NOT FOUND")</f>
        <v/>
      </c>
      <c r="AD428" s="33">
        <f>IF(LEN(TRIM(E428))=10,TRIM(E428),IF(LEN(TRIM(E428))=8,"00"&amp;TRIM(E428),"CHECK"))</f>
        <v/>
      </c>
      <c r="AE428" s="2">
        <f>IFERROR(INDEX('8_3nf_customer'!$C:$C,MATCH(AD428,'8_3nf_customer'!$B:$B,0)),"NOT FOUND")</f>
        <v/>
      </c>
      <c r="AF428" s="30">
        <f>IFERROR(INDEX('8_3nf_customer'!$D:$D,MATCH(AD428,'8_3nf_customer'!$B:$B,0)),"NOT FOUND")</f>
        <v/>
      </c>
      <c r="AG428" s="4">
        <f>IF(ISNUMBER(AF428),DATEDIF(AF428,L428,"y"),"NOT FOUND")</f>
        <v/>
      </c>
      <c r="AH428" s="2">
        <f>IFERROR(INDEX('8_3nf_customer'!$E:$E,MATCH(AD428,'8_3nf_customer'!$B:$B,0)),"NOT FOUND")</f>
        <v/>
      </c>
      <c r="AI428" s="30">
        <f>IF(_xlfn.MAXIFS('9_3nf_customer_history'!$B$2:$B$500,'9_3nf_customer_history'!$A$2:$A$500,AD428,'9_3nf_customer_history'!$B$2:$B$500,"&lt;="&amp;L428)=0,"NOT FOUND",_xlfn.MAXIFS('9_3nf_customer_history'!$B$2:$B$500,'9_3nf_customer_history'!$A$2:$A$500,AD428,'9_3nf_customer_history'!$B$2:$B$500,"&lt;="&amp;L428))</f>
        <v/>
      </c>
      <c r="AJ428" s="2">
        <f>IF(AI428="NOT FOUND","NOT FOUND",INDEX('9_3nf_customer_history'!$C:$C,SUMPRODUCT(('9_3nf_customer_history'!$A$2:$A$500=AD428)*('9_3nf_customer_history'!$B$2:$B$500=AI428)*ROW('9_3nf_customer_history'!$A$2:$A$500))))</f>
        <v/>
      </c>
      <c r="AK428" s="2">
        <f>IF(AI428="NOT FOUND","NOT FOUND",INDEX('9_3nf_customer_history'!$D:$D,SUMPRODUCT(('9_3nf_customer_history'!$A$2:$A$500=AD428)*('9_3nf_customer_history'!$B$2:$B$500=AI428)*ROW('9_3nf_customer_history'!$A$2:$A$500))))</f>
        <v/>
      </c>
      <c r="AL428" s="2">
        <f>UPPER(TRIM(H428))</f>
        <v/>
      </c>
      <c r="AM428" s="30">
        <f>IF(_xlfn.MAXIFS('10_ref_fx_rate'!$B$2:$B$2000,'10_ref_fx_rate'!$A$2:$A$2000,AL428,'10_ref_fx_rate'!$B$2:$B$2000,"&lt;="&amp;L428)=0,"NOT FOUND",_xlfn.MAXIFS('10_ref_fx_rate'!$B$2:$B$2000,'10_ref_fx_rate'!$A$2:$A$2000,AL428,'10_ref_fx_rate'!$B$2:$B$2000,"&lt;="&amp;L428))</f>
        <v/>
      </c>
      <c r="AN428" s="8">
        <f>IF(AM428="NOT FOUND","NOT FOUND",SUMIFS('10_ref_fx_rate'!$D$2:$D$2000,'10_ref_fx_rate'!$A$2:$A$2000,AL428,'10_ref_fx_rate'!$B$2:$B$2000,AM428))</f>
        <v/>
      </c>
      <c r="AO428" s="37">
        <f>IF(ISNUMBER(AN428),I428*AN428,"NOT FOUND")</f>
        <v/>
      </c>
      <c r="AP428" s="2">
        <f>UPPER(TRIM(J428))</f>
        <v/>
      </c>
      <c r="AQ428" s="2">
        <f>IF(AP428="","SELF-DIRECTED",IF(ISNUMBER(MATCH(AP428,'11_3nf_sales_person'!$A:$A,0)),IF(EXACT(AP428,J428),"OK","OK (auto-fixed)"),IF(ISNA(MATCH($A428,'12_sales_person_confirmation'!$A:$A,0)),"CONFIRM (not logged)",IF(INDEX('12_sales_person_confirmation'!$I:$I,MATCH($A428,'12_sales_person_confirmation'!$A:$A,0))="CONFIRMED","CONFIRMED ("&amp;LOWER(INDEX('12_sales_person_confirmation'!$E:$E,MATCH($A428,'12_sales_person_confirmation'!$A:$A,0)))&amp;")","PENDING CONFIRM"))))</f>
        <v/>
      </c>
      <c r="AR428" s="2">
        <f>IF(OR(AQ428="OK",AQ428="OK (auto-fixed)"),AP428,IF(LEFT(AQ428,9)="CONFIRMED",INDEX('12_sales_person_confirmation'!$F:$F,MATCH($A428,'12_sales_person_confirmation'!$A:$A,0)),""))</f>
        <v/>
      </c>
      <c r="AS428" s="2">
        <f>IF(AR428="","",INDEX('11_3nf_sales_person'!$B:$B,MATCH(AR428,'11_3nf_sales_person'!$A:$A,0)))</f>
        <v/>
      </c>
    </row>
    <row r="429">
      <c r="A429" s="2">
        <f>IF(ISBLANK('1_raw_log'!A429),"",'1_raw_log'!A429)</f>
        <v/>
      </c>
      <c r="B429" s="3">
        <f>IF(ISBLANK('1_raw_log'!B429),"",'1_raw_log'!B429)</f>
        <v/>
      </c>
      <c r="C429" s="2">
        <f>IF(ISBLANK('1_raw_log'!C429),"",'1_raw_log'!C429)</f>
        <v/>
      </c>
      <c r="D429" s="2">
        <f>IF(ISBLANK('1_raw_log'!D429),"",'1_raw_log'!D429)</f>
        <v/>
      </c>
      <c r="E429" s="4">
        <f>IF(ISBLANK('1_raw_log'!E429),"",'1_raw_log'!E429)</f>
        <v/>
      </c>
      <c r="F429" s="2">
        <f>IF(ISBLANK('1_raw_log'!F429),"",'1_raw_log'!F429)</f>
        <v/>
      </c>
      <c r="G429" s="2">
        <f>IF(ISBLANK('1_raw_log'!G429),"",'1_raw_log'!G429)</f>
        <v/>
      </c>
      <c r="H429" s="2">
        <f>IF(ISBLANK('1_raw_log'!H429),"",'1_raw_log'!H429)</f>
        <v/>
      </c>
      <c r="I429" s="7">
        <f>IF(ISBLANK('1_raw_log'!I429),"",'1_raw_log'!I429)</f>
        <v/>
      </c>
      <c r="J429" s="2">
        <f>IF(ISBLANK('1_raw_log'!J429),"",'1_raw_log'!J429)</f>
        <v/>
      </c>
      <c r="K429" s="2">
        <f>IF(ISBLANK('1_raw_log'!K429),"",'1_raw_log'!K429)</f>
        <v/>
      </c>
      <c r="L429" s="30">
        <f>INT(B429)</f>
        <v/>
      </c>
      <c r="M429" s="20">
        <f>ROUND(MOD(B429,1)*1440,0)/1440</f>
        <v/>
      </c>
      <c r="N429" s="4">
        <f>IFERROR(INDEX('3_ref_date'!$B:$B,MATCH(L429,'3_ref_date'!$A:$A,0)),"NOT FOUND")</f>
        <v/>
      </c>
      <c r="O429" s="2">
        <f>IFERROR(INDEX('3_ref_date'!$C:$C,MATCH(L429,'3_ref_date'!$A:$A,0)),"NOT FOUND")</f>
        <v/>
      </c>
      <c r="P429" s="4">
        <f>IFERROR(INDEX('3_ref_date'!$D:$D,MATCH(L429,'3_ref_date'!$A:$A,0)),"NOT FOUND")</f>
        <v/>
      </c>
      <c r="Q429" s="4">
        <f>IFERROR(INDEX('3_ref_date'!$E:$E,MATCH(L429,'3_ref_date'!$A:$A,0)),"NOT FOUND")</f>
        <v/>
      </c>
      <c r="R429" s="2">
        <f>IFERROR(INDEX('3_ref_date'!$F:$F,MATCH(L429,'3_ref_date'!$A:$A,0)),"NOT FOUND")</f>
        <v/>
      </c>
      <c r="S429" s="2">
        <f>IFERROR(INDEX('4_ref_time'!$D:$D,MATCH(ROUND(M429*1440,0),'4_ref_time'!$A:$A,0)),"NOT FOUND")</f>
        <v/>
      </c>
      <c r="T429" s="2">
        <f>UPPER(TRIM(C429))</f>
        <v/>
      </c>
      <c r="U429" s="30">
        <f>IF(_xlfn.MAXIFS('6_3nf_branch_history'!$B$2:$B$50,'6_3nf_branch_history'!$A$2:$A$50,T429,'6_3nf_branch_history'!$B$2:$B$50,"&lt;="&amp;L429)=0,"NOT FOUND",_xlfn.MAXIFS('6_3nf_branch_history'!$B$2:$B$50,'6_3nf_branch_history'!$A$2:$A$50,T429,'6_3nf_branch_history'!$B$2:$B$50,"&lt;="&amp;L429))</f>
        <v/>
      </c>
      <c r="V429" s="2">
        <f>IF(U429="NOT FOUND","NOT FOUND",INDEX('6_3nf_branch_history'!$C:$C,SUMPRODUCT(('6_3nf_branch_history'!$A$2:$A$50=T429)*('6_3nf_branch_history'!$B$2:$B$50=U429)*ROW('6_3nf_branch_history'!$A$2:$A$50))))</f>
        <v/>
      </c>
      <c r="W429" s="2">
        <f>IF(U429="NOT FOUND","NOT FOUND",INDEX('6_3nf_branch_history'!$D:$D,SUMPRODUCT(('6_3nf_branch_history'!$A$2:$A$50=T429)*('6_3nf_branch_history'!$B$2:$B$50=U429)*ROW('6_3nf_branch_history'!$A$2:$A$50))))</f>
        <v/>
      </c>
      <c r="X429" s="2">
        <f>IF(U429="NOT FOUND","NOT FOUND",INDEX('6_3nf_branch_history'!$E:$E,SUMPRODUCT(('6_3nf_branch_history'!$A$2:$A$50=T429)*('6_3nf_branch_history'!$B$2:$B$50=U429)*ROW('6_3nf_branch_history'!$A$2:$A$50))))</f>
        <v/>
      </c>
      <c r="Y429" s="2">
        <f>UPPER(TRIM(D429))</f>
        <v/>
      </c>
      <c r="Z429" s="2">
        <f>IFERROR(INDEX('7_3nf_product'!$B:$B,MATCH(Y429,'7_3nf_product'!$A:$A,0)),"NOT FOUND")</f>
        <v/>
      </c>
      <c r="AA429" s="2">
        <f>IFERROR(INDEX('7_3nf_product'!$C:$C,MATCH(Y429,'7_3nf_product'!$A:$A,0)),"NOT FOUND")</f>
        <v/>
      </c>
      <c r="AB429" s="2">
        <f>IFERROR(INDEX('7_3nf_product'!$D:$D,MATCH(Y429,'7_3nf_product'!$A:$A,0)),"NOT FOUND")</f>
        <v/>
      </c>
      <c r="AC429" s="6">
        <f>IFERROR(INDEX('7_3nf_product'!$E:$E,MATCH(Y429,'7_3nf_product'!$A:$A,0)),"NOT FOUND")</f>
        <v/>
      </c>
      <c r="AD429" s="33">
        <f>IF(LEN(TRIM(E429))=10,TRIM(E429),IF(LEN(TRIM(E429))=8,"00"&amp;TRIM(E429),"CHECK"))</f>
        <v/>
      </c>
      <c r="AE429" s="2">
        <f>IFERROR(INDEX('8_3nf_customer'!$C:$C,MATCH(AD429,'8_3nf_customer'!$B:$B,0)),"NOT FOUND")</f>
        <v/>
      </c>
      <c r="AF429" s="30">
        <f>IFERROR(INDEX('8_3nf_customer'!$D:$D,MATCH(AD429,'8_3nf_customer'!$B:$B,0)),"NOT FOUND")</f>
        <v/>
      </c>
      <c r="AG429" s="4">
        <f>IF(ISNUMBER(AF429),DATEDIF(AF429,L429,"y"),"NOT FOUND")</f>
        <v/>
      </c>
      <c r="AH429" s="2">
        <f>IFERROR(INDEX('8_3nf_customer'!$E:$E,MATCH(AD429,'8_3nf_customer'!$B:$B,0)),"NOT FOUND")</f>
        <v/>
      </c>
      <c r="AI429" s="30">
        <f>IF(_xlfn.MAXIFS('9_3nf_customer_history'!$B$2:$B$500,'9_3nf_customer_history'!$A$2:$A$500,AD429,'9_3nf_customer_history'!$B$2:$B$500,"&lt;="&amp;L429)=0,"NOT FOUND",_xlfn.MAXIFS('9_3nf_customer_history'!$B$2:$B$500,'9_3nf_customer_history'!$A$2:$A$500,AD429,'9_3nf_customer_history'!$B$2:$B$500,"&lt;="&amp;L429))</f>
        <v/>
      </c>
      <c r="AJ429" s="2">
        <f>IF(AI429="NOT FOUND","NOT FOUND",INDEX('9_3nf_customer_history'!$C:$C,SUMPRODUCT(('9_3nf_customer_history'!$A$2:$A$500=AD429)*('9_3nf_customer_history'!$B$2:$B$500=AI429)*ROW('9_3nf_customer_history'!$A$2:$A$500))))</f>
        <v/>
      </c>
      <c r="AK429" s="2">
        <f>IF(AI429="NOT FOUND","NOT FOUND",INDEX('9_3nf_customer_history'!$D:$D,SUMPRODUCT(('9_3nf_customer_history'!$A$2:$A$500=AD429)*('9_3nf_customer_history'!$B$2:$B$500=AI429)*ROW('9_3nf_customer_history'!$A$2:$A$500))))</f>
        <v/>
      </c>
      <c r="AL429" s="2">
        <f>UPPER(TRIM(H429))</f>
        <v/>
      </c>
      <c r="AM429" s="30">
        <f>IF(_xlfn.MAXIFS('10_ref_fx_rate'!$B$2:$B$2000,'10_ref_fx_rate'!$A$2:$A$2000,AL429,'10_ref_fx_rate'!$B$2:$B$2000,"&lt;="&amp;L429)=0,"NOT FOUND",_xlfn.MAXIFS('10_ref_fx_rate'!$B$2:$B$2000,'10_ref_fx_rate'!$A$2:$A$2000,AL429,'10_ref_fx_rate'!$B$2:$B$2000,"&lt;="&amp;L429))</f>
        <v/>
      </c>
      <c r="AN429" s="8">
        <f>IF(AM429="NOT FOUND","NOT FOUND",SUMIFS('10_ref_fx_rate'!$D$2:$D$2000,'10_ref_fx_rate'!$A$2:$A$2000,AL429,'10_ref_fx_rate'!$B$2:$B$2000,AM429))</f>
        <v/>
      </c>
      <c r="AO429" s="37">
        <f>IF(ISNUMBER(AN429),I429*AN429,"NOT FOUND")</f>
        <v/>
      </c>
      <c r="AP429" s="2">
        <f>UPPER(TRIM(J429))</f>
        <v/>
      </c>
      <c r="AQ429" s="2">
        <f>IF(AP429="","SELF-DIRECTED",IF(ISNUMBER(MATCH(AP429,'11_3nf_sales_person'!$A:$A,0)),IF(EXACT(AP429,J429),"OK","OK (auto-fixed)"),IF(ISNA(MATCH($A429,'12_sales_person_confirmation'!$A:$A,0)),"CONFIRM (not logged)",IF(INDEX('12_sales_person_confirmation'!$I:$I,MATCH($A429,'12_sales_person_confirmation'!$A:$A,0))="CONFIRMED","CONFIRMED ("&amp;LOWER(INDEX('12_sales_person_confirmation'!$E:$E,MATCH($A429,'12_sales_person_confirmation'!$A:$A,0)))&amp;")","PENDING CONFIRM"))))</f>
        <v/>
      </c>
      <c r="AR429" s="2">
        <f>IF(OR(AQ429="OK",AQ429="OK (auto-fixed)"),AP429,IF(LEFT(AQ429,9)="CONFIRMED",INDEX('12_sales_person_confirmation'!$F:$F,MATCH($A429,'12_sales_person_confirmation'!$A:$A,0)),""))</f>
        <v/>
      </c>
      <c r="AS429" s="2">
        <f>IF(AR429="","",INDEX('11_3nf_sales_person'!$B:$B,MATCH(AR429,'11_3nf_sales_person'!$A:$A,0)))</f>
        <v/>
      </c>
    </row>
    <row r="430">
      <c r="A430" s="2">
        <f>IF(ISBLANK('1_raw_log'!A430),"",'1_raw_log'!A430)</f>
        <v/>
      </c>
      <c r="B430" s="3">
        <f>IF(ISBLANK('1_raw_log'!B430),"",'1_raw_log'!B430)</f>
        <v/>
      </c>
      <c r="C430" s="2">
        <f>IF(ISBLANK('1_raw_log'!C430),"",'1_raw_log'!C430)</f>
        <v/>
      </c>
      <c r="D430" s="2">
        <f>IF(ISBLANK('1_raw_log'!D430),"",'1_raw_log'!D430)</f>
        <v/>
      </c>
      <c r="E430" s="4">
        <f>IF(ISBLANK('1_raw_log'!E430),"",'1_raw_log'!E430)</f>
        <v/>
      </c>
      <c r="F430" s="2">
        <f>IF(ISBLANK('1_raw_log'!F430),"",'1_raw_log'!F430)</f>
        <v/>
      </c>
      <c r="G430" s="2">
        <f>IF(ISBLANK('1_raw_log'!G430),"",'1_raw_log'!G430)</f>
        <v/>
      </c>
      <c r="H430" s="2">
        <f>IF(ISBLANK('1_raw_log'!H430),"",'1_raw_log'!H430)</f>
        <v/>
      </c>
      <c r="I430" s="7">
        <f>IF(ISBLANK('1_raw_log'!I430),"",'1_raw_log'!I430)</f>
        <v/>
      </c>
      <c r="J430" s="2">
        <f>IF(ISBLANK('1_raw_log'!J430),"",'1_raw_log'!J430)</f>
        <v/>
      </c>
      <c r="K430" s="2">
        <f>IF(ISBLANK('1_raw_log'!K430),"",'1_raw_log'!K430)</f>
        <v/>
      </c>
      <c r="L430" s="30">
        <f>INT(B430)</f>
        <v/>
      </c>
      <c r="M430" s="20">
        <f>ROUND(MOD(B430,1)*1440,0)/1440</f>
        <v/>
      </c>
      <c r="N430" s="4">
        <f>IFERROR(INDEX('3_ref_date'!$B:$B,MATCH(L430,'3_ref_date'!$A:$A,0)),"NOT FOUND")</f>
        <v/>
      </c>
      <c r="O430" s="2">
        <f>IFERROR(INDEX('3_ref_date'!$C:$C,MATCH(L430,'3_ref_date'!$A:$A,0)),"NOT FOUND")</f>
        <v/>
      </c>
      <c r="P430" s="4">
        <f>IFERROR(INDEX('3_ref_date'!$D:$D,MATCH(L430,'3_ref_date'!$A:$A,0)),"NOT FOUND")</f>
        <v/>
      </c>
      <c r="Q430" s="4">
        <f>IFERROR(INDEX('3_ref_date'!$E:$E,MATCH(L430,'3_ref_date'!$A:$A,0)),"NOT FOUND")</f>
        <v/>
      </c>
      <c r="R430" s="2">
        <f>IFERROR(INDEX('3_ref_date'!$F:$F,MATCH(L430,'3_ref_date'!$A:$A,0)),"NOT FOUND")</f>
        <v/>
      </c>
      <c r="S430" s="2">
        <f>IFERROR(INDEX('4_ref_time'!$D:$D,MATCH(ROUND(M430*1440,0),'4_ref_time'!$A:$A,0)),"NOT FOUND")</f>
        <v/>
      </c>
      <c r="T430" s="2">
        <f>UPPER(TRIM(C430))</f>
        <v/>
      </c>
      <c r="U430" s="30">
        <f>IF(_xlfn.MAXIFS('6_3nf_branch_history'!$B$2:$B$50,'6_3nf_branch_history'!$A$2:$A$50,T430,'6_3nf_branch_history'!$B$2:$B$50,"&lt;="&amp;L430)=0,"NOT FOUND",_xlfn.MAXIFS('6_3nf_branch_history'!$B$2:$B$50,'6_3nf_branch_history'!$A$2:$A$50,T430,'6_3nf_branch_history'!$B$2:$B$50,"&lt;="&amp;L430))</f>
        <v/>
      </c>
      <c r="V430" s="2">
        <f>IF(U430="NOT FOUND","NOT FOUND",INDEX('6_3nf_branch_history'!$C:$C,SUMPRODUCT(('6_3nf_branch_history'!$A$2:$A$50=T430)*('6_3nf_branch_history'!$B$2:$B$50=U430)*ROW('6_3nf_branch_history'!$A$2:$A$50))))</f>
        <v/>
      </c>
      <c r="W430" s="2">
        <f>IF(U430="NOT FOUND","NOT FOUND",INDEX('6_3nf_branch_history'!$D:$D,SUMPRODUCT(('6_3nf_branch_history'!$A$2:$A$50=T430)*('6_3nf_branch_history'!$B$2:$B$50=U430)*ROW('6_3nf_branch_history'!$A$2:$A$50))))</f>
        <v/>
      </c>
      <c r="X430" s="2">
        <f>IF(U430="NOT FOUND","NOT FOUND",INDEX('6_3nf_branch_history'!$E:$E,SUMPRODUCT(('6_3nf_branch_history'!$A$2:$A$50=T430)*('6_3nf_branch_history'!$B$2:$B$50=U430)*ROW('6_3nf_branch_history'!$A$2:$A$50))))</f>
        <v/>
      </c>
      <c r="Y430" s="2">
        <f>UPPER(TRIM(D430))</f>
        <v/>
      </c>
      <c r="Z430" s="2">
        <f>IFERROR(INDEX('7_3nf_product'!$B:$B,MATCH(Y430,'7_3nf_product'!$A:$A,0)),"NOT FOUND")</f>
        <v/>
      </c>
      <c r="AA430" s="2">
        <f>IFERROR(INDEX('7_3nf_product'!$C:$C,MATCH(Y430,'7_3nf_product'!$A:$A,0)),"NOT FOUND")</f>
        <v/>
      </c>
      <c r="AB430" s="2">
        <f>IFERROR(INDEX('7_3nf_product'!$D:$D,MATCH(Y430,'7_3nf_product'!$A:$A,0)),"NOT FOUND")</f>
        <v/>
      </c>
      <c r="AC430" s="6">
        <f>IFERROR(INDEX('7_3nf_product'!$E:$E,MATCH(Y430,'7_3nf_product'!$A:$A,0)),"NOT FOUND")</f>
        <v/>
      </c>
      <c r="AD430" s="33">
        <f>IF(LEN(TRIM(E430))=10,TRIM(E430),IF(LEN(TRIM(E430))=8,"00"&amp;TRIM(E430),"CHECK"))</f>
        <v/>
      </c>
      <c r="AE430" s="2">
        <f>IFERROR(INDEX('8_3nf_customer'!$C:$C,MATCH(AD430,'8_3nf_customer'!$B:$B,0)),"NOT FOUND")</f>
        <v/>
      </c>
      <c r="AF430" s="30">
        <f>IFERROR(INDEX('8_3nf_customer'!$D:$D,MATCH(AD430,'8_3nf_customer'!$B:$B,0)),"NOT FOUND")</f>
        <v/>
      </c>
      <c r="AG430" s="4">
        <f>IF(ISNUMBER(AF430),DATEDIF(AF430,L430,"y"),"NOT FOUND")</f>
        <v/>
      </c>
      <c r="AH430" s="2">
        <f>IFERROR(INDEX('8_3nf_customer'!$E:$E,MATCH(AD430,'8_3nf_customer'!$B:$B,0)),"NOT FOUND")</f>
        <v/>
      </c>
      <c r="AI430" s="30">
        <f>IF(_xlfn.MAXIFS('9_3nf_customer_history'!$B$2:$B$500,'9_3nf_customer_history'!$A$2:$A$500,AD430,'9_3nf_customer_history'!$B$2:$B$500,"&lt;="&amp;L430)=0,"NOT FOUND",_xlfn.MAXIFS('9_3nf_customer_history'!$B$2:$B$500,'9_3nf_customer_history'!$A$2:$A$500,AD430,'9_3nf_customer_history'!$B$2:$B$500,"&lt;="&amp;L430))</f>
        <v/>
      </c>
      <c r="AJ430" s="2">
        <f>IF(AI430="NOT FOUND","NOT FOUND",INDEX('9_3nf_customer_history'!$C:$C,SUMPRODUCT(('9_3nf_customer_history'!$A$2:$A$500=AD430)*('9_3nf_customer_history'!$B$2:$B$500=AI430)*ROW('9_3nf_customer_history'!$A$2:$A$500))))</f>
        <v/>
      </c>
      <c r="AK430" s="2">
        <f>IF(AI430="NOT FOUND","NOT FOUND",INDEX('9_3nf_customer_history'!$D:$D,SUMPRODUCT(('9_3nf_customer_history'!$A$2:$A$500=AD430)*('9_3nf_customer_history'!$B$2:$B$500=AI430)*ROW('9_3nf_customer_history'!$A$2:$A$500))))</f>
        <v/>
      </c>
      <c r="AL430" s="2">
        <f>UPPER(TRIM(H430))</f>
        <v/>
      </c>
      <c r="AM430" s="30">
        <f>IF(_xlfn.MAXIFS('10_ref_fx_rate'!$B$2:$B$2000,'10_ref_fx_rate'!$A$2:$A$2000,AL430,'10_ref_fx_rate'!$B$2:$B$2000,"&lt;="&amp;L430)=0,"NOT FOUND",_xlfn.MAXIFS('10_ref_fx_rate'!$B$2:$B$2000,'10_ref_fx_rate'!$A$2:$A$2000,AL430,'10_ref_fx_rate'!$B$2:$B$2000,"&lt;="&amp;L430))</f>
        <v/>
      </c>
      <c r="AN430" s="8">
        <f>IF(AM430="NOT FOUND","NOT FOUND",SUMIFS('10_ref_fx_rate'!$D$2:$D$2000,'10_ref_fx_rate'!$A$2:$A$2000,AL430,'10_ref_fx_rate'!$B$2:$B$2000,AM430))</f>
        <v/>
      </c>
      <c r="AO430" s="37">
        <f>IF(ISNUMBER(AN430),I430*AN430,"NOT FOUND")</f>
        <v/>
      </c>
      <c r="AP430" s="2">
        <f>UPPER(TRIM(J430))</f>
        <v/>
      </c>
      <c r="AQ430" s="2">
        <f>IF(AP430="","SELF-DIRECTED",IF(ISNUMBER(MATCH(AP430,'11_3nf_sales_person'!$A:$A,0)),IF(EXACT(AP430,J430),"OK","OK (auto-fixed)"),IF(ISNA(MATCH($A430,'12_sales_person_confirmation'!$A:$A,0)),"CONFIRM (not logged)",IF(INDEX('12_sales_person_confirmation'!$I:$I,MATCH($A430,'12_sales_person_confirmation'!$A:$A,0))="CONFIRMED","CONFIRMED ("&amp;LOWER(INDEX('12_sales_person_confirmation'!$E:$E,MATCH($A430,'12_sales_person_confirmation'!$A:$A,0)))&amp;")","PENDING CONFIRM"))))</f>
        <v/>
      </c>
      <c r="AR430" s="2">
        <f>IF(OR(AQ430="OK",AQ430="OK (auto-fixed)"),AP430,IF(LEFT(AQ430,9)="CONFIRMED",INDEX('12_sales_person_confirmation'!$F:$F,MATCH($A430,'12_sales_person_confirmation'!$A:$A,0)),""))</f>
        <v/>
      </c>
      <c r="AS430" s="2">
        <f>IF(AR430="","",INDEX('11_3nf_sales_person'!$B:$B,MATCH(AR430,'11_3nf_sales_person'!$A:$A,0)))</f>
        <v/>
      </c>
    </row>
    <row r="431">
      <c r="A431" s="2">
        <f>IF(ISBLANK('1_raw_log'!A431),"",'1_raw_log'!A431)</f>
        <v/>
      </c>
      <c r="B431" s="3">
        <f>IF(ISBLANK('1_raw_log'!B431),"",'1_raw_log'!B431)</f>
        <v/>
      </c>
      <c r="C431" s="2">
        <f>IF(ISBLANK('1_raw_log'!C431),"",'1_raw_log'!C431)</f>
        <v/>
      </c>
      <c r="D431" s="2">
        <f>IF(ISBLANK('1_raw_log'!D431),"",'1_raw_log'!D431)</f>
        <v/>
      </c>
      <c r="E431" s="4">
        <f>IF(ISBLANK('1_raw_log'!E431),"",'1_raw_log'!E431)</f>
        <v/>
      </c>
      <c r="F431" s="2">
        <f>IF(ISBLANK('1_raw_log'!F431),"",'1_raw_log'!F431)</f>
        <v/>
      </c>
      <c r="G431" s="2">
        <f>IF(ISBLANK('1_raw_log'!G431),"",'1_raw_log'!G431)</f>
        <v/>
      </c>
      <c r="H431" s="2">
        <f>IF(ISBLANK('1_raw_log'!H431),"",'1_raw_log'!H431)</f>
        <v/>
      </c>
      <c r="I431" s="7">
        <f>IF(ISBLANK('1_raw_log'!I431),"",'1_raw_log'!I431)</f>
        <v/>
      </c>
      <c r="J431" s="2">
        <f>IF(ISBLANK('1_raw_log'!J431),"",'1_raw_log'!J431)</f>
        <v/>
      </c>
      <c r="K431" s="2">
        <f>IF(ISBLANK('1_raw_log'!K431),"",'1_raw_log'!K431)</f>
        <v/>
      </c>
      <c r="L431" s="30">
        <f>INT(B431)</f>
        <v/>
      </c>
      <c r="M431" s="20">
        <f>ROUND(MOD(B431,1)*1440,0)/1440</f>
        <v/>
      </c>
      <c r="N431" s="4">
        <f>IFERROR(INDEX('3_ref_date'!$B:$B,MATCH(L431,'3_ref_date'!$A:$A,0)),"NOT FOUND")</f>
        <v/>
      </c>
      <c r="O431" s="2">
        <f>IFERROR(INDEX('3_ref_date'!$C:$C,MATCH(L431,'3_ref_date'!$A:$A,0)),"NOT FOUND")</f>
        <v/>
      </c>
      <c r="P431" s="4">
        <f>IFERROR(INDEX('3_ref_date'!$D:$D,MATCH(L431,'3_ref_date'!$A:$A,0)),"NOT FOUND")</f>
        <v/>
      </c>
      <c r="Q431" s="4">
        <f>IFERROR(INDEX('3_ref_date'!$E:$E,MATCH(L431,'3_ref_date'!$A:$A,0)),"NOT FOUND")</f>
        <v/>
      </c>
      <c r="R431" s="2">
        <f>IFERROR(INDEX('3_ref_date'!$F:$F,MATCH(L431,'3_ref_date'!$A:$A,0)),"NOT FOUND")</f>
        <v/>
      </c>
      <c r="S431" s="2">
        <f>IFERROR(INDEX('4_ref_time'!$D:$D,MATCH(ROUND(M431*1440,0),'4_ref_time'!$A:$A,0)),"NOT FOUND")</f>
        <v/>
      </c>
      <c r="T431" s="2">
        <f>UPPER(TRIM(C431))</f>
        <v/>
      </c>
      <c r="U431" s="30">
        <f>IF(_xlfn.MAXIFS('6_3nf_branch_history'!$B$2:$B$50,'6_3nf_branch_history'!$A$2:$A$50,T431,'6_3nf_branch_history'!$B$2:$B$50,"&lt;="&amp;L431)=0,"NOT FOUND",_xlfn.MAXIFS('6_3nf_branch_history'!$B$2:$B$50,'6_3nf_branch_history'!$A$2:$A$50,T431,'6_3nf_branch_history'!$B$2:$B$50,"&lt;="&amp;L431))</f>
        <v/>
      </c>
      <c r="V431" s="2">
        <f>IF(U431="NOT FOUND","NOT FOUND",INDEX('6_3nf_branch_history'!$C:$C,SUMPRODUCT(('6_3nf_branch_history'!$A$2:$A$50=T431)*('6_3nf_branch_history'!$B$2:$B$50=U431)*ROW('6_3nf_branch_history'!$A$2:$A$50))))</f>
        <v/>
      </c>
      <c r="W431" s="2">
        <f>IF(U431="NOT FOUND","NOT FOUND",INDEX('6_3nf_branch_history'!$D:$D,SUMPRODUCT(('6_3nf_branch_history'!$A$2:$A$50=T431)*('6_3nf_branch_history'!$B$2:$B$50=U431)*ROW('6_3nf_branch_history'!$A$2:$A$50))))</f>
        <v/>
      </c>
      <c r="X431" s="2">
        <f>IF(U431="NOT FOUND","NOT FOUND",INDEX('6_3nf_branch_history'!$E:$E,SUMPRODUCT(('6_3nf_branch_history'!$A$2:$A$50=T431)*('6_3nf_branch_history'!$B$2:$B$50=U431)*ROW('6_3nf_branch_history'!$A$2:$A$50))))</f>
        <v/>
      </c>
      <c r="Y431" s="2">
        <f>UPPER(TRIM(D431))</f>
        <v/>
      </c>
      <c r="Z431" s="2">
        <f>IFERROR(INDEX('7_3nf_product'!$B:$B,MATCH(Y431,'7_3nf_product'!$A:$A,0)),"NOT FOUND")</f>
        <v/>
      </c>
      <c r="AA431" s="2">
        <f>IFERROR(INDEX('7_3nf_product'!$C:$C,MATCH(Y431,'7_3nf_product'!$A:$A,0)),"NOT FOUND")</f>
        <v/>
      </c>
      <c r="AB431" s="2">
        <f>IFERROR(INDEX('7_3nf_product'!$D:$D,MATCH(Y431,'7_3nf_product'!$A:$A,0)),"NOT FOUND")</f>
        <v/>
      </c>
      <c r="AC431" s="6">
        <f>IFERROR(INDEX('7_3nf_product'!$E:$E,MATCH(Y431,'7_3nf_product'!$A:$A,0)),"NOT FOUND")</f>
        <v/>
      </c>
      <c r="AD431" s="33">
        <f>IF(LEN(TRIM(E431))=10,TRIM(E431),IF(LEN(TRIM(E431))=8,"00"&amp;TRIM(E431),"CHECK"))</f>
        <v/>
      </c>
      <c r="AE431" s="2">
        <f>IFERROR(INDEX('8_3nf_customer'!$C:$C,MATCH(AD431,'8_3nf_customer'!$B:$B,0)),"NOT FOUND")</f>
        <v/>
      </c>
      <c r="AF431" s="30">
        <f>IFERROR(INDEX('8_3nf_customer'!$D:$D,MATCH(AD431,'8_3nf_customer'!$B:$B,0)),"NOT FOUND")</f>
        <v/>
      </c>
      <c r="AG431" s="4">
        <f>IF(ISNUMBER(AF431),DATEDIF(AF431,L431,"y"),"NOT FOUND")</f>
        <v/>
      </c>
      <c r="AH431" s="2">
        <f>IFERROR(INDEX('8_3nf_customer'!$E:$E,MATCH(AD431,'8_3nf_customer'!$B:$B,0)),"NOT FOUND")</f>
        <v/>
      </c>
      <c r="AI431" s="30">
        <f>IF(_xlfn.MAXIFS('9_3nf_customer_history'!$B$2:$B$500,'9_3nf_customer_history'!$A$2:$A$500,AD431,'9_3nf_customer_history'!$B$2:$B$500,"&lt;="&amp;L431)=0,"NOT FOUND",_xlfn.MAXIFS('9_3nf_customer_history'!$B$2:$B$500,'9_3nf_customer_history'!$A$2:$A$500,AD431,'9_3nf_customer_history'!$B$2:$B$500,"&lt;="&amp;L431))</f>
        <v/>
      </c>
      <c r="AJ431" s="2">
        <f>IF(AI431="NOT FOUND","NOT FOUND",INDEX('9_3nf_customer_history'!$C:$C,SUMPRODUCT(('9_3nf_customer_history'!$A$2:$A$500=AD431)*('9_3nf_customer_history'!$B$2:$B$500=AI431)*ROW('9_3nf_customer_history'!$A$2:$A$500))))</f>
        <v/>
      </c>
      <c r="AK431" s="2">
        <f>IF(AI431="NOT FOUND","NOT FOUND",INDEX('9_3nf_customer_history'!$D:$D,SUMPRODUCT(('9_3nf_customer_history'!$A$2:$A$500=AD431)*('9_3nf_customer_history'!$B$2:$B$500=AI431)*ROW('9_3nf_customer_history'!$A$2:$A$500))))</f>
        <v/>
      </c>
      <c r="AL431" s="2">
        <f>UPPER(TRIM(H431))</f>
        <v/>
      </c>
      <c r="AM431" s="30">
        <f>IF(_xlfn.MAXIFS('10_ref_fx_rate'!$B$2:$B$2000,'10_ref_fx_rate'!$A$2:$A$2000,AL431,'10_ref_fx_rate'!$B$2:$B$2000,"&lt;="&amp;L431)=0,"NOT FOUND",_xlfn.MAXIFS('10_ref_fx_rate'!$B$2:$B$2000,'10_ref_fx_rate'!$A$2:$A$2000,AL431,'10_ref_fx_rate'!$B$2:$B$2000,"&lt;="&amp;L431))</f>
        <v/>
      </c>
      <c r="AN431" s="8">
        <f>IF(AM431="NOT FOUND","NOT FOUND",SUMIFS('10_ref_fx_rate'!$D$2:$D$2000,'10_ref_fx_rate'!$A$2:$A$2000,AL431,'10_ref_fx_rate'!$B$2:$B$2000,AM431))</f>
        <v/>
      </c>
      <c r="AO431" s="37">
        <f>IF(ISNUMBER(AN431),I431*AN431,"NOT FOUND")</f>
        <v/>
      </c>
      <c r="AP431" s="2">
        <f>UPPER(TRIM(J431))</f>
        <v/>
      </c>
      <c r="AQ431" s="2">
        <f>IF(AP431="","SELF-DIRECTED",IF(ISNUMBER(MATCH(AP431,'11_3nf_sales_person'!$A:$A,0)),IF(EXACT(AP431,J431),"OK","OK (auto-fixed)"),IF(ISNA(MATCH($A431,'12_sales_person_confirmation'!$A:$A,0)),"CONFIRM (not logged)",IF(INDEX('12_sales_person_confirmation'!$I:$I,MATCH($A431,'12_sales_person_confirmation'!$A:$A,0))="CONFIRMED","CONFIRMED ("&amp;LOWER(INDEX('12_sales_person_confirmation'!$E:$E,MATCH($A431,'12_sales_person_confirmation'!$A:$A,0)))&amp;")","PENDING CONFIRM"))))</f>
        <v/>
      </c>
      <c r="AR431" s="2">
        <f>IF(OR(AQ431="OK",AQ431="OK (auto-fixed)"),AP431,IF(LEFT(AQ431,9)="CONFIRMED",INDEX('12_sales_person_confirmation'!$F:$F,MATCH($A431,'12_sales_person_confirmation'!$A:$A,0)),""))</f>
        <v/>
      </c>
      <c r="AS431" s="2">
        <f>IF(AR431="","",INDEX('11_3nf_sales_person'!$B:$B,MATCH(AR431,'11_3nf_sales_person'!$A:$A,0)))</f>
        <v/>
      </c>
    </row>
    <row r="432">
      <c r="A432" s="2">
        <f>IF(ISBLANK('1_raw_log'!A432),"",'1_raw_log'!A432)</f>
        <v/>
      </c>
      <c r="B432" s="3">
        <f>IF(ISBLANK('1_raw_log'!B432),"",'1_raw_log'!B432)</f>
        <v/>
      </c>
      <c r="C432" s="2">
        <f>IF(ISBLANK('1_raw_log'!C432),"",'1_raw_log'!C432)</f>
        <v/>
      </c>
      <c r="D432" s="2">
        <f>IF(ISBLANK('1_raw_log'!D432),"",'1_raw_log'!D432)</f>
        <v/>
      </c>
      <c r="E432" s="4">
        <f>IF(ISBLANK('1_raw_log'!E432),"",'1_raw_log'!E432)</f>
        <v/>
      </c>
      <c r="F432" s="2">
        <f>IF(ISBLANK('1_raw_log'!F432),"",'1_raw_log'!F432)</f>
        <v/>
      </c>
      <c r="G432" s="2">
        <f>IF(ISBLANK('1_raw_log'!G432),"",'1_raw_log'!G432)</f>
        <v/>
      </c>
      <c r="H432" s="2">
        <f>IF(ISBLANK('1_raw_log'!H432),"",'1_raw_log'!H432)</f>
        <v/>
      </c>
      <c r="I432" s="7">
        <f>IF(ISBLANK('1_raw_log'!I432),"",'1_raw_log'!I432)</f>
        <v/>
      </c>
      <c r="J432" s="2">
        <f>IF(ISBLANK('1_raw_log'!J432),"",'1_raw_log'!J432)</f>
        <v/>
      </c>
      <c r="K432" s="2">
        <f>IF(ISBLANK('1_raw_log'!K432),"",'1_raw_log'!K432)</f>
        <v/>
      </c>
      <c r="L432" s="30">
        <f>INT(B432)</f>
        <v/>
      </c>
      <c r="M432" s="20">
        <f>ROUND(MOD(B432,1)*1440,0)/1440</f>
        <v/>
      </c>
      <c r="N432" s="4">
        <f>IFERROR(INDEX('3_ref_date'!$B:$B,MATCH(L432,'3_ref_date'!$A:$A,0)),"NOT FOUND")</f>
        <v/>
      </c>
      <c r="O432" s="2">
        <f>IFERROR(INDEX('3_ref_date'!$C:$C,MATCH(L432,'3_ref_date'!$A:$A,0)),"NOT FOUND")</f>
        <v/>
      </c>
      <c r="P432" s="4">
        <f>IFERROR(INDEX('3_ref_date'!$D:$D,MATCH(L432,'3_ref_date'!$A:$A,0)),"NOT FOUND")</f>
        <v/>
      </c>
      <c r="Q432" s="4">
        <f>IFERROR(INDEX('3_ref_date'!$E:$E,MATCH(L432,'3_ref_date'!$A:$A,0)),"NOT FOUND")</f>
        <v/>
      </c>
      <c r="R432" s="2">
        <f>IFERROR(INDEX('3_ref_date'!$F:$F,MATCH(L432,'3_ref_date'!$A:$A,0)),"NOT FOUND")</f>
        <v/>
      </c>
      <c r="S432" s="2">
        <f>IFERROR(INDEX('4_ref_time'!$D:$D,MATCH(ROUND(M432*1440,0),'4_ref_time'!$A:$A,0)),"NOT FOUND")</f>
        <v/>
      </c>
      <c r="T432" s="2">
        <f>UPPER(TRIM(C432))</f>
        <v/>
      </c>
      <c r="U432" s="30">
        <f>IF(_xlfn.MAXIFS('6_3nf_branch_history'!$B$2:$B$50,'6_3nf_branch_history'!$A$2:$A$50,T432,'6_3nf_branch_history'!$B$2:$B$50,"&lt;="&amp;L432)=0,"NOT FOUND",_xlfn.MAXIFS('6_3nf_branch_history'!$B$2:$B$50,'6_3nf_branch_history'!$A$2:$A$50,T432,'6_3nf_branch_history'!$B$2:$B$50,"&lt;="&amp;L432))</f>
        <v/>
      </c>
      <c r="V432" s="2">
        <f>IF(U432="NOT FOUND","NOT FOUND",INDEX('6_3nf_branch_history'!$C:$C,SUMPRODUCT(('6_3nf_branch_history'!$A$2:$A$50=T432)*('6_3nf_branch_history'!$B$2:$B$50=U432)*ROW('6_3nf_branch_history'!$A$2:$A$50))))</f>
        <v/>
      </c>
      <c r="W432" s="2">
        <f>IF(U432="NOT FOUND","NOT FOUND",INDEX('6_3nf_branch_history'!$D:$D,SUMPRODUCT(('6_3nf_branch_history'!$A$2:$A$50=T432)*('6_3nf_branch_history'!$B$2:$B$50=U432)*ROW('6_3nf_branch_history'!$A$2:$A$50))))</f>
        <v/>
      </c>
      <c r="X432" s="2">
        <f>IF(U432="NOT FOUND","NOT FOUND",INDEX('6_3nf_branch_history'!$E:$E,SUMPRODUCT(('6_3nf_branch_history'!$A$2:$A$50=T432)*('6_3nf_branch_history'!$B$2:$B$50=U432)*ROW('6_3nf_branch_history'!$A$2:$A$50))))</f>
        <v/>
      </c>
      <c r="Y432" s="2">
        <f>UPPER(TRIM(D432))</f>
        <v/>
      </c>
      <c r="Z432" s="2">
        <f>IFERROR(INDEX('7_3nf_product'!$B:$B,MATCH(Y432,'7_3nf_product'!$A:$A,0)),"NOT FOUND")</f>
        <v/>
      </c>
      <c r="AA432" s="2">
        <f>IFERROR(INDEX('7_3nf_product'!$C:$C,MATCH(Y432,'7_3nf_product'!$A:$A,0)),"NOT FOUND")</f>
        <v/>
      </c>
      <c r="AB432" s="2">
        <f>IFERROR(INDEX('7_3nf_product'!$D:$D,MATCH(Y432,'7_3nf_product'!$A:$A,0)),"NOT FOUND")</f>
        <v/>
      </c>
      <c r="AC432" s="6">
        <f>IFERROR(INDEX('7_3nf_product'!$E:$E,MATCH(Y432,'7_3nf_product'!$A:$A,0)),"NOT FOUND")</f>
        <v/>
      </c>
      <c r="AD432" s="33">
        <f>IF(LEN(TRIM(E432))=10,TRIM(E432),IF(LEN(TRIM(E432))=8,"00"&amp;TRIM(E432),"CHECK"))</f>
        <v/>
      </c>
      <c r="AE432" s="2">
        <f>IFERROR(INDEX('8_3nf_customer'!$C:$C,MATCH(AD432,'8_3nf_customer'!$B:$B,0)),"NOT FOUND")</f>
        <v/>
      </c>
      <c r="AF432" s="30">
        <f>IFERROR(INDEX('8_3nf_customer'!$D:$D,MATCH(AD432,'8_3nf_customer'!$B:$B,0)),"NOT FOUND")</f>
        <v/>
      </c>
      <c r="AG432" s="4">
        <f>IF(ISNUMBER(AF432),DATEDIF(AF432,L432,"y"),"NOT FOUND")</f>
        <v/>
      </c>
      <c r="AH432" s="2">
        <f>IFERROR(INDEX('8_3nf_customer'!$E:$E,MATCH(AD432,'8_3nf_customer'!$B:$B,0)),"NOT FOUND")</f>
        <v/>
      </c>
      <c r="AI432" s="30">
        <f>IF(_xlfn.MAXIFS('9_3nf_customer_history'!$B$2:$B$500,'9_3nf_customer_history'!$A$2:$A$500,AD432,'9_3nf_customer_history'!$B$2:$B$500,"&lt;="&amp;L432)=0,"NOT FOUND",_xlfn.MAXIFS('9_3nf_customer_history'!$B$2:$B$500,'9_3nf_customer_history'!$A$2:$A$500,AD432,'9_3nf_customer_history'!$B$2:$B$500,"&lt;="&amp;L432))</f>
        <v/>
      </c>
      <c r="AJ432" s="2">
        <f>IF(AI432="NOT FOUND","NOT FOUND",INDEX('9_3nf_customer_history'!$C:$C,SUMPRODUCT(('9_3nf_customer_history'!$A$2:$A$500=AD432)*('9_3nf_customer_history'!$B$2:$B$500=AI432)*ROW('9_3nf_customer_history'!$A$2:$A$500))))</f>
        <v/>
      </c>
      <c r="AK432" s="2">
        <f>IF(AI432="NOT FOUND","NOT FOUND",INDEX('9_3nf_customer_history'!$D:$D,SUMPRODUCT(('9_3nf_customer_history'!$A$2:$A$500=AD432)*('9_3nf_customer_history'!$B$2:$B$500=AI432)*ROW('9_3nf_customer_history'!$A$2:$A$500))))</f>
        <v/>
      </c>
      <c r="AL432" s="2">
        <f>UPPER(TRIM(H432))</f>
        <v/>
      </c>
      <c r="AM432" s="30">
        <f>IF(_xlfn.MAXIFS('10_ref_fx_rate'!$B$2:$B$2000,'10_ref_fx_rate'!$A$2:$A$2000,AL432,'10_ref_fx_rate'!$B$2:$B$2000,"&lt;="&amp;L432)=0,"NOT FOUND",_xlfn.MAXIFS('10_ref_fx_rate'!$B$2:$B$2000,'10_ref_fx_rate'!$A$2:$A$2000,AL432,'10_ref_fx_rate'!$B$2:$B$2000,"&lt;="&amp;L432))</f>
        <v/>
      </c>
      <c r="AN432" s="8">
        <f>IF(AM432="NOT FOUND","NOT FOUND",SUMIFS('10_ref_fx_rate'!$D$2:$D$2000,'10_ref_fx_rate'!$A$2:$A$2000,AL432,'10_ref_fx_rate'!$B$2:$B$2000,AM432))</f>
        <v/>
      </c>
      <c r="AO432" s="37">
        <f>IF(ISNUMBER(AN432),I432*AN432,"NOT FOUND")</f>
        <v/>
      </c>
      <c r="AP432" s="2">
        <f>UPPER(TRIM(J432))</f>
        <v/>
      </c>
      <c r="AQ432" s="2">
        <f>IF(AP432="","SELF-DIRECTED",IF(ISNUMBER(MATCH(AP432,'11_3nf_sales_person'!$A:$A,0)),IF(EXACT(AP432,J432),"OK","OK (auto-fixed)"),IF(ISNA(MATCH($A432,'12_sales_person_confirmation'!$A:$A,0)),"CONFIRM (not logged)",IF(INDEX('12_sales_person_confirmation'!$I:$I,MATCH($A432,'12_sales_person_confirmation'!$A:$A,0))="CONFIRMED","CONFIRMED ("&amp;LOWER(INDEX('12_sales_person_confirmation'!$E:$E,MATCH($A432,'12_sales_person_confirmation'!$A:$A,0)))&amp;")","PENDING CONFIRM"))))</f>
        <v/>
      </c>
      <c r="AR432" s="2">
        <f>IF(OR(AQ432="OK",AQ432="OK (auto-fixed)"),AP432,IF(LEFT(AQ432,9)="CONFIRMED",INDEX('12_sales_person_confirmation'!$F:$F,MATCH($A432,'12_sales_person_confirmation'!$A:$A,0)),""))</f>
        <v/>
      </c>
      <c r="AS432" s="2">
        <f>IF(AR432="","",INDEX('11_3nf_sales_person'!$B:$B,MATCH(AR432,'11_3nf_sales_person'!$A:$A,0)))</f>
        <v/>
      </c>
    </row>
    <row r="433">
      <c r="A433" s="2">
        <f>IF(ISBLANK('1_raw_log'!A433),"",'1_raw_log'!A433)</f>
        <v/>
      </c>
      <c r="B433" s="3">
        <f>IF(ISBLANK('1_raw_log'!B433),"",'1_raw_log'!B433)</f>
        <v/>
      </c>
      <c r="C433" s="2">
        <f>IF(ISBLANK('1_raw_log'!C433),"",'1_raw_log'!C433)</f>
        <v/>
      </c>
      <c r="D433" s="2">
        <f>IF(ISBLANK('1_raw_log'!D433),"",'1_raw_log'!D433)</f>
        <v/>
      </c>
      <c r="E433" s="4">
        <f>IF(ISBLANK('1_raw_log'!E433),"",'1_raw_log'!E433)</f>
        <v/>
      </c>
      <c r="F433" s="2">
        <f>IF(ISBLANK('1_raw_log'!F433),"",'1_raw_log'!F433)</f>
        <v/>
      </c>
      <c r="G433" s="2">
        <f>IF(ISBLANK('1_raw_log'!G433),"",'1_raw_log'!G433)</f>
        <v/>
      </c>
      <c r="H433" s="2">
        <f>IF(ISBLANK('1_raw_log'!H433),"",'1_raw_log'!H433)</f>
        <v/>
      </c>
      <c r="I433" s="7">
        <f>IF(ISBLANK('1_raw_log'!I433),"",'1_raw_log'!I433)</f>
        <v/>
      </c>
      <c r="J433" s="2">
        <f>IF(ISBLANK('1_raw_log'!J433),"",'1_raw_log'!J433)</f>
        <v/>
      </c>
      <c r="K433" s="2">
        <f>IF(ISBLANK('1_raw_log'!K433),"",'1_raw_log'!K433)</f>
        <v/>
      </c>
      <c r="L433" s="30">
        <f>INT(B433)</f>
        <v/>
      </c>
      <c r="M433" s="20">
        <f>ROUND(MOD(B433,1)*1440,0)/1440</f>
        <v/>
      </c>
      <c r="N433" s="4">
        <f>IFERROR(INDEX('3_ref_date'!$B:$B,MATCH(L433,'3_ref_date'!$A:$A,0)),"NOT FOUND")</f>
        <v/>
      </c>
      <c r="O433" s="2">
        <f>IFERROR(INDEX('3_ref_date'!$C:$C,MATCH(L433,'3_ref_date'!$A:$A,0)),"NOT FOUND")</f>
        <v/>
      </c>
      <c r="P433" s="4">
        <f>IFERROR(INDEX('3_ref_date'!$D:$D,MATCH(L433,'3_ref_date'!$A:$A,0)),"NOT FOUND")</f>
        <v/>
      </c>
      <c r="Q433" s="4">
        <f>IFERROR(INDEX('3_ref_date'!$E:$E,MATCH(L433,'3_ref_date'!$A:$A,0)),"NOT FOUND")</f>
        <v/>
      </c>
      <c r="R433" s="2">
        <f>IFERROR(INDEX('3_ref_date'!$F:$F,MATCH(L433,'3_ref_date'!$A:$A,0)),"NOT FOUND")</f>
        <v/>
      </c>
      <c r="S433" s="2">
        <f>IFERROR(INDEX('4_ref_time'!$D:$D,MATCH(ROUND(M433*1440,0),'4_ref_time'!$A:$A,0)),"NOT FOUND")</f>
        <v/>
      </c>
      <c r="T433" s="2">
        <f>UPPER(TRIM(C433))</f>
        <v/>
      </c>
      <c r="U433" s="30">
        <f>IF(_xlfn.MAXIFS('6_3nf_branch_history'!$B$2:$B$50,'6_3nf_branch_history'!$A$2:$A$50,T433,'6_3nf_branch_history'!$B$2:$B$50,"&lt;="&amp;L433)=0,"NOT FOUND",_xlfn.MAXIFS('6_3nf_branch_history'!$B$2:$B$50,'6_3nf_branch_history'!$A$2:$A$50,T433,'6_3nf_branch_history'!$B$2:$B$50,"&lt;="&amp;L433))</f>
        <v/>
      </c>
      <c r="V433" s="2">
        <f>IF(U433="NOT FOUND","NOT FOUND",INDEX('6_3nf_branch_history'!$C:$C,SUMPRODUCT(('6_3nf_branch_history'!$A$2:$A$50=T433)*('6_3nf_branch_history'!$B$2:$B$50=U433)*ROW('6_3nf_branch_history'!$A$2:$A$50))))</f>
        <v/>
      </c>
      <c r="W433" s="2">
        <f>IF(U433="NOT FOUND","NOT FOUND",INDEX('6_3nf_branch_history'!$D:$D,SUMPRODUCT(('6_3nf_branch_history'!$A$2:$A$50=T433)*('6_3nf_branch_history'!$B$2:$B$50=U433)*ROW('6_3nf_branch_history'!$A$2:$A$50))))</f>
        <v/>
      </c>
      <c r="X433" s="2">
        <f>IF(U433="NOT FOUND","NOT FOUND",INDEX('6_3nf_branch_history'!$E:$E,SUMPRODUCT(('6_3nf_branch_history'!$A$2:$A$50=T433)*('6_3nf_branch_history'!$B$2:$B$50=U433)*ROW('6_3nf_branch_history'!$A$2:$A$50))))</f>
        <v/>
      </c>
      <c r="Y433" s="2">
        <f>UPPER(TRIM(D433))</f>
        <v/>
      </c>
      <c r="Z433" s="2">
        <f>IFERROR(INDEX('7_3nf_product'!$B:$B,MATCH(Y433,'7_3nf_product'!$A:$A,0)),"NOT FOUND")</f>
        <v/>
      </c>
      <c r="AA433" s="2">
        <f>IFERROR(INDEX('7_3nf_product'!$C:$C,MATCH(Y433,'7_3nf_product'!$A:$A,0)),"NOT FOUND")</f>
        <v/>
      </c>
      <c r="AB433" s="2">
        <f>IFERROR(INDEX('7_3nf_product'!$D:$D,MATCH(Y433,'7_3nf_product'!$A:$A,0)),"NOT FOUND")</f>
        <v/>
      </c>
      <c r="AC433" s="6">
        <f>IFERROR(INDEX('7_3nf_product'!$E:$E,MATCH(Y433,'7_3nf_product'!$A:$A,0)),"NOT FOUND")</f>
        <v/>
      </c>
      <c r="AD433" s="33">
        <f>IF(LEN(TRIM(E433))=10,TRIM(E433),IF(LEN(TRIM(E433))=8,"00"&amp;TRIM(E433),"CHECK"))</f>
        <v/>
      </c>
      <c r="AE433" s="2">
        <f>IFERROR(INDEX('8_3nf_customer'!$C:$C,MATCH(AD433,'8_3nf_customer'!$B:$B,0)),"NOT FOUND")</f>
        <v/>
      </c>
      <c r="AF433" s="30">
        <f>IFERROR(INDEX('8_3nf_customer'!$D:$D,MATCH(AD433,'8_3nf_customer'!$B:$B,0)),"NOT FOUND")</f>
        <v/>
      </c>
      <c r="AG433" s="4">
        <f>IF(ISNUMBER(AF433),DATEDIF(AF433,L433,"y"),"NOT FOUND")</f>
        <v/>
      </c>
      <c r="AH433" s="2">
        <f>IFERROR(INDEX('8_3nf_customer'!$E:$E,MATCH(AD433,'8_3nf_customer'!$B:$B,0)),"NOT FOUND")</f>
        <v/>
      </c>
      <c r="AI433" s="30">
        <f>IF(_xlfn.MAXIFS('9_3nf_customer_history'!$B$2:$B$500,'9_3nf_customer_history'!$A$2:$A$500,AD433,'9_3nf_customer_history'!$B$2:$B$500,"&lt;="&amp;L433)=0,"NOT FOUND",_xlfn.MAXIFS('9_3nf_customer_history'!$B$2:$B$500,'9_3nf_customer_history'!$A$2:$A$500,AD433,'9_3nf_customer_history'!$B$2:$B$500,"&lt;="&amp;L433))</f>
        <v/>
      </c>
      <c r="AJ433" s="2">
        <f>IF(AI433="NOT FOUND","NOT FOUND",INDEX('9_3nf_customer_history'!$C:$C,SUMPRODUCT(('9_3nf_customer_history'!$A$2:$A$500=AD433)*('9_3nf_customer_history'!$B$2:$B$500=AI433)*ROW('9_3nf_customer_history'!$A$2:$A$500))))</f>
        <v/>
      </c>
      <c r="AK433" s="2">
        <f>IF(AI433="NOT FOUND","NOT FOUND",INDEX('9_3nf_customer_history'!$D:$D,SUMPRODUCT(('9_3nf_customer_history'!$A$2:$A$500=AD433)*('9_3nf_customer_history'!$B$2:$B$500=AI433)*ROW('9_3nf_customer_history'!$A$2:$A$500))))</f>
        <v/>
      </c>
      <c r="AL433" s="2">
        <f>UPPER(TRIM(H433))</f>
        <v/>
      </c>
      <c r="AM433" s="30">
        <f>IF(_xlfn.MAXIFS('10_ref_fx_rate'!$B$2:$B$2000,'10_ref_fx_rate'!$A$2:$A$2000,AL433,'10_ref_fx_rate'!$B$2:$B$2000,"&lt;="&amp;L433)=0,"NOT FOUND",_xlfn.MAXIFS('10_ref_fx_rate'!$B$2:$B$2000,'10_ref_fx_rate'!$A$2:$A$2000,AL433,'10_ref_fx_rate'!$B$2:$B$2000,"&lt;="&amp;L433))</f>
        <v/>
      </c>
      <c r="AN433" s="8">
        <f>IF(AM433="NOT FOUND","NOT FOUND",SUMIFS('10_ref_fx_rate'!$D$2:$D$2000,'10_ref_fx_rate'!$A$2:$A$2000,AL433,'10_ref_fx_rate'!$B$2:$B$2000,AM433))</f>
        <v/>
      </c>
      <c r="AO433" s="37">
        <f>IF(ISNUMBER(AN433),I433*AN433,"NOT FOUND")</f>
        <v/>
      </c>
      <c r="AP433" s="2">
        <f>UPPER(TRIM(J433))</f>
        <v/>
      </c>
      <c r="AQ433" s="2">
        <f>IF(AP433="","SELF-DIRECTED",IF(ISNUMBER(MATCH(AP433,'11_3nf_sales_person'!$A:$A,0)),IF(EXACT(AP433,J433),"OK","OK (auto-fixed)"),IF(ISNA(MATCH($A433,'12_sales_person_confirmation'!$A:$A,0)),"CONFIRM (not logged)",IF(INDEX('12_sales_person_confirmation'!$I:$I,MATCH($A433,'12_sales_person_confirmation'!$A:$A,0))="CONFIRMED","CONFIRMED ("&amp;LOWER(INDEX('12_sales_person_confirmation'!$E:$E,MATCH($A433,'12_sales_person_confirmation'!$A:$A,0)))&amp;")","PENDING CONFIRM"))))</f>
        <v/>
      </c>
      <c r="AR433" s="2">
        <f>IF(OR(AQ433="OK",AQ433="OK (auto-fixed)"),AP433,IF(LEFT(AQ433,9)="CONFIRMED",INDEX('12_sales_person_confirmation'!$F:$F,MATCH($A433,'12_sales_person_confirmation'!$A:$A,0)),""))</f>
        <v/>
      </c>
      <c r="AS433" s="2">
        <f>IF(AR433="","",INDEX('11_3nf_sales_person'!$B:$B,MATCH(AR433,'11_3nf_sales_person'!$A:$A,0)))</f>
        <v/>
      </c>
    </row>
    <row r="434">
      <c r="A434" s="2">
        <f>IF(ISBLANK('1_raw_log'!A434),"",'1_raw_log'!A434)</f>
        <v/>
      </c>
      <c r="B434" s="3">
        <f>IF(ISBLANK('1_raw_log'!B434),"",'1_raw_log'!B434)</f>
        <v/>
      </c>
      <c r="C434" s="2">
        <f>IF(ISBLANK('1_raw_log'!C434),"",'1_raw_log'!C434)</f>
        <v/>
      </c>
      <c r="D434" s="2">
        <f>IF(ISBLANK('1_raw_log'!D434),"",'1_raw_log'!D434)</f>
        <v/>
      </c>
      <c r="E434" s="4">
        <f>IF(ISBLANK('1_raw_log'!E434),"",'1_raw_log'!E434)</f>
        <v/>
      </c>
      <c r="F434" s="2">
        <f>IF(ISBLANK('1_raw_log'!F434),"",'1_raw_log'!F434)</f>
        <v/>
      </c>
      <c r="G434" s="2">
        <f>IF(ISBLANK('1_raw_log'!G434),"",'1_raw_log'!G434)</f>
        <v/>
      </c>
      <c r="H434" s="2">
        <f>IF(ISBLANK('1_raw_log'!H434),"",'1_raw_log'!H434)</f>
        <v/>
      </c>
      <c r="I434" s="7">
        <f>IF(ISBLANK('1_raw_log'!I434),"",'1_raw_log'!I434)</f>
        <v/>
      </c>
      <c r="J434" s="2">
        <f>IF(ISBLANK('1_raw_log'!J434),"",'1_raw_log'!J434)</f>
        <v/>
      </c>
      <c r="K434" s="2">
        <f>IF(ISBLANK('1_raw_log'!K434),"",'1_raw_log'!K434)</f>
        <v/>
      </c>
      <c r="L434" s="30">
        <f>INT(B434)</f>
        <v/>
      </c>
      <c r="M434" s="20">
        <f>ROUND(MOD(B434,1)*1440,0)/1440</f>
        <v/>
      </c>
      <c r="N434" s="4">
        <f>IFERROR(INDEX('3_ref_date'!$B:$B,MATCH(L434,'3_ref_date'!$A:$A,0)),"NOT FOUND")</f>
        <v/>
      </c>
      <c r="O434" s="2">
        <f>IFERROR(INDEX('3_ref_date'!$C:$C,MATCH(L434,'3_ref_date'!$A:$A,0)),"NOT FOUND")</f>
        <v/>
      </c>
      <c r="P434" s="4">
        <f>IFERROR(INDEX('3_ref_date'!$D:$D,MATCH(L434,'3_ref_date'!$A:$A,0)),"NOT FOUND")</f>
        <v/>
      </c>
      <c r="Q434" s="4">
        <f>IFERROR(INDEX('3_ref_date'!$E:$E,MATCH(L434,'3_ref_date'!$A:$A,0)),"NOT FOUND")</f>
        <v/>
      </c>
      <c r="R434" s="2">
        <f>IFERROR(INDEX('3_ref_date'!$F:$F,MATCH(L434,'3_ref_date'!$A:$A,0)),"NOT FOUND")</f>
        <v/>
      </c>
      <c r="S434" s="2">
        <f>IFERROR(INDEX('4_ref_time'!$D:$D,MATCH(ROUND(M434*1440,0),'4_ref_time'!$A:$A,0)),"NOT FOUND")</f>
        <v/>
      </c>
      <c r="T434" s="2">
        <f>UPPER(TRIM(C434))</f>
        <v/>
      </c>
      <c r="U434" s="30">
        <f>IF(_xlfn.MAXIFS('6_3nf_branch_history'!$B$2:$B$50,'6_3nf_branch_history'!$A$2:$A$50,T434,'6_3nf_branch_history'!$B$2:$B$50,"&lt;="&amp;L434)=0,"NOT FOUND",_xlfn.MAXIFS('6_3nf_branch_history'!$B$2:$B$50,'6_3nf_branch_history'!$A$2:$A$50,T434,'6_3nf_branch_history'!$B$2:$B$50,"&lt;="&amp;L434))</f>
        <v/>
      </c>
      <c r="V434" s="2">
        <f>IF(U434="NOT FOUND","NOT FOUND",INDEX('6_3nf_branch_history'!$C:$C,SUMPRODUCT(('6_3nf_branch_history'!$A$2:$A$50=T434)*('6_3nf_branch_history'!$B$2:$B$50=U434)*ROW('6_3nf_branch_history'!$A$2:$A$50))))</f>
        <v/>
      </c>
      <c r="W434" s="2">
        <f>IF(U434="NOT FOUND","NOT FOUND",INDEX('6_3nf_branch_history'!$D:$D,SUMPRODUCT(('6_3nf_branch_history'!$A$2:$A$50=T434)*('6_3nf_branch_history'!$B$2:$B$50=U434)*ROW('6_3nf_branch_history'!$A$2:$A$50))))</f>
        <v/>
      </c>
      <c r="X434" s="2">
        <f>IF(U434="NOT FOUND","NOT FOUND",INDEX('6_3nf_branch_history'!$E:$E,SUMPRODUCT(('6_3nf_branch_history'!$A$2:$A$50=T434)*('6_3nf_branch_history'!$B$2:$B$50=U434)*ROW('6_3nf_branch_history'!$A$2:$A$50))))</f>
        <v/>
      </c>
      <c r="Y434" s="2">
        <f>UPPER(TRIM(D434))</f>
        <v/>
      </c>
      <c r="Z434" s="2">
        <f>IFERROR(INDEX('7_3nf_product'!$B:$B,MATCH(Y434,'7_3nf_product'!$A:$A,0)),"NOT FOUND")</f>
        <v/>
      </c>
      <c r="AA434" s="2">
        <f>IFERROR(INDEX('7_3nf_product'!$C:$C,MATCH(Y434,'7_3nf_product'!$A:$A,0)),"NOT FOUND")</f>
        <v/>
      </c>
      <c r="AB434" s="2">
        <f>IFERROR(INDEX('7_3nf_product'!$D:$D,MATCH(Y434,'7_3nf_product'!$A:$A,0)),"NOT FOUND")</f>
        <v/>
      </c>
      <c r="AC434" s="6">
        <f>IFERROR(INDEX('7_3nf_product'!$E:$E,MATCH(Y434,'7_3nf_product'!$A:$A,0)),"NOT FOUND")</f>
        <v/>
      </c>
      <c r="AD434" s="33">
        <f>IF(LEN(TRIM(E434))=10,TRIM(E434),IF(LEN(TRIM(E434))=8,"00"&amp;TRIM(E434),"CHECK"))</f>
        <v/>
      </c>
      <c r="AE434" s="2">
        <f>IFERROR(INDEX('8_3nf_customer'!$C:$C,MATCH(AD434,'8_3nf_customer'!$B:$B,0)),"NOT FOUND")</f>
        <v/>
      </c>
      <c r="AF434" s="30">
        <f>IFERROR(INDEX('8_3nf_customer'!$D:$D,MATCH(AD434,'8_3nf_customer'!$B:$B,0)),"NOT FOUND")</f>
        <v/>
      </c>
      <c r="AG434" s="4">
        <f>IF(ISNUMBER(AF434),DATEDIF(AF434,L434,"y"),"NOT FOUND")</f>
        <v/>
      </c>
      <c r="AH434" s="2">
        <f>IFERROR(INDEX('8_3nf_customer'!$E:$E,MATCH(AD434,'8_3nf_customer'!$B:$B,0)),"NOT FOUND")</f>
        <v/>
      </c>
      <c r="AI434" s="30">
        <f>IF(_xlfn.MAXIFS('9_3nf_customer_history'!$B$2:$B$500,'9_3nf_customer_history'!$A$2:$A$500,AD434,'9_3nf_customer_history'!$B$2:$B$500,"&lt;="&amp;L434)=0,"NOT FOUND",_xlfn.MAXIFS('9_3nf_customer_history'!$B$2:$B$500,'9_3nf_customer_history'!$A$2:$A$500,AD434,'9_3nf_customer_history'!$B$2:$B$500,"&lt;="&amp;L434))</f>
        <v/>
      </c>
      <c r="AJ434" s="2">
        <f>IF(AI434="NOT FOUND","NOT FOUND",INDEX('9_3nf_customer_history'!$C:$C,SUMPRODUCT(('9_3nf_customer_history'!$A$2:$A$500=AD434)*('9_3nf_customer_history'!$B$2:$B$500=AI434)*ROW('9_3nf_customer_history'!$A$2:$A$500))))</f>
        <v/>
      </c>
      <c r="AK434" s="2">
        <f>IF(AI434="NOT FOUND","NOT FOUND",INDEX('9_3nf_customer_history'!$D:$D,SUMPRODUCT(('9_3nf_customer_history'!$A$2:$A$500=AD434)*('9_3nf_customer_history'!$B$2:$B$500=AI434)*ROW('9_3nf_customer_history'!$A$2:$A$500))))</f>
        <v/>
      </c>
      <c r="AL434" s="2">
        <f>UPPER(TRIM(H434))</f>
        <v/>
      </c>
      <c r="AM434" s="30">
        <f>IF(_xlfn.MAXIFS('10_ref_fx_rate'!$B$2:$B$2000,'10_ref_fx_rate'!$A$2:$A$2000,AL434,'10_ref_fx_rate'!$B$2:$B$2000,"&lt;="&amp;L434)=0,"NOT FOUND",_xlfn.MAXIFS('10_ref_fx_rate'!$B$2:$B$2000,'10_ref_fx_rate'!$A$2:$A$2000,AL434,'10_ref_fx_rate'!$B$2:$B$2000,"&lt;="&amp;L434))</f>
        <v/>
      </c>
      <c r="AN434" s="8">
        <f>IF(AM434="NOT FOUND","NOT FOUND",SUMIFS('10_ref_fx_rate'!$D$2:$D$2000,'10_ref_fx_rate'!$A$2:$A$2000,AL434,'10_ref_fx_rate'!$B$2:$B$2000,AM434))</f>
        <v/>
      </c>
      <c r="AO434" s="37">
        <f>IF(ISNUMBER(AN434),I434*AN434,"NOT FOUND")</f>
        <v/>
      </c>
      <c r="AP434" s="2">
        <f>UPPER(TRIM(J434))</f>
        <v/>
      </c>
      <c r="AQ434" s="2">
        <f>IF(AP434="","SELF-DIRECTED",IF(ISNUMBER(MATCH(AP434,'11_3nf_sales_person'!$A:$A,0)),IF(EXACT(AP434,J434),"OK","OK (auto-fixed)"),IF(ISNA(MATCH($A434,'12_sales_person_confirmation'!$A:$A,0)),"CONFIRM (not logged)",IF(INDEX('12_sales_person_confirmation'!$I:$I,MATCH($A434,'12_sales_person_confirmation'!$A:$A,0))="CONFIRMED","CONFIRMED ("&amp;LOWER(INDEX('12_sales_person_confirmation'!$E:$E,MATCH($A434,'12_sales_person_confirmation'!$A:$A,0)))&amp;")","PENDING CONFIRM"))))</f>
        <v/>
      </c>
      <c r="AR434" s="2">
        <f>IF(OR(AQ434="OK",AQ434="OK (auto-fixed)"),AP434,IF(LEFT(AQ434,9)="CONFIRMED",INDEX('12_sales_person_confirmation'!$F:$F,MATCH($A434,'12_sales_person_confirmation'!$A:$A,0)),""))</f>
        <v/>
      </c>
      <c r="AS434" s="2">
        <f>IF(AR434="","",INDEX('11_3nf_sales_person'!$B:$B,MATCH(AR434,'11_3nf_sales_person'!$A:$A,0)))</f>
        <v/>
      </c>
    </row>
    <row r="435">
      <c r="A435" s="2">
        <f>IF(ISBLANK('1_raw_log'!A435),"",'1_raw_log'!A435)</f>
        <v/>
      </c>
      <c r="B435" s="3">
        <f>IF(ISBLANK('1_raw_log'!B435),"",'1_raw_log'!B435)</f>
        <v/>
      </c>
      <c r="C435" s="2">
        <f>IF(ISBLANK('1_raw_log'!C435),"",'1_raw_log'!C435)</f>
        <v/>
      </c>
      <c r="D435" s="2">
        <f>IF(ISBLANK('1_raw_log'!D435),"",'1_raw_log'!D435)</f>
        <v/>
      </c>
      <c r="E435" s="4">
        <f>IF(ISBLANK('1_raw_log'!E435),"",'1_raw_log'!E435)</f>
        <v/>
      </c>
      <c r="F435" s="2">
        <f>IF(ISBLANK('1_raw_log'!F435),"",'1_raw_log'!F435)</f>
        <v/>
      </c>
      <c r="G435" s="2">
        <f>IF(ISBLANK('1_raw_log'!G435),"",'1_raw_log'!G435)</f>
        <v/>
      </c>
      <c r="H435" s="2">
        <f>IF(ISBLANK('1_raw_log'!H435),"",'1_raw_log'!H435)</f>
        <v/>
      </c>
      <c r="I435" s="7">
        <f>IF(ISBLANK('1_raw_log'!I435),"",'1_raw_log'!I435)</f>
        <v/>
      </c>
      <c r="J435" s="2">
        <f>IF(ISBLANK('1_raw_log'!J435),"",'1_raw_log'!J435)</f>
        <v/>
      </c>
      <c r="K435" s="2">
        <f>IF(ISBLANK('1_raw_log'!K435),"",'1_raw_log'!K435)</f>
        <v/>
      </c>
      <c r="L435" s="30">
        <f>INT(B435)</f>
        <v/>
      </c>
      <c r="M435" s="20">
        <f>ROUND(MOD(B435,1)*1440,0)/1440</f>
        <v/>
      </c>
      <c r="N435" s="4">
        <f>IFERROR(INDEX('3_ref_date'!$B:$B,MATCH(L435,'3_ref_date'!$A:$A,0)),"NOT FOUND")</f>
        <v/>
      </c>
      <c r="O435" s="2">
        <f>IFERROR(INDEX('3_ref_date'!$C:$C,MATCH(L435,'3_ref_date'!$A:$A,0)),"NOT FOUND")</f>
        <v/>
      </c>
      <c r="P435" s="4">
        <f>IFERROR(INDEX('3_ref_date'!$D:$D,MATCH(L435,'3_ref_date'!$A:$A,0)),"NOT FOUND")</f>
        <v/>
      </c>
      <c r="Q435" s="4">
        <f>IFERROR(INDEX('3_ref_date'!$E:$E,MATCH(L435,'3_ref_date'!$A:$A,0)),"NOT FOUND")</f>
        <v/>
      </c>
      <c r="R435" s="2">
        <f>IFERROR(INDEX('3_ref_date'!$F:$F,MATCH(L435,'3_ref_date'!$A:$A,0)),"NOT FOUND")</f>
        <v/>
      </c>
      <c r="S435" s="2">
        <f>IFERROR(INDEX('4_ref_time'!$D:$D,MATCH(ROUND(M435*1440,0),'4_ref_time'!$A:$A,0)),"NOT FOUND")</f>
        <v/>
      </c>
      <c r="T435" s="2">
        <f>UPPER(TRIM(C435))</f>
        <v/>
      </c>
      <c r="U435" s="30">
        <f>IF(_xlfn.MAXIFS('6_3nf_branch_history'!$B$2:$B$50,'6_3nf_branch_history'!$A$2:$A$50,T435,'6_3nf_branch_history'!$B$2:$B$50,"&lt;="&amp;L435)=0,"NOT FOUND",_xlfn.MAXIFS('6_3nf_branch_history'!$B$2:$B$50,'6_3nf_branch_history'!$A$2:$A$50,T435,'6_3nf_branch_history'!$B$2:$B$50,"&lt;="&amp;L435))</f>
        <v/>
      </c>
      <c r="V435" s="2">
        <f>IF(U435="NOT FOUND","NOT FOUND",INDEX('6_3nf_branch_history'!$C:$C,SUMPRODUCT(('6_3nf_branch_history'!$A$2:$A$50=T435)*('6_3nf_branch_history'!$B$2:$B$50=U435)*ROW('6_3nf_branch_history'!$A$2:$A$50))))</f>
        <v/>
      </c>
      <c r="W435" s="2">
        <f>IF(U435="NOT FOUND","NOT FOUND",INDEX('6_3nf_branch_history'!$D:$D,SUMPRODUCT(('6_3nf_branch_history'!$A$2:$A$50=T435)*('6_3nf_branch_history'!$B$2:$B$50=U435)*ROW('6_3nf_branch_history'!$A$2:$A$50))))</f>
        <v/>
      </c>
      <c r="X435" s="2">
        <f>IF(U435="NOT FOUND","NOT FOUND",INDEX('6_3nf_branch_history'!$E:$E,SUMPRODUCT(('6_3nf_branch_history'!$A$2:$A$50=T435)*('6_3nf_branch_history'!$B$2:$B$50=U435)*ROW('6_3nf_branch_history'!$A$2:$A$50))))</f>
        <v/>
      </c>
      <c r="Y435" s="2">
        <f>UPPER(TRIM(D435))</f>
        <v/>
      </c>
      <c r="Z435" s="2">
        <f>IFERROR(INDEX('7_3nf_product'!$B:$B,MATCH(Y435,'7_3nf_product'!$A:$A,0)),"NOT FOUND")</f>
        <v/>
      </c>
      <c r="AA435" s="2">
        <f>IFERROR(INDEX('7_3nf_product'!$C:$C,MATCH(Y435,'7_3nf_product'!$A:$A,0)),"NOT FOUND")</f>
        <v/>
      </c>
      <c r="AB435" s="2">
        <f>IFERROR(INDEX('7_3nf_product'!$D:$D,MATCH(Y435,'7_3nf_product'!$A:$A,0)),"NOT FOUND")</f>
        <v/>
      </c>
      <c r="AC435" s="6">
        <f>IFERROR(INDEX('7_3nf_product'!$E:$E,MATCH(Y435,'7_3nf_product'!$A:$A,0)),"NOT FOUND")</f>
        <v/>
      </c>
      <c r="AD435" s="33">
        <f>IF(LEN(TRIM(E435))=10,TRIM(E435),IF(LEN(TRIM(E435))=8,"00"&amp;TRIM(E435),"CHECK"))</f>
        <v/>
      </c>
      <c r="AE435" s="2">
        <f>IFERROR(INDEX('8_3nf_customer'!$C:$C,MATCH(AD435,'8_3nf_customer'!$B:$B,0)),"NOT FOUND")</f>
        <v/>
      </c>
      <c r="AF435" s="30">
        <f>IFERROR(INDEX('8_3nf_customer'!$D:$D,MATCH(AD435,'8_3nf_customer'!$B:$B,0)),"NOT FOUND")</f>
        <v/>
      </c>
      <c r="AG435" s="4">
        <f>IF(ISNUMBER(AF435),DATEDIF(AF435,L435,"y"),"NOT FOUND")</f>
        <v/>
      </c>
      <c r="AH435" s="2">
        <f>IFERROR(INDEX('8_3nf_customer'!$E:$E,MATCH(AD435,'8_3nf_customer'!$B:$B,0)),"NOT FOUND")</f>
        <v/>
      </c>
      <c r="AI435" s="30">
        <f>IF(_xlfn.MAXIFS('9_3nf_customer_history'!$B$2:$B$500,'9_3nf_customer_history'!$A$2:$A$500,AD435,'9_3nf_customer_history'!$B$2:$B$500,"&lt;="&amp;L435)=0,"NOT FOUND",_xlfn.MAXIFS('9_3nf_customer_history'!$B$2:$B$500,'9_3nf_customer_history'!$A$2:$A$500,AD435,'9_3nf_customer_history'!$B$2:$B$500,"&lt;="&amp;L435))</f>
        <v/>
      </c>
      <c r="AJ435" s="2">
        <f>IF(AI435="NOT FOUND","NOT FOUND",INDEX('9_3nf_customer_history'!$C:$C,SUMPRODUCT(('9_3nf_customer_history'!$A$2:$A$500=AD435)*('9_3nf_customer_history'!$B$2:$B$500=AI435)*ROW('9_3nf_customer_history'!$A$2:$A$500))))</f>
        <v/>
      </c>
      <c r="AK435" s="2">
        <f>IF(AI435="NOT FOUND","NOT FOUND",INDEX('9_3nf_customer_history'!$D:$D,SUMPRODUCT(('9_3nf_customer_history'!$A$2:$A$500=AD435)*('9_3nf_customer_history'!$B$2:$B$500=AI435)*ROW('9_3nf_customer_history'!$A$2:$A$500))))</f>
        <v/>
      </c>
      <c r="AL435" s="2">
        <f>UPPER(TRIM(H435))</f>
        <v/>
      </c>
      <c r="AM435" s="30">
        <f>IF(_xlfn.MAXIFS('10_ref_fx_rate'!$B$2:$B$2000,'10_ref_fx_rate'!$A$2:$A$2000,AL435,'10_ref_fx_rate'!$B$2:$B$2000,"&lt;="&amp;L435)=0,"NOT FOUND",_xlfn.MAXIFS('10_ref_fx_rate'!$B$2:$B$2000,'10_ref_fx_rate'!$A$2:$A$2000,AL435,'10_ref_fx_rate'!$B$2:$B$2000,"&lt;="&amp;L435))</f>
        <v/>
      </c>
      <c r="AN435" s="8">
        <f>IF(AM435="NOT FOUND","NOT FOUND",SUMIFS('10_ref_fx_rate'!$D$2:$D$2000,'10_ref_fx_rate'!$A$2:$A$2000,AL435,'10_ref_fx_rate'!$B$2:$B$2000,AM435))</f>
        <v/>
      </c>
      <c r="AO435" s="37">
        <f>IF(ISNUMBER(AN435),I435*AN435,"NOT FOUND")</f>
        <v/>
      </c>
      <c r="AP435" s="2">
        <f>UPPER(TRIM(J435))</f>
        <v/>
      </c>
      <c r="AQ435" s="2">
        <f>IF(AP435="","SELF-DIRECTED",IF(ISNUMBER(MATCH(AP435,'11_3nf_sales_person'!$A:$A,0)),IF(EXACT(AP435,J435),"OK","OK (auto-fixed)"),IF(ISNA(MATCH($A435,'12_sales_person_confirmation'!$A:$A,0)),"CONFIRM (not logged)",IF(INDEX('12_sales_person_confirmation'!$I:$I,MATCH($A435,'12_sales_person_confirmation'!$A:$A,0))="CONFIRMED","CONFIRMED ("&amp;LOWER(INDEX('12_sales_person_confirmation'!$E:$E,MATCH($A435,'12_sales_person_confirmation'!$A:$A,0)))&amp;")","PENDING CONFIRM"))))</f>
        <v/>
      </c>
      <c r="AR435" s="2">
        <f>IF(OR(AQ435="OK",AQ435="OK (auto-fixed)"),AP435,IF(LEFT(AQ435,9)="CONFIRMED",INDEX('12_sales_person_confirmation'!$F:$F,MATCH($A435,'12_sales_person_confirmation'!$A:$A,0)),""))</f>
        <v/>
      </c>
      <c r="AS435" s="2">
        <f>IF(AR435="","",INDEX('11_3nf_sales_person'!$B:$B,MATCH(AR435,'11_3nf_sales_person'!$A:$A,0)))</f>
        <v/>
      </c>
    </row>
    <row r="436">
      <c r="A436" s="2">
        <f>IF(ISBLANK('1_raw_log'!A436),"",'1_raw_log'!A436)</f>
        <v/>
      </c>
      <c r="B436" s="3">
        <f>IF(ISBLANK('1_raw_log'!B436),"",'1_raw_log'!B436)</f>
        <v/>
      </c>
      <c r="C436" s="2">
        <f>IF(ISBLANK('1_raw_log'!C436),"",'1_raw_log'!C436)</f>
        <v/>
      </c>
      <c r="D436" s="2">
        <f>IF(ISBLANK('1_raw_log'!D436),"",'1_raw_log'!D436)</f>
        <v/>
      </c>
      <c r="E436" s="4">
        <f>IF(ISBLANK('1_raw_log'!E436),"",'1_raw_log'!E436)</f>
        <v/>
      </c>
      <c r="F436" s="2">
        <f>IF(ISBLANK('1_raw_log'!F436),"",'1_raw_log'!F436)</f>
        <v/>
      </c>
      <c r="G436" s="2">
        <f>IF(ISBLANK('1_raw_log'!G436),"",'1_raw_log'!G436)</f>
        <v/>
      </c>
      <c r="H436" s="2">
        <f>IF(ISBLANK('1_raw_log'!H436),"",'1_raw_log'!H436)</f>
        <v/>
      </c>
      <c r="I436" s="7">
        <f>IF(ISBLANK('1_raw_log'!I436),"",'1_raw_log'!I436)</f>
        <v/>
      </c>
      <c r="J436" s="2">
        <f>IF(ISBLANK('1_raw_log'!J436),"",'1_raw_log'!J436)</f>
        <v/>
      </c>
      <c r="K436" s="2">
        <f>IF(ISBLANK('1_raw_log'!K436),"",'1_raw_log'!K436)</f>
        <v/>
      </c>
      <c r="L436" s="30">
        <f>INT(B436)</f>
        <v/>
      </c>
      <c r="M436" s="20">
        <f>ROUND(MOD(B436,1)*1440,0)/1440</f>
        <v/>
      </c>
      <c r="N436" s="4">
        <f>IFERROR(INDEX('3_ref_date'!$B:$B,MATCH(L436,'3_ref_date'!$A:$A,0)),"NOT FOUND")</f>
        <v/>
      </c>
      <c r="O436" s="2">
        <f>IFERROR(INDEX('3_ref_date'!$C:$C,MATCH(L436,'3_ref_date'!$A:$A,0)),"NOT FOUND")</f>
        <v/>
      </c>
      <c r="P436" s="4">
        <f>IFERROR(INDEX('3_ref_date'!$D:$D,MATCH(L436,'3_ref_date'!$A:$A,0)),"NOT FOUND")</f>
        <v/>
      </c>
      <c r="Q436" s="4">
        <f>IFERROR(INDEX('3_ref_date'!$E:$E,MATCH(L436,'3_ref_date'!$A:$A,0)),"NOT FOUND")</f>
        <v/>
      </c>
      <c r="R436" s="2">
        <f>IFERROR(INDEX('3_ref_date'!$F:$F,MATCH(L436,'3_ref_date'!$A:$A,0)),"NOT FOUND")</f>
        <v/>
      </c>
      <c r="S436" s="2">
        <f>IFERROR(INDEX('4_ref_time'!$D:$D,MATCH(ROUND(M436*1440,0),'4_ref_time'!$A:$A,0)),"NOT FOUND")</f>
        <v/>
      </c>
      <c r="T436" s="2">
        <f>UPPER(TRIM(C436))</f>
        <v/>
      </c>
      <c r="U436" s="30">
        <f>IF(_xlfn.MAXIFS('6_3nf_branch_history'!$B$2:$B$50,'6_3nf_branch_history'!$A$2:$A$50,T436,'6_3nf_branch_history'!$B$2:$B$50,"&lt;="&amp;L436)=0,"NOT FOUND",_xlfn.MAXIFS('6_3nf_branch_history'!$B$2:$B$50,'6_3nf_branch_history'!$A$2:$A$50,T436,'6_3nf_branch_history'!$B$2:$B$50,"&lt;="&amp;L436))</f>
        <v/>
      </c>
      <c r="V436" s="2">
        <f>IF(U436="NOT FOUND","NOT FOUND",INDEX('6_3nf_branch_history'!$C:$C,SUMPRODUCT(('6_3nf_branch_history'!$A$2:$A$50=T436)*('6_3nf_branch_history'!$B$2:$B$50=U436)*ROW('6_3nf_branch_history'!$A$2:$A$50))))</f>
        <v/>
      </c>
      <c r="W436" s="2">
        <f>IF(U436="NOT FOUND","NOT FOUND",INDEX('6_3nf_branch_history'!$D:$D,SUMPRODUCT(('6_3nf_branch_history'!$A$2:$A$50=T436)*('6_3nf_branch_history'!$B$2:$B$50=U436)*ROW('6_3nf_branch_history'!$A$2:$A$50))))</f>
        <v/>
      </c>
      <c r="X436" s="2">
        <f>IF(U436="NOT FOUND","NOT FOUND",INDEX('6_3nf_branch_history'!$E:$E,SUMPRODUCT(('6_3nf_branch_history'!$A$2:$A$50=T436)*('6_3nf_branch_history'!$B$2:$B$50=U436)*ROW('6_3nf_branch_history'!$A$2:$A$50))))</f>
        <v/>
      </c>
      <c r="Y436" s="2">
        <f>UPPER(TRIM(D436))</f>
        <v/>
      </c>
      <c r="Z436" s="2">
        <f>IFERROR(INDEX('7_3nf_product'!$B:$B,MATCH(Y436,'7_3nf_product'!$A:$A,0)),"NOT FOUND")</f>
        <v/>
      </c>
      <c r="AA436" s="2">
        <f>IFERROR(INDEX('7_3nf_product'!$C:$C,MATCH(Y436,'7_3nf_product'!$A:$A,0)),"NOT FOUND")</f>
        <v/>
      </c>
      <c r="AB436" s="2">
        <f>IFERROR(INDEX('7_3nf_product'!$D:$D,MATCH(Y436,'7_3nf_product'!$A:$A,0)),"NOT FOUND")</f>
        <v/>
      </c>
      <c r="AC436" s="6">
        <f>IFERROR(INDEX('7_3nf_product'!$E:$E,MATCH(Y436,'7_3nf_product'!$A:$A,0)),"NOT FOUND")</f>
        <v/>
      </c>
      <c r="AD436" s="33">
        <f>IF(LEN(TRIM(E436))=10,TRIM(E436),IF(LEN(TRIM(E436))=8,"00"&amp;TRIM(E436),"CHECK"))</f>
        <v/>
      </c>
      <c r="AE436" s="2">
        <f>IFERROR(INDEX('8_3nf_customer'!$C:$C,MATCH(AD436,'8_3nf_customer'!$B:$B,0)),"NOT FOUND")</f>
        <v/>
      </c>
      <c r="AF436" s="30">
        <f>IFERROR(INDEX('8_3nf_customer'!$D:$D,MATCH(AD436,'8_3nf_customer'!$B:$B,0)),"NOT FOUND")</f>
        <v/>
      </c>
      <c r="AG436" s="4">
        <f>IF(ISNUMBER(AF436),DATEDIF(AF436,L436,"y"),"NOT FOUND")</f>
        <v/>
      </c>
      <c r="AH436" s="2">
        <f>IFERROR(INDEX('8_3nf_customer'!$E:$E,MATCH(AD436,'8_3nf_customer'!$B:$B,0)),"NOT FOUND")</f>
        <v/>
      </c>
      <c r="AI436" s="30">
        <f>IF(_xlfn.MAXIFS('9_3nf_customer_history'!$B$2:$B$500,'9_3nf_customer_history'!$A$2:$A$500,AD436,'9_3nf_customer_history'!$B$2:$B$500,"&lt;="&amp;L436)=0,"NOT FOUND",_xlfn.MAXIFS('9_3nf_customer_history'!$B$2:$B$500,'9_3nf_customer_history'!$A$2:$A$500,AD436,'9_3nf_customer_history'!$B$2:$B$500,"&lt;="&amp;L436))</f>
        <v/>
      </c>
      <c r="AJ436" s="2">
        <f>IF(AI436="NOT FOUND","NOT FOUND",INDEX('9_3nf_customer_history'!$C:$C,SUMPRODUCT(('9_3nf_customer_history'!$A$2:$A$500=AD436)*('9_3nf_customer_history'!$B$2:$B$500=AI436)*ROW('9_3nf_customer_history'!$A$2:$A$500))))</f>
        <v/>
      </c>
      <c r="AK436" s="2">
        <f>IF(AI436="NOT FOUND","NOT FOUND",INDEX('9_3nf_customer_history'!$D:$D,SUMPRODUCT(('9_3nf_customer_history'!$A$2:$A$500=AD436)*('9_3nf_customer_history'!$B$2:$B$500=AI436)*ROW('9_3nf_customer_history'!$A$2:$A$500))))</f>
        <v/>
      </c>
      <c r="AL436" s="2">
        <f>UPPER(TRIM(H436))</f>
        <v/>
      </c>
      <c r="AM436" s="30">
        <f>IF(_xlfn.MAXIFS('10_ref_fx_rate'!$B$2:$B$2000,'10_ref_fx_rate'!$A$2:$A$2000,AL436,'10_ref_fx_rate'!$B$2:$B$2000,"&lt;="&amp;L436)=0,"NOT FOUND",_xlfn.MAXIFS('10_ref_fx_rate'!$B$2:$B$2000,'10_ref_fx_rate'!$A$2:$A$2000,AL436,'10_ref_fx_rate'!$B$2:$B$2000,"&lt;="&amp;L436))</f>
        <v/>
      </c>
      <c r="AN436" s="8">
        <f>IF(AM436="NOT FOUND","NOT FOUND",SUMIFS('10_ref_fx_rate'!$D$2:$D$2000,'10_ref_fx_rate'!$A$2:$A$2000,AL436,'10_ref_fx_rate'!$B$2:$B$2000,AM436))</f>
        <v/>
      </c>
      <c r="AO436" s="37">
        <f>IF(ISNUMBER(AN436),I436*AN436,"NOT FOUND")</f>
        <v/>
      </c>
      <c r="AP436" s="2">
        <f>UPPER(TRIM(J436))</f>
        <v/>
      </c>
      <c r="AQ436" s="2">
        <f>IF(AP436="","SELF-DIRECTED",IF(ISNUMBER(MATCH(AP436,'11_3nf_sales_person'!$A:$A,0)),IF(EXACT(AP436,J436),"OK","OK (auto-fixed)"),IF(ISNA(MATCH($A436,'12_sales_person_confirmation'!$A:$A,0)),"CONFIRM (not logged)",IF(INDEX('12_sales_person_confirmation'!$I:$I,MATCH($A436,'12_sales_person_confirmation'!$A:$A,0))="CONFIRMED","CONFIRMED ("&amp;LOWER(INDEX('12_sales_person_confirmation'!$E:$E,MATCH($A436,'12_sales_person_confirmation'!$A:$A,0)))&amp;")","PENDING CONFIRM"))))</f>
        <v/>
      </c>
      <c r="AR436" s="2">
        <f>IF(OR(AQ436="OK",AQ436="OK (auto-fixed)"),AP436,IF(LEFT(AQ436,9)="CONFIRMED",INDEX('12_sales_person_confirmation'!$F:$F,MATCH($A436,'12_sales_person_confirmation'!$A:$A,0)),""))</f>
        <v/>
      </c>
      <c r="AS436" s="2">
        <f>IF(AR436="","",INDEX('11_3nf_sales_person'!$B:$B,MATCH(AR436,'11_3nf_sales_person'!$A:$A,0)))</f>
        <v/>
      </c>
    </row>
    <row r="437">
      <c r="A437" s="2">
        <f>IF(ISBLANK('1_raw_log'!A437),"",'1_raw_log'!A437)</f>
        <v/>
      </c>
      <c r="B437" s="3">
        <f>IF(ISBLANK('1_raw_log'!B437),"",'1_raw_log'!B437)</f>
        <v/>
      </c>
      <c r="C437" s="2">
        <f>IF(ISBLANK('1_raw_log'!C437),"",'1_raw_log'!C437)</f>
        <v/>
      </c>
      <c r="D437" s="2">
        <f>IF(ISBLANK('1_raw_log'!D437),"",'1_raw_log'!D437)</f>
        <v/>
      </c>
      <c r="E437" s="4">
        <f>IF(ISBLANK('1_raw_log'!E437),"",'1_raw_log'!E437)</f>
        <v/>
      </c>
      <c r="F437" s="2">
        <f>IF(ISBLANK('1_raw_log'!F437),"",'1_raw_log'!F437)</f>
        <v/>
      </c>
      <c r="G437" s="2">
        <f>IF(ISBLANK('1_raw_log'!G437),"",'1_raw_log'!G437)</f>
        <v/>
      </c>
      <c r="H437" s="2">
        <f>IF(ISBLANK('1_raw_log'!H437),"",'1_raw_log'!H437)</f>
        <v/>
      </c>
      <c r="I437" s="7">
        <f>IF(ISBLANK('1_raw_log'!I437),"",'1_raw_log'!I437)</f>
        <v/>
      </c>
      <c r="J437" s="2">
        <f>IF(ISBLANK('1_raw_log'!J437),"",'1_raw_log'!J437)</f>
        <v/>
      </c>
      <c r="K437" s="2">
        <f>IF(ISBLANK('1_raw_log'!K437),"",'1_raw_log'!K437)</f>
        <v/>
      </c>
      <c r="L437" s="30">
        <f>INT(B437)</f>
        <v/>
      </c>
      <c r="M437" s="20">
        <f>ROUND(MOD(B437,1)*1440,0)/1440</f>
        <v/>
      </c>
      <c r="N437" s="4">
        <f>IFERROR(INDEX('3_ref_date'!$B:$B,MATCH(L437,'3_ref_date'!$A:$A,0)),"NOT FOUND")</f>
        <v/>
      </c>
      <c r="O437" s="2">
        <f>IFERROR(INDEX('3_ref_date'!$C:$C,MATCH(L437,'3_ref_date'!$A:$A,0)),"NOT FOUND")</f>
        <v/>
      </c>
      <c r="P437" s="4">
        <f>IFERROR(INDEX('3_ref_date'!$D:$D,MATCH(L437,'3_ref_date'!$A:$A,0)),"NOT FOUND")</f>
        <v/>
      </c>
      <c r="Q437" s="4">
        <f>IFERROR(INDEX('3_ref_date'!$E:$E,MATCH(L437,'3_ref_date'!$A:$A,0)),"NOT FOUND")</f>
        <v/>
      </c>
      <c r="R437" s="2">
        <f>IFERROR(INDEX('3_ref_date'!$F:$F,MATCH(L437,'3_ref_date'!$A:$A,0)),"NOT FOUND")</f>
        <v/>
      </c>
      <c r="S437" s="2">
        <f>IFERROR(INDEX('4_ref_time'!$D:$D,MATCH(ROUND(M437*1440,0),'4_ref_time'!$A:$A,0)),"NOT FOUND")</f>
        <v/>
      </c>
      <c r="T437" s="2">
        <f>UPPER(TRIM(C437))</f>
        <v/>
      </c>
      <c r="U437" s="30">
        <f>IF(_xlfn.MAXIFS('6_3nf_branch_history'!$B$2:$B$50,'6_3nf_branch_history'!$A$2:$A$50,T437,'6_3nf_branch_history'!$B$2:$B$50,"&lt;="&amp;L437)=0,"NOT FOUND",_xlfn.MAXIFS('6_3nf_branch_history'!$B$2:$B$50,'6_3nf_branch_history'!$A$2:$A$50,T437,'6_3nf_branch_history'!$B$2:$B$50,"&lt;="&amp;L437))</f>
        <v/>
      </c>
      <c r="V437" s="2">
        <f>IF(U437="NOT FOUND","NOT FOUND",INDEX('6_3nf_branch_history'!$C:$C,SUMPRODUCT(('6_3nf_branch_history'!$A$2:$A$50=T437)*('6_3nf_branch_history'!$B$2:$B$50=U437)*ROW('6_3nf_branch_history'!$A$2:$A$50))))</f>
        <v/>
      </c>
      <c r="W437" s="2">
        <f>IF(U437="NOT FOUND","NOT FOUND",INDEX('6_3nf_branch_history'!$D:$D,SUMPRODUCT(('6_3nf_branch_history'!$A$2:$A$50=T437)*('6_3nf_branch_history'!$B$2:$B$50=U437)*ROW('6_3nf_branch_history'!$A$2:$A$50))))</f>
        <v/>
      </c>
      <c r="X437" s="2">
        <f>IF(U437="NOT FOUND","NOT FOUND",INDEX('6_3nf_branch_history'!$E:$E,SUMPRODUCT(('6_3nf_branch_history'!$A$2:$A$50=T437)*('6_3nf_branch_history'!$B$2:$B$50=U437)*ROW('6_3nf_branch_history'!$A$2:$A$50))))</f>
        <v/>
      </c>
      <c r="Y437" s="2">
        <f>UPPER(TRIM(D437))</f>
        <v/>
      </c>
      <c r="Z437" s="2">
        <f>IFERROR(INDEX('7_3nf_product'!$B:$B,MATCH(Y437,'7_3nf_product'!$A:$A,0)),"NOT FOUND")</f>
        <v/>
      </c>
      <c r="AA437" s="2">
        <f>IFERROR(INDEX('7_3nf_product'!$C:$C,MATCH(Y437,'7_3nf_product'!$A:$A,0)),"NOT FOUND")</f>
        <v/>
      </c>
      <c r="AB437" s="2">
        <f>IFERROR(INDEX('7_3nf_product'!$D:$D,MATCH(Y437,'7_3nf_product'!$A:$A,0)),"NOT FOUND")</f>
        <v/>
      </c>
      <c r="AC437" s="6">
        <f>IFERROR(INDEX('7_3nf_product'!$E:$E,MATCH(Y437,'7_3nf_product'!$A:$A,0)),"NOT FOUND")</f>
        <v/>
      </c>
      <c r="AD437" s="33">
        <f>IF(LEN(TRIM(E437))=10,TRIM(E437),IF(LEN(TRIM(E437))=8,"00"&amp;TRIM(E437),"CHECK"))</f>
        <v/>
      </c>
      <c r="AE437" s="2">
        <f>IFERROR(INDEX('8_3nf_customer'!$C:$C,MATCH(AD437,'8_3nf_customer'!$B:$B,0)),"NOT FOUND")</f>
        <v/>
      </c>
      <c r="AF437" s="30">
        <f>IFERROR(INDEX('8_3nf_customer'!$D:$D,MATCH(AD437,'8_3nf_customer'!$B:$B,0)),"NOT FOUND")</f>
        <v/>
      </c>
      <c r="AG437" s="4">
        <f>IF(ISNUMBER(AF437),DATEDIF(AF437,L437,"y"),"NOT FOUND")</f>
        <v/>
      </c>
      <c r="AH437" s="2">
        <f>IFERROR(INDEX('8_3nf_customer'!$E:$E,MATCH(AD437,'8_3nf_customer'!$B:$B,0)),"NOT FOUND")</f>
        <v/>
      </c>
      <c r="AI437" s="30">
        <f>IF(_xlfn.MAXIFS('9_3nf_customer_history'!$B$2:$B$500,'9_3nf_customer_history'!$A$2:$A$500,AD437,'9_3nf_customer_history'!$B$2:$B$500,"&lt;="&amp;L437)=0,"NOT FOUND",_xlfn.MAXIFS('9_3nf_customer_history'!$B$2:$B$500,'9_3nf_customer_history'!$A$2:$A$500,AD437,'9_3nf_customer_history'!$B$2:$B$500,"&lt;="&amp;L437))</f>
        <v/>
      </c>
      <c r="AJ437" s="2">
        <f>IF(AI437="NOT FOUND","NOT FOUND",INDEX('9_3nf_customer_history'!$C:$C,SUMPRODUCT(('9_3nf_customer_history'!$A$2:$A$500=AD437)*('9_3nf_customer_history'!$B$2:$B$500=AI437)*ROW('9_3nf_customer_history'!$A$2:$A$500))))</f>
        <v/>
      </c>
      <c r="AK437" s="2">
        <f>IF(AI437="NOT FOUND","NOT FOUND",INDEX('9_3nf_customer_history'!$D:$D,SUMPRODUCT(('9_3nf_customer_history'!$A$2:$A$500=AD437)*('9_3nf_customer_history'!$B$2:$B$500=AI437)*ROW('9_3nf_customer_history'!$A$2:$A$500))))</f>
        <v/>
      </c>
      <c r="AL437" s="2">
        <f>UPPER(TRIM(H437))</f>
        <v/>
      </c>
      <c r="AM437" s="30">
        <f>IF(_xlfn.MAXIFS('10_ref_fx_rate'!$B$2:$B$2000,'10_ref_fx_rate'!$A$2:$A$2000,AL437,'10_ref_fx_rate'!$B$2:$B$2000,"&lt;="&amp;L437)=0,"NOT FOUND",_xlfn.MAXIFS('10_ref_fx_rate'!$B$2:$B$2000,'10_ref_fx_rate'!$A$2:$A$2000,AL437,'10_ref_fx_rate'!$B$2:$B$2000,"&lt;="&amp;L437))</f>
        <v/>
      </c>
      <c r="AN437" s="8">
        <f>IF(AM437="NOT FOUND","NOT FOUND",SUMIFS('10_ref_fx_rate'!$D$2:$D$2000,'10_ref_fx_rate'!$A$2:$A$2000,AL437,'10_ref_fx_rate'!$B$2:$B$2000,AM437))</f>
        <v/>
      </c>
      <c r="AO437" s="37">
        <f>IF(ISNUMBER(AN437),I437*AN437,"NOT FOUND")</f>
        <v/>
      </c>
      <c r="AP437" s="2">
        <f>UPPER(TRIM(J437))</f>
        <v/>
      </c>
      <c r="AQ437" s="2">
        <f>IF(AP437="","SELF-DIRECTED",IF(ISNUMBER(MATCH(AP437,'11_3nf_sales_person'!$A:$A,0)),IF(EXACT(AP437,J437),"OK","OK (auto-fixed)"),IF(ISNA(MATCH($A437,'12_sales_person_confirmation'!$A:$A,0)),"CONFIRM (not logged)",IF(INDEX('12_sales_person_confirmation'!$I:$I,MATCH($A437,'12_sales_person_confirmation'!$A:$A,0))="CONFIRMED","CONFIRMED ("&amp;LOWER(INDEX('12_sales_person_confirmation'!$E:$E,MATCH($A437,'12_sales_person_confirmation'!$A:$A,0)))&amp;")","PENDING CONFIRM"))))</f>
        <v/>
      </c>
      <c r="AR437" s="2">
        <f>IF(OR(AQ437="OK",AQ437="OK (auto-fixed)"),AP437,IF(LEFT(AQ437,9)="CONFIRMED",INDEX('12_sales_person_confirmation'!$F:$F,MATCH($A437,'12_sales_person_confirmation'!$A:$A,0)),""))</f>
        <v/>
      </c>
      <c r="AS437" s="2">
        <f>IF(AR437="","",INDEX('11_3nf_sales_person'!$B:$B,MATCH(AR437,'11_3nf_sales_person'!$A:$A,0)))</f>
        <v/>
      </c>
    </row>
    <row r="438">
      <c r="A438" s="2">
        <f>IF(ISBLANK('1_raw_log'!A438),"",'1_raw_log'!A438)</f>
        <v/>
      </c>
      <c r="B438" s="3">
        <f>IF(ISBLANK('1_raw_log'!B438),"",'1_raw_log'!B438)</f>
        <v/>
      </c>
      <c r="C438" s="2">
        <f>IF(ISBLANK('1_raw_log'!C438),"",'1_raw_log'!C438)</f>
        <v/>
      </c>
      <c r="D438" s="2">
        <f>IF(ISBLANK('1_raw_log'!D438),"",'1_raw_log'!D438)</f>
        <v/>
      </c>
      <c r="E438" s="4">
        <f>IF(ISBLANK('1_raw_log'!E438),"",'1_raw_log'!E438)</f>
        <v/>
      </c>
      <c r="F438" s="2">
        <f>IF(ISBLANK('1_raw_log'!F438),"",'1_raw_log'!F438)</f>
        <v/>
      </c>
      <c r="G438" s="2">
        <f>IF(ISBLANK('1_raw_log'!G438),"",'1_raw_log'!G438)</f>
        <v/>
      </c>
      <c r="H438" s="2">
        <f>IF(ISBLANK('1_raw_log'!H438),"",'1_raw_log'!H438)</f>
        <v/>
      </c>
      <c r="I438" s="7">
        <f>IF(ISBLANK('1_raw_log'!I438),"",'1_raw_log'!I438)</f>
        <v/>
      </c>
      <c r="J438" s="2">
        <f>IF(ISBLANK('1_raw_log'!J438),"",'1_raw_log'!J438)</f>
        <v/>
      </c>
      <c r="K438" s="2">
        <f>IF(ISBLANK('1_raw_log'!K438),"",'1_raw_log'!K438)</f>
        <v/>
      </c>
      <c r="L438" s="30">
        <f>INT(B438)</f>
        <v/>
      </c>
      <c r="M438" s="20">
        <f>ROUND(MOD(B438,1)*1440,0)/1440</f>
        <v/>
      </c>
      <c r="N438" s="4">
        <f>IFERROR(INDEX('3_ref_date'!$B:$B,MATCH(L438,'3_ref_date'!$A:$A,0)),"NOT FOUND")</f>
        <v/>
      </c>
      <c r="O438" s="2">
        <f>IFERROR(INDEX('3_ref_date'!$C:$C,MATCH(L438,'3_ref_date'!$A:$A,0)),"NOT FOUND")</f>
        <v/>
      </c>
      <c r="P438" s="4">
        <f>IFERROR(INDEX('3_ref_date'!$D:$D,MATCH(L438,'3_ref_date'!$A:$A,0)),"NOT FOUND")</f>
        <v/>
      </c>
      <c r="Q438" s="4">
        <f>IFERROR(INDEX('3_ref_date'!$E:$E,MATCH(L438,'3_ref_date'!$A:$A,0)),"NOT FOUND")</f>
        <v/>
      </c>
      <c r="R438" s="2">
        <f>IFERROR(INDEX('3_ref_date'!$F:$F,MATCH(L438,'3_ref_date'!$A:$A,0)),"NOT FOUND")</f>
        <v/>
      </c>
      <c r="S438" s="2">
        <f>IFERROR(INDEX('4_ref_time'!$D:$D,MATCH(ROUND(M438*1440,0),'4_ref_time'!$A:$A,0)),"NOT FOUND")</f>
        <v/>
      </c>
      <c r="T438" s="2">
        <f>UPPER(TRIM(C438))</f>
        <v/>
      </c>
      <c r="U438" s="30">
        <f>IF(_xlfn.MAXIFS('6_3nf_branch_history'!$B$2:$B$50,'6_3nf_branch_history'!$A$2:$A$50,T438,'6_3nf_branch_history'!$B$2:$B$50,"&lt;="&amp;L438)=0,"NOT FOUND",_xlfn.MAXIFS('6_3nf_branch_history'!$B$2:$B$50,'6_3nf_branch_history'!$A$2:$A$50,T438,'6_3nf_branch_history'!$B$2:$B$50,"&lt;="&amp;L438))</f>
        <v/>
      </c>
      <c r="V438" s="2">
        <f>IF(U438="NOT FOUND","NOT FOUND",INDEX('6_3nf_branch_history'!$C:$C,SUMPRODUCT(('6_3nf_branch_history'!$A$2:$A$50=T438)*('6_3nf_branch_history'!$B$2:$B$50=U438)*ROW('6_3nf_branch_history'!$A$2:$A$50))))</f>
        <v/>
      </c>
      <c r="W438" s="2">
        <f>IF(U438="NOT FOUND","NOT FOUND",INDEX('6_3nf_branch_history'!$D:$D,SUMPRODUCT(('6_3nf_branch_history'!$A$2:$A$50=T438)*('6_3nf_branch_history'!$B$2:$B$50=U438)*ROW('6_3nf_branch_history'!$A$2:$A$50))))</f>
        <v/>
      </c>
      <c r="X438" s="2">
        <f>IF(U438="NOT FOUND","NOT FOUND",INDEX('6_3nf_branch_history'!$E:$E,SUMPRODUCT(('6_3nf_branch_history'!$A$2:$A$50=T438)*('6_3nf_branch_history'!$B$2:$B$50=U438)*ROW('6_3nf_branch_history'!$A$2:$A$50))))</f>
        <v/>
      </c>
      <c r="Y438" s="2">
        <f>UPPER(TRIM(D438))</f>
        <v/>
      </c>
      <c r="Z438" s="2">
        <f>IFERROR(INDEX('7_3nf_product'!$B:$B,MATCH(Y438,'7_3nf_product'!$A:$A,0)),"NOT FOUND")</f>
        <v/>
      </c>
      <c r="AA438" s="2">
        <f>IFERROR(INDEX('7_3nf_product'!$C:$C,MATCH(Y438,'7_3nf_product'!$A:$A,0)),"NOT FOUND")</f>
        <v/>
      </c>
      <c r="AB438" s="2">
        <f>IFERROR(INDEX('7_3nf_product'!$D:$D,MATCH(Y438,'7_3nf_product'!$A:$A,0)),"NOT FOUND")</f>
        <v/>
      </c>
      <c r="AC438" s="6">
        <f>IFERROR(INDEX('7_3nf_product'!$E:$E,MATCH(Y438,'7_3nf_product'!$A:$A,0)),"NOT FOUND")</f>
        <v/>
      </c>
      <c r="AD438" s="33">
        <f>IF(LEN(TRIM(E438))=10,TRIM(E438),IF(LEN(TRIM(E438))=8,"00"&amp;TRIM(E438),"CHECK"))</f>
        <v/>
      </c>
      <c r="AE438" s="2">
        <f>IFERROR(INDEX('8_3nf_customer'!$C:$C,MATCH(AD438,'8_3nf_customer'!$B:$B,0)),"NOT FOUND")</f>
        <v/>
      </c>
      <c r="AF438" s="30">
        <f>IFERROR(INDEX('8_3nf_customer'!$D:$D,MATCH(AD438,'8_3nf_customer'!$B:$B,0)),"NOT FOUND")</f>
        <v/>
      </c>
      <c r="AG438" s="4">
        <f>IF(ISNUMBER(AF438),DATEDIF(AF438,L438,"y"),"NOT FOUND")</f>
        <v/>
      </c>
      <c r="AH438" s="2">
        <f>IFERROR(INDEX('8_3nf_customer'!$E:$E,MATCH(AD438,'8_3nf_customer'!$B:$B,0)),"NOT FOUND")</f>
        <v/>
      </c>
      <c r="AI438" s="30">
        <f>IF(_xlfn.MAXIFS('9_3nf_customer_history'!$B$2:$B$500,'9_3nf_customer_history'!$A$2:$A$500,AD438,'9_3nf_customer_history'!$B$2:$B$500,"&lt;="&amp;L438)=0,"NOT FOUND",_xlfn.MAXIFS('9_3nf_customer_history'!$B$2:$B$500,'9_3nf_customer_history'!$A$2:$A$500,AD438,'9_3nf_customer_history'!$B$2:$B$500,"&lt;="&amp;L438))</f>
        <v/>
      </c>
      <c r="AJ438" s="2">
        <f>IF(AI438="NOT FOUND","NOT FOUND",INDEX('9_3nf_customer_history'!$C:$C,SUMPRODUCT(('9_3nf_customer_history'!$A$2:$A$500=AD438)*('9_3nf_customer_history'!$B$2:$B$500=AI438)*ROW('9_3nf_customer_history'!$A$2:$A$500))))</f>
        <v/>
      </c>
      <c r="AK438" s="2">
        <f>IF(AI438="NOT FOUND","NOT FOUND",INDEX('9_3nf_customer_history'!$D:$D,SUMPRODUCT(('9_3nf_customer_history'!$A$2:$A$500=AD438)*('9_3nf_customer_history'!$B$2:$B$500=AI438)*ROW('9_3nf_customer_history'!$A$2:$A$500))))</f>
        <v/>
      </c>
      <c r="AL438" s="2">
        <f>UPPER(TRIM(H438))</f>
        <v/>
      </c>
      <c r="AM438" s="30">
        <f>IF(_xlfn.MAXIFS('10_ref_fx_rate'!$B$2:$B$2000,'10_ref_fx_rate'!$A$2:$A$2000,AL438,'10_ref_fx_rate'!$B$2:$B$2000,"&lt;="&amp;L438)=0,"NOT FOUND",_xlfn.MAXIFS('10_ref_fx_rate'!$B$2:$B$2000,'10_ref_fx_rate'!$A$2:$A$2000,AL438,'10_ref_fx_rate'!$B$2:$B$2000,"&lt;="&amp;L438))</f>
        <v/>
      </c>
      <c r="AN438" s="8">
        <f>IF(AM438="NOT FOUND","NOT FOUND",SUMIFS('10_ref_fx_rate'!$D$2:$D$2000,'10_ref_fx_rate'!$A$2:$A$2000,AL438,'10_ref_fx_rate'!$B$2:$B$2000,AM438))</f>
        <v/>
      </c>
      <c r="AO438" s="37">
        <f>IF(ISNUMBER(AN438),I438*AN438,"NOT FOUND")</f>
        <v/>
      </c>
      <c r="AP438" s="2">
        <f>UPPER(TRIM(J438))</f>
        <v/>
      </c>
      <c r="AQ438" s="2">
        <f>IF(AP438="","SELF-DIRECTED",IF(ISNUMBER(MATCH(AP438,'11_3nf_sales_person'!$A:$A,0)),IF(EXACT(AP438,J438),"OK","OK (auto-fixed)"),IF(ISNA(MATCH($A438,'12_sales_person_confirmation'!$A:$A,0)),"CONFIRM (not logged)",IF(INDEX('12_sales_person_confirmation'!$I:$I,MATCH($A438,'12_sales_person_confirmation'!$A:$A,0))="CONFIRMED","CONFIRMED ("&amp;LOWER(INDEX('12_sales_person_confirmation'!$E:$E,MATCH($A438,'12_sales_person_confirmation'!$A:$A,0)))&amp;")","PENDING CONFIRM"))))</f>
        <v/>
      </c>
      <c r="AR438" s="2">
        <f>IF(OR(AQ438="OK",AQ438="OK (auto-fixed)"),AP438,IF(LEFT(AQ438,9)="CONFIRMED",INDEX('12_sales_person_confirmation'!$F:$F,MATCH($A438,'12_sales_person_confirmation'!$A:$A,0)),""))</f>
        <v/>
      </c>
      <c r="AS438" s="2">
        <f>IF(AR438="","",INDEX('11_3nf_sales_person'!$B:$B,MATCH(AR438,'11_3nf_sales_person'!$A:$A,0)))</f>
        <v/>
      </c>
    </row>
    <row r="439">
      <c r="A439" s="2">
        <f>IF(ISBLANK('1_raw_log'!A439),"",'1_raw_log'!A439)</f>
        <v/>
      </c>
      <c r="B439" s="3">
        <f>IF(ISBLANK('1_raw_log'!B439),"",'1_raw_log'!B439)</f>
        <v/>
      </c>
      <c r="C439" s="2">
        <f>IF(ISBLANK('1_raw_log'!C439),"",'1_raw_log'!C439)</f>
        <v/>
      </c>
      <c r="D439" s="2">
        <f>IF(ISBLANK('1_raw_log'!D439),"",'1_raw_log'!D439)</f>
        <v/>
      </c>
      <c r="E439" s="4">
        <f>IF(ISBLANK('1_raw_log'!E439),"",'1_raw_log'!E439)</f>
        <v/>
      </c>
      <c r="F439" s="2">
        <f>IF(ISBLANK('1_raw_log'!F439),"",'1_raw_log'!F439)</f>
        <v/>
      </c>
      <c r="G439" s="2">
        <f>IF(ISBLANK('1_raw_log'!G439),"",'1_raw_log'!G439)</f>
        <v/>
      </c>
      <c r="H439" s="2">
        <f>IF(ISBLANK('1_raw_log'!H439),"",'1_raw_log'!H439)</f>
        <v/>
      </c>
      <c r="I439" s="7">
        <f>IF(ISBLANK('1_raw_log'!I439),"",'1_raw_log'!I439)</f>
        <v/>
      </c>
      <c r="J439" s="2">
        <f>IF(ISBLANK('1_raw_log'!J439),"",'1_raw_log'!J439)</f>
        <v/>
      </c>
      <c r="K439" s="2">
        <f>IF(ISBLANK('1_raw_log'!K439),"",'1_raw_log'!K439)</f>
        <v/>
      </c>
      <c r="L439" s="30">
        <f>INT(B439)</f>
        <v/>
      </c>
      <c r="M439" s="20">
        <f>ROUND(MOD(B439,1)*1440,0)/1440</f>
        <v/>
      </c>
      <c r="N439" s="4">
        <f>IFERROR(INDEX('3_ref_date'!$B:$B,MATCH(L439,'3_ref_date'!$A:$A,0)),"NOT FOUND")</f>
        <v/>
      </c>
      <c r="O439" s="2">
        <f>IFERROR(INDEX('3_ref_date'!$C:$C,MATCH(L439,'3_ref_date'!$A:$A,0)),"NOT FOUND")</f>
        <v/>
      </c>
      <c r="P439" s="4">
        <f>IFERROR(INDEX('3_ref_date'!$D:$D,MATCH(L439,'3_ref_date'!$A:$A,0)),"NOT FOUND")</f>
        <v/>
      </c>
      <c r="Q439" s="4">
        <f>IFERROR(INDEX('3_ref_date'!$E:$E,MATCH(L439,'3_ref_date'!$A:$A,0)),"NOT FOUND")</f>
        <v/>
      </c>
      <c r="R439" s="2">
        <f>IFERROR(INDEX('3_ref_date'!$F:$F,MATCH(L439,'3_ref_date'!$A:$A,0)),"NOT FOUND")</f>
        <v/>
      </c>
      <c r="S439" s="2">
        <f>IFERROR(INDEX('4_ref_time'!$D:$D,MATCH(ROUND(M439*1440,0),'4_ref_time'!$A:$A,0)),"NOT FOUND")</f>
        <v/>
      </c>
      <c r="T439" s="2">
        <f>UPPER(TRIM(C439))</f>
        <v/>
      </c>
      <c r="U439" s="30">
        <f>IF(_xlfn.MAXIFS('6_3nf_branch_history'!$B$2:$B$50,'6_3nf_branch_history'!$A$2:$A$50,T439,'6_3nf_branch_history'!$B$2:$B$50,"&lt;="&amp;L439)=0,"NOT FOUND",_xlfn.MAXIFS('6_3nf_branch_history'!$B$2:$B$50,'6_3nf_branch_history'!$A$2:$A$50,T439,'6_3nf_branch_history'!$B$2:$B$50,"&lt;="&amp;L439))</f>
        <v/>
      </c>
      <c r="V439" s="2">
        <f>IF(U439="NOT FOUND","NOT FOUND",INDEX('6_3nf_branch_history'!$C:$C,SUMPRODUCT(('6_3nf_branch_history'!$A$2:$A$50=T439)*('6_3nf_branch_history'!$B$2:$B$50=U439)*ROW('6_3nf_branch_history'!$A$2:$A$50))))</f>
        <v/>
      </c>
      <c r="W439" s="2">
        <f>IF(U439="NOT FOUND","NOT FOUND",INDEX('6_3nf_branch_history'!$D:$D,SUMPRODUCT(('6_3nf_branch_history'!$A$2:$A$50=T439)*('6_3nf_branch_history'!$B$2:$B$50=U439)*ROW('6_3nf_branch_history'!$A$2:$A$50))))</f>
        <v/>
      </c>
      <c r="X439" s="2">
        <f>IF(U439="NOT FOUND","NOT FOUND",INDEX('6_3nf_branch_history'!$E:$E,SUMPRODUCT(('6_3nf_branch_history'!$A$2:$A$50=T439)*('6_3nf_branch_history'!$B$2:$B$50=U439)*ROW('6_3nf_branch_history'!$A$2:$A$50))))</f>
        <v/>
      </c>
      <c r="Y439" s="2">
        <f>UPPER(TRIM(D439))</f>
        <v/>
      </c>
      <c r="Z439" s="2">
        <f>IFERROR(INDEX('7_3nf_product'!$B:$B,MATCH(Y439,'7_3nf_product'!$A:$A,0)),"NOT FOUND")</f>
        <v/>
      </c>
      <c r="AA439" s="2">
        <f>IFERROR(INDEX('7_3nf_product'!$C:$C,MATCH(Y439,'7_3nf_product'!$A:$A,0)),"NOT FOUND")</f>
        <v/>
      </c>
      <c r="AB439" s="2">
        <f>IFERROR(INDEX('7_3nf_product'!$D:$D,MATCH(Y439,'7_3nf_product'!$A:$A,0)),"NOT FOUND")</f>
        <v/>
      </c>
      <c r="AC439" s="6">
        <f>IFERROR(INDEX('7_3nf_product'!$E:$E,MATCH(Y439,'7_3nf_product'!$A:$A,0)),"NOT FOUND")</f>
        <v/>
      </c>
      <c r="AD439" s="33">
        <f>IF(LEN(TRIM(E439))=10,TRIM(E439),IF(LEN(TRIM(E439))=8,"00"&amp;TRIM(E439),"CHECK"))</f>
        <v/>
      </c>
      <c r="AE439" s="2">
        <f>IFERROR(INDEX('8_3nf_customer'!$C:$C,MATCH(AD439,'8_3nf_customer'!$B:$B,0)),"NOT FOUND")</f>
        <v/>
      </c>
      <c r="AF439" s="30">
        <f>IFERROR(INDEX('8_3nf_customer'!$D:$D,MATCH(AD439,'8_3nf_customer'!$B:$B,0)),"NOT FOUND")</f>
        <v/>
      </c>
      <c r="AG439" s="4">
        <f>IF(ISNUMBER(AF439),DATEDIF(AF439,L439,"y"),"NOT FOUND")</f>
        <v/>
      </c>
      <c r="AH439" s="2">
        <f>IFERROR(INDEX('8_3nf_customer'!$E:$E,MATCH(AD439,'8_3nf_customer'!$B:$B,0)),"NOT FOUND")</f>
        <v/>
      </c>
      <c r="AI439" s="30">
        <f>IF(_xlfn.MAXIFS('9_3nf_customer_history'!$B$2:$B$500,'9_3nf_customer_history'!$A$2:$A$500,AD439,'9_3nf_customer_history'!$B$2:$B$500,"&lt;="&amp;L439)=0,"NOT FOUND",_xlfn.MAXIFS('9_3nf_customer_history'!$B$2:$B$500,'9_3nf_customer_history'!$A$2:$A$500,AD439,'9_3nf_customer_history'!$B$2:$B$500,"&lt;="&amp;L439))</f>
        <v/>
      </c>
      <c r="AJ439" s="2">
        <f>IF(AI439="NOT FOUND","NOT FOUND",INDEX('9_3nf_customer_history'!$C:$C,SUMPRODUCT(('9_3nf_customer_history'!$A$2:$A$500=AD439)*('9_3nf_customer_history'!$B$2:$B$500=AI439)*ROW('9_3nf_customer_history'!$A$2:$A$500))))</f>
        <v/>
      </c>
      <c r="AK439" s="2">
        <f>IF(AI439="NOT FOUND","NOT FOUND",INDEX('9_3nf_customer_history'!$D:$D,SUMPRODUCT(('9_3nf_customer_history'!$A$2:$A$500=AD439)*('9_3nf_customer_history'!$B$2:$B$500=AI439)*ROW('9_3nf_customer_history'!$A$2:$A$500))))</f>
        <v/>
      </c>
      <c r="AL439" s="2">
        <f>UPPER(TRIM(H439))</f>
        <v/>
      </c>
      <c r="AM439" s="30">
        <f>IF(_xlfn.MAXIFS('10_ref_fx_rate'!$B$2:$B$2000,'10_ref_fx_rate'!$A$2:$A$2000,AL439,'10_ref_fx_rate'!$B$2:$B$2000,"&lt;="&amp;L439)=0,"NOT FOUND",_xlfn.MAXIFS('10_ref_fx_rate'!$B$2:$B$2000,'10_ref_fx_rate'!$A$2:$A$2000,AL439,'10_ref_fx_rate'!$B$2:$B$2000,"&lt;="&amp;L439))</f>
        <v/>
      </c>
      <c r="AN439" s="8">
        <f>IF(AM439="NOT FOUND","NOT FOUND",SUMIFS('10_ref_fx_rate'!$D$2:$D$2000,'10_ref_fx_rate'!$A$2:$A$2000,AL439,'10_ref_fx_rate'!$B$2:$B$2000,AM439))</f>
        <v/>
      </c>
      <c r="AO439" s="37">
        <f>IF(ISNUMBER(AN439),I439*AN439,"NOT FOUND")</f>
        <v/>
      </c>
      <c r="AP439" s="2">
        <f>UPPER(TRIM(J439))</f>
        <v/>
      </c>
      <c r="AQ439" s="2">
        <f>IF(AP439="","SELF-DIRECTED",IF(ISNUMBER(MATCH(AP439,'11_3nf_sales_person'!$A:$A,0)),IF(EXACT(AP439,J439),"OK","OK (auto-fixed)"),IF(ISNA(MATCH($A439,'12_sales_person_confirmation'!$A:$A,0)),"CONFIRM (not logged)",IF(INDEX('12_sales_person_confirmation'!$I:$I,MATCH($A439,'12_sales_person_confirmation'!$A:$A,0))="CONFIRMED","CONFIRMED ("&amp;LOWER(INDEX('12_sales_person_confirmation'!$E:$E,MATCH($A439,'12_sales_person_confirmation'!$A:$A,0)))&amp;")","PENDING CONFIRM"))))</f>
        <v/>
      </c>
      <c r="AR439" s="2">
        <f>IF(OR(AQ439="OK",AQ439="OK (auto-fixed)"),AP439,IF(LEFT(AQ439,9)="CONFIRMED",INDEX('12_sales_person_confirmation'!$F:$F,MATCH($A439,'12_sales_person_confirmation'!$A:$A,0)),""))</f>
        <v/>
      </c>
      <c r="AS439" s="2">
        <f>IF(AR439="","",INDEX('11_3nf_sales_person'!$B:$B,MATCH(AR439,'11_3nf_sales_person'!$A:$A,0)))</f>
        <v/>
      </c>
    </row>
    <row r="440">
      <c r="A440" s="2">
        <f>IF(ISBLANK('1_raw_log'!A440),"",'1_raw_log'!A440)</f>
        <v/>
      </c>
      <c r="B440" s="3">
        <f>IF(ISBLANK('1_raw_log'!B440),"",'1_raw_log'!B440)</f>
        <v/>
      </c>
      <c r="C440" s="2">
        <f>IF(ISBLANK('1_raw_log'!C440),"",'1_raw_log'!C440)</f>
        <v/>
      </c>
      <c r="D440" s="2">
        <f>IF(ISBLANK('1_raw_log'!D440),"",'1_raw_log'!D440)</f>
        <v/>
      </c>
      <c r="E440" s="4">
        <f>IF(ISBLANK('1_raw_log'!E440),"",'1_raw_log'!E440)</f>
        <v/>
      </c>
      <c r="F440" s="2">
        <f>IF(ISBLANK('1_raw_log'!F440),"",'1_raw_log'!F440)</f>
        <v/>
      </c>
      <c r="G440" s="2">
        <f>IF(ISBLANK('1_raw_log'!G440),"",'1_raw_log'!G440)</f>
        <v/>
      </c>
      <c r="H440" s="2">
        <f>IF(ISBLANK('1_raw_log'!H440),"",'1_raw_log'!H440)</f>
        <v/>
      </c>
      <c r="I440" s="7">
        <f>IF(ISBLANK('1_raw_log'!I440),"",'1_raw_log'!I440)</f>
        <v/>
      </c>
      <c r="J440" s="2">
        <f>IF(ISBLANK('1_raw_log'!J440),"",'1_raw_log'!J440)</f>
        <v/>
      </c>
      <c r="K440" s="2">
        <f>IF(ISBLANK('1_raw_log'!K440),"",'1_raw_log'!K440)</f>
        <v/>
      </c>
      <c r="L440" s="30">
        <f>INT(B440)</f>
        <v/>
      </c>
      <c r="M440" s="20">
        <f>ROUND(MOD(B440,1)*1440,0)/1440</f>
        <v/>
      </c>
      <c r="N440" s="4">
        <f>IFERROR(INDEX('3_ref_date'!$B:$B,MATCH(L440,'3_ref_date'!$A:$A,0)),"NOT FOUND")</f>
        <v/>
      </c>
      <c r="O440" s="2">
        <f>IFERROR(INDEX('3_ref_date'!$C:$C,MATCH(L440,'3_ref_date'!$A:$A,0)),"NOT FOUND")</f>
        <v/>
      </c>
      <c r="P440" s="4">
        <f>IFERROR(INDEX('3_ref_date'!$D:$D,MATCH(L440,'3_ref_date'!$A:$A,0)),"NOT FOUND")</f>
        <v/>
      </c>
      <c r="Q440" s="4">
        <f>IFERROR(INDEX('3_ref_date'!$E:$E,MATCH(L440,'3_ref_date'!$A:$A,0)),"NOT FOUND")</f>
        <v/>
      </c>
      <c r="R440" s="2">
        <f>IFERROR(INDEX('3_ref_date'!$F:$F,MATCH(L440,'3_ref_date'!$A:$A,0)),"NOT FOUND")</f>
        <v/>
      </c>
      <c r="S440" s="2">
        <f>IFERROR(INDEX('4_ref_time'!$D:$D,MATCH(ROUND(M440*1440,0),'4_ref_time'!$A:$A,0)),"NOT FOUND")</f>
        <v/>
      </c>
      <c r="T440" s="2">
        <f>UPPER(TRIM(C440))</f>
        <v/>
      </c>
      <c r="U440" s="30">
        <f>IF(_xlfn.MAXIFS('6_3nf_branch_history'!$B$2:$B$50,'6_3nf_branch_history'!$A$2:$A$50,T440,'6_3nf_branch_history'!$B$2:$B$50,"&lt;="&amp;L440)=0,"NOT FOUND",_xlfn.MAXIFS('6_3nf_branch_history'!$B$2:$B$50,'6_3nf_branch_history'!$A$2:$A$50,T440,'6_3nf_branch_history'!$B$2:$B$50,"&lt;="&amp;L440))</f>
        <v/>
      </c>
      <c r="V440" s="2">
        <f>IF(U440="NOT FOUND","NOT FOUND",INDEX('6_3nf_branch_history'!$C:$C,SUMPRODUCT(('6_3nf_branch_history'!$A$2:$A$50=T440)*('6_3nf_branch_history'!$B$2:$B$50=U440)*ROW('6_3nf_branch_history'!$A$2:$A$50))))</f>
        <v/>
      </c>
      <c r="W440" s="2">
        <f>IF(U440="NOT FOUND","NOT FOUND",INDEX('6_3nf_branch_history'!$D:$D,SUMPRODUCT(('6_3nf_branch_history'!$A$2:$A$50=T440)*('6_3nf_branch_history'!$B$2:$B$50=U440)*ROW('6_3nf_branch_history'!$A$2:$A$50))))</f>
        <v/>
      </c>
      <c r="X440" s="2">
        <f>IF(U440="NOT FOUND","NOT FOUND",INDEX('6_3nf_branch_history'!$E:$E,SUMPRODUCT(('6_3nf_branch_history'!$A$2:$A$50=T440)*('6_3nf_branch_history'!$B$2:$B$50=U440)*ROW('6_3nf_branch_history'!$A$2:$A$50))))</f>
        <v/>
      </c>
      <c r="Y440" s="2">
        <f>UPPER(TRIM(D440))</f>
        <v/>
      </c>
      <c r="Z440" s="2">
        <f>IFERROR(INDEX('7_3nf_product'!$B:$B,MATCH(Y440,'7_3nf_product'!$A:$A,0)),"NOT FOUND")</f>
        <v/>
      </c>
      <c r="AA440" s="2">
        <f>IFERROR(INDEX('7_3nf_product'!$C:$C,MATCH(Y440,'7_3nf_product'!$A:$A,0)),"NOT FOUND")</f>
        <v/>
      </c>
      <c r="AB440" s="2">
        <f>IFERROR(INDEX('7_3nf_product'!$D:$D,MATCH(Y440,'7_3nf_product'!$A:$A,0)),"NOT FOUND")</f>
        <v/>
      </c>
      <c r="AC440" s="6">
        <f>IFERROR(INDEX('7_3nf_product'!$E:$E,MATCH(Y440,'7_3nf_product'!$A:$A,0)),"NOT FOUND")</f>
        <v/>
      </c>
      <c r="AD440" s="33">
        <f>IF(LEN(TRIM(E440))=10,TRIM(E440),IF(LEN(TRIM(E440))=8,"00"&amp;TRIM(E440),"CHECK"))</f>
        <v/>
      </c>
      <c r="AE440" s="2">
        <f>IFERROR(INDEX('8_3nf_customer'!$C:$C,MATCH(AD440,'8_3nf_customer'!$B:$B,0)),"NOT FOUND")</f>
        <v/>
      </c>
      <c r="AF440" s="30">
        <f>IFERROR(INDEX('8_3nf_customer'!$D:$D,MATCH(AD440,'8_3nf_customer'!$B:$B,0)),"NOT FOUND")</f>
        <v/>
      </c>
      <c r="AG440" s="4">
        <f>IF(ISNUMBER(AF440),DATEDIF(AF440,L440,"y"),"NOT FOUND")</f>
        <v/>
      </c>
      <c r="AH440" s="2">
        <f>IFERROR(INDEX('8_3nf_customer'!$E:$E,MATCH(AD440,'8_3nf_customer'!$B:$B,0)),"NOT FOUND")</f>
        <v/>
      </c>
      <c r="AI440" s="30">
        <f>IF(_xlfn.MAXIFS('9_3nf_customer_history'!$B$2:$B$500,'9_3nf_customer_history'!$A$2:$A$500,AD440,'9_3nf_customer_history'!$B$2:$B$500,"&lt;="&amp;L440)=0,"NOT FOUND",_xlfn.MAXIFS('9_3nf_customer_history'!$B$2:$B$500,'9_3nf_customer_history'!$A$2:$A$500,AD440,'9_3nf_customer_history'!$B$2:$B$500,"&lt;="&amp;L440))</f>
        <v/>
      </c>
      <c r="AJ440" s="2">
        <f>IF(AI440="NOT FOUND","NOT FOUND",INDEX('9_3nf_customer_history'!$C:$C,SUMPRODUCT(('9_3nf_customer_history'!$A$2:$A$500=AD440)*('9_3nf_customer_history'!$B$2:$B$500=AI440)*ROW('9_3nf_customer_history'!$A$2:$A$500))))</f>
        <v/>
      </c>
      <c r="AK440" s="2">
        <f>IF(AI440="NOT FOUND","NOT FOUND",INDEX('9_3nf_customer_history'!$D:$D,SUMPRODUCT(('9_3nf_customer_history'!$A$2:$A$500=AD440)*('9_3nf_customer_history'!$B$2:$B$500=AI440)*ROW('9_3nf_customer_history'!$A$2:$A$500))))</f>
        <v/>
      </c>
      <c r="AL440" s="2">
        <f>UPPER(TRIM(H440))</f>
        <v/>
      </c>
      <c r="AM440" s="30">
        <f>IF(_xlfn.MAXIFS('10_ref_fx_rate'!$B$2:$B$2000,'10_ref_fx_rate'!$A$2:$A$2000,AL440,'10_ref_fx_rate'!$B$2:$B$2000,"&lt;="&amp;L440)=0,"NOT FOUND",_xlfn.MAXIFS('10_ref_fx_rate'!$B$2:$B$2000,'10_ref_fx_rate'!$A$2:$A$2000,AL440,'10_ref_fx_rate'!$B$2:$B$2000,"&lt;="&amp;L440))</f>
        <v/>
      </c>
      <c r="AN440" s="8">
        <f>IF(AM440="NOT FOUND","NOT FOUND",SUMIFS('10_ref_fx_rate'!$D$2:$D$2000,'10_ref_fx_rate'!$A$2:$A$2000,AL440,'10_ref_fx_rate'!$B$2:$B$2000,AM440))</f>
        <v/>
      </c>
      <c r="AO440" s="37">
        <f>IF(ISNUMBER(AN440),I440*AN440,"NOT FOUND")</f>
        <v/>
      </c>
      <c r="AP440" s="2">
        <f>UPPER(TRIM(J440))</f>
        <v/>
      </c>
      <c r="AQ440" s="2">
        <f>IF(AP440="","SELF-DIRECTED",IF(ISNUMBER(MATCH(AP440,'11_3nf_sales_person'!$A:$A,0)),IF(EXACT(AP440,J440),"OK","OK (auto-fixed)"),IF(ISNA(MATCH($A440,'12_sales_person_confirmation'!$A:$A,0)),"CONFIRM (not logged)",IF(INDEX('12_sales_person_confirmation'!$I:$I,MATCH($A440,'12_sales_person_confirmation'!$A:$A,0))="CONFIRMED","CONFIRMED ("&amp;LOWER(INDEX('12_sales_person_confirmation'!$E:$E,MATCH($A440,'12_sales_person_confirmation'!$A:$A,0)))&amp;")","PENDING CONFIRM"))))</f>
        <v/>
      </c>
      <c r="AR440" s="2">
        <f>IF(OR(AQ440="OK",AQ440="OK (auto-fixed)"),AP440,IF(LEFT(AQ440,9)="CONFIRMED",INDEX('12_sales_person_confirmation'!$F:$F,MATCH($A440,'12_sales_person_confirmation'!$A:$A,0)),""))</f>
        <v/>
      </c>
      <c r="AS440" s="2">
        <f>IF(AR440="","",INDEX('11_3nf_sales_person'!$B:$B,MATCH(AR440,'11_3nf_sales_person'!$A:$A,0)))</f>
        <v/>
      </c>
    </row>
    <row r="441">
      <c r="A441" s="2">
        <f>IF(ISBLANK('1_raw_log'!A441),"",'1_raw_log'!A441)</f>
        <v/>
      </c>
      <c r="B441" s="3">
        <f>IF(ISBLANK('1_raw_log'!B441),"",'1_raw_log'!B441)</f>
        <v/>
      </c>
      <c r="C441" s="2">
        <f>IF(ISBLANK('1_raw_log'!C441),"",'1_raw_log'!C441)</f>
        <v/>
      </c>
      <c r="D441" s="2">
        <f>IF(ISBLANK('1_raw_log'!D441),"",'1_raw_log'!D441)</f>
        <v/>
      </c>
      <c r="E441" s="4">
        <f>IF(ISBLANK('1_raw_log'!E441),"",'1_raw_log'!E441)</f>
        <v/>
      </c>
      <c r="F441" s="2">
        <f>IF(ISBLANK('1_raw_log'!F441),"",'1_raw_log'!F441)</f>
        <v/>
      </c>
      <c r="G441" s="2">
        <f>IF(ISBLANK('1_raw_log'!G441),"",'1_raw_log'!G441)</f>
        <v/>
      </c>
      <c r="H441" s="2">
        <f>IF(ISBLANK('1_raw_log'!H441),"",'1_raw_log'!H441)</f>
        <v/>
      </c>
      <c r="I441" s="7">
        <f>IF(ISBLANK('1_raw_log'!I441),"",'1_raw_log'!I441)</f>
        <v/>
      </c>
      <c r="J441" s="2">
        <f>IF(ISBLANK('1_raw_log'!J441),"",'1_raw_log'!J441)</f>
        <v/>
      </c>
      <c r="K441" s="2">
        <f>IF(ISBLANK('1_raw_log'!K441),"",'1_raw_log'!K441)</f>
        <v/>
      </c>
      <c r="L441" s="30">
        <f>INT(B441)</f>
        <v/>
      </c>
      <c r="M441" s="20">
        <f>ROUND(MOD(B441,1)*1440,0)/1440</f>
        <v/>
      </c>
      <c r="N441" s="4">
        <f>IFERROR(INDEX('3_ref_date'!$B:$B,MATCH(L441,'3_ref_date'!$A:$A,0)),"NOT FOUND")</f>
        <v/>
      </c>
      <c r="O441" s="2">
        <f>IFERROR(INDEX('3_ref_date'!$C:$C,MATCH(L441,'3_ref_date'!$A:$A,0)),"NOT FOUND")</f>
        <v/>
      </c>
      <c r="P441" s="4">
        <f>IFERROR(INDEX('3_ref_date'!$D:$D,MATCH(L441,'3_ref_date'!$A:$A,0)),"NOT FOUND")</f>
        <v/>
      </c>
      <c r="Q441" s="4">
        <f>IFERROR(INDEX('3_ref_date'!$E:$E,MATCH(L441,'3_ref_date'!$A:$A,0)),"NOT FOUND")</f>
        <v/>
      </c>
      <c r="R441" s="2">
        <f>IFERROR(INDEX('3_ref_date'!$F:$F,MATCH(L441,'3_ref_date'!$A:$A,0)),"NOT FOUND")</f>
        <v/>
      </c>
      <c r="S441" s="2">
        <f>IFERROR(INDEX('4_ref_time'!$D:$D,MATCH(ROUND(M441*1440,0),'4_ref_time'!$A:$A,0)),"NOT FOUND")</f>
        <v/>
      </c>
      <c r="T441" s="2">
        <f>UPPER(TRIM(C441))</f>
        <v/>
      </c>
      <c r="U441" s="30">
        <f>IF(_xlfn.MAXIFS('6_3nf_branch_history'!$B$2:$B$50,'6_3nf_branch_history'!$A$2:$A$50,T441,'6_3nf_branch_history'!$B$2:$B$50,"&lt;="&amp;L441)=0,"NOT FOUND",_xlfn.MAXIFS('6_3nf_branch_history'!$B$2:$B$50,'6_3nf_branch_history'!$A$2:$A$50,T441,'6_3nf_branch_history'!$B$2:$B$50,"&lt;="&amp;L441))</f>
        <v/>
      </c>
      <c r="V441" s="2">
        <f>IF(U441="NOT FOUND","NOT FOUND",INDEX('6_3nf_branch_history'!$C:$C,SUMPRODUCT(('6_3nf_branch_history'!$A$2:$A$50=T441)*('6_3nf_branch_history'!$B$2:$B$50=U441)*ROW('6_3nf_branch_history'!$A$2:$A$50))))</f>
        <v/>
      </c>
      <c r="W441" s="2">
        <f>IF(U441="NOT FOUND","NOT FOUND",INDEX('6_3nf_branch_history'!$D:$D,SUMPRODUCT(('6_3nf_branch_history'!$A$2:$A$50=T441)*('6_3nf_branch_history'!$B$2:$B$50=U441)*ROW('6_3nf_branch_history'!$A$2:$A$50))))</f>
        <v/>
      </c>
      <c r="X441" s="2">
        <f>IF(U441="NOT FOUND","NOT FOUND",INDEX('6_3nf_branch_history'!$E:$E,SUMPRODUCT(('6_3nf_branch_history'!$A$2:$A$50=T441)*('6_3nf_branch_history'!$B$2:$B$50=U441)*ROW('6_3nf_branch_history'!$A$2:$A$50))))</f>
        <v/>
      </c>
      <c r="Y441" s="2">
        <f>UPPER(TRIM(D441))</f>
        <v/>
      </c>
      <c r="Z441" s="2">
        <f>IFERROR(INDEX('7_3nf_product'!$B:$B,MATCH(Y441,'7_3nf_product'!$A:$A,0)),"NOT FOUND")</f>
        <v/>
      </c>
      <c r="AA441" s="2">
        <f>IFERROR(INDEX('7_3nf_product'!$C:$C,MATCH(Y441,'7_3nf_product'!$A:$A,0)),"NOT FOUND")</f>
        <v/>
      </c>
      <c r="AB441" s="2">
        <f>IFERROR(INDEX('7_3nf_product'!$D:$D,MATCH(Y441,'7_3nf_product'!$A:$A,0)),"NOT FOUND")</f>
        <v/>
      </c>
      <c r="AC441" s="6">
        <f>IFERROR(INDEX('7_3nf_product'!$E:$E,MATCH(Y441,'7_3nf_product'!$A:$A,0)),"NOT FOUND")</f>
        <v/>
      </c>
      <c r="AD441" s="33">
        <f>IF(LEN(TRIM(E441))=10,TRIM(E441),IF(LEN(TRIM(E441))=8,"00"&amp;TRIM(E441),"CHECK"))</f>
        <v/>
      </c>
      <c r="AE441" s="2">
        <f>IFERROR(INDEX('8_3nf_customer'!$C:$C,MATCH(AD441,'8_3nf_customer'!$B:$B,0)),"NOT FOUND")</f>
        <v/>
      </c>
      <c r="AF441" s="30">
        <f>IFERROR(INDEX('8_3nf_customer'!$D:$D,MATCH(AD441,'8_3nf_customer'!$B:$B,0)),"NOT FOUND")</f>
        <v/>
      </c>
      <c r="AG441" s="4">
        <f>IF(ISNUMBER(AF441),DATEDIF(AF441,L441,"y"),"NOT FOUND")</f>
        <v/>
      </c>
      <c r="AH441" s="2">
        <f>IFERROR(INDEX('8_3nf_customer'!$E:$E,MATCH(AD441,'8_3nf_customer'!$B:$B,0)),"NOT FOUND")</f>
        <v/>
      </c>
      <c r="AI441" s="30">
        <f>IF(_xlfn.MAXIFS('9_3nf_customer_history'!$B$2:$B$500,'9_3nf_customer_history'!$A$2:$A$500,AD441,'9_3nf_customer_history'!$B$2:$B$500,"&lt;="&amp;L441)=0,"NOT FOUND",_xlfn.MAXIFS('9_3nf_customer_history'!$B$2:$B$500,'9_3nf_customer_history'!$A$2:$A$500,AD441,'9_3nf_customer_history'!$B$2:$B$500,"&lt;="&amp;L441))</f>
        <v/>
      </c>
      <c r="AJ441" s="2">
        <f>IF(AI441="NOT FOUND","NOT FOUND",INDEX('9_3nf_customer_history'!$C:$C,SUMPRODUCT(('9_3nf_customer_history'!$A$2:$A$500=AD441)*('9_3nf_customer_history'!$B$2:$B$500=AI441)*ROW('9_3nf_customer_history'!$A$2:$A$500))))</f>
        <v/>
      </c>
      <c r="AK441" s="2">
        <f>IF(AI441="NOT FOUND","NOT FOUND",INDEX('9_3nf_customer_history'!$D:$D,SUMPRODUCT(('9_3nf_customer_history'!$A$2:$A$500=AD441)*('9_3nf_customer_history'!$B$2:$B$500=AI441)*ROW('9_3nf_customer_history'!$A$2:$A$500))))</f>
        <v/>
      </c>
      <c r="AL441" s="2">
        <f>UPPER(TRIM(H441))</f>
        <v/>
      </c>
      <c r="AM441" s="30">
        <f>IF(_xlfn.MAXIFS('10_ref_fx_rate'!$B$2:$B$2000,'10_ref_fx_rate'!$A$2:$A$2000,AL441,'10_ref_fx_rate'!$B$2:$B$2000,"&lt;="&amp;L441)=0,"NOT FOUND",_xlfn.MAXIFS('10_ref_fx_rate'!$B$2:$B$2000,'10_ref_fx_rate'!$A$2:$A$2000,AL441,'10_ref_fx_rate'!$B$2:$B$2000,"&lt;="&amp;L441))</f>
        <v/>
      </c>
      <c r="AN441" s="8">
        <f>IF(AM441="NOT FOUND","NOT FOUND",SUMIFS('10_ref_fx_rate'!$D$2:$D$2000,'10_ref_fx_rate'!$A$2:$A$2000,AL441,'10_ref_fx_rate'!$B$2:$B$2000,AM441))</f>
        <v/>
      </c>
      <c r="AO441" s="37">
        <f>IF(ISNUMBER(AN441),I441*AN441,"NOT FOUND")</f>
        <v/>
      </c>
      <c r="AP441" s="2">
        <f>UPPER(TRIM(J441))</f>
        <v/>
      </c>
      <c r="AQ441" s="2">
        <f>IF(AP441="","SELF-DIRECTED",IF(ISNUMBER(MATCH(AP441,'11_3nf_sales_person'!$A:$A,0)),IF(EXACT(AP441,J441),"OK","OK (auto-fixed)"),IF(ISNA(MATCH($A441,'12_sales_person_confirmation'!$A:$A,0)),"CONFIRM (not logged)",IF(INDEX('12_sales_person_confirmation'!$I:$I,MATCH($A441,'12_sales_person_confirmation'!$A:$A,0))="CONFIRMED","CONFIRMED ("&amp;LOWER(INDEX('12_sales_person_confirmation'!$E:$E,MATCH($A441,'12_sales_person_confirmation'!$A:$A,0)))&amp;")","PENDING CONFIRM"))))</f>
        <v/>
      </c>
      <c r="AR441" s="2">
        <f>IF(OR(AQ441="OK",AQ441="OK (auto-fixed)"),AP441,IF(LEFT(AQ441,9)="CONFIRMED",INDEX('12_sales_person_confirmation'!$F:$F,MATCH($A441,'12_sales_person_confirmation'!$A:$A,0)),""))</f>
        <v/>
      </c>
      <c r="AS441" s="2">
        <f>IF(AR441="","",INDEX('11_3nf_sales_person'!$B:$B,MATCH(AR441,'11_3nf_sales_person'!$A:$A,0)))</f>
        <v/>
      </c>
    </row>
    <row r="442">
      <c r="A442" s="2">
        <f>IF(ISBLANK('1_raw_log'!A442),"",'1_raw_log'!A442)</f>
        <v/>
      </c>
      <c r="B442" s="3">
        <f>IF(ISBLANK('1_raw_log'!B442),"",'1_raw_log'!B442)</f>
        <v/>
      </c>
      <c r="C442" s="2">
        <f>IF(ISBLANK('1_raw_log'!C442),"",'1_raw_log'!C442)</f>
        <v/>
      </c>
      <c r="D442" s="2">
        <f>IF(ISBLANK('1_raw_log'!D442),"",'1_raw_log'!D442)</f>
        <v/>
      </c>
      <c r="E442" s="4">
        <f>IF(ISBLANK('1_raw_log'!E442),"",'1_raw_log'!E442)</f>
        <v/>
      </c>
      <c r="F442" s="2">
        <f>IF(ISBLANK('1_raw_log'!F442),"",'1_raw_log'!F442)</f>
        <v/>
      </c>
      <c r="G442" s="2">
        <f>IF(ISBLANK('1_raw_log'!G442),"",'1_raw_log'!G442)</f>
        <v/>
      </c>
      <c r="H442" s="2">
        <f>IF(ISBLANK('1_raw_log'!H442),"",'1_raw_log'!H442)</f>
        <v/>
      </c>
      <c r="I442" s="7">
        <f>IF(ISBLANK('1_raw_log'!I442),"",'1_raw_log'!I442)</f>
        <v/>
      </c>
      <c r="J442" s="2">
        <f>IF(ISBLANK('1_raw_log'!J442),"",'1_raw_log'!J442)</f>
        <v/>
      </c>
      <c r="K442" s="2">
        <f>IF(ISBLANK('1_raw_log'!K442),"",'1_raw_log'!K442)</f>
        <v/>
      </c>
      <c r="L442" s="30">
        <f>INT(B442)</f>
        <v/>
      </c>
      <c r="M442" s="20">
        <f>ROUND(MOD(B442,1)*1440,0)/1440</f>
        <v/>
      </c>
      <c r="N442" s="4">
        <f>IFERROR(INDEX('3_ref_date'!$B:$B,MATCH(L442,'3_ref_date'!$A:$A,0)),"NOT FOUND")</f>
        <v/>
      </c>
      <c r="O442" s="2">
        <f>IFERROR(INDEX('3_ref_date'!$C:$C,MATCH(L442,'3_ref_date'!$A:$A,0)),"NOT FOUND")</f>
        <v/>
      </c>
      <c r="P442" s="4">
        <f>IFERROR(INDEX('3_ref_date'!$D:$D,MATCH(L442,'3_ref_date'!$A:$A,0)),"NOT FOUND")</f>
        <v/>
      </c>
      <c r="Q442" s="4">
        <f>IFERROR(INDEX('3_ref_date'!$E:$E,MATCH(L442,'3_ref_date'!$A:$A,0)),"NOT FOUND")</f>
        <v/>
      </c>
      <c r="R442" s="2">
        <f>IFERROR(INDEX('3_ref_date'!$F:$F,MATCH(L442,'3_ref_date'!$A:$A,0)),"NOT FOUND")</f>
        <v/>
      </c>
      <c r="S442" s="2">
        <f>IFERROR(INDEX('4_ref_time'!$D:$D,MATCH(ROUND(M442*1440,0),'4_ref_time'!$A:$A,0)),"NOT FOUND")</f>
        <v/>
      </c>
      <c r="T442" s="2">
        <f>UPPER(TRIM(C442))</f>
        <v/>
      </c>
      <c r="U442" s="30">
        <f>IF(_xlfn.MAXIFS('6_3nf_branch_history'!$B$2:$B$50,'6_3nf_branch_history'!$A$2:$A$50,T442,'6_3nf_branch_history'!$B$2:$B$50,"&lt;="&amp;L442)=0,"NOT FOUND",_xlfn.MAXIFS('6_3nf_branch_history'!$B$2:$B$50,'6_3nf_branch_history'!$A$2:$A$50,T442,'6_3nf_branch_history'!$B$2:$B$50,"&lt;="&amp;L442))</f>
        <v/>
      </c>
      <c r="V442" s="2">
        <f>IF(U442="NOT FOUND","NOT FOUND",INDEX('6_3nf_branch_history'!$C:$C,SUMPRODUCT(('6_3nf_branch_history'!$A$2:$A$50=T442)*('6_3nf_branch_history'!$B$2:$B$50=U442)*ROW('6_3nf_branch_history'!$A$2:$A$50))))</f>
        <v/>
      </c>
      <c r="W442" s="2">
        <f>IF(U442="NOT FOUND","NOT FOUND",INDEX('6_3nf_branch_history'!$D:$D,SUMPRODUCT(('6_3nf_branch_history'!$A$2:$A$50=T442)*('6_3nf_branch_history'!$B$2:$B$50=U442)*ROW('6_3nf_branch_history'!$A$2:$A$50))))</f>
        <v/>
      </c>
      <c r="X442" s="2">
        <f>IF(U442="NOT FOUND","NOT FOUND",INDEX('6_3nf_branch_history'!$E:$E,SUMPRODUCT(('6_3nf_branch_history'!$A$2:$A$50=T442)*('6_3nf_branch_history'!$B$2:$B$50=U442)*ROW('6_3nf_branch_history'!$A$2:$A$50))))</f>
        <v/>
      </c>
      <c r="Y442" s="2">
        <f>UPPER(TRIM(D442))</f>
        <v/>
      </c>
      <c r="Z442" s="2">
        <f>IFERROR(INDEX('7_3nf_product'!$B:$B,MATCH(Y442,'7_3nf_product'!$A:$A,0)),"NOT FOUND")</f>
        <v/>
      </c>
      <c r="AA442" s="2">
        <f>IFERROR(INDEX('7_3nf_product'!$C:$C,MATCH(Y442,'7_3nf_product'!$A:$A,0)),"NOT FOUND")</f>
        <v/>
      </c>
      <c r="AB442" s="2">
        <f>IFERROR(INDEX('7_3nf_product'!$D:$D,MATCH(Y442,'7_3nf_product'!$A:$A,0)),"NOT FOUND")</f>
        <v/>
      </c>
      <c r="AC442" s="6">
        <f>IFERROR(INDEX('7_3nf_product'!$E:$E,MATCH(Y442,'7_3nf_product'!$A:$A,0)),"NOT FOUND")</f>
        <v/>
      </c>
      <c r="AD442" s="33">
        <f>IF(LEN(TRIM(E442))=10,TRIM(E442),IF(LEN(TRIM(E442))=8,"00"&amp;TRIM(E442),"CHECK"))</f>
        <v/>
      </c>
      <c r="AE442" s="2">
        <f>IFERROR(INDEX('8_3nf_customer'!$C:$C,MATCH(AD442,'8_3nf_customer'!$B:$B,0)),"NOT FOUND")</f>
        <v/>
      </c>
      <c r="AF442" s="30">
        <f>IFERROR(INDEX('8_3nf_customer'!$D:$D,MATCH(AD442,'8_3nf_customer'!$B:$B,0)),"NOT FOUND")</f>
        <v/>
      </c>
      <c r="AG442" s="4">
        <f>IF(ISNUMBER(AF442),DATEDIF(AF442,L442,"y"),"NOT FOUND")</f>
        <v/>
      </c>
      <c r="AH442" s="2">
        <f>IFERROR(INDEX('8_3nf_customer'!$E:$E,MATCH(AD442,'8_3nf_customer'!$B:$B,0)),"NOT FOUND")</f>
        <v/>
      </c>
      <c r="AI442" s="30">
        <f>IF(_xlfn.MAXIFS('9_3nf_customer_history'!$B$2:$B$500,'9_3nf_customer_history'!$A$2:$A$500,AD442,'9_3nf_customer_history'!$B$2:$B$500,"&lt;="&amp;L442)=0,"NOT FOUND",_xlfn.MAXIFS('9_3nf_customer_history'!$B$2:$B$500,'9_3nf_customer_history'!$A$2:$A$500,AD442,'9_3nf_customer_history'!$B$2:$B$500,"&lt;="&amp;L442))</f>
        <v/>
      </c>
      <c r="AJ442" s="2">
        <f>IF(AI442="NOT FOUND","NOT FOUND",INDEX('9_3nf_customer_history'!$C:$C,SUMPRODUCT(('9_3nf_customer_history'!$A$2:$A$500=AD442)*('9_3nf_customer_history'!$B$2:$B$500=AI442)*ROW('9_3nf_customer_history'!$A$2:$A$500))))</f>
        <v/>
      </c>
      <c r="AK442" s="2">
        <f>IF(AI442="NOT FOUND","NOT FOUND",INDEX('9_3nf_customer_history'!$D:$D,SUMPRODUCT(('9_3nf_customer_history'!$A$2:$A$500=AD442)*('9_3nf_customer_history'!$B$2:$B$500=AI442)*ROW('9_3nf_customer_history'!$A$2:$A$500))))</f>
        <v/>
      </c>
      <c r="AL442" s="2">
        <f>UPPER(TRIM(H442))</f>
        <v/>
      </c>
      <c r="AM442" s="30">
        <f>IF(_xlfn.MAXIFS('10_ref_fx_rate'!$B$2:$B$2000,'10_ref_fx_rate'!$A$2:$A$2000,AL442,'10_ref_fx_rate'!$B$2:$B$2000,"&lt;="&amp;L442)=0,"NOT FOUND",_xlfn.MAXIFS('10_ref_fx_rate'!$B$2:$B$2000,'10_ref_fx_rate'!$A$2:$A$2000,AL442,'10_ref_fx_rate'!$B$2:$B$2000,"&lt;="&amp;L442))</f>
        <v/>
      </c>
      <c r="AN442" s="8">
        <f>IF(AM442="NOT FOUND","NOT FOUND",SUMIFS('10_ref_fx_rate'!$D$2:$D$2000,'10_ref_fx_rate'!$A$2:$A$2000,AL442,'10_ref_fx_rate'!$B$2:$B$2000,AM442))</f>
        <v/>
      </c>
      <c r="AO442" s="37">
        <f>IF(ISNUMBER(AN442),I442*AN442,"NOT FOUND")</f>
        <v/>
      </c>
      <c r="AP442" s="2">
        <f>UPPER(TRIM(J442))</f>
        <v/>
      </c>
      <c r="AQ442" s="2">
        <f>IF(AP442="","SELF-DIRECTED",IF(ISNUMBER(MATCH(AP442,'11_3nf_sales_person'!$A:$A,0)),IF(EXACT(AP442,J442),"OK","OK (auto-fixed)"),IF(ISNA(MATCH($A442,'12_sales_person_confirmation'!$A:$A,0)),"CONFIRM (not logged)",IF(INDEX('12_sales_person_confirmation'!$I:$I,MATCH($A442,'12_sales_person_confirmation'!$A:$A,0))="CONFIRMED","CONFIRMED ("&amp;LOWER(INDEX('12_sales_person_confirmation'!$E:$E,MATCH($A442,'12_sales_person_confirmation'!$A:$A,0)))&amp;")","PENDING CONFIRM"))))</f>
        <v/>
      </c>
      <c r="AR442" s="2">
        <f>IF(OR(AQ442="OK",AQ442="OK (auto-fixed)"),AP442,IF(LEFT(AQ442,9)="CONFIRMED",INDEX('12_sales_person_confirmation'!$F:$F,MATCH($A442,'12_sales_person_confirmation'!$A:$A,0)),""))</f>
        <v/>
      </c>
      <c r="AS442" s="2">
        <f>IF(AR442="","",INDEX('11_3nf_sales_person'!$B:$B,MATCH(AR442,'11_3nf_sales_person'!$A:$A,0)))</f>
        <v/>
      </c>
    </row>
    <row r="443">
      <c r="A443" s="2">
        <f>IF(ISBLANK('1_raw_log'!A443),"",'1_raw_log'!A443)</f>
        <v/>
      </c>
      <c r="B443" s="3">
        <f>IF(ISBLANK('1_raw_log'!B443),"",'1_raw_log'!B443)</f>
        <v/>
      </c>
      <c r="C443" s="2">
        <f>IF(ISBLANK('1_raw_log'!C443),"",'1_raw_log'!C443)</f>
        <v/>
      </c>
      <c r="D443" s="2">
        <f>IF(ISBLANK('1_raw_log'!D443),"",'1_raw_log'!D443)</f>
        <v/>
      </c>
      <c r="E443" s="4">
        <f>IF(ISBLANK('1_raw_log'!E443),"",'1_raw_log'!E443)</f>
        <v/>
      </c>
      <c r="F443" s="2">
        <f>IF(ISBLANK('1_raw_log'!F443),"",'1_raw_log'!F443)</f>
        <v/>
      </c>
      <c r="G443" s="2">
        <f>IF(ISBLANK('1_raw_log'!G443),"",'1_raw_log'!G443)</f>
        <v/>
      </c>
      <c r="H443" s="2">
        <f>IF(ISBLANK('1_raw_log'!H443),"",'1_raw_log'!H443)</f>
        <v/>
      </c>
      <c r="I443" s="7">
        <f>IF(ISBLANK('1_raw_log'!I443),"",'1_raw_log'!I443)</f>
        <v/>
      </c>
      <c r="J443" s="2">
        <f>IF(ISBLANK('1_raw_log'!J443),"",'1_raw_log'!J443)</f>
        <v/>
      </c>
      <c r="K443" s="2">
        <f>IF(ISBLANK('1_raw_log'!K443),"",'1_raw_log'!K443)</f>
        <v/>
      </c>
      <c r="L443" s="30">
        <f>INT(B443)</f>
        <v/>
      </c>
      <c r="M443" s="20">
        <f>ROUND(MOD(B443,1)*1440,0)/1440</f>
        <v/>
      </c>
      <c r="N443" s="4">
        <f>IFERROR(INDEX('3_ref_date'!$B:$B,MATCH(L443,'3_ref_date'!$A:$A,0)),"NOT FOUND")</f>
        <v/>
      </c>
      <c r="O443" s="2">
        <f>IFERROR(INDEX('3_ref_date'!$C:$C,MATCH(L443,'3_ref_date'!$A:$A,0)),"NOT FOUND")</f>
        <v/>
      </c>
      <c r="P443" s="4">
        <f>IFERROR(INDEX('3_ref_date'!$D:$D,MATCH(L443,'3_ref_date'!$A:$A,0)),"NOT FOUND")</f>
        <v/>
      </c>
      <c r="Q443" s="4">
        <f>IFERROR(INDEX('3_ref_date'!$E:$E,MATCH(L443,'3_ref_date'!$A:$A,0)),"NOT FOUND")</f>
        <v/>
      </c>
      <c r="R443" s="2">
        <f>IFERROR(INDEX('3_ref_date'!$F:$F,MATCH(L443,'3_ref_date'!$A:$A,0)),"NOT FOUND")</f>
        <v/>
      </c>
      <c r="S443" s="2">
        <f>IFERROR(INDEX('4_ref_time'!$D:$D,MATCH(ROUND(M443*1440,0),'4_ref_time'!$A:$A,0)),"NOT FOUND")</f>
        <v/>
      </c>
      <c r="T443" s="2">
        <f>UPPER(TRIM(C443))</f>
        <v/>
      </c>
      <c r="U443" s="30">
        <f>IF(_xlfn.MAXIFS('6_3nf_branch_history'!$B$2:$B$50,'6_3nf_branch_history'!$A$2:$A$50,T443,'6_3nf_branch_history'!$B$2:$B$50,"&lt;="&amp;L443)=0,"NOT FOUND",_xlfn.MAXIFS('6_3nf_branch_history'!$B$2:$B$50,'6_3nf_branch_history'!$A$2:$A$50,T443,'6_3nf_branch_history'!$B$2:$B$50,"&lt;="&amp;L443))</f>
        <v/>
      </c>
      <c r="V443" s="2">
        <f>IF(U443="NOT FOUND","NOT FOUND",INDEX('6_3nf_branch_history'!$C:$C,SUMPRODUCT(('6_3nf_branch_history'!$A$2:$A$50=T443)*('6_3nf_branch_history'!$B$2:$B$50=U443)*ROW('6_3nf_branch_history'!$A$2:$A$50))))</f>
        <v/>
      </c>
      <c r="W443" s="2">
        <f>IF(U443="NOT FOUND","NOT FOUND",INDEX('6_3nf_branch_history'!$D:$D,SUMPRODUCT(('6_3nf_branch_history'!$A$2:$A$50=T443)*('6_3nf_branch_history'!$B$2:$B$50=U443)*ROW('6_3nf_branch_history'!$A$2:$A$50))))</f>
        <v/>
      </c>
      <c r="X443" s="2">
        <f>IF(U443="NOT FOUND","NOT FOUND",INDEX('6_3nf_branch_history'!$E:$E,SUMPRODUCT(('6_3nf_branch_history'!$A$2:$A$50=T443)*('6_3nf_branch_history'!$B$2:$B$50=U443)*ROW('6_3nf_branch_history'!$A$2:$A$50))))</f>
        <v/>
      </c>
      <c r="Y443" s="2">
        <f>UPPER(TRIM(D443))</f>
        <v/>
      </c>
      <c r="Z443" s="2">
        <f>IFERROR(INDEX('7_3nf_product'!$B:$B,MATCH(Y443,'7_3nf_product'!$A:$A,0)),"NOT FOUND")</f>
        <v/>
      </c>
      <c r="AA443" s="2">
        <f>IFERROR(INDEX('7_3nf_product'!$C:$C,MATCH(Y443,'7_3nf_product'!$A:$A,0)),"NOT FOUND")</f>
        <v/>
      </c>
      <c r="AB443" s="2">
        <f>IFERROR(INDEX('7_3nf_product'!$D:$D,MATCH(Y443,'7_3nf_product'!$A:$A,0)),"NOT FOUND")</f>
        <v/>
      </c>
      <c r="AC443" s="6">
        <f>IFERROR(INDEX('7_3nf_product'!$E:$E,MATCH(Y443,'7_3nf_product'!$A:$A,0)),"NOT FOUND")</f>
        <v/>
      </c>
      <c r="AD443" s="33">
        <f>IF(LEN(TRIM(E443))=10,TRIM(E443),IF(LEN(TRIM(E443))=8,"00"&amp;TRIM(E443),"CHECK"))</f>
        <v/>
      </c>
      <c r="AE443" s="2">
        <f>IFERROR(INDEX('8_3nf_customer'!$C:$C,MATCH(AD443,'8_3nf_customer'!$B:$B,0)),"NOT FOUND")</f>
        <v/>
      </c>
      <c r="AF443" s="30">
        <f>IFERROR(INDEX('8_3nf_customer'!$D:$D,MATCH(AD443,'8_3nf_customer'!$B:$B,0)),"NOT FOUND")</f>
        <v/>
      </c>
      <c r="AG443" s="4">
        <f>IF(ISNUMBER(AF443),DATEDIF(AF443,L443,"y"),"NOT FOUND")</f>
        <v/>
      </c>
      <c r="AH443" s="2">
        <f>IFERROR(INDEX('8_3nf_customer'!$E:$E,MATCH(AD443,'8_3nf_customer'!$B:$B,0)),"NOT FOUND")</f>
        <v/>
      </c>
      <c r="AI443" s="30">
        <f>IF(_xlfn.MAXIFS('9_3nf_customer_history'!$B$2:$B$500,'9_3nf_customer_history'!$A$2:$A$500,AD443,'9_3nf_customer_history'!$B$2:$B$500,"&lt;="&amp;L443)=0,"NOT FOUND",_xlfn.MAXIFS('9_3nf_customer_history'!$B$2:$B$500,'9_3nf_customer_history'!$A$2:$A$500,AD443,'9_3nf_customer_history'!$B$2:$B$500,"&lt;="&amp;L443))</f>
        <v/>
      </c>
      <c r="AJ443" s="2">
        <f>IF(AI443="NOT FOUND","NOT FOUND",INDEX('9_3nf_customer_history'!$C:$C,SUMPRODUCT(('9_3nf_customer_history'!$A$2:$A$500=AD443)*('9_3nf_customer_history'!$B$2:$B$500=AI443)*ROW('9_3nf_customer_history'!$A$2:$A$500))))</f>
        <v/>
      </c>
      <c r="AK443" s="2">
        <f>IF(AI443="NOT FOUND","NOT FOUND",INDEX('9_3nf_customer_history'!$D:$D,SUMPRODUCT(('9_3nf_customer_history'!$A$2:$A$500=AD443)*('9_3nf_customer_history'!$B$2:$B$500=AI443)*ROW('9_3nf_customer_history'!$A$2:$A$500))))</f>
        <v/>
      </c>
      <c r="AL443" s="2">
        <f>UPPER(TRIM(H443))</f>
        <v/>
      </c>
      <c r="AM443" s="30">
        <f>IF(_xlfn.MAXIFS('10_ref_fx_rate'!$B$2:$B$2000,'10_ref_fx_rate'!$A$2:$A$2000,AL443,'10_ref_fx_rate'!$B$2:$B$2000,"&lt;="&amp;L443)=0,"NOT FOUND",_xlfn.MAXIFS('10_ref_fx_rate'!$B$2:$B$2000,'10_ref_fx_rate'!$A$2:$A$2000,AL443,'10_ref_fx_rate'!$B$2:$B$2000,"&lt;="&amp;L443))</f>
        <v/>
      </c>
      <c r="AN443" s="8">
        <f>IF(AM443="NOT FOUND","NOT FOUND",SUMIFS('10_ref_fx_rate'!$D$2:$D$2000,'10_ref_fx_rate'!$A$2:$A$2000,AL443,'10_ref_fx_rate'!$B$2:$B$2000,AM443))</f>
        <v/>
      </c>
      <c r="AO443" s="37">
        <f>IF(ISNUMBER(AN443),I443*AN443,"NOT FOUND")</f>
        <v/>
      </c>
      <c r="AP443" s="2">
        <f>UPPER(TRIM(J443))</f>
        <v/>
      </c>
      <c r="AQ443" s="2">
        <f>IF(AP443="","SELF-DIRECTED",IF(ISNUMBER(MATCH(AP443,'11_3nf_sales_person'!$A:$A,0)),IF(EXACT(AP443,J443),"OK","OK (auto-fixed)"),IF(ISNA(MATCH($A443,'12_sales_person_confirmation'!$A:$A,0)),"CONFIRM (not logged)",IF(INDEX('12_sales_person_confirmation'!$I:$I,MATCH($A443,'12_sales_person_confirmation'!$A:$A,0))="CONFIRMED","CONFIRMED ("&amp;LOWER(INDEX('12_sales_person_confirmation'!$E:$E,MATCH($A443,'12_sales_person_confirmation'!$A:$A,0)))&amp;")","PENDING CONFIRM"))))</f>
        <v/>
      </c>
      <c r="AR443" s="2">
        <f>IF(OR(AQ443="OK",AQ443="OK (auto-fixed)"),AP443,IF(LEFT(AQ443,9)="CONFIRMED",INDEX('12_sales_person_confirmation'!$F:$F,MATCH($A443,'12_sales_person_confirmation'!$A:$A,0)),""))</f>
        <v/>
      </c>
      <c r="AS443" s="2">
        <f>IF(AR443="","",INDEX('11_3nf_sales_person'!$B:$B,MATCH(AR443,'11_3nf_sales_person'!$A:$A,0)))</f>
        <v/>
      </c>
    </row>
    <row r="444">
      <c r="A444" s="2">
        <f>IF(ISBLANK('1_raw_log'!A444),"",'1_raw_log'!A444)</f>
        <v/>
      </c>
      <c r="B444" s="3">
        <f>IF(ISBLANK('1_raw_log'!B444),"",'1_raw_log'!B444)</f>
        <v/>
      </c>
      <c r="C444" s="2">
        <f>IF(ISBLANK('1_raw_log'!C444),"",'1_raw_log'!C444)</f>
        <v/>
      </c>
      <c r="D444" s="2">
        <f>IF(ISBLANK('1_raw_log'!D444),"",'1_raw_log'!D444)</f>
        <v/>
      </c>
      <c r="E444" s="4">
        <f>IF(ISBLANK('1_raw_log'!E444),"",'1_raw_log'!E444)</f>
        <v/>
      </c>
      <c r="F444" s="2">
        <f>IF(ISBLANK('1_raw_log'!F444),"",'1_raw_log'!F444)</f>
        <v/>
      </c>
      <c r="G444" s="2">
        <f>IF(ISBLANK('1_raw_log'!G444),"",'1_raw_log'!G444)</f>
        <v/>
      </c>
      <c r="H444" s="2">
        <f>IF(ISBLANK('1_raw_log'!H444),"",'1_raw_log'!H444)</f>
        <v/>
      </c>
      <c r="I444" s="7">
        <f>IF(ISBLANK('1_raw_log'!I444),"",'1_raw_log'!I444)</f>
        <v/>
      </c>
      <c r="J444" s="2">
        <f>IF(ISBLANK('1_raw_log'!J444),"",'1_raw_log'!J444)</f>
        <v/>
      </c>
      <c r="K444" s="2">
        <f>IF(ISBLANK('1_raw_log'!K444),"",'1_raw_log'!K444)</f>
        <v/>
      </c>
      <c r="L444" s="30">
        <f>INT(B444)</f>
        <v/>
      </c>
      <c r="M444" s="20">
        <f>ROUND(MOD(B444,1)*1440,0)/1440</f>
        <v/>
      </c>
      <c r="N444" s="4">
        <f>IFERROR(INDEX('3_ref_date'!$B:$B,MATCH(L444,'3_ref_date'!$A:$A,0)),"NOT FOUND")</f>
        <v/>
      </c>
      <c r="O444" s="2">
        <f>IFERROR(INDEX('3_ref_date'!$C:$C,MATCH(L444,'3_ref_date'!$A:$A,0)),"NOT FOUND")</f>
        <v/>
      </c>
      <c r="P444" s="4">
        <f>IFERROR(INDEX('3_ref_date'!$D:$D,MATCH(L444,'3_ref_date'!$A:$A,0)),"NOT FOUND")</f>
        <v/>
      </c>
      <c r="Q444" s="4">
        <f>IFERROR(INDEX('3_ref_date'!$E:$E,MATCH(L444,'3_ref_date'!$A:$A,0)),"NOT FOUND")</f>
        <v/>
      </c>
      <c r="R444" s="2">
        <f>IFERROR(INDEX('3_ref_date'!$F:$F,MATCH(L444,'3_ref_date'!$A:$A,0)),"NOT FOUND")</f>
        <v/>
      </c>
      <c r="S444" s="2">
        <f>IFERROR(INDEX('4_ref_time'!$D:$D,MATCH(ROUND(M444*1440,0),'4_ref_time'!$A:$A,0)),"NOT FOUND")</f>
        <v/>
      </c>
      <c r="T444" s="2">
        <f>UPPER(TRIM(C444))</f>
        <v/>
      </c>
      <c r="U444" s="30">
        <f>IF(_xlfn.MAXIFS('6_3nf_branch_history'!$B$2:$B$50,'6_3nf_branch_history'!$A$2:$A$50,T444,'6_3nf_branch_history'!$B$2:$B$50,"&lt;="&amp;L444)=0,"NOT FOUND",_xlfn.MAXIFS('6_3nf_branch_history'!$B$2:$B$50,'6_3nf_branch_history'!$A$2:$A$50,T444,'6_3nf_branch_history'!$B$2:$B$50,"&lt;="&amp;L444))</f>
        <v/>
      </c>
      <c r="V444" s="2">
        <f>IF(U444="NOT FOUND","NOT FOUND",INDEX('6_3nf_branch_history'!$C:$C,SUMPRODUCT(('6_3nf_branch_history'!$A$2:$A$50=T444)*('6_3nf_branch_history'!$B$2:$B$50=U444)*ROW('6_3nf_branch_history'!$A$2:$A$50))))</f>
        <v/>
      </c>
      <c r="W444" s="2">
        <f>IF(U444="NOT FOUND","NOT FOUND",INDEX('6_3nf_branch_history'!$D:$D,SUMPRODUCT(('6_3nf_branch_history'!$A$2:$A$50=T444)*('6_3nf_branch_history'!$B$2:$B$50=U444)*ROW('6_3nf_branch_history'!$A$2:$A$50))))</f>
        <v/>
      </c>
      <c r="X444" s="2">
        <f>IF(U444="NOT FOUND","NOT FOUND",INDEX('6_3nf_branch_history'!$E:$E,SUMPRODUCT(('6_3nf_branch_history'!$A$2:$A$50=T444)*('6_3nf_branch_history'!$B$2:$B$50=U444)*ROW('6_3nf_branch_history'!$A$2:$A$50))))</f>
        <v/>
      </c>
      <c r="Y444" s="2">
        <f>UPPER(TRIM(D444))</f>
        <v/>
      </c>
      <c r="Z444" s="2">
        <f>IFERROR(INDEX('7_3nf_product'!$B:$B,MATCH(Y444,'7_3nf_product'!$A:$A,0)),"NOT FOUND")</f>
        <v/>
      </c>
      <c r="AA444" s="2">
        <f>IFERROR(INDEX('7_3nf_product'!$C:$C,MATCH(Y444,'7_3nf_product'!$A:$A,0)),"NOT FOUND")</f>
        <v/>
      </c>
      <c r="AB444" s="2">
        <f>IFERROR(INDEX('7_3nf_product'!$D:$D,MATCH(Y444,'7_3nf_product'!$A:$A,0)),"NOT FOUND")</f>
        <v/>
      </c>
      <c r="AC444" s="6">
        <f>IFERROR(INDEX('7_3nf_product'!$E:$E,MATCH(Y444,'7_3nf_product'!$A:$A,0)),"NOT FOUND")</f>
        <v/>
      </c>
      <c r="AD444" s="33">
        <f>IF(LEN(TRIM(E444))=10,TRIM(E444),IF(LEN(TRIM(E444))=8,"00"&amp;TRIM(E444),"CHECK"))</f>
        <v/>
      </c>
      <c r="AE444" s="2">
        <f>IFERROR(INDEX('8_3nf_customer'!$C:$C,MATCH(AD444,'8_3nf_customer'!$B:$B,0)),"NOT FOUND")</f>
        <v/>
      </c>
      <c r="AF444" s="30">
        <f>IFERROR(INDEX('8_3nf_customer'!$D:$D,MATCH(AD444,'8_3nf_customer'!$B:$B,0)),"NOT FOUND")</f>
        <v/>
      </c>
      <c r="AG444" s="4">
        <f>IF(ISNUMBER(AF444),DATEDIF(AF444,L444,"y"),"NOT FOUND")</f>
        <v/>
      </c>
      <c r="AH444" s="2">
        <f>IFERROR(INDEX('8_3nf_customer'!$E:$E,MATCH(AD444,'8_3nf_customer'!$B:$B,0)),"NOT FOUND")</f>
        <v/>
      </c>
      <c r="AI444" s="30">
        <f>IF(_xlfn.MAXIFS('9_3nf_customer_history'!$B$2:$B$500,'9_3nf_customer_history'!$A$2:$A$500,AD444,'9_3nf_customer_history'!$B$2:$B$500,"&lt;="&amp;L444)=0,"NOT FOUND",_xlfn.MAXIFS('9_3nf_customer_history'!$B$2:$B$500,'9_3nf_customer_history'!$A$2:$A$500,AD444,'9_3nf_customer_history'!$B$2:$B$500,"&lt;="&amp;L444))</f>
        <v/>
      </c>
      <c r="AJ444" s="2">
        <f>IF(AI444="NOT FOUND","NOT FOUND",INDEX('9_3nf_customer_history'!$C:$C,SUMPRODUCT(('9_3nf_customer_history'!$A$2:$A$500=AD444)*('9_3nf_customer_history'!$B$2:$B$500=AI444)*ROW('9_3nf_customer_history'!$A$2:$A$500))))</f>
        <v/>
      </c>
      <c r="AK444" s="2">
        <f>IF(AI444="NOT FOUND","NOT FOUND",INDEX('9_3nf_customer_history'!$D:$D,SUMPRODUCT(('9_3nf_customer_history'!$A$2:$A$500=AD444)*('9_3nf_customer_history'!$B$2:$B$500=AI444)*ROW('9_3nf_customer_history'!$A$2:$A$500))))</f>
        <v/>
      </c>
      <c r="AL444" s="2">
        <f>UPPER(TRIM(H444))</f>
        <v/>
      </c>
      <c r="AM444" s="30">
        <f>IF(_xlfn.MAXIFS('10_ref_fx_rate'!$B$2:$B$2000,'10_ref_fx_rate'!$A$2:$A$2000,AL444,'10_ref_fx_rate'!$B$2:$B$2000,"&lt;="&amp;L444)=0,"NOT FOUND",_xlfn.MAXIFS('10_ref_fx_rate'!$B$2:$B$2000,'10_ref_fx_rate'!$A$2:$A$2000,AL444,'10_ref_fx_rate'!$B$2:$B$2000,"&lt;="&amp;L444))</f>
        <v/>
      </c>
      <c r="AN444" s="8">
        <f>IF(AM444="NOT FOUND","NOT FOUND",SUMIFS('10_ref_fx_rate'!$D$2:$D$2000,'10_ref_fx_rate'!$A$2:$A$2000,AL444,'10_ref_fx_rate'!$B$2:$B$2000,AM444))</f>
        <v/>
      </c>
      <c r="AO444" s="37">
        <f>IF(ISNUMBER(AN444),I444*AN444,"NOT FOUND")</f>
        <v/>
      </c>
      <c r="AP444" s="2">
        <f>UPPER(TRIM(J444))</f>
        <v/>
      </c>
      <c r="AQ444" s="2">
        <f>IF(AP444="","SELF-DIRECTED",IF(ISNUMBER(MATCH(AP444,'11_3nf_sales_person'!$A:$A,0)),IF(EXACT(AP444,J444),"OK","OK (auto-fixed)"),IF(ISNA(MATCH($A444,'12_sales_person_confirmation'!$A:$A,0)),"CONFIRM (not logged)",IF(INDEX('12_sales_person_confirmation'!$I:$I,MATCH($A444,'12_sales_person_confirmation'!$A:$A,0))="CONFIRMED","CONFIRMED ("&amp;LOWER(INDEX('12_sales_person_confirmation'!$E:$E,MATCH($A444,'12_sales_person_confirmation'!$A:$A,0)))&amp;")","PENDING CONFIRM"))))</f>
        <v/>
      </c>
      <c r="AR444" s="2">
        <f>IF(OR(AQ444="OK",AQ444="OK (auto-fixed)"),AP444,IF(LEFT(AQ444,9)="CONFIRMED",INDEX('12_sales_person_confirmation'!$F:$F,MATCH($A444,'12_sales_person_confirmation'!$A:$A,0)),""))</f>
        <v/>
      </c>
      <c r="AS444" s="2">
        <f>IF(AR444="","",INDEX('11_3nf_sales_person'!$B:$B,MATCH(AR444,'11_3nf_sales_person'!$A:$A,0)))</f>
        <v/>
      </c>
    </row>
    <row r="445">
      <c r="A445" s="2">
        <f>IF(ISBLANK('1_raw_log'!A445),"",'1_raw_log'!A445)</f>
        <v/>
      </c>
      <c r="B445" s="3">
        <f>IF(ISBLANK('1_raw_log'!B445),"",'1_raw_log'!B445)</f>
        <v/>
      </c>
      <c r="C445" s="2">
        <f>IF(ISBLANK('1_raw_log'!C445),"",'1_raw_log'!C445)</f>
        <v/>
      </c>
      <c r="D445" s="2">
        <f>IF(ISBLANK('1_raw_log'!D445),"",'1_raw_log'!D445)</f>
        <v/>
      </c>
      <c r="E445" s="4">
        <f>IF(ISBLANK('1_raw_log'!E445),"",'1_raw_log'!E445)</f>
        <v/>
      </c>
      <c r="F445" s="2">
        <f>IF(ISBLANK('1_raw_log'!F445),"",'1_raw_log'!F445)</f>
        <v/>
      </c>
      <c r="G445" s="2">
        <f>IF(ISBLANK('1_raw_log'!G445),"",'1_raw_log'!G445)</f>
        <v/>
      </c>
      <c r="H445" s="2">
        <f>IF(ISBLANK('1_raw_log'!H445),"",'1_raw_log'!H445)</f>
        <v/>
      </c>
      <c r="I445" s="7">
        <f>IF(ISBLANK('1_raw_log'!I445),"",'1_raw_log'!I445)</f>
        <v/>
      </c>
      <c r="J445" s="2">
        <f>IF(ISBLANK('1_raw_log'!J445),"",'1_raw_log'!J445)</f>
        <v/>
      </c>
      <c r="K445" s="2">
        <f>IF(ISBLANK('1_raw_log'!K445),"",'1_raw_log'!K445)</f>
        <v/>
      </c>
      <c r="L445" s="30">
        <f>INT(B445)</f>
        <v/>
      </c>
      <c r="M445" s="20">
        <f>ROUND(MOD(B445,1)*1440,0)/1440</f>
        <v/>
      </c>
      <c r="N445" s="4">
        <f>IFERROR(INDEX('3_ref_date'!$B:$B,MATCH(L445,'3_ref_date'!$A:$A,0)),"NOT FOUND")</f>
        <v/>
      </c>
      <c r="O445" s="2">
        <f>IFERROR(INDEX('3_ref_date'!$C:$C,MATCH(L445,'3_ref_date'!$A:$A,0)),"NOT FOUND")</f>
        <v/>
      </c>
      <c r="P445" s="4">
        <f>IFERROR(INDEX('3_ref_date'!$D:$D,MATCH(L445,'3_ref_date'!$A:$A,0)),"NOT FOUND")</f>
        <v/>
      </c>
      <c r="Q445" s="4">
        <f>IFERROR(INDEX('3_ref_date'!$E:$E,MATCH(L445,'3_ref_date'!$A:$A,0)),"NOT FOUND")</f>
        <v/>
      </c>
      <c r="R445" s="2">
        <f>IFERROR(INDEX('3_ref_date'!$F:$F,MATCH(L445,'3_ref_date'!$A:$A,0)),"NOT FOUND")</f>
        <v/>
      </c>
      <c r="S445" s="2">
        <f>IFERROR(INDEX('4_ref_time'!$D:$D,MATCH(ROUND(M445*1440,0),'4_ref_time'!$A:$A,0)),"NOT FOUND")</f>
        <v/>
      </c>
      <c r="T445" s="2">
        <f>UPPER(TRIM(C445))</f>
        <v/>
      </c>
      <c r="U445" s="30">
        <f>IF(_xlfn.MAXIFS('6_3nf_branch_history'!$B$2:$B$50,'6_3nf_branch_history'!$A$2:$A$50,T445,'6_3nf_branch_history'!$B$2:$B$50,"&lt;="&amp;L445)=0,"NOT FOUND",_xlfn.MAXIFS('6_3nf_branch_history'!$B$2:$B$50,'6_3nf_branch_history'!$A$2:$A$50,T445,'6_3nf_branch_history'!$B$2:$B$50,"&lt;="&amp;L445))</f>
        <v/>
      </c>
      <c r="V445" s="2">
        <f>IF(U445="NOT FOUND","NOT FOUND",INDEX('6_3nf_branch_history'!$C:$C,SUMPRODUCT(('6_3nf_branch_history'!$A$2:$A$50=T445)*('6_3nf_branch_history'!$B$2:$B$50=U445)*ROW('6_3nf_branch_history'!$A$2:$A$50))))</f>
        <v/>
      </c>
      <c r="W445" s="2">
        <f>IF(U445="NOT FOUND","NOT FOUND",INDEX('6_3nf_branch_history'!$D:$D,SUMPRODUCT(('6_3nf_branch_history'!$A$2:$A$50=T445)*('6_3nf_branch_history'!$B$2:$B$50=U445)*ROW('6_3nf_branch_history'!$A$2:$A$50))))</f>
        <v/>
      </c>
      <c r="X445" s="2">
        <f>IF(U445="NOT FOUND","NOT FOUND",INDEX('6_3nf_branch_history'!$E:$E,SUMPRODUCT(('6_3nf_branch_history'!$A$2:$A$50=T445)*('6_3nf_branch_history'!$B$2:$B$50=U445)*ROW('6_3nf_branch_history'!$A$2:$A$50))))</f>
        <v/>
      </c>
      <c r="Y445" s="2">
        <f>UPPER(TRIM(D445))</f>
        <v/>
      </c>
      <c r="Z445" s="2">
        <f>IFERROR(INDEX('7_3nf_product'!$B:$B,MATCH(Y445,'7_3nf_product'!$A:$A,0)),"NOT FOUND")</f>
        <v/>
      </c>
      <c r="AA445" s="2">
        <f>IFERROR(INDEX('7_3nf_product'!$C:$C,MATCH(Y445,'7_3nf_product'!$A:$A,0)),"NOT FOUND")</f>
        <v/>
      </c>
      <c r="AB445" s="2">
        <f>IFERROR(INDEX('7_3nf_product'!$D:$D,MATCH(Y445,'7_3nf_product'!$A:$A,0)),"NOT FOUND")</f>
        <v/>
      </c>
      <c r="AC445" s="6">
        <f>IFERROR(INDEX('7_3nf_product'!$E:$E,MATCH(Y445,'7_3nf_product'!$A:$A,0)),"NOT FOUND")</f>
        <v/>
      </c>
      <c r="AD445" s="33">
        <f>IF(LEN(TRIM(E445))=10,TRIM(E445),IF(LEN(TRIM(E445))=8,"00"&amp;TRIM(E445),"CHECK"))</f>
        <v/>
      </c>
      <c r="AE445" s="2">
        <f>IFERROR(INDEX('8_3nf_customer'!$C:$C,MATCH(AD445,'8_3nf_customer'!$B:$B,0)),"NOT FOUND")</f>
        <v/>
      </c>
      <c r="AF445" s="30">
        <f>IFERROR(INDEX('8_3nf_customer'!$D:$D,MATCH(AD445,'8_3nf_customer'!$B:$B,0)),"NOT FOUND")</f>
        <v/>
      </c>
      <c r="AG445" s="4">
        <f>IF(ISNUMBER(AF445),DATEDIF(AF445,L445,"y"),"NOT FOUND")</f>
        <v/>
      </c>
      <c r="AH445" s="2">
        <f>IFERROR(INDEX('8_3nf_customer'!$E:$E,MATCH(AD445,'8_3nf_customer'!$B:$B,0)),"NOT FOUND")</f>
        <v/>
      </c>
      <c r="AI445" s="30">
        <f>IF(_xlfn.MAXIFS('9_3nf_customer_history'!$B$2:$B$500,'9_3nf_customer_history'!$A$2:$A$500,AD445,'9_3nf_customer_history'!$B$2:$B$500,"&lt;="&amp;L445)=0,"NOT FOUND",_xlfn.MAXIFS('9_3nf_customer_history'!$B$2:$B$500,'9_3nf_customer_history'!$A$2:$A$500,AD445,'9_3nf_customer_history'!$B$2:$B$500,"&lt;="&amp;L445))</f>
        <v/>
      </c>
      <c r="AJ445" s="2">
        <f>IF(AI445="NOT FOUND","NOT FOUND",INDEX('9_3nf_customer_history'!$C:$C,SUMPRODUCT(('9_3nf_customer_history'!$A$2:$A$500=AD445)*('9_3nf_customer_history'!$B$2:$B$500=AI445)*ROW('9_3nf_customer_history'!$A$2:$A$500))))</f>
        <v/>
      </c>
      <c r="AK445" s="2">
        <f>IF(AI445="NOT FOUND","NOT FOUND",INDEX('9_3nf_customer_history'!$D:$D,SUMPRODUCT(('9_3nf_customer_history'!$A$2:$A$500=AD445)*('9_3nf_customer_history'!$B$2:$B$500=AI445)*ROW('9_3nf_customer_history'!$A$2:$A$500))))</f>
        <v/>
      </c>
      <c r="AL445" s="2">
        <f>UPPER(TRIM(H445))</f>
        <v/>
      </c>
      <c r="AM445" s="30">
        <f>IF(_xlfn.MAXIFS('10_ref_fx_rate'!$B$2:$B$2000,'10_ref_fx_rate'!$A$2:$A$2000,AL445,'10_ref_fx_rate'!$B$2:$B$2000,"&lt;="&amp;L445)=0,"NOT FOUND",_xlfn.MAXIFS('10_ref_fx_rate'!$B$2:$B$2000,'10_ref_fx_rate'!$A$2:$A$2000,AL445,'10_ref_fx_rate'!$B$2:$B$2000,"&lt;="&amp;L445))</f>
        <v/>
      </c>
      <c r="AN445" s="8">
        <f>IF(AM445="NOT FOUND","NOT FOUND",SUMIFS('10_ref_fx_rate'!$D$2:$D$2000,'10_ref_fx_rate'!$A$2:$A$2000,AL445,'10_ref_fx_rate'!$B$2:$B$2000,AM445))</f>
        <v/>
      </c>
      <c r="AO445" s="37">
        <f>IF(ISNUMBER(AN445),I445*AN445,"NOT FOUND")</f>
        <v/>
      </c>
      <c r="AP445" s="2">
        <f>UPPER(TRIM(J445))</f>
        <v/>
      </c>
      <c r="AQ445" s="2">
        <f>IF(AP445="","SELF-DIRECTED",IF(ISNUMBER(MATCH(AP445,'11_3nf_sales_person'!$A:$A,0)),IF(EXACT(AP445,J445),"OK","OK (auto-fixed)"),IF(ISNA(MATCH($A445,'12_sales_person_confirmation'!$A:$A,0)),"CONFIRM (not logged)",IF(INDEX('12_sales_person_confirmation'!$I:$I,MATCH($A445,'12_sales_person_confirmation'!$A:$A,0))="CONFIRMED","CONFIRMED ("&amp;LOWER(INDEX('12_sales_person_confirmation'!$E:$E,MATCH($A445,'12_sales_person_confirmation'!$A:$A,0)))&amp;")","PENDING CONFIRM"))))</f>
        <v/>
      </c>
      <c r="AR445" s="2">
        <f>IF(OR(AQ445="OK",AQ445="OK (auto-fixed)"),AP445,IF(LEFT(AQ445,9)="CONFIRMED",INDEX('12_sales_person_confirmation'!$F:$F,MATCH($A445,'12_sales_person_confirmation'!$A:$A,0)),""))</f>
        <v/>
      </c>
      <c r="AS445" s="2">
        <f>IF(AR445="","",INDEX('11_3nf_sales_person'!$B:$B,MATCH(AR445,'11_3nf_sales_person'!$A:$A,0)))</f>
        <v/>
      </c>
    </row>
    <row r="446">
      <c r="A446" s="2">
        <f>IF(ISBLANK('1_raw_log'!A446),"",'1_raw_log'!A446)</f>
        <v/>
      </c>
      <c r="B446" s="3">
        <f>IF(ISBLANK('1_raw_log'!B446),"",'1_raw_log'!B446)</f>
        <v/>
      </c>
      <c r="C446" s="2">
        <f>IF(ISBLANK('1_raw_log'!C446),"",'1_raw_log'!C446)</f>
        <v/>
      </c>
      <c r="D446" s="2">
        <f>IF(ISBLANK('1_raw_log'!D446),"",'1_raw_log'!D446)</f>
        <v/>
      </c>
      <c r="E446" s="4">
        <f>IF(ISBLANK('1_raw_log'!E446),"",'1_raw_log'!E446)</f>
        <v/>
      </c>
      <c r="F446" s="2">
        <f>IF(ISBLANK('1_raw_log'!F446),"",'1_raw_log'!F446)</f>
        <v/>
      </c>
      <c r="G446" s="2">
        <f>IF(ISBLANK('1_raw_log'!G446),"",'1_raw_log'!G446)</f>
        <v/>
      </c>
      <c r="H446" s="2">
        <f>IF(ISBLANK('1_raw_log'!H446),"",'1_raw_log'!H446)</f>
        <v/>
      </c>
      <c r="I446" s="7">
        <f>IF(ISBLANK('1_raw_log'!I446),"",'1_raw_log'!I446)</f>
        <v/>
      </c>
      <c r="J446" s="2">
        <f>IF(ISBLANK('1_raw_log'!J446),"",'1_raw_log'!J446)</f>
        <v/>
      </c>
      <c r="K446" s="2">
        <f>IF(ISBLANK('1_raw_log'!K446),"",'1_raw_log'!K446)</f>
        <v/>
      </c>
      <c r="L446" s="30">
        <f>INT(B446)</f>
        <v/>
      </c>
      <c r="M446" s="20">
        <f>ROUND(MOD(B446,1)*1440,0)/1440</f>
        <v/>
      </c>
      <c r="N446" s="4">
        <f>IFERROR(INDEX('3_ref_date'!$B:$B,MATCH(L446,'3_ref_date'!$A:$A,0)),"NOT FOUND")</f>
        <v/>
      </c>
      <c r="O446" s="2">
        <f>IFERROR(INDEX('3_ref_date'!$C:$C,MATCH(L446,'3_ref_date'!$A:$A,0)),"NOT FOUND")</f>
        <v/>
      </c>
      <c r="P446" s="4">
        <f>IFERROR(INDEX('3_ref_date'!$D:$D,MATCH(L446,'3_ref_date'!$A:$A,0)),"NOT FOUND")</f>
        <v/>
      </c>
      <c r="Q446" s="4">
        <f>IFERROR(INDEX('3_ref_date'!$E:$E,MATCH(L446,'3_ref_date'!$A:$A,0)),"NOT FOUND")</f>
        <v/>
      </c>
      <c r="R446" s="2">
        <f>IFERROR(INDEX('3_ref_date'!$F:$F,MATCH(L446,'3_ref_date'!$A:$A,0)),"NOT FOUND")</f>
        <v/>
      </c>
      <c r="S446" s="2">
        <f>IFERROR(INDEX('4_ref_time'!$D:$D,MATCH(ROUND(M446*1440,0),'4_ref_time'!$A:$A,0)),"NOT FOUND")</f>
        <v/>
      </c>
      <c r="T446" s="2">
        <f>UPPER(TRIM(C446))</f>
        <v/>
      </c>
      <c r="U446" s="30">
        <f>IF(_xlfn.MAXIFS('6_3nf_branch_history'!$B$2:$B$50,'6_3nf_branch_history'!$A$2:$A$50,T446,'6_3nf_branch_history'!$B$2:$B$50,"&lt;="&amp;L446)=0,"NOT FOUND",_xlfn.MAXIFS('6_3nf_branch_history'!$B$2:$B$50,'6_3nf_branch_history'!$A$2:$A$50,T446,'6_3nf_branch_history'!$B$2:$B$50,"&lt;="&amp;L446))</f>
        <v/>
      </c>
      <c r="V446" s="2">
        <f>IF(U446="NOT FOUND","NOT FOUND",INDEX('6_3nf_branch_history'!$C:$C,SUMPRODUCT(('6_3nf_branch_history'!$A$2:$A$50=T446)*('6_3nf_branch_history'!$B$2:$B$50=U446)*ROW('6_3nf_branch_history'!$A$2:$A$50))))</f>
        <v/>
      </c>
      <c r="W446" s="2">
        <f>IF(U446="NOT FOUND","NOT FOUND",INDEX('6_3nf_branch_history'!$D:$D,SUMPRODUCT(('6_3nf_branch_history'!$A$2:$A$50=T446)*('6_3nf_branch_history'!$B$2:$B$50=U446)*ROW('6_3nf_branch_history'!$A$2:$A$50))))</f>
        <v/>
      </c>
      <c r="X446" s="2">
        <f>IF(U446="NOT FOUND","NOT FOUND",INDEX('6_3nf_branch_history'!$E:$E,SUMPRODUCT(('6_3nf_branch_history'!$A$2:$A$50=T446)*('6_3nf_branch_history'!$B$2:$B$50=U446)*ROW('6_3nf_branch_history'!$A$2:$A$50))))</f>
        <v/>
      </c>
      <c r="Y446" s="2">
        <f>UPPER(TRIM(D446))</f>
        <v/>
      </c>
      <c r="Z446" s="2">
        <f>IFERROR(INDEX('7_3nf_product'!$B:$B,MATCH(Y446,'7_3nf_product'!$A:$A,0)),"NOT FOUND")</f>
        <v/>
      </c>
      <c r="AA446" s="2">
        <f>IFERROR(INDEX('7_3nf_product'!$C:$C,MATCH(Y446,'7_3nf_product'!$A:$A,0)),"NOT FOUND")</f>
        <v/>
      </c>
      <c r="AB446" s="2">
        <f>IFERROR(INDEX('7_3nf_product'!$D:$D,MATCH(Y446,'7_3nf_product'!$A:$A,0)),"NOT FOUND")</f>
        <v/>
      </c>
      <c r="AC446" s="6">
        <f>IFERROR(INDEX('7_3nf_product'!$E:$E,MATCH(Y446,'7_3nf_product'!$A:$A,0)),"NOT FOUND")</f>
        <v/>
      </c>
      <c r="AD446" s="33">
        <f>IF(LEN(TRIM(E446))=10,TRIM(E446),IF(LEN(TRIM(E446))=8,"00"&amp;TRIM(E446),"CHECK"))</f>
        <v/>
      </c>
      <c r="AE446" s="2">
        <f>IFERROR(INDEX('8_3nf_customer'!$C:$C,MATCH(AD446,'8_3nf_customer'!$B:$B,0)),"NOT FOUND")</f>
        <v/>
      </c>
      <c r="AF446" s="30">
        <f>IFERROR(INDEX('8_3nf_customer'!$D:$D,MATCH(AD446,'8_3nf_customer'!$B:$B,0)),"NOT FOUND")</f>
        <v/>
      </c>
      <c r="AG446" s="4">
        <f>IF(ISNUMBER(AF446),DATEDIF(AF446,L446,"y"),"NOT FOUND")</f>
        <v/>
      </c>
      <c r="AH446" s="2">
        <f>IFERROR(INDEX('8_3nf_customer'!$E:$E,MATCH(AD446,'8_3nf_customer'!$B:$B,0)),"NOT FOUND")</f>
        <v/>
      </c>
      <c r="AI446" s="30">
        <f>IF(_xlfn.MAXIFS('9_3nf_customer_history'!$B$2:$B$500,'9_3nf_customer_history'!$A$2:$A$500,AD446,'9_3nf_customer_history'!$B$2:$B$500,"&lt;="&amp;L446)=0,"NOT FOUND",_xlfn.MAXIFS('9_3nf_customer_history'!$B$2:$B$500,'9_3nf_customer_history'!$A$2:$A$500,AD446,'9_3nf_customer_history'!$B$2:$B$500,"&lt;="&amp;L446))</f>
        <v/>
      </c>
      <c r="AJ446" s="2">
        <f>IF(AI446="NOT FOUND","NOT FOUND",INDEX('9_3nf_customer_history'!$C:$C,SUMPRODUCT(('9_3nf_customer_history'!$A$2:$A$500=AD446)*('9_3nf_customer_history'!$B$2:$B$500=AI446)*ROW('9_3nf_customer_history'!$A$2:$A$500))))</f>
        <v/>
      </c>
      <c r="AK446" s="2">
        <f>IF(AI446="NOT FOUND","NOT FOUND",INDEX('9_3nf_customer_history'!$D:$D,SUMPRODUCT(('9_3nf_customer_history'!$A$2:$A$500=AD446)*('9_3nf_customer_history'!$B$2:$B$500=AI446)*ROW('9_3nf_customer_history'!$A$2:$A$500))))</f>
        <v/>
      </c>
      <c r="AL446" s="2">
        <f>UPPER(TRIM(H446))</f>
        <v/>
      </c>
      <c r="AM446" s="30">
        <f>IF(_xlfn.MAXIFS('10_ref_fx_rate'!$B$2:$B$2000,'10_ref_fx_rate'!$A$2:$A$2000,AL446,'10_ref_fx_rate'!$B$2:$B$2000,"&lt;="&amp;L446)=0,"NOT FOUND",_xlfn.MAXIFS('10_ref_fx_rate'!$B$2:$B$2000,'10_ref_fx_rate'!$A$2:$A$2000,AL446,'10_ref_fx_rate'!$B$2:$B$2000,"&lt;="&amp;L446))</f>
        <v/>
      </c>
      <c r="AN446" s="8">
        <f>IF(AM446="NOT FOUND","NOT FOUND",SUMIFS('10_ref_fx_rate'!$D$2:$D$2000,'10_ref_fx_rate'!$A$2:$A$2000,AL446,'10_ref_fx_rate'!$B$2:$B$2000,AM446))</f>
        <v/>
      </c>
      <c r="AO446" s="37">
        <f>IF(ISNUMBER(AN446),I446*AN446,"NOT FOUND")</f>
        <v/>
      </c>
      <c r="AP446" s="2">
        <f>UPPER(TRIM(J446))</f>
        <v/>
      </c>
      <c r="AQ446" s="2">
        <f>IF(AP446="","SELF-DIRECTED",IF(ISNUMBER(MATCH(AP446,'11_3nf_sales_person'!$A:$A,0)),IF(EXACT(AP446,J446),"OK","OK (auto-fixed)"),IF(ISNA(MATCH($A446,'12_sales_person_confirmation'!$A:$A,0)),"CONFIRM (not logged)",IF(INDEX('12_sales_person_confirmation'!$I:$I,MATCH($A446,'12_sales_person_confirmation'!$A:$A,0))="CONFIRMED","CONFIRMED ("&amp;LOWER(INDEX('12_sales_person_confirmation'!$E:$E,MATCH($A446,'12_sales_person_confirmation'!$A:$A,0)))&amp;")","PENDING CONFIRM"))))</f>
        <v/>
      </c>
      <c r="AR446" s="2">
        <f>IF(OR(AQ446="OK",AQ446="OK (auto-fixed)"),AP446,IF(LEFT(AQ446,9)="CONFIRMED",INDEX('12_sales_person_confirmation'!$F:$F,MATCH($A446,'12_sales_person_confirmation'!$A:$A,0)),""))</f>
        <v/>
      </c>
      <c r="AS446" s="2">
        <f>IF(AR446="","",INDEX('11_3nf_sales_person'!$B:$B,MATCH(AR446,'11_3nf_sales_person'!$A:$A,0)))</f>
        <v/>
      </c>
    </row>
    <row r="447">
      <c r="A447" s="2">
        <f>IF(ISBLANK('1_raw_log'!A447),"",'1_raw_log'!A447)</f>
        <v/>
      </c>
      <c r="B447" s="3">
        <f>IF(ISBLANK('1_raw_log'!B447),"",'1_raw_log'!B447)</f>
        <v/>
      </c>
      <c r="C447" s="2">
        <f>IF(ISBLANK('1_raw_log'!C447),"",'1_raw_log'!C447)</f>
        <v/>
      </c>
      <c r="D447" s="2">
        <f>IF(ISBLANK('1_raw_log'!D447),"",'1_raw_log'!D447)</f>
        <v/>
      </c>
      <c r="E447" s="4">
        <f>IF(ISBLANK('1_raw_log'!E447),"",'1_raw_log'!E447)</f>
        <v/>
      </c>
      <c r="F447" s="2">
        <f>IF(ISBLANK('1_raw_log'!F447),"",'1_raw_log'!F447)</f>
        <v/>
      </c>
      <c r="G447" s="2">
        <f>IF(ISBLANK('1_raw_log'!G447),"",'1_raw_log'!G447)</f>
        <v/>
      </c>
      <c r="H447" s="2">
        <f>IF(ISBLANK('1_raw_log'!H447),"",'1_raw_log'!H447)</f>
        <v/>
      </c>
      <c r="I447" s="7">
        <f>IF(ISBLANK('1_raw_log'!I447),"",'1_raw_log'!I447)</f>
        <v/>
      </c>
      <c r="J447" s="2">
        <f>IF(ISBLANK('1_raw_log'!J447),"",'1_raw_log'!J447)</f>
        <v/>
      </c>
      <c r="K447" s="2">
        <f>IF(ISBLANK('1_raw_log'!K447),"",'1_raw_log'!K447)</f>
        <v/>
      </c>
      <c r="L447" s="30">
        <f>INT(B447)</f>
        <v/>
      </c>
      <c r="M447" s="20">
        <f>ROUND(MOD(B447,1)*1440,0)/1440</f>
        <v/>
      </c>
      <c r="N447" s="4">
        <f>IFERROR(INDEX('3_ref_date'!$B:$B,MATCH(L447,'3_ref_date'!$A:$A,0)),"NOT FOUND")</f>
        <v/>
      </c>
      <c r="O447" s="2">
        <f>IFERROR(INDEX('3_ref_date'!$C:$C,MATCH(L447,'3_ref_date'!$A:$A,0)),"NOT FOUND")</f>
        <v/>
      </c>
      <c r="P447" s="4">
        <f>IFERROR(INDEX('3_ref_date'!$D:$D,MATCH(L447,'3_ref_date'!$A:$A,0)),"NOT FOUND")</f>
        <v/>
      </c>
      <c r="Q447" s="4">
        <f>IFERROR(INDEX('3_ref_date'!$E:$E,MATCH(L447,'3_ref_date'!$A:$A,0)),"NOT FOUND")</f>
        <v/>
      </c>
      <c r="R447" s="2">
        <f>IFERROR(INDEX('3_ref_date'!$F:$F,MATCH(L447,'3_ref_date'!$A:$A,0)),"NOT FOUND")</f>
        <v/>
      </c>
      <c r="S447" s="2">
        <f>IFERROR(INDEX('4_ref_time'!$D:$D,MATCH(ROUND(M447*1440,0),'4_ref_time'!$A:$A,0)),"NOT FOUND")</f>
        <v/>
      </c>
      <c r="T447" s="2">
        <f>UPPER(TRIM(C447))</f>
        <v/>
      </c>
      <c r="U447" s="30">
        <f>IF(_xlfn.MAXIFS('6_3nf_branch_history'!$B$2:$B$50,'6_3nf_branch_history'!$A$2:$A$50,T447,'6_3nf_branch_history'!$B$2:$B$50,"&lt;="&amp;L447)=0,"NOT FOUND",_xlfn.MAXIFS('6_3nf_branch_history'!$B$2:$B$50,'6_3nf_branch_history'!$A$2:$A$50,T447,'6_3nf_branch_history'!$B$2:$B$50,"&lt;="&amp;L447))</f>
        <v/>
      </c>
      <c r="V447" s="2">
        <f>IF(U447="NOT FOUND","NOT FOUND",INDEX('6_3nf_branch_history'!$C:$C,SUMPRODUCT(('6_3nf_branch_history'!$A$2:$A$50=T447)*('6_3nf_branch_history'!$B$2:$B$50=U447)*ROW('6_3nf_branch_history'!$A$2:$A$50))))</f>
        <v/>
      </c>
      <c r="W447" s="2">
        <f>IF(U447="NOT FOUND","NOT FOUND",INDEX('6_3nf_branch_history'!$D:$D,SUMPRODUCT(('6_3nf_branch_history'!$A$2:$A$50=T447)*('6_3nf_branch_history'!$B$2:$B$50=U447)*ROW('6_3nf_branch_history'!$A$2:$A$50))))</f>
        <v/>
      </c>
      <c r="X447" s="2">
        <f>IF(U447="NOT FOUND","NOT FOUND",INDEX('6_3nf_branch_history'!$E:$E,SUMPRODUCT(('6_3nf_branch_history'!$A$2:$A$50=T447)*('6_3nf_branch_history'!$B$2:$B$50=U447)*ROW('6_3nf_branch_history'!$A$2:$A$50))))</f>
        <v/>
      </c>
      <c r="Y447" s="2">
        <f>UPPER(TRIM(D447))</f>
        <v/>
      </c>
      <c r="Z447" s="2">
        <f>IFERROR(INDEX('7_3nf_product'!$B:$B,MATCH(Y447,'7_3nf_product'!$A:$A,0)),"NOT FOUND")</f>
        <v/>
      </c>
      <c r="AA447" s="2">
        <f>IFERROR(INDEX('7_3nf_product'!$C:$C,MATCH(Y447,'7_3nf_product'!$A:$A,0)),"NOT FOUND")</f>
        <v/>
      </c>
      <c r="AB447" s="2">
        <f>IFERROR(INDEX('7_3nf_product'!$D:$D,MATCH(Y447,'7_3nf_product'!$A:$A,0)),"NOT FOUND")</f>
        <v/>
      </c>
      <c r="AC447" s="6">
        <f>IFERROR(INDEX('7_3nf_product'!$E:$E,MATCH(Y447,'7_3nf_product'!$A:$A,0)),"NOT FOUND")</f>
        <v/>
      </c>
      <c r="AD447" s="33">
        <f>IF(LEN(TRIM(E447))=10,TRIM(E447),IF(LEN(TRIM(E447))=8,"00"&amp;TRIM(E447),"CHECK"))</f>
        <v/>
      </c>
      <c r="AE447" s="2">
        <f>IFERROR(INDEX('8_3nf_customer'!$C:$C,MATCH(AD447,'8_3nf_customer'!$B:$B,0)),"NOT FOUND")</f>
        <v/>
      </c>
      <c r="AF447" s="30">
        <f>IFERROR(INDEX('8_3nf_customer'!$D:$D,MATCH(AD447,'8_3nf_customer'!$B:$B,0)),"NOT FOUND")</f>
        <v/>
      </c>
      <c r="AG447" s="4">
        <f>IF(ISNUMBER(AF447),DATEDIF(AF447,L447,"y"),"NOT FOUND")</f>
        <v/>
      </c>
      <c r="AH447" s="2">
        <f>IFERROR(INDEX('8_3nf_customer'!$E:$E,MATCH(AD447,'8_3nf_customer'!$B:$B,0)),"NOT FOUND")</f>
        <v/>
      </c>
      <c r="AI447" s="30">
        <f>IF(_xlfn.MAXIFS('9_3nf_customer_history'!$B$2:$B$500,'9_3nf_customer_history'!$A$2:$A$500,AD447,'9_3nf_customer_history'!$B$2:$B$500,"&lt;="&amp;L447)=0,"NOT FOUND",_xlfn.MAXIFS('9_3nf_customer_history'!$B$2:$B$500,'9_3nf_customer_history'!$A$2:$A$500,AD447,'9_3nf_customer_history'!$B$2:$B$500,"&lt;="&amp;L447))</f>
        <v/>
      </c>
      <c r="AJ447" s="2">
        <f>IF(AI447="NOT FOUND","NOT FOUND",INDEX('9_3nf_customer_history'!$C:$C,SUMPRODUCT(('9_3nf_customer_history'!$A$2:$A$500=AD447)*('9_3nf_customer_history'!$B$2:$B$500=AI447)*ROW('9_3nf_customer_history'!$A$2:$A$500))))</f>
        <v/>
      </c>
      <c r="AK447" s="2">
        <f>IF(AI447="NOT FOUND","NOT FOUND",INDEX('9_3nf_customer_history'!$D:$D,SUMPRODUCT(('9_3nf_customer_history'!$A$2:$A$500=AD447)*('9_3nf_customer_history'!$B$2:$B$500=AI447)*ROW('9_3nf_customer_history'!$A$2:$A$500))))</f>
        <v/>
      </c>
      <c r="AL447" s="2">
        <f>UPPER(TRIM(H447))</f>
        <v/>
      </c>
      <c r="AM447" s="30">
        <f>IF(_xlfn.MAXIFS('10_ref_fx_rate'!$B$2:$B$2000,'10_ref_fx_rate'!$A$2:$A$2000,AL447,'10_ref_fx_rate'!$B$2:$B$2000,"&lt;="&amp;L447)=0,"NOT FOUND",_xlfn.MAXIFS('10_ref_fx_rate'!$B$2:$B$2000,'10_ref_fx_rate'!$A$2:$A$2000,AL447,'10_ref_fx_rate'!$B$2:$B$2000,"&lt;="&amp;L447))</f>
        <v/>
      </c>
      <c r="AN447" s="8">
        <f>IF(AM447="NOT FOUND","NOT FOUND",SUMIFS('10_ref_fx_rate'!$D$2:$D$2000,'10_ref_fx_rate'!$A$2:$A$2000,AL447,'10_ref_fx_rate'!$B$2:$B$2000,AM447))</f>
        <v/>
      </c>
      <c r="AO447" s="37">
        <f>IF(ISNUMBER(AN447),I447*AN447,"NOT FOUND")</f>
        <v/>
      </c>
      <c r="AP447" s="2">
        <f>UPPER(TRIM(J447))</f>
        <v/>
      </c>
      <c r="AQ447" s="2">
        <f>IF(AP447="","SELF-DIRECTED",IF(ISNUMBER(MATCH(AP447,'11_3nf_sales_person'!$A:$A,0)),IF(EXACT(AP447,J447),"OK","OK (auto-fixed)"),IF(ISNA(MATCH($A447,'12_sales_person_confirmation'!$A:$A,0)),"CONFIRM (not logged)",IF(INDEX('12_sales_person_confirmation'!$I:$I,MATCH($A447,'12_sales_person_confirmation'!$A:$A,0))="CONFIRMED","CONFIRMED ("&amp;LOWER(INDEX('12_sales_person_confirmation'!$E:$E,MATCH($A447,'12_sales_person_confirmation'!$A:$A,0)))&amp;")","PENDING CONFIRM"))))</f>
        <v/>
      </c>
      <c r="AR447" s="2">
        <f>IF(OR(AQ447="OK",AQ447="OK (auto-fixed)"),AP447,IF(LEFT(AQ447,9)="CONFIRMED",INDEX('12_sales_person_confirmation'!$F:$F,MATCH($A447,'12_sales_person_confirmation'!$A:$A,0)),""))</f>
        <v/>
      </c>
      <c r="AS447" s="2">
        <f>IF(AR447="","",INDEX('11_3nf_sales_person'!$B:$B,MATCH(AR447,'11_3nf_sales_person'!$A:$A,0)))</f>
        <v/>
      </c>
    </row>
    <row r="448">
      <c r="A448" s="2">
        <f>IF(ISBLANK('1_raw_log'!A448),"",'1_raw_log'!A448)</f>
        <v/>
      </c>
      <c r="B448" s="3">
        <f>IF(ISBLANK('1_raw_log'!B448),"",'1_raw_log'!B448)</f>
        <v/>
      </c>
      <c r="C448" s="2">
        <f>IF(ISBLANK('1_raw_log'!C448),"",'1_raw_log'!C448)</f>
        <v/>
      </c>
      <c r="D448" s="2">
        <f>IF(ISBLANK('1_raw_log'!D448),"",'1_raw_log'!D448)</f>
        <v/>
      </c>
      <c r="E448" s="4">
        <f>IF(ISBLANK('1_raw_log'!E448),"",'1_raw_log'!E448)</f>
        <v/>
      </c>
      <c r="F448" s="2">
        <f>IF(ISBLANK('1_raw_log'!F448),"",'1_raw_log'!F448)</f>
        <v/>
      </c>
      <c r="G448" s="2">
        <f>IF(ISBLANK('1_raw_log'!G448),"",'1_raw_log'!G448)</f>
        <v/>
      </c>
      <c r="H448" s="2">
        <f>IF(ISBLANK('1_raw_log'!H448),"",'1_raw_log'!H448)</f>
        <v/>
      </c>
      <c r="I448" s="7">
        <f>IF(ISBLANK('1_raw_log'!I448),"",'1_raw_log'!I448)</f>
        <v/>
      </c>
      <c r="J448" s="2">
        <f>IF(ISBLANK('1_raw_log'!J448),"",'1_raw_log'!J448)</f>
        <v/>
      </c>
      <c r="K448" s="2">
        <f>IF(ISBLANK('1_raw_log'!K448),"",'1_raw_log'!K448)</f>
        <v/>
      </c>
      <c r="L448" s="30">
        <f>INT(B448)</f>
        <v/>
      </c>
      <c r="M448" s="20">
        <f>ROUND(MOD(B448,1)*1440,0)/1440</f>
        <v/>
      </c>
      <c r="N448" s="4">
        <f>IFERROR(INDEX('3_ref_date'!$B:$B,MATCH(L448,'3_ref_date'!$A:$A,0)),"NOT FOUND")</f>
        <v/>
      </c>
      <c r="O448" s="2">
        <f>IFERROR(INDEX('3_ref_date'!$C:$C,MATCH(L448,'3_ref_date'!$A:$A,0)),"NOT FOUND")</f>
        <v/>
      </c>
      <c r="P448" s="4">
        <f>IFERROR(INDEX('3_ref_date'!$D:$D,MATCH(L448,'3_ref_date'!$A:$A,0)),"NOT FOUND")</f>
        <v/>
      </c>
      <c r="Q448" s="4">
        <f>IFERROR(INDEX('3_ref_date'!$E:$E,MATCH(L448,'3_ref_date'!$A:$A,0)),"NOT FOUND")</f>
        <v/>
      </c>
      <c r="R448" s="2">
        <f>IFERROR(INDEX('3_ref_date'!$F:$F,MATCH(L448,'3_ref_date'!$A:$A,0)),"NOT FOUND")</f>
        <v/>
      </c>
      <c r="S448" s="2">
        <f>IFERROR(INDEX('4_ref_time'!$D:$D,MATCH(ROUND(M448*1440,0),'4_ref_time'!$A:$A,0)),"NOT FOUND")</f>
        <v/>
      </c>
      <c r="T448" s="2">
        <f>UPPER(TRIM(C448))</f>
        <v/>
      </c>
      <c r="U448" s="30">
        <f>IF(_xlfn.MAXIFS('6_3nf_branch_history'!$B$2:$B$50,'6_3nf_branch_history'!$A$2:$A$50,T448,'6_3nf_branch_history'!$B$2:$B$50,"&lt;="&amp;L448)=0,"NOT FOUND",_xlfn.MAXIFS('6_3nf_branch_history'!$B$2:$B$50,'6_3nf_branch_history'!$A$2:$A$50,T448,'6_3nf_branch_history'!$B$2:$B$50,"&lt;="&amp;L448))</f>
        <v/>
      </c>
      <c r="V448" s="2">
        <f>IF(U448="NOT FOUND","NOT FOUND",INDEX('6_3nf_branch_history'!$C:$C,SUMPRODUCT(('6_3nf_branch_history'!$A$2:$A$50=T448)*('6_3nf_branch_history'!$B$2:$B$50=U448)*ROW('6_3nf_branch_history'!$A$2:$A$50))))</f>
        <v/>
      </c>
      <c r="W448" s="2">
        <f>IF(U448="NOT FOUND","NOT FOUND",INDEX('6_3nf_branch_history'!$D:$D,SUMPRODUCT(('6_3nf_branch_history'!$A$2:$A$50=T448)*('6_3nf_branch_history'!$B$2:$B$50=U448)*ROW('6_3nf_branch_history'!$A$2:$A$50))))</f>
        <v/>
      </c>
      <c r="X448" s="2">
        <f>IF(U448="NOT FOUND","NOT FOUND",INDEX('6_3nf_branch_history'!$E:$E,SUMPRODUCT(('6_3nf_branch_history'!$A$2:$A$50=T448)*('6_3nf_branch_history'!$B$2:$B$50=U448)*ROW('6_3nf_branch_history'!$A$2:$A$50))))</f>
        <v/>
      </c>
      <c r="Y448" s="2">
        <f>UPPER(TRIM(D448))</f>
        <v/>
      </c>
      <c r="Z448" s="2">
        <f>IFERROR(INDEX('7_3nf_product'!$B:$B,MATCH(Y448,'7_3nf_product'!$A:$A,0)),"NOT FOUND")</f>
        <v/>
      </c>
      <c r="AA448" s="2">
        <f>IFERROR(INDEX('7_3nf_product'!$C:$C,MATCH(Y448,'7_3nf_product'!$A:$A,0)),"NOT FOUND")</f>
        <v/>
      </c>
      <c r="AB448" s="2">
        <f>IFERROR(INDEX('7_3nf_product'!$D:$D,MATCH(Y448,'7_3nf_product'!$A:$A,0)),"NOT FOUND")</f>
        <v/>
      </c>
      <c r="AC448" s="6">
        <f>IFERROR(INDEX('7_3nf_product'!$E:$E,MATCH(Y448,'7_3nf_product'!$A:$A,0)),"NOT FOUND")</f>
        <v/>
      </c>
      <c r="AD448" s="33">
        <f>IF(LEN(TRIM(E448))=10,TRIM(E448),IF(LEN(TRIM(E448))=8,"00"&amp;TRIM(E448),"CHECK"))</f>
        <v/>
      </c>
      <c r="AE448" s="2">
        <f>IFERROR(INDEX('8_3nf_customer'!$C:$C,MATCH(AD448,'8_3nf_customer'!$B:$B,0)),"NOT FOUND")</f>
        <v/>
      </c>
      <c r="AF448" s="30">
        <f>IFERROR(INDEX('8_3nf_customer'!$D:$D,MATCH(AD448,'8_3nf_customer'!$B:$B,0)),"NOT FOUND")</f>
        <v/>
      </c>
      <c r="AG448" s="4">
        <f>IF(ISNUMBER(AF448),DATEDIF(AF448,L448,"y"),"NOT FOUND")</f>
        <v/>
      </c>
      <c r="AH448" s="2">
        <f>IFERROR(INDEX('8_3nf_customer'!$E:$E,MATCH(AD448,'8_3nf_customer'!$B:$B,0)),"NOT FOUND")</f>
        <v/>
      </c>
      <c r="AI448" s="30">
        <f>IF(_xlfn.MAXIFS('9_3nf_customer_history'!$B$2:$B$500,'9_3nf_customer_history'!$A$2:$A$500,AD448,'9_3nf_customer_history'!$B$2:$B$500,"&lt;="&amp;L448)=0,"NOT FOUND",_xlfn.MAXIFS('9_3nf_customer_history'!$B$2:$B$500,'9_3nf_customer_history'!$A$2:$A$500,AD448,'9_3nf_customer_history'!$B$2:$B$500,"&lt;="&amp;L448))</f>
        <v/>
      </c>
      <c r="AJ448" s="2">
        <f>IF(AI448="NOT FOUND","NOT FOUND",INDEX('9_3nf_customer_history'!$C:$C,SUMPRODUCT(('9_3nf_customer_history'!$A$2:$A$500=AD448)*('9_3nf_customer_history'!$B$2:$B$500=AI448)*ROW('9_3nf_customer_history'!$A$2:$A$500))))</f>
        <v/>
      </c>
      <c r="AK448" s="2">
        <f>IF(AI448="NOT FOUND","NOT FOUND",INDEX('9_3nf_customer_history'!$D:$D,SUMPRODUCT(('9_3nf_customer_history'!$A$2:$A$500=AD448)*('9_3nf_customer_history'!$B$2:$B$500=AI448)*ROW('9_3nf_customer_history'!$A$2:$A$500))))</f>
        <v/>
      </c>
      <c r="AL448" s="2">
        <f>UPPER(TRIM(H448))</f>
        <v/>
      </c>
      <c r="AM448" s="30">
        <f>IF(_xlfn.MAXIFS('10_ref_fx_rate'!$B$2:$B$2000,'10_ref_fx_rate'!$A$2:$A$2000,AL448,'10_ref_fx_rate'!$B$2:$B$2000,"&lt;="&amp;L448)=0,"NOT FOUND",_xlfn.MAXIFS('10_ref_fx_rate'!$B$2:$B$2000,'10_ref_fx_rate'!$A$2:$A$2000,AL448,'10_ref_fx_rate'!$B$2:$B$2000,"&lt;="&amp;L448))</f>
        <v/>
      </c>
      <c r="AN448" s="8">
        <f>IF(AM448="NOT FOUND","NOT FOUND",SUMIFS('10_ref_fx_rate'!$D$2:$D$2000,'10_ref_fx_rate'!$A$2:$A$2000,AL448,'10_ref_fx_rate'!$B$2:$B$2000,AM448))</f>
        <v/>
      </c>
      <c r="AO448" s="37">
        <f>IF(ISNUMBER(AN448),I448*AN448,"NOT FOUND")</f>
        <v/>
      </c>
      <c r="AP448" s="2">
        <f>UPPER(TRIM(J448))</f>
        <v/>
      </c>
      <c r="AQ448" s="2">
        <f>IF(AP448="","SELF-DIRECTED",IF(ISNUMBER(MATCH(AP448,'11_3nf_sales_person'!$A:$A,0)),IF(EXACT(AP448,J448),"OK","OK (auto-fixed)"),IF(ISNA(MATCH($A448,'12_sales_person_confirmation'!$A:$A,0)),"CONFIRM (not logged)",IF(INDEX('12_sales_person_confirmation'!$I:$I,MATCH($A448,'12_sales_person_confirmation'!$A:$A,0))="CONFIRMED","CONFIRMED ("&amp;LOWER(INDEX('12_sales_person_confirmation'!$E:$E,MATCH($A448,'12_sales_person_confirmation'!$A:$A,0)))&amp;")","PENDING CONFIRM"))))</f>
        <v/>
      </c>
      <c r="AR448" s="2">
        <f>IF(OR(AQ448="OK",AQ448="OK (auto-fixed)"),AP448,IF(LEFT(AQ448,9)="CONFIRMED",INDEX('12_sales_person_confirmation'!$F:$F,MATCH($A448,'12_sales_person_confirmation'!$A:$A,0)),""))</f>
        <v/>
      </c>
      <c r="AS448" s="2">
        <f>IF(AR448="","",INDEX('11_3nf_sales_person'!$B:$B,MATCH(AR448,'11_3nf_sales_person'!$A:$A,0)))</f>
        <v/>
      </c>
    </row>
    <row r="449">
      <c r="A449" s="2">
        <f>IF(ISBLANK('1_raw_log'!A449),"",'1_raw_log'!A449)</f>
        <v/>
      </c>
      <c r="B449" s="3">
        <f>IF(ISBLANK('1_raw_log'!B449),"",'1_raw_log'!B449)</f>
        <v/>
      </c>
      <c r="C449" s="2">
        <f>IF(ISBLANK('1_raw_log'!C449),"",'1_raw_log'!C449)</f>
        <v/>
      </c>
      <c r="D449" s="2">
        <f>IF(ISBLANK('1_raw_log'!D449),"",'1_raw_log'!D449)</f>
        <v/>
      </c>
      <c r="E449" s="4">
        <f>IF(ISBLANK('1_raw_log'!E449),"",'1_raw_log'!E449)</f>
        <v/>
      </c>
      <c r="F449" s="2">
        <f>IF(ISBLANK('1_raw_log'!F449),"",'1_raw_log'!F449)</f>
        <v/>
      </c>
      <c r="G449" s="2">
        <f>IF(ISBLANK('1_raw_log'!G449),"",'1_raw_log'!G449)</f>
        <v/>
      </c>
      <c r="H449" s="2">
        <f>IF(ISBLANK('1_raw_log'!H449),"",'1_raw_log'!H449)</f>
        <v/>
      </c>
      <c r="I449" s="7">
        <f>IF(ISBLANK('1_raw_log'!I449),"",'1_raw_log'!I449)</f>
        <v/>
      </c>
      <c r="J449" s="2">
        <f>IF(ISBLANK('1_raw_log'!J449),"",'1_raw_log'!J449)</f>
        <v/>
      </c>
      <c r="K449" s="2">
        <f>IF(ISBLANK('1_raw_log'!K449),"",'1_raw_log'!K449)</f>
        <v/>
      </c>
      <c r="L449" s="30">
        <f>INT(B449)</f>
        <v/>
      </c>
      <c r="M449" s="20">
        <f>ROUND(MOD(B449,1)*1440,0)/1440</f>
        <v/>
      </c>
      <c r="N449" s="4">
        <f>IFERROR(INDEX('3_ref_date'!$B:$B,MATCH(L449,'3_ref_date'!$A:$A,0)),"NOT FOUND")</f>
        <v/>
      </c>
      <c r="O449" s="2">
        <f>IFERROR(INDEX('3_ref_date'!$C:$C,MATCH(L449,'3_ref_date'!$A:$A,0)),"NOT FOUND")</f>
        <v/>
      </c>
      <c r="P449" s="4">
        <f>IFERROR(INDEX('3_ref_date'!$D:$D,MATCH(L449,'3_ref_date'!$A:$A,0)),"NOT FOUND")</f>
        <v/>
      </c>
      <c r="Q449" s="4">
        <f>IFERROR(INDEX('3_ref_date'!$E:$E,MATCH(L449,'3_ref_date'!$A:$A,0)),"NOT FOUND")</f>
        <v/>
      </c>
      <c r="R449" s="2">
        <f>IFERROR(INDEX('3_ref_date'!$F:$F,MATCH(L449,'3_ref_date'!$A:$A,0)),"NOT FOUND")</f>
        <v/>
      </c>
      <c r="S449" s="2">
        <f>IFERROR(INDEX('4_ref_time'!$D:$D,MATCH(ROUND(M449*1440,0),'4_ref_time'!$A:$A,0)),"NOT FOUND")</f>
        <v/>
      </c>
      <c r="T449" s="2">
        <f>UPPER(TRIM(C449))</f>
        <v/>
      </c>
      <c r="U449" s="30">
        <f>IF(_xlfn.MAXIFS('6_3nf_branch_history'!$B$2:$B$50,'6_3nf_branch_history'!$A$2:$A$50,T449,'6_3nf_branch_history'!$B$2:$B$50,"&lt;="&amp;L449)=0,"NOT FOUND",_xlfn.MAXIFS('6_3nf_branch_history'!$B$2:$B$50,'6_3nf_branch_history'!$A$2:$A$50,T449,'6_3nf_branch_history'!$B$2:$B$50,"&lt;="&amp;L449))</f>
        <v/>
      </c>
      <c r="V449" s="2">
        <f>IF(U449="NOT FOUND","NOT FOUND",INDEX('6_3nf_branch_history'!$C:$C,SUMPRODUCT(('6_3nf_branch_history'!$A$2:$A$50=T449)*('6_3nf_branch_history'!$B$2:$B$50=U449)*ROW('6_3nf_branch_history'!$A$2:$A$50))))</f>
        <v/>
      </c>
      <c r="W449" s="2">
        <f>IF(U449="NOT FOUND","NOT FOUND",INDEX('6_3nf_branch_history'!$D:$D,SUMPRODUCT(('6_3nf_branch_history'!$A$2:$A$50=T449)*('6_3nf_branch_history'!$B$2:$B$50=U449)*ROW('6_3nf_branch_history'!$A$2:$A$50))))</f>
        <v/>
      </c>
      <c r="X449" s="2">
        <f>IF(U449="NOT FOUND","NOT FOUND",INDEX('6_3nf_branch_history'!$E:$E,SUMPRODUCT(('6_3nf_branch_history'!$A$2:$A$50=T449)*('6_3nf_branch_history'!$B$2:$B$50=U449)*ROW('6_3nf_branch_history'!$A$2:$A$50))))</f>
        <v/>
      </c>
      <c r="Y449" s="2">
        <f>UPPER(TRIM(D449))</f>
        <v/>
      </c>
      <c r="Z449" s="2">
        <f>IFERROR(INDEX('7_3nf_product'!$B:$B,MATCH(Y449,'7_3nf_product'!$A:$A,0)),"NOT FOUND")</f>
        <v/>
      </c>
      <c r="AA449" s="2">
        <f>IFERROR(INDEX('7_3nf_product'!$C:$C,MATCH(Y449,'7_3nf_product'!$A:$A,0)),"NOT FOUND")</f>
        <v/>
      </c>
      <c r="AB449" s="2">
        <f>IFERROR(INDEX('7_3nf_product'!$D:$D,MATCH(Y449,'7_3nf_product'!$A:$A,0)),"NOT FOUND")</f>
        <v/>
      </c>
      <c r="AC449" s="6">
        <f>IFERROR(INDEX('7_3nf_product'!$E:$E,MATCH(Y449,'7_3nf_product'!$A:$A,0)),"NOT FOUND")</f>
        <v/>
      </c>
      <c r="AD449" s="33">
        <f>IF(LEN(TRIM(E449))=10,TRIM(E449),IF(LEN(TRIM(E449))=8,"00"&amp;TRIM(E449),"CHECK"))</f>
        <v/>
      </c>
      <c r="AE449" s="2">
        <f>IFERROR(INDEX('8_3nf_customer'!$C:$C,MATCH(AD449,'8_3nf_customer'!$B:$B,0)),"NOT FOUND")</f>
        <v/>
      </c>
      <c r="AF449" s="30">
        <f>IFERROR(INDEX('8_3nf_customer'!$D:$D,MATCH(AD449,'8_3nf_customer'!$B:$B,0)),"NOT FOUND")</f>
        <v/>
      </c>
      <c r="AG449" s="4">
        <f>IF(ISNUMBER(AF449),DATEDIF(AF449,L449,"y"),"NOT FOUND")</f>
        <v/>
      </c>
      <c r="AH449" s="2">
        <f>IFERROR(INDEX('8_3nf_customer'!$E:$E,MATCH(AD449,'8_3nf_customer'!$B:$B,0)),"NOT FOUND")</f>
        <v/>
      </c>
      <c r="AI449" s="30">
        <f>IF(_xlfn.MAXIFS('9_3nf_customer_history'!$B$2:$B$500,'9_3nf_customer_history'!$A$2:$A$500,AD449,'9_3nf_customer_history'!$B$2:$B$500,"&lt;="&amp;L449)=0,"NOT FOUND",_xlfn.MAXIFS('9_3nf_customer_history'!$B$2:$B$500,'9_3nf_customer_history'!$A$2:$A$500,AD449,'9_3nf_customer_history'!$B$2:$B$500,"&lt;="&amp;L449))</f>
        <v/>
      </c>
      <c r="AJ449" s="2">
        <f>IF(AI449="NOT FOUND","NOT FOUND",INDEX('9_3nf_customer_history'!$C:$C,SUMPRODUCT(('9_3nf_customer_history'!$A$2:$A$500=AD449)*('9_3nf_customer_history'!$B$2:$B$500=AI449)*ROW('9_3nf_customer_history'!$A$2:$A$500))))</f>
        <v/>
      </c>
      <c r="AK449" s="2">
        <f>IF(AI449="NOT FOUND","NOT FOUND",INDEX('9_3nf_customer_history'!$D:$D,SUMPRODUCT(('9_3nf_customer_history'!$A$2:$A$500=AD449)*('9_3nf_customer_history'!$B$2:$B$500=AI449)*ROW('9_3nf_customer_history'!$A$2:$A$500))))</f>
        <v/>
      </c>
      <c r="AL449" s="2">
        <f>UPPER(TRIM(H449))</f>
        <v/>
      </c>
      <c r="AM449" s="30">
        <f>IF(_xlfn.MAXIFS('10_ref_fx_rate'!$B$2:$B$2000,'10_ref_fx_rate'!$A$2:$A$2000,AL449,'10_ref_fx_rate'!$B$2:$B$2000,"&lt;="&amp;L449)=0,"NOT FOUND",_xlfn.MAXIFS('10_ref_fx_rate'!$B$2:$B$2000,'10_ref_fx_rate'!$A$2:$A$2000,AL449,'10_ref_fx_rate'!$B$2:$B$2000,"&lt;="&amp;L449))</f>
        <v/>
      </c>
      <c r="AN449" s="8">
        <f>IF(AM449="NOT FOUND","NOT FOUND",SUMIFS('10_ref_fx_rate'!$D$2:$D$2000,'10_ref_fx_rate'!$A$2:$A$2000,AL449,'10_ref_fx_rate'!$B$2:$B$2000,AM449))</f>
        <v/>
      </c>
      <c r="AO449" s="37">
        <f>IF(ISNUMBER(AN449),I449*AN449,"NOT FOUND")</f>
        <v/>
      </c>
      <c r="AP449" s="2">
        <f>UPPER(TRIM(J449))</f>
        <v/>
      </c>
      <c r="AQ449" s="2">
        <f>IF(AP449="","SELF-DIRECTED",IF(ISNUMBER(MATCH(AP449,'11_3nf_sales_person'!$A:$A,0)),IF(EXACT(AP449,J449),"OK","OK (auto-fixed)"),IF(ISNA(MATCH($A449,'12_sales_person_confirmation'!$A:$A,0)),"CONFIRM (not logged)",IF(INDEX('12_sales_person_confirmation'!$I:$I,MATCH($A449,'12_sales_person_confirmation'!$A:$A,0))="CONFIRMED","CONFIRMED ("&amp;LOWER(INDEX('12_sales_person_confirmation'!$E:$E,MATCH($A449,'12_sales_person_confirmation'!$A:$A,0)))&amp;")","PENDING CONFIRM"))))</f>
        <v/>
      </c>
      <c r="AR449" s="2">
        <f>IF(OR(AQ449="OK",AQ449="OK (auto-fixed)"),AP449,IF(LEFT(AQ449,9)="CONFIRMED",INDEX('12_sales_person_confirmation'!$F:$F,MATCH($A449,'12_sales_person_confirmation'!$A:$A,0)),""))</f>
        <v/>
      </c>
      <c r="AS449" s="2">
        <f>IF(AR449="","",INDEX('11_3nf_sales_person'!$B:$B,MATCH(AR449,'11_3nf_sales_person'!$A:$A,0)))</f>
        <v/>
      </c>
    </row>
    <row r="450">
      <c r="A450" s="2">
        <f>IF(ISBLANK('1_raw_log'!A450),"",'1_raw_log'!A450)</f>
        <v/>
      </c>
      <c r="B450" s="3">
        <f>IF(ISBLANK('1_raw_log'!B450),"",'1_raw_log'!B450)</f>
        <v/>
      </c>
      <c r="C450" s="2">
        <f>IF(ISBLANK('1_raw_log'!C450),"",'1_raw_log'!C450)</f>
        <v/>
      </c>
      <c r="D450" s="2">
        <f>IF(ISBLANK('1_raw_log'!D450),"",'1_raw_log'!D450)</f>
        <v/>
      </c>
      <c r="E450" s="4">
        <f>IF(ISBLANK('1_raw_log'!E450),"",'1_raw_log'!E450)</f>
        <v/>
      </c>
      <c r="F450" s="2">
        <f>IF(ISBLANK('1_raw_log'!F450),"",'1_raw_log'!F450)</f>
        <v/>
      </c>
      <c r="G450" s="2">
        <f>IF(ISBLANK('1_raw_log'!G450),"",'1_raw_log'!G450)</f>
        <v/>
      </c>
      <c r="H450" s="2">
        <f>IF(ISBLANK('1_raw_log'!H450),"",'1_raw_log'!H450)</f>
        <v/>
      </c>
      <c r="I450" s="7">
        <f>IF(ISBLANK('1_raw_log'!I450),"",'1_raw_log'!I450)</f>
        <v/>
      </c>
      <c r="J450" s="2">
        <f>IF(ISBLANK('1_raw_log'!J450),"",'1_raw_log'!J450)</f>
        <v/>
      </c>
      <c r="K450" s="2">
        <f>IF(ISBLANK('1_raw_log'!K450),"",'1_raw_log'!K450)</f>
        <v/>
      </c>
      <c r="L450" s="30">
        <f>INT(B450)</f>
        <v/>
      </c>
      <c r="M450" s="20">
        <f>ROUND(MOD(B450,1)*1440,0)/1440</f>
        <v/>
      </c>
      <c r="N450" s="4">
        <f>IFERROR(INDEX('3_ref_date'!$B:$B,MATCH(L450,'3_ref_date'!$A:$A,0)),"NOT FOUND")</f>
        <v/>
      </c>
      <c r="O450" s="2">
        <f>IFERROR(INDEX('3_ref_date'!$C:$C,MATCH(L450,'3_ref_date'!$A:$A,0)),"NOT FOUND")</f>
        <v/>
      </c>
      <c r="P450" s="4">
        <f>IFERROR(INDEX('3_ref_date'!$D:$D,MATCH(L450,'3_ref_date'!$A:$A,0)),"NOT FOUND")</f>
        <v/>
      </c>
      <c r="Q450" s="4">
        <f>IFERROR(INDEX('3_ref_date'!$E:$E,MATCH(L450,'3_ref_date'!$A:$A,0)),"NOT FOUND")</f>
        <v/>
      </c>
      <c r="R450" s="2">
        <f>IFERROR(INDEX('3_ref_date'!$F:$F,MATCH(L450,'3_ref_date'!$A:$A,0)),"NOT FOUND")</f>
        <v/>
      </c>
      <c r="S450" s="2">
        <f>IFERROR(INDEX('4_ref_time'!$D:$D,MATCH(ROUND(M450*1440,0),'4_ref_time'!$A:$A,0)),"NOT FOUND")</f>
        <v/>
      </c>
      <c r="T450" s="2">
        <f>UPPER(TRIM(C450))</f>
        <v/>
      </c>
      <c r="U450" s="30">
        <f>IF(_xlfn.MAXIFS('6_3nf_branch_history'!$B$2:$B$50,'6_3nf_branch_history'!$A$2:$A$50,T450,'6_3nf_branch_history'!$B$2:$B$50,"&lt;="&amp;L450)=0,"NOT FOUND",_xlfn.MAXIFS('6_3nf_branch_history'!$B$2:$B$50,'6_3nf_branch_history'!$A$2:$A$50,T450,'6_3nf_branch_history'!$B$2:$B$50,"&lt;="&amp;L450))</f>
        <v/>
      </c>
      <c r="V450" s="2">
        <f>IF(U450="NOT FOUND","NOT FOUND",INDEX('6_3nf_branch_history'!$C:$C,SUMPRODUCT(('6_3nf_branch_history'!$A$2:$A$50=T450)*('6_3nf_branch_history'!$B$2:$B$50=U450)*ROW('6_3nf_branch_history'!$A$2:$A$50))))</f>
        <v/>
      </c>
      <c r="W450" s="2">
        <f>IF(U450="NOT FOUND","NOT FOUND",INDEX('6_3nf_branch_history'!$D:$D,SUMPRODUCT(('6_3nf_branch_history'!$A$2:$A$50=T450)*('6_3nf_branch_history'!$B$2:$B$50=U450)*ROW('6_3nf_branch_history'!$A$2:$A$50))))</f>
        <v/>
      </c>
      <c r="X450" s="2">
        <f>IF(U450="NOT FOUND","NOT FOUND",INDEX('6_3nf_branch_history'!$E:$E,SUMPRODUCT(('6_3nf_branch_history'!$A$2:$A$50=T450)*('6_3nf_branch_history'!$B$2:$B$50=U450)*ROW('6_3nf_branch_history'!$A$2:$A$50))))</f>
        <v/>
      </c>
      <c r="Y450" s="2">
        <f>UPPER(TRIM(D450))</f>
        <v/>
      </c>
      <c r="Z450" s="2">
        <f>IFERROR(INDEX('7_3nf_product'!$B:$B,MATCH(Y450,'7_3nf_product'!$A:$A,0)),"NOT FOUND")</f>
        <v/>
      </c>
      <c r="AA450" s="2">
        <f>IFERROR(INDEX('7_3nf_product'!$C:$C,MATCH(Y450,'7_3nf_product'!$A:$A,0)),"NOT FOUND")</f>
        <v/>
      </c>
      <c r="AB450" s="2">
        <f>IFERROR(INDEX('7_3nf_product'!$D:$D,MATCH(Y450,'7_3nf_product'!$A:$A,0)),"NOT FOUND")</f>
        <v/>
      </c>
      <c r="AC450" s="6">
        <f>IFERROR(INDEX('7_3nf_product'!$E:$E,MATCH(Y450,'7_3nf_product'!$A:$A,0)),"NOT FOUND")</f>
        <v/>
      </c>
      <c r="AD450" s="33">
        <f>IF(LEN(TRIM(E450))=10,TRIM(E450),IF(LEN(TRIM(E450))=8,"00"&amp;TRIM(E450),"CHECK"))</f>
        <v/>
      </c>
      <c r="AE450" s="2">
        <f>IFERROR(INDEX('8_3nf_customer'!$C:$C,MATCH(AD450,'8_3nf_customer'!$B:$B,0)),"NOT FOUND")</f>
        <v/>
      </c>
      <c r="AF450" s="30">
        <f>IFERROR(INDEX('8_3nf_customer'!$D:$D,MATCH(AD450,'8_3nf_customer'!$B:$B,0)),"NOT FOUND")</f>
        <v/>
      </c>
      <c r="AG450" s="4">
        <f>IF(ISNUMBER(AF450),DATEDIF(AF450,L450,"y"),"NOT FOUND")</f>
        <v/>
      </c>
      <c r="AH450" s="2">
        <f>IFERROR(INDEX('8_3nf_customer'!$E:$E,MATCH(AD450,'8_3nf_customer'!$B:$B,0)),"NOT FOUND")</f>
        <v/>
      </c>
      <c r="AI450" s="30">
        <f>IF(_xlfn.MAXIFS('9_3nf_customer_history'!$B$2:$B$500,'9_3nf_customer_history'!$A$2:$A$500,AD450,'9_3nf_customer_history'!$B$2:$B$500,"&lt;="&amp;L450)=0,"NOT FOUND",_xlfn.MAXIFS('9_3nf_customer_history'!$B$2:$B$500,'9_3nf_customer_history'!$A$2:$A$500,AD450,'9_3nf_customer_history'!$B$2:$B$500,"&lt;="&amp;L450))</f>
        <v/>
      </c>
      <c r="AJ450" s="2">
        <f>IF(AI450="NOT FOUND","NOT FOUND",INDEX('9_3nf_customer_history'!$C:$C,SUMPRODUCT(('9_3nf_customer_history'!$A$2:$A$500=AD450)*('9_3nf_customer_history'!$B$2:$B$500=AI450)*ROW('9_3nf_customer_history'!$A$2:$A$500))))</f>
        <v/>
      </c>
      <c r="AK450" s="2">
        <f>IF(AI450="NOT FOUND","NOT FOUND",INDEX('9_3nf_customer_history'!$D:$D,SUMPRODUCT(('9_3nf_customer_history'!$A$2:$A$500=AD450)*('9_3nf_customer_history'!$B$2:$B$500=AI450)*ROW('9_3nf_customer_history'!$A$2:$A$500))))</f>
        <v/>
      </c>
      <c r="AL450" s="2">
        <f>UPPER(TRIM(H450))</f>
        <v/>
      </c>
      <c r="AM450" s="30">
        <f>IF(_xlfn.MAXIFS('10_ref_fx_rate'!$B$2:$B$2000,'10_ref_fx_rate'!$A$2:$A$2000,AL450,'10_ref_fx_rate'!$B$2:$B$2000,"&lt;="&amp;L450)=0,"NOT FOUND",_xlfn.MAXIFS('10_ref_fx_rate'!$B$2:$B$2000,'10_ref_fx_rate'!$A$2:$A$2000,AL450,'10_ref_fx_rate'!$B$2:$B$2000,"&lt;="&amp;L450))</f>
        <v/>
      </c>
      <c r="AN450" s="8">
        <f>IF(AM450="NOT FOUND","NOT FOUND",SUMIFS('10_ref_fx_rate'!$D$2:$D$2000,'10_ref_fx_rate'!$A$2:$A$2000,AL450,'10_ref_fx_rate'!$B$2:$B$2000,AM450))</f>
        <v/>
      </c>
      <c r="AO450" s="37">
        <f>IF(ISNUMBER(AN450),I450*AN450,"NOT FOUND")</f>
        <v/>
      </c>
      <c r="AP450" s="2">
        <f>UPPER(TRIM(J450))</f>
        <v/>
      </c>
      <c r="AQ450" s="2">
        <f>IF(AP450="","SELF-DIRECTED",IF(ISNUMBER(MATCH(AP450,'11_3nf_sales_person'!$A:$A,0)),IF(EXACT(AP450,J450),"OK","OK (auto-fixed)"),IF(ISNA(MATCH($A450,'12_sales_person_confirmation'!$A:$A,0)),"CONFIRM (not logged)",IF(INDEX('12_sales_person_confirmation'!$I:$I,MATCH($A450,'12_sales_person_confirmation'!$A:$A,0))="CONFIRMED","CONFIRMED ("&amp;LOWER(INDEX('12_sales_person_confirmation'!$E:$E,MATCH($A450,'12_sales_person_confirmation'!$A:$A,0)))&amp;")","PENDING CONFIRM"))))</f>
        <v/>
      </c>
      <c r="AR450" s="2">
        <f>IF(OR(AQ450="OK",AQ450="OK (auto-fixed)"),AP450,IF(LEFT(AQ450,9)="CONFIRMED",INDEX('12_sales_person_confirmation'!$F:$F,MATCH($A450,'12_sales_person_confirmation'!$A:$A,0)),""))</f>
        <v/>
      </c>
      <c r="AS450" s="2">
        <f>IF(AR450="","",INDEX('11_3nf_sales_person'!$B:$B,MATCH(AR450,'11_3nf_sales_person'!$A:$A,0)))</f>
        <v/>
      </c>
    </row>
    <row r="451">
      <c r="A451" s="2">
        <f>IF(ISBLANK('1_raw_log'!A451),"",'1_raw_log'!A451)</f>
        <v/>
      </c>
      <c r="B451" s="3">
        <f>IF(ISBLANK('1_raw_log'!B451),"",'1_raw_log'!B451)</f>
        <v/>
      </c>
      <c r="C451" s="2">
        <f>IF(ISBLANK('1_raw_log'!C451),"",'1_raw_log'!C451)</f>
        <v/>
      </c>
      <c r="D451" s="2">
        <f>IF(ISBLANK('1_raw_log'!D451),"",'1_raw_log'!D451)</f>
        <v/>
      </c>
      <c r="E451" s="4">
        <f>IF(ISBLANK('1_raw_log'!E451),"",'1_raw_log'!E451)</f>
        <v/>
      </c>
      <c r="F451" s="2">
        <f>IF(ISBLANK('1_raw_log'!F451),"",'1_raw_log'!F451)</f>
        <v/>
      </c>
      <c r="G451" s="2">
        <f>IF(ISBLANK('1_raw_log'!G451),"",'1_raw_log'!G451)</f>
        <v/>
      </c>
      <c r="H451" s="2">
        <f>IF(ISBLANK('1_raw_log'!H451),"",'1_raw_log'!H451)</f>
        <v/>
      </c>
      <c r="I451" s="7">
        <f>IF(ISBLANK('1_raw_log'!I451),"",'1_raw_log'!I451)</f>
        <v/>
      </c>
      <c r="J451" s="2">
        <f>IF(ISBLANK('1_raw_log'!J451),"",'1_raw_log'!J451)</f>
        <v/>
      </c>
      <c r="K451" s="2">
        <f>IF(ISBLANK('1_raw_log'!K451),"",'1_raw_log'!K451)</f>
        <v/>
      </c>
      <c r="L451" s="30">
        <f>INT(B451)</f>
        <v/>
      </c>
      <c r="M451" s="20">
        <f>ROUND(MOD(B451,1)*1440,0)/1440</f>
        <v/>
      </c>
      <c r="N451" s="4">
        <f>IFERROR(INDEX('3_ref_date'!$B:$B,MATCH(L451,'3_ref_date'!$A:$A,0)),"NOT FOUND")</f>
        <v/>
      </c>
      <c r="O451" s="2">
        <f>IFERROR(INDEX('3_ref_date'!$C:$C,MATCH(L451,'3_ref_date'!$A:$A,0)),"NOT FOUND")</f>
        <v/>
      </c>
      <c r="P451" s="4">
        <f>IFERROR(INDEX('3_ref_date'!$D:$D,MATCH(L451,'3_ref_date'!$A:$A,0)),"NOT FOUND")</f>
        <v/>
      </c>
      <c r="Q451" s="4">
        <f>IFERROR(INDEX('3_ref_date'!$E:$E,MATCH(L451,'3_ref_date'!$A:$A,0)),"NOT FOUND")</f>
        <v/>
      </c>
      <c r="R451" s="2">
        <f>IFERROR(INDEX('3_ref_date'!$F:$F,MATCH(L451,'3_ref_date'!$A:$A,0)),"NOT FOUND")</f>
        <v/>
      </c>
      <c r="S451" s="2">
        <f>IFERROR(INDEX('4_ref_time'!$D:$D,MATCH(ROUND(M451*1440,0),'4_ref_time'!$A:$A,0)),"NOT FOUND")</f>
        <v/>
      </c>
      <c r="T451" s="2">
        <f>UPPER(TRIM(C451))</f>
        <v/>
      </c>
      <c r="U451" s="30">
        <f>IF(_xlfn.MAXIFS('6_3nf_branch_history'!$B$2:$B$50,'6_3nf_branch_history'!$A$2:$A$50,T451,'6_3nf_branch_history'!$B$2:$B$50,"&lt;="&amp;L451)=0,"NOT FOUND",_xlfn.MAXIFS('6_3nf_branch_history'!$B$2:$B$50,'6_3nf_branch_history'!$A$2:$A$50,T451,'6_3nf_branch_history'!$B$2:$B$50,"&lt;="&amp;L451))</f>
        <v/>
      </c>
      <c r="V451" s="2">
        <f>IF(U451="NOT FOUND","NOT FOUND",INDEX('6_3nf_branch_history'!$C:$C,SUMPRODUCT(('6_3nf_branch_history'!$A$2:$A$50=T451)*('6_3nf_branch_history'!$B$2:$B$50=U451)*ROW('6_3nf_branch_history'!$A$2:$A$50))))</f>
        <v/>
      </c>
      <c r="W451" s="2">
        <f>IF(U451="NOT FOUND","NOT FOUND",INDEX('6_3nf_branch_history'!$D:$D,SUMPRODUCT(('6_3nf_branch_history'!$A$2:$A$50=T451)*('6_3nf_branch_history'!$B$2:$B$50=U451)*ROW('6_3nf_branch_history'!$A$2:$A$50))))</f>
        <v/>
      </c>
      <c r="X451" s="2">
        <f>IF(U451="NOT FOUND","NOT FOUND",INDEX('6_3nf_branch_history'!$E:$E,SUMPRODUCT(('6_3nf_branch_history'!$A$2:$A$50=T451)*('6_3nf_branch_history'!$B$2:$B$50=U451)*ROW('6_3nf_branch_history'!$A$2:$A$50))))</f>
        <v/>
      </c>
      <c r="Y451" s="2">
        <f>UPPER(TRIM(D451))</f>
        <v/>
      </c>
      <c r="Z451" s="2">
        <f>IFERROR(INDEX('7_3nf_product'!$B:$B,MATCH(Y451,'7_3nf_product'!$A:$A,0)),"NOT FOUND")</f>
        <v/>
      </c>
      <c r="AA451" s="2">
        <f>IFERROR(INDEX('7_3nf_product'!$C:$C,MATCH(Y451,'7_3nf_product'!$A:$A,0)),"NOT FOUND")</f>
        <v/>
      </c>
      <c r="AB451" s="2">
        <f>IFERROR(INDEX('7_3nf_product'!$D:$D,MATCH(Y451,'7_3nf_product'!$A:$A,0)),"NOT FOUND")</f>
        <v/>
      </c>
      <c r="AC451" s="6">
        <f>IFERROR(INDEX('7_3nf_product'!$E:$E,MATCH(Y451,'7_3nf_product'!$A:$A,0)),"NOT FOUND")</f>
        <v/>
      </c>
      <c r="AD451" s="33">
        <f>IF(LEN(TRIM(E451))=10,TRIM(E451),IF(LEN(TRIM(E451))=8,"00"&amp;TRIM(E451),"CHECK"))</f>
        <v/>
      </c>
      <c r="AE451" s="2">
        <f>IFERROR(INDEX('8_3nf_customer'!$C:$C,MATCH(AD451,'8_3nf_customer'!$B:$B,0)),"NOT FOUND")</f>
        <v/>
      </c>
      <c r="AF451" s="30">
        <f>IFERROR(INDEX('8_3nf_customer'!$D:$D,MATCH(AD451,'8_3nf_customer'!$B:$B,0)),"NOT FOUND")</f>
        <v/>
      </c>
      <c r="AG451" s="4">
        <f>IF(ISNUMBER(AF451),DATEDIF(AF451,L451,"y"),"NOT FOUND")</f>
        <v/>
      </c>
      <c r="AH451" s="2">
        <f>IFERROR(INDEX('8_3nf_customer'!$E:$E,MATCH(AD451,'8_3nf_customer'!$B:$B,0)),"NOT FOUND")</f>
        <v/>
      </c>
      <c r="AI451" s="30">
        <f>IF(_xlfn.MAXIFS('9_3nf_customer_history'!$B$2:$B$500,'9_3nf_customer_history'!$A$2:$A$500,AD451,'9_3nf_customer_history'!$B$2:$B$500,"&lt;="&amp;L451)=0,"NOT FOUND",_xlfn.MAXIFS('9_3nf_customer_history'!$B$2:$B$500,'9_3nf_customer_history'!$A$2:$A$500,AD451,'9_3nf_customer_history'!$B$2:$B$500,"&lt;="&amp;L451))</f>
        <v/>
      </c>
      <c r="AJ451" s="2">
        <f>IF(AI451="NOT FOUND","NOT FOUND",INDEX('9_3nf_customer_history'!$C:$C,SUMPRODUCT(('9_3nf_customer_history'!$A$2:$A$500=AD451)*('9_3nf_customer_history'!$B$2:$B$500=AI451)*ROW('9_3nf_customer_history'!$A$2:$A$500))))</f>
        <v/>
      </c>
      <c r="AK451" s="2">
        <f>IF(AI451="NOT FOUND","NOT FOUND",INDEX('9_3nf_customer_history'!$D:$D,SUMPRODUCT(('9_3nf_customer_history'!$A$2:$A$500=AD451)*('9_3nf_customer_history'!$B$2:$B$500=AI451)*ROW('9_3nf_customer_history'!$A$2:$A$500))))</f>
        <v/>
      </c>
      <c r="AL451" s="2">
        <f>UPPER(TRIM(H451))</f>
        <v/>
      </c>
      <c r="AM451" s="30">
        <f>IF(_xlfn.MAXIFS('10_ref_fx_rate'!$B$2:$B$2000,'10_ref_fx_rate'!$A$2:$A$2000,AL451,'10_ref_fx_rate'!$B$2:$B$2000,"&lt;="&amp;L451)=0,"NOT FOUND",_xlfn.MAXIFS('10_ref_fx_rate'!$B$2:$B$2000,'10_ref_fx_rate'!$A$2:$A$2000,AL451,'10_ref_fx_rate'!$B$2:$B$2000,"&lt;="&amp;L451))</f>
        <v/>
      </c>
      <c r="AN451" s="8">
        <f>IF(AM451="NOT FOUND","NOT FOUND",SUMIFS('10_ref_fx_rate'!$D$2:$D$2000,'10_ref_fx_rate'!$A$2:$A$2000,AL451,'10_ref_fx_rate'!$B$2:$B$2000,AM451))</f>
        <v/>
      </c>
      <c r="AO451" s="37">
        <f>IF(ISNUMBER(AN451),I451*AN451,"NOT FOUND")</f>
        <v/>
      </c>
      <c r="AP451" s="2">
        <f>UPPER(TRIM(J451))</f>
        <v/>
      </c>
      <c r="AQ451" s="2">
        <f>IF(AP451="","SELF-DIRECTED",IF(ISNUMBER(MATCH(AP451,'11_3nf_sales_person'!$A:$A,0)),IF(EXACT(AP451,J451),"OK","OK (auto-fixed)"),IF(ISNA(MATCH($A451,'12_sales_person_confirmation'!$A:$A,0)),"CONFIRM (not logged)",IF(INDEX('12_sales_person_confirmation'!$I:$I,MATCH($A451,'12_sales_person_confirmation'!$A:$A,0))="CONFIRMED","CONFIRMED ("&amp;LOWER(INDEX('12_sales_person_confirmation'!$E:$E,MATCH($A451,'12_sales_person_confirmation'!$A:$A,0)))&amp;")","PENDING CONFIRM"))))</f>
        <v/>
      </c>
      <c r="AR451" s="2">
        <f>IF(OR(AQ451="OK",AQ451="OK (auto-fixed)"),AP451,IF(LEFT(AQ451,9)="CONFIRMED",INDEX('12_sales_person_confirmation'!$F:$F,MATCH($A451,'12_sales_person_confirmation'!$A:$A,0)),""))</f>
        <v/>
      </c>
      <c r="AS451" s="2">
        <f>IF(AR451="","",INDEX('11_3nf_sales_person'!$B:$B,MATCH(AR451,'11_3nf_sales_person'!$A:$A,0)))</f>
        <v/>
      </c>
    </row>
    <row r="452">
      <c r="A452" s="2">
        <f>IF(ISBLANK('1_raw_log'!A452),"",'1_raw_log'!A452)</f>
        <v/>
      </c>
      <c r="B452" s="3">
        <f>IF(ISBLANK('1_raw_log'!B452),"",'1_raw_log'!B452)</f>
        <v/>
      </c>
      <c r="C452" s="2">
        <f>IF(ISBLANK('1_raw_log'!C452),"",'1_raw_log'!C452)</f>
        <v/>
      </c>
      <c r="D452" s="2">
        <f>IF(ISBLANK('1_raw_log'!D452),"",'1_raw_log'!D452)</f>
        <v/>
      </c>
      <c r="E452" s="4">
        <f>IF(ISBLANK('1_raw_log'!E452),"",'1_raw_log'!E452)</f>
        <v/>
      </c>
      <c r="F452" s="2">
        <f>IF(ISBLANK('1_raw_log'!F452),"",'1_raw_log'!F452)</f>
        <v/>
      </c>
      <c r="G452" s="2">
        <f>IF(ISBLANK('1_raw_log'!G452),"",'1_raw_log'!G452)</f>
        <v/>
      </c>
      <c r="H452" s="2">
        <f>IF(ISBLANK('1_raw_log'!H452),"",'1_raw_log'!H452)</f>
        <v/>
      </c>
      <c r="I452" s="7">
        <f>IF(ISBLANK('1_raw_log'!I452),"",'1_raw_log'!I452)</f>
        <v/>
      </c>
      <c r="J452" s="2">
        <f>IF(ISBLANK('1_raw_log'!J452),"",'1_raw_log'!J452)</f>
        <v/>
      </c>
      <c r="K452" s="2">
        <f>IF(ISBLANK('1_raw_log'!K452),"",'1_raw_log'!K452)</f>
        <v/>
      </c>
      <c r="L452" s="30">
        <f>INT(B452)</f>
        <v/>
      </c>
      <c r="M452" s="20">
        <f>ROUND(MOD(B452,1)*1440,0)/1440</f>
        <v/>
      </c>
      <c r="N452" s="4">
        <f>IFERROR(INDEX('3_ref_date'!$B:$B,MATCH(L452,'3_ref_date'!$A:$A,0)),"NOT FOUND")</f>
        <v/>
      </c>
      <c r="O452" s="2">
        <f>IFERROR(INDEX('3_ref_date'!$C:$C,MATCH(L452,'3_ref_date'!$A:$A,0)),"NOT FOUND")</f>
        <v/>
      </c>
      <c r="P452" s="4">
        <f>IFERROR(INDEX('3_ref_date'!$D:$D,MATCH(L452,'3_ref_date'!$A:$A,0)),"NOT FOUND")</f>
        <v/>
      </c>
      <c r="Q452" s="4">
        <f>IFERROR(INDEX('3_ref_date'!$E:$E,MATCH(L452,'3_ref_date'!$A:$A,0)),"NOT FOUND")</f>
        <v/>
      </c>
      <c r="R452" s="2">
        <f>IFERROR(INDEX('3_ref_date'!$F:$F,MATCH(L452,'3_ref_date'!$A:$A,0)),"NOT FOUND")</f>
        <v/>
      </c>
      <c r="S452" s="2">
        <f>IFERROR(INDEX('4_ref_time'!$D:$D,MATCH(ROUND(M452*1440,0),'4_ref_time'!$A:$A,0)),"NOT FOUND")</f>
        <v/>
      </c>
      <c r="T452" s="2">
        <f>UPPER(TRIM(C452))</f>
        <v/>
      </c>
      <c r="U452" s="30">
        <f>IF(_xlfn.MAXIFS('6_3nf_branch_history'!$B$2:$B$50,'6_3nf_branch_history'!$A$2:$A$50,T452,'6_3nf_branch_history'!$B$2:$B$50,"&lt;="&amp;L452)=0,"NOT FOUND",_xlfn.MAXIFS('6_3nf_branch_history'!$B$2:$B$50,'6_3nf_branch_history'!$A$2:$A$50,T452,'6_3nf_branch_history'!$B$2:$B$50,"&lt;="&amp;L452))</f>
        <v/>
      </c>
      <c r="V452" s="2">
        <f>IF(U452="NOT FOUND","NOT FOUND",INDEX('6_3nf_branch_history'!$C:$C,SUMPRODUCT(('6_3nf_branch_history'!$A$2:$A$50=T452)*('6_3nf_branch_history'!$B$2:$B$50=U452)*ROW('6_3nf_branch_history'!$A$2:$A$50))))</f>
        <v/>
      </c>
      <c r="W452" s="2">
        <f>IF(U452="NOT FOUND","NOT FOUND",INDEX('6_3nf_branch_history'!$D:$D,SUMPRODUCT(('6_3nf_branch_history'!$A$2:$A$50=T452)*('6_3nf_branch_history'!$B$2:$B$50=U452)*ROW('6_3nf_branch_history'!$A$2:$A$50))))</f>
        <v/>
      </c>
      <c r="X452" s="2">
        <f>IF(U452="NOT FOUND","NOT FOUND",INDEX('6_3nf_branch_history'!$E:$E,SUMPRODUCT(('6_3nf_branch_history'!$A$2:$A$50=T452)*('6_3nf_branch_history'!$B$2:$B$50=U452)*ROW('6_3nf_branch_history'!$A$2:$A$50))))</f>
        <v/>
      </c>
      <c r="Y452" s="2">
        <f>UPPER(TRIM(D452))</f>
        <v/>
      </c>
      <c r="Z452" s="2">
        <f>IFERROR(INDEX('7_3nf_product'!$B:$B,MATCH(Y452,'7_3nf_product'!$A:$A,0)),"NOT FOUND")</f>
        <v/>
      </c>
      <c r="AA452" s="2">
        <f>IFERROR(INDEX('7_3nf_product'!$C:$C,MATCH(Y452,'7_3nf_product'!$A:$A,0)),"NOT FOUND")</f>
        <v/>
      </c>
      <c r="AB452" s="2">
        <f>IFERROR(INDEX('7_3nf_product'!$D:$D,MATCH(Y452,'7_3nf_product'!$A:$A,0)),"NOT FOUND")</f>
        <v/>
      </c>
      <c r="AC452" s="6">
        <f>IFERROR(INDEX('7_3nf_product'!$E:$E,MATCH(Y452,'7_3nf_product'!$A:$A,0)),"NOT FOUND")</f>
        <v/>
      </c>
      <c r="AD452" s="33">
        <f>IF(LEN(TRIM(E452))=10,TRIM(E452),IF(LEN(TRIM(E452))=8,"00"&amp;TRIM(E452),"CHECK"))</f>
        <v/>
      </c>
      <c r="AE452" s="2">
        <f>IFERROR(INDEX('8_3nf_customer'!$C:$C,MATCH(AD452,'8_3nf_customer'!$B:$B,0)),"NOT FOUND")</f>
        <v/>
      </c>
      <c r="AF452" s="30">
        <f>IFERROR(INDEX('8_3nf_customer'!$D:$D,MATCH(AD452,'8_3nf_customer'!$B:$B,0)),"NOT FOUND")</f>
        <v/>
      </c>
      <c r="AG452" s="4">
        <f>IF(ISNUMBER(AF452),DATEDIF(AF452,L452,"y"),"NOT FOUND")</f>
        <v/>
      </c>
      <c r="AH452" s="2">
        <f>IFERROR(INDEX('8_3nf_customer'!$E:$E,MATCH(AD452,'8_3nf_customer'!$B:$B,0)),"NOT FOUND")</f>
        <v/>
      </c>
      <c r="AI452" s="30">
        <f>IF(_xlfn.MAXIFS('9_3nf_customer_history'!$B$2:$B$500,'9_3nf_customer_history'!$A$2:$A$500,AD452,'9_3nf_customer_history'!$B$2:$B$500,"&lt;="&amp;L452)=0,"NOT FOUND",_xlfn.MAXIFS('9_3nf_customer_history'!$B$2:$B$500,'9_3nf_customer_history'!$A$2:$A$500,AD452,'9_3nf_customer_history'!$B$2:$B$500,"&lt;="&amp;L452))</f>
        <v/>
      </c>
      <c r="AJ452" s="2">
        <f>IF(AI452="NOT FOUND","NOT FOUND",INDEX('9_3nf_customer_history'!$C:$C,SUMPRODUCT(('9_3nf_customer_history'!$A$2:$A$500=AD452)*('9_3nf_customer_history'!$B$2:$B$500=AI452)*ROW('9_3nf_customer_history'!$A$2:$A$500))))</f>
        <v/>
      </c>
      <c r="AK452" s="2">
        <f>IF(AI452="NOT FOUND","NOT FOUND",INDEX('9_3nf_customer_history'!$D:$D,SUMPRODUCT(('9_3nf_customer_history'!$A$2:$A$500=AD452)*('9_3nf_customer_history'!$B$2:$B$500=AI452)*ROW('9_3nf_customer_history'!$A$2:$A$500))))</f>
        <v/>
      </c>
      <c r="AL452" s="2">
        <f>UPPER(TRIM(H452))</f>
        <v/>
      </c>
      <c r="AM452" s="30">
        <f>IF(_xlfn.MAXIFS('10_ref_fx_rate'!$B$2:$B$2000,'10_ref_fx_rate'!$A$2:$A$2000,AL452,'10_ref_fx_rate'!$B$2:$B$2000,"&lt;="&amp;L452)=0,"NOT FOUND",_xlfn.MAXIFS('10_ref_fx_rate'!$B$2:$B$2000,'10_ref_fx_rate'!$A$2:$A$2000,AL452,'10_ref_fx_rate'!$B$2:$B$2000,"&lt;="&amp;L452))</f>
        <v/>
      </c>
      <c r="AN452" s="8">
        <f>IF(AM452="NOT FOUND","NOT FOUND",SUMIFS('10_ref_fx_rate'!$D$2:$D$2000,'10_ref_fx_rate'!$A$2:$A$2000,AL452,'10_ref_fx_rate'!$B$2:$B$2000,AM452))</f>
        <v/>
      </c>
      <c r="AO452" s="37">
        <f>IF(ISNUMBER(AN452),I452*AN452,"NOT FOUND")</f>
        <v/>
      </c>
      <c r="AP452" s="2">
        <f>UPPER(TRIM(J452))</f>
        <v/>
      </c>
      <c r="AQ452" s="2">
        <f>IF(AP452="","SELF-DIRECTED",IF(ISNUMBER(MATCH(AP452,'11_3nf_sales_person'!$A:$A,0)),IF(EXACT(AP452,J452),"OK","OK (auto-fixed)"),IF(ISNA(MATCH($A452,'12_sales_person_confirmation'!$A:$A,0)),"CONFIRM (not logged)",IF(INDEX('12_sales_person_confirmation'!$I:$I,MATCH($A452,'12_sales_person_confirmation'!$A:$A,0))="CONFIRMED","CONFIRMED ("&amp;LOWER(INDEX('12_sales_person_confirmation'!$E:$E,MATCH($A452,'12_sales_person_confirmation'!$A:$A,0)))&amp;")","PENDING CONFIRM"))))</f>
        <v/>
      </c>
      <c r="AR452" s="2">
        <f>IF(OR(AQ452="OK",AQ452="OK (auto-fixed)"),AP452,IF(LEFT(AQ452,9)="CONFIRMED",INDEX('12_sales_person_confirmation'!$F:$F,MATCH($A452,'12_sales_person_confirmation'!$A:$A,0)),""))</f>
        <v/>
      </c>
      <c r="AS452" s="2">
        <f>IF(AR452="","",INDEX('11_3nf_sales_person'!$B:$B,MATCH(AR452,'11_3nf_sales_person'!$A:$A,0)))</f>
        <v/>
      </c>
    </row>
    <row r="453">
      <c r="A453" s="2">
        <f>IF(ISBLANK('1_raw_log'!A453),"",'1_raw_log'!A453)</f>
        <v/>
      </c>
      <c r="B453" s="3">
        <f>IF(ISBLANK('1_raw_log'!B453),"",'1_raw_log'!B453)</f>
        <v/>
      </c>
      <c r="C453" s="2">
        <f>IF(ISBLANK('1_raw_log'!C453),"",'1_raw_log'!C453)</f>
        <v/>
      </c>
      <c r="D453" s="2">
        <f>IF(ISBLANK('1_raw_log'!D453),"",'1_raw_log'!D453)</f>
        <v/>
      </c>
      <c r="E453" s="4">
        <f>IF(ISBLANK('1_raw_log'!E453),"",'1_raw_log'!E453)</f>
        <v/>
      </c>
      <c r="F453" s="2">
        <f>IF(ISBLANK('1_raw_log'!F453),"",'1_raw_log'!F453)</f>
        <v/>
      </c>
      <c r="G453" s="2">
        <f>IF(ISBLANK('1_raw_log'!G453),"",'1_raw_log'!G453)</f>
        <v/>
      </c>
      <c r="H453" s="2">
        <f>IF(ISBLANK('1_raw_log'!H453),"",'1_raw_log'!H453)</f>
        <v/>
      </c>
      <c r="I453" s="7">
        <f>IF(ISBLANK('1_raw_log'!I453),"",'1_raw_log'!I453)</f>
        <v/>
      </c>
      <c r="J453" s="2">
        <f>IF(ISBLANK('1_raw_log'!J453),"",'1_raw_log'!J453)</f>
        <v/>
      </c>
      <c r="K453" s="2">
        <f>IF(ISBLANK('1_raw_log'!K453),"",'1_raw_log'!K453)</f>
        <v/>
      </c>
      <c r="L453" s="30">
        <f>INT(B453)</f>
        <v/>
      </c>
      <c r="M453" s="20">
        <f>ROUND(MOD(B453,1)*1440,0)/1440</f>
        <v/>
      </c>
      <c r="N453" s="4">
        <f>IFERROR(INDEX('3_ref_date'!$B:$B,MATCH(L453,'3_ref_date'!$A:$A,0)),"NOT FOUND")</f>
        <v/>
      </c>
      <c r="O453" s="2">
        <f>IFERROR(INDEX('3_ref_date'!$C:$C,MATCH(L453,'3_ref_date'!$A:$A,0)),"NOT FOUND")</f>
        <v/>
      </c>
      <c r="P453" s="4">
        <f>IFERROR(INDEX('3_ref_date'!$D:$D,MATCH(L453,'3_ref_date'!$A:$A,0)),"NOT FOUND")</f>
        <v/>
      </c>
      <c r="Q453" s="4">
        <f>IFERROR(INDEX('3_ref_date'!$E:$E,MATCH(L453,'3_ref_date'!$A:$A,0)),"NOT FOUND")</f>
        <v/>
      </c>
      <c r="R453" s="2">
        <f>IFERROR(INDEX('3_ref_date'!$F:$F,MATCH(L453,'3_ref_date'!$A:$A,0)),"NOT FOUND")</f>
        <v/>
      </c>
      <c r="S453" s="2">
        <f>IFERROR(INDEX('4_ref_time'!$D:$D,MATCH(ROUND(M453*1440,0),'4_ref_time'!$A:$A,0)),"NOT FOUND")</f>
        <v/>
      </c>
      <c r="T453" s="2">
        <f>UPPER(TRIM(C453))</f>
        <v/>
      </c>
      <c r="U453" s="30">
        <f>IF(_xlfn.MAXIFS('6_3nf_branch_history'!$B$2:$B$50,'6_3nf_branch_history'!$A$2:$A$50,T453,'6_3nf_branch_history'!$B$2:$B$50,"&lt;="&amp;L453)=0,"NOT FOUND",_xlfn.MAXIFS('6_3nf_branch_history'!$B$2:$B$50,'6_3nf_branch_history'!$A$2:$A$50,T453,'6_3nf_branch_history'!$B$2:$B$50,"&lt;="&amp;L453))</f>
        <v/>
      </c>
      <c r="V453" s="2">
        <f>IF(U453="NOT FOUND","NOT FOUND",INDEX('6_3nf_branch_history'!$C:$C,SUMPRODUCT(('6_3nf_branch_history'!$A$2:$A$50=T453)*('6_3nf_branch_history'!$B$2:$B$50=U453)*ROW('6_3nf_branch_history'!$A$2:$A$50))))</f>
        <v/>
      </c>
      <c r="W453" s="2">
        <f>IF(U453="NOT FOUND","NOT FOUND",INDEX('6_3nf_branch_history'!$D:$D,SUMPRODUCT(('6_3nf_branch_history'!$A$2:$A$50=T453)*('6_3nf_branch_history'!$B$2:$B$50=U453)*ROW('6_3nf_branch_history'!$A$2:$A$50))))</f>
        <v/>
      </c>
      <c r="X453" s="2">
        <f>IF(U453="NOT FOUND","NOT FOUND",INDEX('6_3nf_branch_history'!$E:$E,SUMPRODUCT(('6_3nf_branch_history'!$A$2:$A$50=T453)*('6_3nf_branch_history'!$B$2:$B$50=U453)*ROW('6_3nf_branch_history'!$A$2:$A$50))))</f>
        <v/>
      </c>
      <c r="Y453" s="2">
        <f>UPPER(TRIM(D453))</f>
        <v/>
      </c>
      <c r="Z453" s="2">
        <f>IFERROR(INDEX('7_3nf_product'!$B:$B,MATCH(Y453,'7_3nf_product'!$A:$A,0)),"NOT FOUND")</f>
        <v/>
      </c>
      <c r="AA453" s="2">
        <f>IFERROR(INDEX('7_3nf_product'!$C:$C,MATCH(Y453,'7_3nf_product'!$A:$A,0)),"NOT FOUND")</f>
        <v/>
      </c>
      <c r="AB453" s="2">
        <f>IFERROR(INDEX('7_3nf_product'!$D:$D,MATCH(Y453,'7_3nf_product'!$A:$A,0)),"NOT FOUND")</f>
        <v/>
      </c>
      <c r="AC453" s="6">
        <f>IFERROR(INDEX('7_3nf_product'!$E:$E,MATCH(Y453,'7_3nf_product'!$A:$A,0)),"NOT FOUND")</f>
        <v/>
      </c>
      <c r="AD453" s="33">
        <f>IF(LEN(TRIM(E453))=10,TRIM(E453),IF(LEN(TRIM(E453))=8,"00"&amp;TRIM(E453),"CHECK"))</f>
        <v/>
      </c>
      <c r="AE453" s="2">
        <f>IFERROR(INDEX('8_3nf_customer'!$C:$C,MATCH(AD453,'8_3nf_customer'!$B:$B,0)),"NOT FOUND")</f>
        <v/>
      </c>
      <c r="AF453" s="30">
        <f>IFERROR(INDEX('8_3nf_customer'!$D:$D,MATCH(AD453,'8_3nf_customer'!$B:$B,0)),"NOT FOUND")</f>
        <v/>
      </c>
      <c r="AG453" s="4">
        <f>IF(ISNUMBER(AF453),DATEDIF(AF453,L453,"y"),"NOT FOUND")</f>
        <v/>
      </c>
      <c r="AH453" s="2">
        <f>IFERROR(INDEX('8_3nf_customer'!$E:$E,MATCH(AD453,'8_3nf_customer'!$B:$B,0)),"NOT FOUND")</f>
        <v/>
      </c>
      <c r="AI453" s="30">
        <f>IF(_xlfn.MAXIFS('9_3nf_customer_history'!$B$2:$B$500,'9_3nf_customer_history'!$A$2:$A$500,AD453,'9_3nf_customer_history'!$B$2:$B$500,"&lt;="&amp;L453)=0,"NOT FOUND",_xlfn.MAXIFS('9_3nf_customer_history'!$B$2:$B$500,'9_3nf_customer_history'!$A$2:$A$500,AD453,'9_3nf_customer_history'!$B$2:$B$500,"&lt;="&amp;L453))</f>
        <v/>
      </c>
      <c r="AJ453" s="2">
        <f>IF(AI453="NOT FOUND","NOT FOUND",INDEX('9_3nf_customer_history'!$C:$C,SUMPRODUCT(('9_3nf_customer_history'!$A$2:$A$500=AD453)*('9_3nf_customer_history'!$B$2:$B$500=AI453)*ROW('9_3nf_customer_history'!$A$2:$A$500))))</f>
        <v/>
      </c>
      <c r="AK453" s="2">
        <f>IF(AI453="NOT FOUND","NOT FOUND",INDEX('9_3nf_customer_history'!$D:$D,SUMPRODUCT(('9_3nf_customer_history'!$A$2:$A$500=AD453)*('9_3nf_customer_history'!$B$2:$B$500=AI453)*ROW('9_3nf_customer_history'!$A$2:$A$500))))</f>
        <v/>
      </c>
      <c r="AL453" s="2">
        <f>UPPER(TRIM(H453))</f>
        <v/>
      </c>
      <c r="AM453" s="30">
        <f>IF(_xlfn.MAXIFS('10_ref_fx_rate'!$B$2:$B$2000,'10_ref_fx_rate'!$A$2:$A$2000,AL453,'10_ref_fx_rate'!$B$2:$B$2000,"&lt;="&amp;L453)=0,"NOT FOUND",_xlfn.MAXIFS('10_ref_fx_rate'!$B$2:$B$2000,'10_ref_fx_rate'!$A$2:$A$2000,AL453,'10_ref_fx_rate'!$B$2:$B$2000,"&lt;="&amp;L453))</f>
        <v/>
      </c>
      <c r="AN453" s="8">
        <f>IF(AM453="NOT FOUND","NOT FOUND",SUMIFS('10_ref_fx_rate'!$D$2:$D$2000,'10_ref_fx_rate'!$A$2:$A$2000,AL453,'10_ref_fx_rate'!$B$2:$B$2000,AM453))</f>
        <v/>
      </c>
      <c r="AO453" s="37">
        <f>IF(ISNUMBER(AN453),I453*AN453,"NOT FOUND")</f>
        <v/>
      </c>
      <c r="AP453" s="2">
        <f>UPPER(TRIM(J453))</f>
        <v/>
      </c>
      <c r="AQ453" s="2">
        <f>IF(AP453="","SELF-DIRECTED",IF(ISNUMBER(MATCH(AP453,'11_3nf_sales_person'!$A:$A,0)),IF(EXACT(AP453,J453),"OK","OK (auto-fixed)"),IF(ISNA(MATCH($A453,'12_sales_person_confirmation'!$A:$A,0)),"CONFIRM (not logged)",IF(INDEX('12_sales_person_confirmation'!$I:$I,MATCH($A453,'12_sales_person_confirmation'!$A:$A,0))="CONFIRMED","CONFIRMED ("&amp;LOWER(INDEX('12_sales_person_confirmation'!$E:$E,MATCH($A453,'12_sales_person_confirmation'!$A:$A,0)))&amp;")","PENDING CONFIRM"))))</f>
        <v/>
      </c>
      <c r="AR453" s="2">
        <f>IF(OR(AQ453="OK",AQ453="OK (auto-fixed)"),AP453,IF(LEFT(AQ453,9)="CONFIRMED",INDEX('12_sales_person_confirmation'!$F:$F,MATCH($A453,'12_sales_person_confirmation'!$A:$A,0)),""))</f>
        <v/>
      </c>
      <c r="AS453" s="2">
        <f>IF(AR453="","",INDEX('11_3nf_sales_person'!$B:$B,MATCH(AR453,'11_3nf_sales_person'!$A:$A,0)))</f>
        <v/>
      </c>
    </row>
    <row r="454">
      <c r="A454" s="2">
        <f>IF(ISBLANK('1_raw_log'!A454),"",'1_raw_log'!A454)</f>
        <v/>
      </c>
      <c r="B454" s="3">
        <f>IF(ISBLANK('1_raw_log'!B454),"",'1_raw_log'!B454)</f>
        <v/>
      </c>
      <c r="C454" s="2">
        <f>IF(ISBLANK('1_raw_log'!C454),"",'1_raw_log'!C454)</f>
        <v/>
      </c>
      <c r="D454" s="2">
        <f>IF(ISBLANK('1_raw_log'!D454),"",'1_raw_log'!D454)</f>
        <v/>
      </c>
      <c r="E454" s="4">
        <f>IF(ISBLANK('1_raw_log'!E454),"",'1_raw_log'!E454)</f>
        <v/>
      </c>
      <c r="F454" s="2">
        <f>IF(ISBLANK('1_raw_log'!F454),"",'1_raw_log'!F454)</f>
        <v/>
      </c>
      <c r="G454" s="2">
        <f>IF(ISBLANK('1_raw_log'!G454),"",'1_raw_log'!G454)</f>
        <v/>
      </c>
      <c r="H454" s="2">
        <f>IF(ISBLANK('1_raw_log'!H454),"",'1_raw_log'!H454)</f>
        <v/>
      </c>
      <c r="I454" s="7">
        <f>IF(ISBLANK('1_raw_log'!I454),"",'1_raw_log'!I454)</f>
        <v/>
      </c>
      <c r="J454" s="2">
        <f>IF(ISBLANK('1_raw_log'!J454),"",'1_raw_log'!J454)</f>
        <v/>
      </c>
      <c r="K454" s="2">
        <f>IF(ISBLANK('1_raw_log'!K454),"",'1_raw_log'!K454)</f>
        <v/>
      </c>
      <c r="L454" s="30">
        <f>INT(B454)</f>
        <v/>
      </c>
      <c r="M454" s="20">
        <f>ROUND(MOD(B454,1)*1440,0)/1440</f>
        <v/>
      </c>
      <c r="N454" s="4">
        <f>IFERROR(INDEX('3_ref_date'!$B:$B,MATCH(L454,'3_ref_date'!$A:$A,0)),"NOT FOUND")</f>
        <v/>
      </c>
      <c r="O454" s="2">
        <f>IFERROR(INDEX('3_ref_date'!$C:$C,MATCH(L454,'3_ref_date'!$A:$A,0)),"NOT FOUND")</f>
        <v/>
      </c>
      <c r="P454" s="4">
        <f>IFERROR(INDEX('3_ref_date'!$D:$D,MATCH(L454,'3_ref_date'!$A:$A,0)),"NOT FOUND")</f>
        <v/>
      </c>
      <c r="Q454" s="4">
        <f>IFERROR(INDEX('3_ref_date'!$E:$E,MATCH(L454,'3_ref_date'!$A:$A,0)),"NOT FOUND")</f>
        <v/>
      </c>
      <c r="R454" s="2">
        <f>IFERROR(INDEX('3_ref_date'!$F:$F,MATCH(L454,'3_ref_date'!$A:$A,0)),"NOT FOUND")</f>
        <v/>
      </c>
      <c r="S454" s="2">
        <f>IFERROR(INDEX('4_ref_time'!$D:$D,MATCH(ROUND(M454*1440,0),'4_ref_time'!$A:$A,0)),"NOT FOUND")</f>
        <v/>
      </c>
      <c r="T454" s="2">
        <f>UPPER(TRIM(C454))</f>
        <v/>
      </c>
      <c r="U454" s="30">
        <f>IF(_xlfn.MAXIFS('6_3nf_branch_history'!$B$2:$B$50,'6_3nf_branch_history'!$A$2:$A$50,T454,'6_3nf_branch_history'!$B$2:$B$50,"&lt;="&amp;L454)=0,"NOT FOUND",_xlfn.MAXIFS('6_3nf_branch_history'!$B$2:$B$50,'6_3nf_branch_history'!$A$2:$A$50,T454,'6_3nf_branch_history'!$B$2:$B$50,"&lt;="&amp;L454))</f>
        <v/>
      </c>
      <c r="V454" s="2">
        <f>IF(U454="NOT FOUND","NOT FOUND",INDEX('6_3nf_branch_history'!$C:$C,SUMPRODUCT(('6_3nf_branch_history'!$A$2:$A$50=T454)*('6_3nf_branch_history'!$B$2:$B$50=U454)*ROW('6_3nf_branch_history'!$A$2:$A$50))))</f>
        <v/>
      </c>
      <c r="W454" s="2">
        <f>IF(U454="NOT FOUND","NOT FOUND",INDEX('6_3nf_branch_history'!$D:$D,SUMPRODUCT(('6_3nf_branch_history'!$A$2:$A$50=T454)*('6_3nf_branch_history'!$B$2:$B$50=U454)*ROW('6_3nf_branch_history'!$A$2:$A$50))))</f>
        <v/>
      </c>
      <c r="X454" s="2">
        <f>IF(U454="NOT FOUND","NOT FOUND",INDEX('6_3nf_branch_history'!$E:$E,SUMPRODUCT(('6_3nf_branch_history'!$A$2:$A$50=T454)*('6_3nf_branch_history'!$B$2:$B$50=U454)*ROW('6_3nf_branch_history'!$A$2:$A$50))))</f>
        <v/>
      </c>
      <c r="Y454" s="2">
        <f>UPPER(TRIM(D454))</f>
        <v/>
      </c>
      <c r="Z454" s="2">
        <f>IFERROR(INDEX('7_3nf_product'!$B:$B,MATCH(Y454,'7_3nf_product'!$A:$A,0)),"NOT FOUND")</f>
        <v/>
      </c>
      <c r="AA454" s="2">
        <f>IFERROR(INDEX('7_3nf_product'!$C:$C,MATCH(Y454,'7_3nf_product'!$A:$A,0)),"NOT FOUND")</f>
        <v/>
      </c>
      <c r="AB454" s="2">
        <f>IFERROR(INDEX('7_3nf_product'!$D:$D,MATCH(Y454,'7_3nf_product'!$A:$A,0)),"NOT FOUND")</f>
        <v/>
      </c>
      <c r="AC454" s="6">
        <f>IFERROR(INDEX('7_3nf_product'!$E:$E,MATCH(Y454,'7_3nf_product'!$A:$A,0)),"NOT FOUND")</f>
        <v/>
      </c>
      <c r="AD454" s="33">
        <f>IF(LEN(TRIM(E454))=10,TRIM(E454),IF(LEN(TRIM(E454))=8,"00"&amp;TRIM(E454),"CHECK"))</f>
        <v/>
      </c>
      <c r="AE454" s="2">
        <f>IFERROR(INDEX('8_3nf_customer'!$C:$C,MATCH(AD454,'8_3nf_customer'!$B:$B,0)),"NOT FOUND")</f>
        <v/>
      </c>
      <c r="AF454" s="30">
        <f>IFERROR(INDEX('8_3nf_customer'!$D:$D,MATCH(AD454,'8_3nf_customer'!$B:$B,0)),"NOT FOUND")</f>
        <v/>
      </c>
      <c r="AG454" s="4">
        <f>IF(ISNUMBER(AF454),DATEDIF(AF454,L454,"y"),"NOT FOUND")</f>
        <v/>
      </c>
      <c r="AH454" s="2">
        <f>IFERROR(INDEX('8_3nf_customer'!$E:$E,MATCH(AD454,'8_3nf_customer'!$B:$B,0)),"NOT FOUND")</f>
        <v/>
      </c>
      <c r="AI454" s="30">
        <f>IF(_xlfn.MAXIFS('9_3nf_customer_history'!$B$2:$B$500,'9_3nf_customer_history'!$A$2:$A$500,AD454,'9_3nf_customer_history'!$B$2:$B$500,"&lt;="&amp;L454)=0,"NOT FOUND",_xlfn.MAXIFS('9_3nf_customer_history'!$B$2:$B$500,'9_3nf_customer_history'!$A$2:$A$500,AD454,'9_3nf_customer_history'!$B$2:$B$500,"&lt;="&amp;L454))</f>
        <v/>
      </c>
      <c r="AJ454" s="2">
        <f>IF(AI454="NOT FOUND","NOT FOUND",INDEX('9_3nf_customer_history'!$C:$C,SUMPRODUCT(('9_3nf_customer_history'!$A$2:$A$500=AD454)*('9_3nf_customer_history'!$B$2:$B$500=AI454)*ROW('9_3nf_customer_history'!$A$2:$A$500))))</f>
        <v/>
      </c>
      <c r="AK454" s="2">
        <f>IF(AI454="NOT FOUND","NOT FOUND",INDEX('9_3nf_customer_history'!$D:$D,SUMPRODUCT(('9_3nf_customer_history'!$A$2:$A$500=AD454)*('9_3nf_customer_history'!$B$2:$B$500=AI454)*ROW('9_3nf_customer_history'!$A$2:$A$500))))</f>
        <v/>
      </c>
      <c r="AL454" s="2">
        <f>UPPER(TRIM(H454))</f>
        <v/>
      </c>
      <c r="AM454" s="30">
        <f>IF(_xlfn.MAXIFS('10_ref_fx_rate'!$B$2:$B$2000,'10_ref_fx_rate'!$A$2:$A$2000,AL454,'10_ref_fx_rate'!$B$2:$B$2000,"&lt;="&amp;L454)=0,"NOT FOUND",_xlfn.MAXIFS('10_ref_fx_rate'!$B$2:$B$2000,'10_ref_fx_rate'!$A$2:$A$2000,AL454,'10_ref_fx_rate'!$B$2:$B$2000,"&lt;="&amp;L454))</f>
        <v/>
      </c>
      <c r="AN454" s="8">
        <f>IF(AM454="NOT FOUND","NOT FOUND",SUMIFS('10_ref_fx_rate'!$D$2:$D$2000,'10_ref_fx_rate'!$A$2:$A$2000,AL454,'10_ref_fx_rate'!$B$2:$B$2000,AM454))</f>
        <v/>
      </c>
      <c r="AO454" s="37">
        <f>IF(ISNUMBER(AN454),I454*AN454,"NOT FOUND")</f>
        <v/>
      </c>
      <c r="AP454" s="2">
        <f>UPPER(TRIM(J454))</f>
        <v/>
      </c>
      <c r="AQ454" s="2">
        <f>IF(AP454="","SELF-DIRECTED",IF(ISNUMBER(MATCH(AP454,'11_3nf_sales_person'!$A:$A,0)),IF(EXACT(AP454,J454),"OK","OK (auto-fixed)"),IF(ISNA(MATCH($A454,'12_sales_person_confirmation'!$A:$A,0)),"CONFIRM (not logged)",IF(INDEX('12_sales_person_confirmation'!$I:$I,MATCH($A454,'12_sales_person_confirmation'!$A:$A,0))="CONFIRMED","CONFIRMED ("&amp;LOWER(INDEX('12_sales_person_confirmation'!$E:$E,MATCH($A454,'12_sales_person_confirmation'!$A:$A,0)))&amp;")","PENDING CONFIRM"))))</f>
        <v/>
      </c>
      <c r="AR454" s="2">
        <f>IF(OR(AQ454="OK",AQ454="OK (auto-fixed)"),AP454,IF(LEFT(AQ454,9)="CONFIRMED",INDEX('12_sales_person_confirmation'!$F:$F,MATCH($A454,'12_sales_person_confirmation'!$A:$A,0)),""))</f>
        <v/>
      </c>
      <c r="AS454" s="2">
        <f>IF(AR454="","",INDEX('11_3nf_sales_person'!$B:$B,MATCH(AR454,'11_3nf_sales_person'!$A:$A,0)))</f>
        <v/>
      </c>
    </row>
    <row r="455">
      <c r="A455" s="2">
        <f>IF(ISBLANK('1_raw_log'!A455),"",'1_raw_log'!A455)</f>
        <v/>
      </c>
      <c r="B455" s="3">
        <f>IF(ISBLANK('1_raw_log'!B455),"",'1_raw_log'!B455)</f>
        <v/>
      </c>
      <c r="C455" s="2">
        <f>IF(ISBLANK('1_raw_log'!C455),"",'1_raw_log'!C455)</f>
        <v/>
      </c>
      <c r="D455" s="2">
        <f>IF(ISBLANK('1_raw_log'!D455),"",'1_raw_log'!D455)</f>
        <v/>
      </c>
      <c r="E455" s="4">
        <f>IF(ISBLANK('1_raw_log'!E455),"",'1_raw_log'!E455)</f>
        <v/>
      </c>
      <c r="F455" s="2">
        <f>IF(ISBLANK('1_raw_log'!F455),"",'1_raw_log'!F455)</f>
        <v/>
      </c>
      <c r="G455" s="2">
        <f>IF(ISBLANK('1_raw_log'!G455),"",'1_raw_log'!G455)</f>
        <v/>
      </c>
      <c r="H455" s="2">
        <f>IF(ISBLANK('1_raw_log'!H455),"",'1_raw_log'!H455)</f>
        <v/>
      </c>
      <c r="I455" s="7">
        <f>IF(ISBLANK('1_raw_log'!I455),"",'1_raw_log'!I455)</f>
        <v/>
      </c>
      <c r="J455" s="2">
        <f>IF(ISBLANK('1_raw_log'!J455),"",'1_raw_log'!J455)</f>
        <v/>
      </c>
      <c r="K455" s="2">
        <f>IF(ISBLANK('1_raw_log'!K455),"",'1_raw_log'!K455)</f>
        <v/>
      </c>
      <c r="L455" s="30">
        <f>INT(B455)</f>
        <v/>
      </c>
      <c r="M455" s="20">
        <f>ROUND(MOD(B455,1)*1440,0)/1440</f>
        <v/>
      </c>
      <c r="N455" s="4">
        <f>IFERROR(INDEX('3_ref_date'!$B:$B,MATCH(L455,'3_ref_date'!$A:$A,0)),"NOT FOUND")</f>
        <v/>
      </c>
      <c r="O455" s="2">
        <f>IFERROR(INDEX('3_ref_date'!$C:$C,MATCH(L455,'3_ref_date'!$A:$A,0)),"NOT FOUND")</f>
        <v/>
      </c>
      <c r="P455" s="4">
        <f>IFERROR(INDEX('3_ref_date'!$D:$D,MATCH(L455,'3_ref_date'!$A:$A,0)),"NOT FOUND")</f>
        <v/>
      </c>
      <c r="Q455" s="4">
        <f>IFERROR(INDEX('3_ref_date'!$E:$E,MATCH(L455,'3_ref_date'!$A:$A,0)),"NOT FOUND")</f>
        <v/>
      </c>
      <c r="R455" s="2">
        <f>IFERROR(INDEX('3_ref_date'!$F:$F,MATCH(L455,'3_ref_date'!$A:$A,0)),"NOT FOUND")</f>
        <v/>
      </c>
      <c r="S455" s="2">
        <f>IFERROR(INDEX('4_ref_time'!$D:$D,MATCH(ROUND(M455*1440,0),'4_ref_time'!$A:$A,0)),"NOT FOUND")</f>
        <v/>
      </c>
      <c r="T455" s="2">
        <f>UPPER(TRIM(C455))</f>
        <v/>
      </c>
      <c r="U455" s="30">
        <f>IF(_xlfn.MAXIFS('6_3nf_branch_history'!$B$2:$B$50,'6_3nf_branch_history'!$A$2:$A$50,T455,'6_3nf_branch_history'!$B$2:$B$50,"&lt;="&amp;L455)=0,"NOT FOUND",_xlfn.MAXIFS('6_3nf_branch_history'!$B$2:$B$50,'6_3nf_branch_history'!$A$2:$A$50,T455,'6_3nf_branch_history'!$B$2:$B$50,"&lt;="&amp;L455))</f>
        <v/>
      </c>
      <c r="V455" s="2">
        <f>IF(U455="NOT FOUND","NOT FOUND",INDEX('6_3nf_branch_history'!$C:$C,SUMPRODUCT(('6_3nf_branch_history'!$A$2:$A$50=T455)*('6_3nf_branch_history'!$B$2:$B$50=U455)*ROW('6_3nf_branch_history'!$A$2:$A$50))))</f>
        <v/>
      </c>
      <c r="W455" s="2">
        <f>IF(U455="NOT FOUND","NOT FOUND",INDEX('6_3nf_branch_history'!$D:$D,SUMPRODUCT(('6_3nf_branch_history'!$A$2:$A$50=T455)*('6_3nf_branch_history'!$B$2:$B$50=U455)*ROW('6_3nf_branch_history'!$A$2:$A$50))))</f>
        <v/>
      </c>
      <c r="X455" s="2">
        <f>IF(U455="NOT FOUND","NOT FOUND",INDEX('6_3nf_branch_history'!$E:$E,SUMPRODUCT(('6_3nf_branch_history'!$A$2:$A$50=T455)*('6_3nf_branch_history'!$B$2:$B$50=U455)*ROW('6_3nf_branch_history'!$A$2:$A$50))))</f>
        <v/>
      </c>
      <c r="Y455" s="2">
        <f>UPPER(TRIM(D455))</f>
        <v/>
      </c>
      <c r="Z455" s="2">
        <f>IFERROR(INDEX('7_3nf_product'!$B:$B,MATCH(Y455,'7_3nf_product'!$A:$A,0)),"NOT FOUND")</f>
        <v/>
      </c>
      <c r="AA455" s="2">
        <f>IFERROR(INDEX('7_3nf_product'!$C:$C,MATCH(Y455,'7_3nf_product'!$A:$A,0)),"NOT FOUND")</f>
        <v/>
      </c>
      <c r="AB455" s="2">
        <f>IFERROR(INDEX('7_3nf_product'!$D:$D,MATCH(Y455,'7_3nf_product'!$A:$A,0)),"NOT FOUND")</f>
        <v/>
      </c>
      <c r="AC455" s="6">
        <f>IFERROR(INDEX('7_3nf_product'!$E:$E,MATCH(Y455,'7_3nf_product'!$A:$A,0)),"NOT FOUND")</f>
        <v/>
      </c>
      <c r="AD455" s="33">
        <f>IF(LEN(TRIM(E455))=10,TRIM(E455),IF(LEN(TRIM(E455))=8,"00"&amp;TRIM(E455),"CHECK"))</f>
        <v/>
      </c>
      <c r="AE455" s="2">
        <f>IFERROR(INDEX('8_3nf_customer'!$C:$C,MATCH(AD455,'8_3nf_customer'!$B:$B,0)),"NOT FOUND")</f>
        <v/>
      </c>
      <c r="AF455" s="30">
        <f>IFERROR(INDEX('8_3nf_customer'!$D:$D,MATCH(AD455,'8_3nf_customer'!$B:$B,0)),"NOT FOUND")</f>
        <v/>
      </c>
      <c r="AG455" s="4">
        <f>IF(ISNUMBER(AF455),DATEDIF(AF455,L455,"y"),"NOT FOUND")</f>
        <v/>
      </c>
      <c r="AH455" s="2">
        <f>IFERROR(INDEX('8_3nf_customer'!$E:$E,MATCH(AD455,'8_3nf_customer'!$B:$B,0)),"NOT FOUND")</f>
        <v/>
      </c>
      <c r="AI455" s="30">
        <f>IF(_xlfn.MAXIFS('9_3nf_customer_history'!$B$2:$B$500,'9_3nf_customer_history'!$A$2:$A$500,AD455,'9_3nf_customer_history'!$B$2:$B$500,"&lt;="&amp;L455)=0,"NOT FOUND",_xlfn.MAXIFS('9_3nf_customer_history'!$B$2:$B$500,'9_3nf_customer_history'!$A$2:$A$500,AD455,'9_3nf_customer_history'!$B$2:$B$500,"&lt;="&amp;L455))</f>
        <v/>
      </c>
      <c r="AJ455" s="2">
        <f>IF(AI455="NOT FOUND","NOT FOUND",INDEX('9_3nf_customer_history'!$C:$C,SUMPRODUCT(('9_3nf_customer_history'!$A$2:$A$500=AD455)*('9_3nf_customer_history'!$B$2:$B$500=AI455)*ROW('9_3nf_customer_history'!$A$2:$A$500))))</f>
        <v/>
      </c>
      <c r="AK455" s="2">
        <f>IF(AI455="NOT FOUND","NOT FOUND",INDEX('9_3nf_customer_history'!$D:$D,SUMPRODUCT(('9_3nf_customer_history'!$A$2:$A$500=AD455)*('9_3nf_customer_history'!$B$2:$B$500=AI455)*ROW('9_3nf_customer_history'!$A$2:$A$500))))</f>
        <v/>
      </c>
      <c r="AL455" s="2">
        <f>UPPER(TRIM(H455))</f>
        <v/>
      </c>
      <c r="AM455" s="30">
        <f>IF(_xlfn.MAXIFS('10_ref_fx_rate'!$B$2:$B$2000,'10_ref_fx_rate'!$A$2:$A$2000,AL455,'10_ref_fx_rate'!$B$2:$B$2000,"&lt;="&amp;L455)=0,"NOT FOUND",_xlfn.MAXIFS('10_ref_fx_rate'!$B$2:$B$2000,'10_ref_fx_rate'!$A$2:$A$2000,AL455,'10_ref_fx_rate'!$B$2:$B$2000,"&lt;="&amp;L455))</f>
        <v/>
      </c>
      <c r="AN455" s="8">
        <f>IF(AM455="NOT FOUND","NOT FOUND",SUMIFS('10_ref_fx_rate'!$D$2:$D$2000,'10_ref_fx_rate'!$A$2:$A$2000,AL455,'10_ref_fx_rate'!$B$2:$B$2000,AM455))</f>
        <v/>
      </c>
      <c r="AO455" s="37">
        <f>IF(ISNUMBER(AN455),I455*AN455,"NOT FOUND")</f>
        <v/>
      </c>
      <c r="AP455" s="2">
        <f>UPPER(TRIM(J455))</f>
        <v/>
      </c>
      <c r="AQ455" s="2">
        <f>IF(AP455="","SELF-DIRECTED",IF(ISNUMBER(MATCH(AP455,'11_3nf_sales_person'!$A:$A,0)),IF(EXACT(AP455,J455),"OK","OK (auto-fixed)"),IF(ISNA(MATCH($A455,'12_sales_person_confirmation'!$A:$A,0)),"CONFIRM (not logged)",IF(INDEX('12_sales_person_confirmation'!$I:$I,MATCH($A455,'12_sales_person_confirmation'!$A:$A,0))="CONFIRMED","CONFIRMED ("&amp;LOWER(INDEX('12_sales_person_confirmation'!$E:$E,MATCH($A455,'12_sales_person_confirmation'!$A:$A,0)))&amp;")","PENDING CONFIRM"))))</f>
        <v/>
      </c>
      <c r="AR455" s="2">
        <f>IF(OR(AQ455="OK",AQ455="OK (auto-fixed)"),AP455,IF(LEFT(AQ455,9)="CONFIRMED",INDEX('12_sales_person_confirmation'!$F:$F,MATCH($A455,'12_sales_person_confirmation'!$A:$A,0)),""))</f>
        <v/>
      </c>
      <c r="AS455" s="2">
        <f>IF(AR455="","",INDEX('11_3nf_sales_person'!$B:$B,MATCH(AR455,'11_3nf_sales_person'!$A:$A,0)))</f>
        <v/>
      </c>
    </row>
    <row r="456">
      <c r="A456" s="2">
        <f>IF(ISBLANK('1_raw_log'!A456),"",'1_raw_log'!A456)</f>
        <v/>
      </c>
      <c r="B456" s="3">
        <f>IF(ISBLANK('1_raw_log'!B456),"",'1_raw_log'!B456)</f>
        <v/>
      </c>
      <c r="C456" s="2">
        <f>IF(ISBLANK('1_raw_log'!C456),"",'1_raw_log'!C456)</f>
        <v/>
      </c>
      <c r="D456" s="2">
        <f>IF(ISBLANK('1_raw_log'!D456),"",'1_raw_log'!D456)</f>
        <v/>
      </c>
      <c r="E456" s="4">
        <f>IF(ISBLANK('1_raw_log'!E456),"",'1_raw_log'!E456)</f>
        <v/>
      </c>
      <c r="F456" s="2">
        <f>IF(ISBLANK('1_raw_log'!F456),"",'1_raw_log'!F456)</f>
        <v/>
      </c>
      <c r="G456" s="2">
        <f>IF(ISBLANK('1_raw_log'!G456),"",'1_raw_log'!G456)</f>
        <v/>
      </c>
      <c r="H456" s="2">
        <f>IF(ISBLANK('1_raw_log'!H456),"",'1_raw_log'!H456)</f>
        <v/>
      </c>
      <c r="I456" s="7">
        <f>IF(ISBLANK('1_raw_log'!I456),"",'1_raw_log'!I456)</f>
        <v/>
      </c>
      <c r="J456" s="2">
        <f>IF(ISBLANK('1_raw_log'!J456),"",'1_raw_log'!J456)</f>
        <v/>
      </c>
      <c r="K456" s="2">
        <f>IF(ISBLANK('1_raw_log'!K456),"",'1_raw_log'!K456)</f>
        <v/>
      </c>
      <c r="L456" s="30">
        <f>INT(B456)</f>
        <v/>
      </c>
      <c r="M456" s="20">
        <f>ROUND(MOD(B456,1)*1440,0)/1440</f>
        <v/>
      </c>
      <c r="N456" s="4">
        <f>IFERROR(INDEX('3_ref_date'!$B:$B,MATCH(L456,'3_ref_date'!$A:$A,0)),"NOT FOUND")</f>
        <v/>
      </c>
      <c r="O456" s="2">
        <f>IFERROR(INDEX('3_ref_date'!$C:$C,MATCH(L456,'3_ref_date'!$A:$A,0)),"NOT FOUND")</f>
        <v/>
      </c>
      <c r="P456" s="4">
        <f>IFERROR(INDEX('3_ref_date'!$D:$D,MATCH(L456,'3_ref_date'!$A:$A,0)),"NOT FOUND")</f>
        <v/>
      </c>
      <c r="Q456" s="4">
        <f>IFERROR(INDEX('3_ref_date'!$E:$E,MATCH(L456,'3_ref_date'!$A:$A,0)),"NOT FOUND")</f>
        <v/>
      </c>
      <c r="R456" s="2">
        <f>IFERROR(INDEX('3_ref_date'!$F:$F,MATCH(L456,'3_ref_date'!$A:$A,0)),"NOT FOUND")</f>
        <v/>
      </c>
      <c r="S456" s="2">
        <f>IFERROR(INDEX('4_ref_time'!$D:$D,MATCH(ROUND(M456*1440,0),'4_ref_time'!$A:$A,0)),"NOT FOUND")</f>
        <v/>
      </c>
      <c r="T456" s="2">
        <f>UPPER(TRIM(C456))</f>
        <v/>
      </c>
      <c r="U456" s="30">
        <f>IF(_xlfn.MAXIFS('6_3nf_branch_history'!$B$2:$B$50,'6_3nf_branch_history'!$A$2:$A$50,T456,'6_3nf_branch_history'!$B$2:$B$50,"&lt;="&amp;L456)=0,"NOT FOUND",_xlfn.MAXIFS('6_3nf_branch_history'!$B$2:$B$50,'6_3nf_branch_history'!$A$2:$A$50,T456,'6_3nf_branch_history'!$B$2:$B$50,"&lt;="&amp;L456))</f>
        <v/>
      </c>
      <c r="V456" s="2">
        <f>IF(U456="NOT FOUND","NOT FOUND",INDEX('6_3nf_branch_history'!$C:$C,SUMPRODUCT(('6_3nf_branch_history'!$A$2:$A$50=T456)*('6_3nf_branch_history'!$B$2:$B$50=U456)*ROW('6_3nf_branch_history'!$A$2:$A$50))))</f>
        <v/>
      </c>
      <c r="W456" s="2">
        <f>IF(U456="NOT FOUND","NOT FOUND",INDEX('6_3nf_branch_history'!$D:$D,SUMPRODUCT(('6_3nf_branch_history'!$A$2:$A$50=T456)*('6_3nf_branch_history'!$B$2:$B$50=U456)*ROW('6_3nf_branch_history'!$A$2:$A$50))))</f>
        <v/>
      </c>
      <c r="X456" s="2">
        <f>IF(U456="NOT FOUND","NOT FOUND",INDEX('6_3nf_branch_history'!$E:$E,SUMPRODUCT(('6_3nf_branch_history'!$A$2:$A$50=T456)*('6_3nf_branch_history'!$B$2:$B$50=U456)*ROW('6_3nf_branch_history'!$A$2:$A$50))))</f>
        <v/>
      </c>
      <c r="Y456" s="2">
        <f>UPPER(TRIM(D456))</f>
        <v/>
      </c>
      <c r="Z456" s="2">
        <f>IFERROR(INDEX('7_3nf_product'!$B:$B,MATCH(Y456,'7_3nf_product'!$A:$A,0)),"NOT FOUND")</f>
        <v/>
      </c>
      <c r="AA456" s="2">
        <f>IFERROR(INDEX('7_3nf_product'!$C:$C,MATCH(Y456,'7_3nf_product'!$A:$A,0)),"NOT FOUND")</f>
        <v/>
      </c>
      <c r="AB456" s="2">
        <f>IFERROR(INDEX('7_3nf_product'!$D:$D,MATCH(Y456,'7_3nf_product'!$A:$A,0)),"NOT FOUND")</f>
        <v/>
      </c>
      <c r="AC456" s="6">
        <f>IFERROR(INDEX('7_3nf_product'!$E:$E,MATCH(Y456,'7_3nf_product'!$A:$A,0)),"NOT FOUND")</f>
        <v/>
      </c>
      <c r="AD456" s="33">
        <f>IF(LEN(TRIM(E456))=10,TRIM(E456),IF(LEN(TRIM(E456))=8,"00"&amp;TRIM(E456),"CHECK"))</f>
        <v/>
      </c>
      <c r="AE456" s="2">
        <f>IFERROR(INDEX('8_3nf_customer'!$C:$C,MATCH(AD456,'8_3nf_customer'!$B:$B,0)),"NOT FOUND")</f>
        <v/>
      </c>
      <c r="AF456" s="30">
        <f>IFERROR(INDEX('8_3nf_customer'!$D:$D,MATCH(AD456,'8_3nf_customer'!$B:$B,0)),"NOT FOUND")</f>
        <v/>
      </c>
      <c r="AG456" s="4">
        <f>IF(ISNUMBER(AF456),DATEDIF(AF456,L456,"y"),"NOT FOUND")</f>
        <v/>
      </c>
      <c r="AH456" s="2">
        <f>IFERROR(INDEX('8_3nf_customer'!$E:$E,MATCH(AD456,'8_3nf_customer'!$B:$B,0)),"NOT FOUND")</f>
        <v/>
      </c>
      <c r="AI456" s="30">
        <f>IF(_xlfn.MAXIFS('9_3nf_customer_history'!$B$2:$B$500,'9_3nf_customer_history'!$A$2:$A$500,AD456,'9_3nf_customer_history'!$B$2:$B$500,"&lt;="&amp;L456)=0,"NOT FOUND",_xlfn.MAXIFS('9_3nf_customer_history'!$B$2:$B$500,'9_3nf_customer_history'!$A$2:$A$500,AD456,'9_3nf_customer_history'!$B$2:$B$500,"&lt;="&amp;L456))</f>
        <v/>
      </c>
      <c r="AJ456" s="2">
        <f>IF(AI456="NOT FOUND","NOT FOUND",INDEX('9_3nf_customer_history'!$C:$C,SUMPRODUCT(('9_3nf_customer_history'!$A$2:$A$500=AD456)*('9_3nf_customer_history'!$B$2:$B$500=AI456)*ROW('9_3nf_customer_history'!$A$2:$A$500))))</f>
        <v/>
      </c>
      <c r="AK456" s="2">
        <f>IF(AI456="NOT FOUND","NOT FOUND",INDEX('9_3nf_customer_history'!$D:$D,SUMPRODUCT(('9_3nf_customer_history'!$A$2:$A$500=AD456)*('9_3nf_customer_history'!$B$2:$B$500=AI456)*ROW('9_3nf_customer_history'!$A$2:$A$500))))</f>
        <v/>
      </c>
      <c r="AL456" s="2">
        <f>UPPER(TRIM(H456))</f>
        <v/>
      </c>
      <c r="AM456" s="30">
        <f>IF(_xlfn.MAXIFS('10_ref_fx_rate'!$B$2:$B$2000,'10_ref_fx_rate'!$A$2:$A$2000,AL456,'10_ref_fx_rate'!$B$2:$B$2000,"&lt;="&amp;L456)=0,"NOT FOUND",_xlfn.MAXIFS('10_ref_fx_rate'!$B$2:$B$2000,'10_ref_fx_rate'!$A$2:$A$2000,AL456,'10_ref_fx_rate'!$B$2:$B$2000,"&lt;="&amp;L456))</f>
        <v/>
      </c>
      <c r="AN456" s="8">
        <f>IF(AM456="NOT FOUND","NOT FOUND",SUMIFS('10_ref_fx_rate'!$D$2:$D$2000,'10_ref_fx_rate'!$A$2:$A$2000,AL456,'10_ref_fx_rate'!$B$2:$B$2000,AM456))</f>
        <v/>
      </c>
      <c r="AO456" s="37">
        <f>IF(ISNUMBER(AN456),I456*AN456,"NOT FOUND")</f>
        <v/>
      </c>
      <c r="AP456" s="2">
        <f>UPPER(TRIM(J456))</f>
        <v/>
      </c>
      <c r="AQ456" s="2">
        <f>IF(AP456="","SELF-DIRECTED",IF(ISNUMBER(MATCH(AP456,'11_3nf_sales_person'!$A:$A,0)),IF(EXACT(AP456,J456),"OK","OK (auto-fixed)"),IF(ISNA(MATCH($A456,'12_sales_person_confirmation'!$A:$A,0)),"CONFIRM (not logged)",IF(INDEX('12_sales_person_confirmation'!$I:$I,MATCH($A456,'12_sales_person_confirmation'!$A:$A,0))="CONFIRMED","CONFIRMED ("&amp;LOWER(INDEX('12_sales_person_confirmation'!$E:$E,MATCH($A456,'12_sales_person_confirmation'!$A:$A,0)))&amp;")","PENDING CONFIRM"))))</f>
        <v/>
      </c>
      <c r="AR456" s="2">
        <f>IF(OR(AQ456="OK",AQ456="OK (auto-fixed)"),AP456,IF(LEFT(AQ456,9)="CONFIRMED",INDEX('12_sales_person_confirmation'!$F:$F,MATCH($A456,'12_sales_person_confirmation'!$A:$A,0)),""))</f>
        <v/>
      </c>
      <c r="AS456" s="2">
        <f>IF(AR456="","",INDEX('11_3nf_sales_person'!$B:$B,MATCH(AR456,'11_3nf_sales_person'!$A:$A,0)))</f>
        <v/>
      </c>
    </row>
    <row r="457">
      <c r="A457" s="2">
        <f>IF(ISBLANK('1_raw_log'!A457),"",'1_raw_log'!A457)</f>
        <v/>
      </c>
      <c r="B457" s="3">
        <f>IF(ISBLANK('1_raw_log'!B457),"",'1_raw_log'!B457)</f>
        <v/>
      </c>
      <c r="C457" s="2">
        <f>IF(ISBLANK('1_raw_log'!C457),"",'1_raw_log'!C457)</f>
        <v/>
      </c>
      <c r="D457" s="2">
        <f>IF(ISBLANK('1_raw_log'!D457),"",'1_raw_log'!D457)</f>
        <v/>
      </c>
      <c r="E457" s="4">
        <f>IF(ISBLANK('1_raw_log'!E457),"",'1_raw_log'!E457)</f>
        <v/>
      </c>
      <c r="F457" s="2">
        <f>IF(ISBLANK('1_raw_log'!F457),"",'1_raw_log'!F457)</f>
        <v/>
      </c>
      <c r="G457" s="2">
        <f>IF(ISBLANK('1_raw_log'!G457),"",'1_raw_log'!G457)</f>
        <v/>
      </c>
      <c r="H457" s="2">
        <f>IF(ISBLANK('1_raw_log'!H457),"",'1_raw_log'!H457)</f>
        <v/>
      </c>
      <c r="I457" s="7">
        <f>IF(ISBLANK('1_raw_log'!I457),"",'1_raw_log'!I457)</f>
        <v/>
      </c>
      <c r="J457" s="2">
        <f>IF(ISBLANK('1_raw_log'!J457),"",'1_raw_log'!J457)</f>
        <v/>
      </c>
      <c r="K457" s="2">
        <f>IF(ISBLANK('1_raw_log'!K457),"",'1_raw_log'!K457)</f>
        <v/>
      </c>
      <c r="L457" s="30">
        <f>INT(B457)</f>
        <v/>
      </c>
      <c r="M457" s="20">
        <f>ROUND(MOD(B457,1)*1440,0)/1440</f>
        <v/>
      </c>
      <c r="N457" s="4">
        <f>IFERROR(INDEX('3_ref_date'!$B:$B,MATCH(L457,'3_ref_date'!$A:$A,0)),"NOT FOUND")</f>
        <v/>
      </c>
      <c r="O457" s="2">
        <f>IFERROR(INDEX('3_ref_date'!$C:$C,MATCH(L457,'3_ref_date'!$A:$A,0)),"NOT FOUND")</f>
        <v/>
      </c>
      <c r="P457" s="4">
        <f>IFERROR(INDEX('3_ref_date'!$D:$D,MATCH(L457,'3_ref_date'!$A:$A,0)),"NOT FOUND")</f>
        <v/>
      </c>
      <c r="Q457" s="4">
        <f>IFERROR(INDEX('3_ref_date'!$E:$E,MATCH(L457,'3_ref_date'!$A:$A,0)),"NOT FOUND")</f>
        <v/>
      </c>
      <c r="R457" s="2">
        <f>IFERROR(INDEX('3_ref_date'!$F:$F,MATCH(L457,'3_ref_date'!$A:$A,0)),"NOT FOUND")</f>
        <v/>
      </c>
      <c r="S457" s="2">
        <f>IFERROR(INDEX('4_ref_time'!$D:$D,MATCH(ROUND(M457*1440,0),'4_ref_time'!$A:$A,0)),"NOT FOUND")</f>
        <v/>
      </c>
      <c r="T457" s="2">
        <f>UPPER(TRIM(C457))</f>
        <v/>
      </c>
      <c r="U457" s="30">
        <f>IF(_xlfn.MAXIFS('6_3nf_branch_history'!$B$2:$B$50,'6_3nf_branch_history'!$A$2:$A$50,T457,'6_3nf_branch_history'!$B$2:$B$50,"&lt;="&amp;L457)=0,"NOT FOUND",_xlfn.MAXIFS('6_3nf_branch_history'!$B$2:$B$50,'6_3nf_branch_history'!$A$2:$A$50,T457,'6_3nf_branch_history'!$B$2:$B$50,"&lt;="&amp;L457))</f>
        <v/>
      </c>
      <c r="V457" s="2">
        <f>IF(U457="NOT FOUND","NOT FOUND",INDEX('6_3nf_branch_history'!$C:$C,SUMPRODUCT(('6_3nf_branch_history'!$A$2:$A$50=T457)*('6_3nf_branch_history'!$B$2:$B$50=U457)*ROW('6_3nf_branch_history'!$A$2:$A$50))))</f>
        <v/>
      </c>
      <c r="W457" s="2">
        <f>IF(U457="NOT FOUND","NOT FOUND",INDEX('6_3nf_branch_history'!$D:$D,SUMPRODUCT(('6_3nf_branch_history'!$A$2:$A$50=T457)*('6_3nf_branch_history'!$B$2:$B$50=U457)*ROW('6_3nf_branch_history'!$A$2:$A$50))))</f>
        <v/>
      </c>
      <c r="X457" s="2">
        <f>IF(U457="NOT FOUND","NOT FOUND",INDEX('6_3nf_branch_history'!$E:$E,SUMPRODUCT(('6_3nf_branch_history'!$A$2:$A$50=T457)*('6_3nf_branch_history'!$B$2:$B$50=U457)*ROW('6_3nf_branch_history'!$A$2:$A$50))))</f>
        <v/>
      </c>
      <c r="Y457" s="2">
        <f>UPPER(TRIM(D457))</f>
        <v/>
      </c>
      <c r="Z457" s="2">
        <f>IFERROR(INDEX('7_3nf_product'!$B:$B,MATCH(Y457,'7_3nf_product'!$A:$A,0)),"NOT FOUND")</f>
        <v/>
      </c>
      <c r="AA457" s="2">
        <f>IFERROR(INDEX('7_3nf_product'!$C:$C,MATCH(Y457,'7_3nf_product'!$A:$A,0)),"NOT FOUND")</f>
        <v/>
      </c>
      <c r="AB457" s="2">
        <f>IFERROR(INDEX('7_3nf_product'!$D:$D,MATCH(Y457,'7_3nf_product'!$A:$A,0)),"NOT FOUND")</f>
        <v/>
      </c>
      <c r="AC457" s="6">
        <f>IFERROR(INDEX('7_3nf_product'!$E:$E,MATCH(Y457,'7_3nf_product'!$A:$A,0)),"NOT FOUND")</f>
        <v/>
      </c>
      <c r="AD457" s="33">
        <f>IF(LEN(TRIM(E457))=10,TRIM(E457),IF(LEN(TRIM(E457))=8,"00"&amp;TRIM(E457),"CHECK"))</f>
        <v/>
      </c>
      <c r="AE457" s="2">
        <f>IFERROR(INDEX('8_3nf_customer'!$C:$C,MATCH(AD457,'8_3nf_customer'!$B:$B,0)),"NOT FOUND")</f>
        <v/>
      </c>
      <c r="AF457" s="30">
        <f>IFERROR(INDEX('8_3nf_customer'!$D:$D,MATCH(AD457,'8_3nf_customer'!$B:$B,0)),"NOT FOUND")</f>
        <v/>
      </c>
      <c r="AG457" s="4">
        <f>IF(ISNUMBER(AF457),DATEDIF(AF457,L457,"y"),"NOT FOUND")</f>
        <v/>
      </c>
      <c r="AH457" s="2">
        <f>IFERROR(INDEX('8_3nf_customer'!$E:$E,MATCH(AD457,'8_3nf_customer'!$B:$B,0)),"NOT FOUND")</f>
        <v/>
      </c>
      <c r="AI457" s="30">
        <f>IF(_xlfn.MAXIFS('9_3nf_customer_history'!$B$2:$B$500,'9_3nf_customer_history'!$A$2:$A$500,AD457,'9_3nf_customer_history'!$B$2:$B$500,"&lt;="&amp;L457)=0,"NOT FOUND",_xlfn.MAXIFS('9_3nf_customer_history'!$B$2:$B$500,'9_3nf_customer_history'!$A$2:$A$500,AD457,'9_3nf_customer_history'!$B$2:$B$500,"&lt;="&amp;L457))</f>
        <v/>
      </c>
      <c r="AJ457" s="2">
        <f>IF(AI457="NOT FOUND","NOT FOUND",INDEX('9_3nf_customer_history'!$C:$C,SUMPRODUCT(('9_3nf_customer_history'!$A$2:$A$500=AD457)*('9_3nf_customer_history'!$B$2:$B$500=AI457)*ROW('9_3nf_customer_history'!$A$2:$A$500))))</f>
        <v/>
      </c>
      <c r="AK457" s="2">
        <f>IF(AI457="NOT FOUND","NOT FOUND",INDEX('9_3nf_customer_history'!$D:$D,SUMPRODUCT(('9_3nf_customer_history'!$A$2:$A$500=AD457)*('9_3nf_customer_history'!$B$2:$B$500=AI457)*ROW('9_3nf_customer_history'!$A$2:$A$500))))</f>
        <v/>
      </c>
      <c r="AL457" s="2">
        <f>UPPER(TRIM(H457))</f>
        <v/>
      </c>
      <c r="AM457" s="30">
        <f>IF(_xlfn.MAXIFS('10_ref_fx_rate'!$B$2:$B$2000,'10_ref_fx_rate'!$A$2:$A$2000,AL457,'10_ref_fx_rate'!$B$2:$B$2000,"&lt;="&amp;L457)=0,"NOT FOUND",_xlfn.MAXIFS('10_ref_fx_rate'!$B$2:$B$2000,'10_ref_fx_rate'!$A$2:$A$2000,AL457,'10_ref_fx_rate'!$B$2:$B$2000,"&lt;="&amp;L457))</f>
        <v/>
      </c>
      <c r="AN457" s="8">
        <f>IF(AM457="NOT FOUND","NOT FOUND",SUMIFS('10_ref_fx_rate'!$D$2:$D$2000,'10_ref_fx_rate'!$A$2:$A$2000,AL457,'10_ref_fx_rate'!$B$2:$B$2000,AM457))</f>
        <v/>
      </c>
      <c r="AO457" s="37">
        <f>IF(ISNUMBER(AN457),I457*AN457,"NOT FOUND")</f>
        <v/>
      </c>
      <c r="AP457" s="2">
        <f>UPPER(TRIM(J457))</f>
        <v/>
      </c>
      <c r="AQ457" s="2">
        <f>IF(AP457="","SELF-DIRECTED",IF(ISNUMBER(MATCH(AP457,'11_3nf_sales_person'!$A:$A,0)),IF(EXACT(AP457,J457),"OK","OK (auto-fixed)"),IF(ISNA(MATCH($A457,'12_sales_person_confirmation'!$A:$A,0)),"CONFIRM (not logged)",IF(INDEX('12_sales_person_confirmation'!$I:$I,MATCH($A457,'12_sales_person_confirmation'!$A:$A,0))="CONFIRMED","CONFIRMED ("&amp;LOWER(INDEX('12_sales_person_confirmation'!$E:$E,MATCH($A457,'12_sales_person_confirmation'!$A:$A,0)))&amp;")","PENDING CONFIRM"))))</f>
        <v/>
      </c>
      <c r="AR457" s="2">
        <f>IF(OR(AQ457="OK",AQ457="OK (auto-fixed)"),AP457,IF(LEFT(AQ457,9)="CONFIRMED",INDEX('12_sales_person_confirmation'!$F:$F,MATCH($A457,'12_sales_person_confirmation'!$A:$A,0)),""))</f>
        <v/>
      </c>
      <c r="AS457" s="2">
        <f>IF(AR457="","",INDEX('11_3nf_sales_person'!$B:$B,MATCH(AR457,'11_3nf_sales_person'!$A:$A,0)))</f>
        <v/>
      </c>
    </row>
    <row r="458">
      <c r="A458" s="2">
        <f>IF(ISBLANK('1_raw_log'!A458),"",'1_raw_log'!A458)</f>
        <v/>
      </c>
      <c r="B458" s="3">
        <f>IF(ISBLANK('1_raw_log'!B458),"",'1_raw_log'!B458)</f>
        <v/>
      </c>
      <c r="C458" s="2">
        <f>IF(ISBLANK('1_raw_log'!C458),"",'1_raw_log'!C458)</f>
        <v/>
      </c>
      <c r="D458" s="2">
        <f>IF(ISBLANK('1_raw_log'!D458),"",'1_raw_log'!D458)</f>
        <v/>
      </c>
      <c r="E458" s="4">
        <f>IF(ISBLANK('1_raw_log'!E458),"",'1_raw_log'!E458)</f>
        <v/>
      </c>
      <c r="F458" s="2">
        <f>IF(ISBLANK('1_raw_log'!F458),"",'1_raw_log'!F458)</f>
        <v/>
      </c>
      <c r="G458" s="2">
        <f>IF(ISBLANK('1_raw_log'!G458),"",'1_raw_log'!G458)</f>
        <v/>
      </c>
      <c r="H458" s="2">
        <f>IF(ISBLANK('1_raw_log'!H458),"",'1_raw_log'!H458)</f>
        <v/>
      </c>
      <c r="I458" s="7">
        <f>IF(ISBLANK('1_raw_log'!I458),"",'1_raw_log'!I458)</f>
        <v/>
      </c>
      <c r="J458" s="2">
        <f>IF(ISBLANK('1_raw_log'!J458),"",'1_raw_log'!J458)</f>
        <v/>
      </c>
      <c r="K458" s="2">
        <f>IF(ISBLANK('1_raw_log'!K458),"",'1_raw_log'!K458)</f>
        <v/>
      </c>
      <c r="L458" s="30">
        <f>INT(B458)</f>
        <v/>
      </c>
      <c r="M458" s="20">
        <f>ROUND(MOD(B458,1)*1440,0)/1440</f>
        <v/>
      </c>
      <c r="N458" s="4">
        <f>IFERROR(INDEX('3_ref_date'!$B:$B,MATCH(L458,'3_ref_date'!$A:$A,0)),"NOT FOUND")</f>
        <v/>
      </c>
      <c r="O458" s="2">
        <f>IFERROR(INDEX('3_ref_date'!$C:$C,MATCH(L458,'3_ref_date'!$A:$A,0)),"NOT FOUND")</f>
        <v/>
      </c>
      <c r="P458" s="4">
        <f>IFERROR(INDEX('3_ref_date'!$D:$D,MATCH(L458,'3_ref_date'!$A:$A,0)),"NOT FOUND")</f>
        <v/>
      </c>
      <c r="Q458" s="4">
        <f>IFERROR(INDEX('3_ref_date'!$E:$E,MATCH(L458,'3_ref_date'!$A:$A,0)),"NOT FOUND")</f>
        <v/>
      </c>
      <c r="R458" s="2">
        <f>IFERROR(INDEX('3_ref_date'!$F:$F,MATCH(L458,'3_ref_date'!$A:$A,0)),"NOT FOUND")</f>
        <v/>
      </c>
      <c r="S458" s="2">
        <f>IFERROR(INDEX('4_ref_time'!$D:$D,MATCH(ROUND(M458*1440,0),'4_ref_time'!$A:$A,0)),"NOT FOUND")</f>
        <v/>
      </c>
      <c r="T458" s="2">
        <f>UPPER(TRIM(C458))</f>
        <v/>
      </c>
      <c r="U458" s="30">
        <f>IF(_xlfn.MAXIFS('6_3nf_branch_history'!$B$2:$B$50,'6_3nf_branch_history'!$A$2:$A$50,T458,'6_3nf_branch_history'!$B$2:$B$50,"&lt;="&amp;L458)=0,"NOT FOUND",_xlfn.MAXIFS('6_3nf_branch_history'!$B$2:$B$50,'6_3nf_branch_history'!$A$2:$A$50,T458,'6_3nf_branch_history'!$B$2:$B$50,"&lt;="&amp;L458))</f>
        <v/>
      </c>
      <c r="V458" s="2">
        <f>IF(U458="NOT FOUND","NOT FOUND",INDEX('6_3nf_branch_history'!$C:$C,SUMPRODUCT(('6_3nf_branch_history'!$A$2:$A$50=T458)*('6_3nf_branch_history'!$B$2:$B$50=U458)*ROW('6_3nf_branch_history'!$A$2:$A$50))))</f>
        <v/>
      </c>
      <c r="W458" s="2">
        <f>IF(U458="NOT FOUND","NOT FOUND",INDEX('6_3nf_branch_history'!$D:$D,SUMPRODUCT(('6_3nf_branch_history'!$A$2:$A$50=T458)*('6_3nf_branch_history'!$B$2:$B$50=U458)*ROW('6_3nf_branch_history'!$A$2:$A$50))))</f>
        <v/>
      </c>
      <c r="X458" s="2">
        <f>IF(U458="NOT FOUND","NOT FOUND",INDEX('6_3nf_branch_history'!$E:$E,SUMPRODUCT(('6_3nf_branch_history'!$A$2:$A$50=T458)*('6_3nf_branch_history'!$B$2:$B$50=U458)*ROW('6_3nf_branch_history'!$A$2:$A$50))))</f>
        <v/>
      </c>
      <c r="Y458" s="2">
        <f>UPPER(TRIM(D458))</f>
        <v/>
      </c>
      <c r="Z458" s="2">
        <f>IFERROR(INDEX('7_3nf_product'!$B:$B,MATCH(Y458,'7_3nf_product'!$A:$A,0)),"NOT FOUND")</f>
        <v/>
      </c>
      <c r="AA458" s="2">
        <f>IFERROR(INDEX('7_3nf_product'!$C:$C,MATCH(Y458,'7_3nf_product'!$A:$A,0)),"NOT FOUND")</f>
        <v/>
      </c>
      <c r="AB458" s="2">
        <f>IFERROR(INDEX('7_3nf_product'!$D:$D,MATCH(Y458,'7_3nf_product'!$A:$A,0)),"NOT FOUND")</f>
        <v/>
      </c>
      <c r="AC458" s="6">
        <f>IFERROR(INDEX('7_3nf_product'!$E:$E,MATCH(Y458,'7_3nf_product'!$A:$A,0)),"NOT FOUND")</f>
        <v/>
      </c>
      <c r="AD458" s="33">
        <f>IF(LEN(TRIM(E458))=10,TRIM(E458),IF(LEN(TRIM(E458))=8,"00"&amp;TRIM(E458),"CHECK"))</f>
        <v/>
      </c>
      <c r="AE458" s="2">
        <f>IFERROR(INDEX('8_3nf_customer'!$C:$C,MATCH(AD458,'8_3nf_customer'!$B:$B,0)),"NOT FOUND")</f>
        <v/>
      </c>
      <c r="AF458" s="30">
        <f>IFERROR(INDEX('8_3nf_customer'!$D:$D,MATCH(AD458,'8_3nf_customer'!$B:$B,0)),"NOT FOUND")</f>
        <v/>
      </c>
      <c r="AG458" s="4">
        <f>IF(ISNUMBER(AF458),DATEDIF(AF458,L458,"y"),"NOT FOUND")</f>
        <v/>
      </c>
      <c r="AH458" s="2">
        <f>IFERROR(INDEX('8_3nf_customer'!$E:$E,MATCH(AD458,'8_3nf_customer'!$B:$B,0)),"NOT FOUND")</f>
        <v/>
      </c>
      <c r="AI458" s="30">
        <f>IF(_xlfn.MAXIFS('9_3nf_customer_history'!$B$2:$B$500,'9_3nf_customer_history'!$A$2:$A$500,AD458,'9_3nf_customer_history'!$B$2:$B$500,"&lt;="&amp;L458)=0,"NOT FOUND",_xlfn.MAXIFS('9_3nf_customer_history'!$B$2:$B$500,'9_3nf_customer_history'!$A$2:$A$500,AD458,'9_3nf_customer_history'!$B$2:$B$500,"&lt;="&amp;L458))</f>
        <v/>
      </c>
      <c r="AJ458" s="2">
        <f>IF(AI458="NOT FOUND","NOT FOUND",INDEX('9_3nf_customer_history'!$C:$C,SUMPRODUCT(('9_3nf_customer_history'!$A$2:$A$500=AD458)*('9_3nf_customer_history'!$B$2:$B$500=AI458)*ROW('9_3nf_customer_history'!$A$2:$A$500))))</f>
        <v/>
      </c>
      <c r="AK458" s="2">
        <f>IF(AI458="NOT FOUND","NOT FOUND",INDEX('9_3nf_customer_history'!$D:$D,SUMPRODUCT(('9_3nf_customer_history'!$A$2:$A$500=AD458)*('9_3nf_customer_history'!$B$2:$B$500=AI458)*ROW('9_3nf_customer_history'!$A$2:$A$500))))</f>
        <v/>
      </c>
      <c r="AL458" s="2">
        <f>UPPER(TRIM(H458))</f>
        <v/>
      </c>
      <c r="AM458" s="30">
        <f>IF(_xlfn.MAXIFS('10_ref_fx_rate'!$B$2:$B$2000,'10_ref_fx_rate'!$A$2:$A$2000,AL458,'10_ref_fx_rate'!$B$2:$B$2000,"&lt;="&amp;L458)=0,"NOT FOUND",_xlfn.MAXIFS('10_ref_fx_rate'!$B$2:$B$2000,'10_ref_fx_rate'!$A$2:$A$2000,AL458,'10_ref_fx_rate'!$B$2:$B$2000,"&lt;="&amp;L458))</f>
        <v/>
      </c>
      <c r="AN458" s="8">
        <f>IF(AM458="NOT FOUND","NOT FOUND",SUMIFS('10_ref_fx_rate'!$D$2:$D$2000,'10_ref_fx_rate'!$A$2:$A$2000,AL458,'10_ref_fx_rate'!$B$2:$B$2000,AM458))</f>
        <v/>
      </c>
      <c r="AO458" s="37">
        <f>IF(ISNUMBER(AN458),I458*AN458,"NOT FOUND")</f>
        <v/>
      </c>
      <c r="AP458" s="2">
        <f>UPPER(TRIM(J458))</f>
        <v/>
      </c>
      <c r="AQ458" s="2">
        <f>IF(AP458="","SELF-DIRECTED",IF(ISNUMBER(MATCH(AP458,'11_3nf_sales_person'!$A:$A,0)),IF(EXACT(AP458,J458),"OK","OK (auto-fixed)"),IF(ISNA(MATCH($A458,'12_sales_person_confirmation'!$A:$A,0)),"CONFIRM (not logged)",IF(INDEX('12_sales_person_confirmation'!$I:$I,MATCH($A458,'12_sales_person_confirmation'!$A:$A,0))="CONFIRMED","CONFIRMED ("&amp;LOWER(INDEX('12_sales_person_confirmation'!$E:$E,MATCH($A458,'12_sales_person_confirmation'!$A:$A,0)))&amp;")","PENDING CONFIRM"))))</f>
        <v/>
      </c>
      <c r="AR458" s="2">
        <f>IF(OR(AQ458="OK",AQ458="OK (auto-fixed)"),AP458,IF(LEFT(AQ458,9)="CONFIRMED",INDEX('12_sales_person_confirmation'!$F:$F,MATCH($A458,'12_sales_person_confirmation'!$A:$A,0)),""))</f>
        <v/>
      </c>
      <c r="AS458" s="2">
        <f>IF(AR458="","",INDEX('11_3nf_sales_person'!$B:$B,MATCH(AR458,'11_3nf_sales_person'!$A:$A,0)))</f>
        <v/>
      </c>
    </row>
    <row r="459">
      <c r="A459" s="2">
        <f>IF(ISBLANK('1_raw_log'!A459),"",'1_raw_log'!A459)</f>
        <v/>
      </c>
      <c r="B459" s="3">
        <f>IF(ISBLANK('1_raw_log'!B459),"",'1_raw_log'!B459)</f>
        <v/>
      </c>
      <c r="C459" s="2">
        <f>IF(ISBLANK('1_raw_log'!C459),"",'1_raw_log'!C459)</f>
        <v/>
      </c>
      <c r="D459" s="2">
        <f>IF(ISBLANK('1_raw_log'!D459),"",'1_raw_log'!D459)</f>
        <v/>
      </c>
      <c r="E459" s="4">
        <f>IF(ISBLANK('1_raw_log'!E459),"",'1_raw_log'!E459)</f>
        <v/>
      </c>
      <c r="F459" s="2">
        <f>IF(ISBLANK('1_raw_log'!F459),"",'1_raw_log'!F459)</f>
        <v/>
      </c>
      <c r="G459" s="2">
        <f>IF(ISBLANK('1_raw_log'!G459),"",'1_raw_log'!G459)</f>
        <v/>
      </c>
      <c r="H459" s="2">
        <f>IF(ISBLANK('1_raw_log'!H459),"",'1_raw_log'!H459)</f>
        <v/>
      </c>
      <c r="I459" s="7">
        <f>IF(ISBLANK('1_raw_log'!I459),"",'1_raw_log'!I459)</f>
        <v/>
      </c>
      <c r="J459" s="2">
        <f>IF(ISBLANK('1_raw_log'!J459),"",'1_raw_log'!J459)</f>
        <v/>
      </c>
      <c r="K459" s="2">
        <f>IF(ISBLANK('1_raw_log'!K459),"",'1_raw_log'!K459)</f>
        <v/>
      </c>
      <c r="L459" s="30">
        <f>INT(B459)</f>
        <v/>
      </c>
      <c r="M459" s="20">
        <f>ROUND(MOD(B459,1)*1440,0)/1440</f>
        <v/>
      </c>
      <c r="N459" s="4">
        <f>IFERROR(INDEX('3_ref_date'!$B:$B,MATCH(L459,'3_ref_date'!$A:$A,0)),"NOT FOUND")</f>
        <v/>
      </c>
      <c r="O459" s="2">
        <f>IFERROR(INDEX('3_ref_date'!$C:$C,MATCH(L459,'3_ref_date'!$A:$A,0)),"NOT FOUND")</f>
        <v/>
      </c>
      <c r="P459" s="4">
        <f>IFERROR(INDEX('3_ref_date'!$D:$D,MATCH(L459,'3_ref_date'!$A:$A,0)),"NOT FOUND")</f>
        <v/>
      </c>
      <c r="Q459" s="4">
        <f>IFERROR(INDEX('3_ref_date'!$E:$E,MATCH(L459,'3_ref_date'!$A:$A,0)),"NOT FOUND")</f>
        <v/>
      </c>
      <c r="R459" s="2">
        <f>IFERROR(INDEX('3_ref_date'!$F:$F,MATCH(L459,'3_ref_date'!$A:$A,0)),"NOT FOUND")</f>
        <v/>
      </c>
      <c r="S459" s="2">
        <f>IFERROR(INDEX('4_ref_time'!$D:$D,MATCH(ROUND(M459*1440,0),'4_ref_time'!$A:$A,0)),"NOT FOUND")</f>
        <v/>
      </c>
      <c r="T459" s="2">
        <f>UPPER(TRIM(C459))</f>
        <v/>
      </c>
      <c r="U459" s="30">
        <f>IF(_xlfn.MAXIFS('6_3nf_branch_history'!$B$2:$B$50,'6_3nf_branch_history'!$A$2:$A$50,T459,'6_3nf_branch_history'!$B$2:$B$50,"&lt;="&amp;L459)=0,"NOT FOUND",_xlfn.MAXIFS('6_3nf_branch_history'!$B$2:$B$50,'6_3nf_branch_history'!$A$2:$A$50,T459,'6_3nf_branch_history'!$B$2:$B$50,"&lt;="&amp;L459))</f>
        <v/>
      </c>
      <c r="V459" s="2">
        <f>IF(U459="NOT FOUND","NOT FOUND",INDEX('6_3nf_branch_history'!$C:$C,SUMPRODUCT(('6_3nf_branch_history'!$A$2:$A$50=T459)*('6_3nf_branch_history'!$B$2:$B$50=U459)*ROW('6_3nf_branch_history'!$A$2:$A$50))))</f>
        <v/>
      </c>
      <c r="W459" s="2">
        <f>IF(U459="NOT FOUND","NOT FOUND",INDEX('6_3nf_branch_history'!$D:$D,SUMPRODUCT(('6_3nf_branch_history'!$A$2:$A$50=T459)*('6_3nf_branch_history'!$B$2:$B$50=U459)*ROW('6_3nf_branch_history'!$A$2:$A$50))))</f>
        <v/>
      </c>
      <c r="X459" s="2">
        <f>IF(U459="NOT FOUND","NOT FOUND",INDEX('6_3nf_branch_history'!$E:$E,SUMPRODUCT(('6_3nf_branch_history'!$A$2:$A$50=T459)*('6_3nf_branch_history'!$B$2:$B$50=U459)*ROW('6_3nf_branch_history'!$A$2:$A$50))))</f>
        <v/>
      </c>
      <c r="Y459" s="2">
        <f>UPPER(TRIM(D459))</f>
        <v/>
      </c>
      <c r="Z459" s="2">
        <f>IFERROR(INDEX('7_3nf_product'!$B:$B,MATCH(Y459,'7_3nf_product'!$A:$A,0)),"NOT FOUND")</f>
        <v/>
      </c>
      <c r="AA459" s="2">
        <f>IFERROR(INDEX('7_3nf_product'!$C:$C,MATCH(Y459,'7_3nf_product'!$A:$A,0)),"NOT FOUND")</f>
        <v/>
      </c>
      <c r="AB459" s="2">
        <f>IFERROR(INDEX('7_3nf_product'!$D:$D,MATCH(Y459,'7_3nf_product'!$A:$A,0)),"NOT FOUND")</f>
        <v/>
      </c>
      <c r="AC459" s="6">
        <f>IFERROR(INDEX('7_3nf_product'!$E:$E,MATCH(Y459,'7_3nf_product'!$A:$A,0)),"NOT FOUND")</f>
        <v/>
      </c>
      <c r="AD459" s="33">
        <f>IF(LEN(TRIM(E459))=10,TRIM(E459),IF(LEN(TRIM(E459))=8,"00"&amp;TRIM(E459),"CHECK"))</f>
        <v/>
      </c>
      <c r="AE459" s="2">
        <f>IFERROR(INDEX('8_3nf_customer'!$C:$C,MATCH(AD459,'8_3nf_customer'!$B:$B,0)),"NOT FOUND")</f>
        <v/>
      </c>
      <c r="AF459" s="30">
        <f>IFERROR(INDEX('8_3nf_customer'!$D:$D,MATCH(AD459,'8_3nf_customer'!$B:$B,0)),"NOT FOUND")</f>
        <v/>
      </c>
      <c r="AG459" s="4">
        <f>IF(ISNUMBER(AF459),DATEDIF(AF459,L459,"y"),"NOT FOUND")</f>
        <v/>
      </c>
      <c r="AH459" s="2">
        <f>IFERROR(INDEX('8_3nf_customer'!$E:$E,MATCH(AD459,'8_3nf_customer'!$B:$B,0)),"NOT FOUND")</f>
        <v/>
      </c>
      <c r="AI459" s="30">
        <f>IF(_xlfn.MAXIFS('9_3nf_customer_history'!$B$2:$B$500,'9_3nf_customer_history'!$A$2:$A$500,AD459,'9_3nf_customer_history'!$B$2:$B$500,"&lt;="&amp;L459)=0,"NOT FOUND",_xlfn.MAXIFS('9_3nf_customer_history'!$B$2:$B$500,'9_3nf_customer_history'!$A$2:$A$500,AD459,'9_3nf_customer_history'!$B$2:$B$500,"&lt;="&amp;L459))</f>
        <v/>
      </c>
      <c r="AJ459" s="2">
        <f>IF(AI459="NOT FOUND","NOT FOUND",INDEX('9_3nf_customer_history'!$C:$C,SUMPRODUCT(('9_3nf_customer_history'!$A$2:$A$500=AD459)*('9_3nf_customer_history'!$B$2:$B$500=AI459)*ROW('9_3nf_customer_history'!$A$2:$A$500))))</f>
        <v/>
      </c>
      <c r="AK459" s="2">
        <f>IF(AI459="NOT FOUND","NOT FOUND",INDEX('9_3nf_customer_history'!$D:$D,SUMPRODUCT(('9_3nf_customer_history'!$A$2:$A$500=AD459)*('9_3nf_customer_history'!$B$2:$B$500=AI459)*ROW('9_3nf_customer_history'!$A$2:$A$500))))</f>
        <v/>
      </c>
      <c r="AL459" s="2">
        <f>UPPER(TRIM(H459))</f>
        <v/>
      </c>
      <c r="AM459" s="30">
        <f>IF(_xlfn.MAXIFS('10_ref_fx_rate'!$B$2:$B$2000,'10_ref_fx_rate'!$A$2:$A$2000,AL459,'10_ref_fx_rate'!$B$2:$B$2000,"&lt;="&amp;L459)=0,"NOT FOUND",_xlfn.MAXIFS('10_ref_fx_rate'!$B$2:$B$2000,'10_ref_fx_rate'!$A$2:$A$2000,AL459,'10_ref_fx_rate'!$B$2:$B$2000,"&lt;="&amp;L459))</f>
        <v/>
      </c>
      <c r="AN459" s="8">
        <f>IF(AM459="NOT FOUND","NOT FOUND",SUMIFS('10_ref_fx_rate'!$D$2:$D$2000,'10_ref_fx_rate'!$A$2:$A$2000,AL459,'10_ref_fx_rate'!$B$2:$B$2000,AM459))</f>
        <v/>
      </c>
      <c r="AO459" s="37">
        <f>IF(ISNUMBER(AN459),I459*AN459,"NOT FOUND")</f>
        <v/>
      </c>
      <c r="AP459" s="2">
        <f>UPPER(TRIM(J459))</f>
        <v/>
      </c>
      <c r="AQ459" s="2">
        <f>IF(AP459="","SELF-DIRECTED",IF(ISNUMBER(MATCH(AP459,'11_3nf_sales_person'!$A:$A,0)),IF(EXACT(AP459,J459),"OK","OK (auto-fixed)"),IF(ISNA(MATCH($A459,'12_sales_person_confirmation'!$A:$A,0)),"CONFIRM (not logged)",IF(INDEX('12_sales_person_confirmation'!$I:$I,MATCH($A459,'12_sales_person_confirmation'!$A:$A,0))="CONFIRMED","CONFIRMED ("&amp;LOWER(INDEX('12_sales_person_confirmation'!$E:$E,MATCH($A459,'12_sales_person_confirmation'!$A:$A,0)))&amp;")","PENDING CONFIRM"))))</f>
        <v/>
      </c>
      <c r="AR459" s="2">
        <f>IF(OR(AQ459="OK",AQ459="OK (auto-fixed)"),AP459,IF(LEFT(AQ459,9)="CONFIRMED",INDEX('12_sales_person_confirmation'!$F:$F,MATCH($A459,'12_sales_person_confirmation'!$A:$A,0)),""))</f>
        <v/>
      </c>
      <c r="AS459" s="2">
        <f>IF(AR459="","",INDEX('11_3nf_sales_person'!$B:$B,MATCH(AR459,'11_3nf_sales_person'!$A:$A,0)))</f>
        <v/>
      </c>
    </row>
    <row r="460">
      <c r="A460" s="2">
        <f>IF(ISBLANK('1_raw_log'!A460),"",'1_raw_log'!A460)</f>
        <v/>
      </c>
      <c r="B460" s="3">
        <f>IF(ISBLANK('1_raw_log'!B460),"",'1_raw_log'!B460)</f>
        <v/>
      </c>
      <c r="C460" s="2">
        <f>IF(ISBLANK('1_raw_log'!C460),"",'1_raw_log'!C460)</f>
        <v/>
      </c>
      <c r="D460" s="2">
        <f>IF(ISBLANK('1_raw_log'!D460),"",'1_raw_log'!D460)</f>
        <v/>
      </c>
      <c r="E460" s="4">
        <f>IF(ISBLANK('1_raw_log'!E460),"",'1_raw_log'!E460)</f>
        <v/>
      </c>
      <c r="F460" s="2">
        <f>IF(ISBLANK('1_raw_log'!F460),"",'1_raw_log'!F460)</f>
        <v/>
      </c>
      <c r="G460" s="2">
        <f>IF(ISBLANK('1_raw_log'!G460),"",'1_raw_log'!G460)</f>
        <v/>
      </c>
      <c r="H460" s="2">
        <f>IF(ISBLANK('1_raw_log'!H460),"",'1_raw_log'!H460)</f>
        <v/>
      </c>
      <c r="I460" s="7">
        <f>IF(ISBLANK('1_raw_log'!I460),"",'1_raw_log'!I460)</f>
        <v/>
      </c>
      <c r="J460" s="2">
        <f>IF(ISBLANK('1_raw_log'!J460),"",'1_raw_log'!J460)</f>
        <v/>
      </c>
      <c r="K460" s="2">
        <f>IF(ISBLANK('1_raw_log'!K460),"",'1_raw_log'!K460)</f>
        <v/>
      </c>
      <c r="L460" s="30">
        <f>INT(B460)</f>
        <v/>
      </c>
      <c r="M460" s="20">
        <f>ROUND(MOD(B460,1)*1440,0)/1440</f>
        <v/>
      </c>
      <c r="N460" s="4">
        <f>IFERROR(INDEX('3_ref_date'!$B:$B,MATCH(L460,'3_ref_date'!$A:$A,0)),"NOT FOUND")</f>
        <v/>
      </c>
      <c r="O460" s="2">
        <f>IFERROR(INDEX('3_ref_date'!$C:$C,MATCH(L460,'3_ref_date'!$A:$A,0)),"NOT FOUND")</f>
        <v/>
      </c>
      <c r="P460" s="4">
        <f>IFERROR(INDEX('3_ref_date'!$D:$D,MATCH(L460,'3_ref_date'!$A:$A,0)),"NOT FOUND")</f>
        <v/>
      </c>
      <c r="Q460" s="4">
        <f>IFERROR(INDEX('3_ref_date'!$E:$E,MATCH(L460,'3_ref_date'!$A:$A,0)),"NOT FOUND")</f>
        <v/>
      </c>
      <c r="R460" s="2">
        <f>IFERROR(INDEX('3_ref_date'!$F:$F,MATCH(L460,'3_ref_date'!$A:$A,0)),"NOT FOUND")</f>
        <v/>
      </c>
      <c r="S460" s="2">
        <f>IFERROR(INDEX('4_ref_time'!$D:$D,MATCH(ROUND(M460*1440,0),'4_ref_time'!$A:$A,0)),"NOT FOUND")</f>
        <v/>
      </c>
      <c r="T460" s="2">
        <f>UPPER(TRIM(C460))</f>
        <v/>
      </c>
      <c r="U460" s="30">
        <f>IF(_xlfn.MAXIFS('6_3nf_branch_history'!$B$2:$B$50,'6_3nf_branch_history'!$A$2:$A$50,T460,'6_3nf_branch_history'!$B$2:$B$50,"&lt;="&amp;L460)=0,"NOT FOUND",_xlfn.MAXIFS('6_3nf_branch_history'!$B$2:$B$50,'6_3nf_branch_history'!$A$2:$A$50,T460,'6_3nf_branch_history'!$B$2:$B$50,"&lt;="&amp;L460))</f>
        <v/>
      </c>
      <c r="V460" s="2">
        <f>IF(U460="NOT FOUND","NOT FOUND",INDEX('6_3nf_branch_history'!$C:$C,SUMPRODUCT(('6_3nf_branch_history'!$A$2:$A$50=T460)*('6_3nf_branch_history'!$B$2:$B$50=U460)*ROW('6_3nf_branch_history'!$A$2:$A$50))))</f>
        <v/>
      </c>
      <c r="W460" s="2">
        <f>IF(U460="NOT FOUND","NOT FOUND",INDEX('6_3nf_branch_history'!$D:$D,SUMPRODUCT(('6_3nf_branch_history'!$A$2:$A$50=T460)*('6_3nf_branch_history'!$B$2:$B$50=U460)*ROW('6_3nf_branch_history'!$A$2:$A$50))))</f>
        <v/>
      </c>
      <c r="X460" s="2">
        <f>IF(U460="NOT FOUND","NOT FOUND",INDEX('6_3nf_branch_history'!$E:$E,SUMPRODUCT(('6_3nf_branch_history'!$A$2:$A$50=T460)*('6_3nf_branch_history'!$B$2:$B$50=U460)*ROW('6_3nf_branch_history'!$A$2:$A$50))))</f>
        <v/>
      </c>
      <c r="Y460" s="2">
        <f>UPPER(TRIM(D460))</f>
        <v/>
      </c>
      <c r="Z460" s="2">
        <f>IFERROR(INDEX('7_3nf_product'!$B:$B,MATCH(Y460,'7_3nf_product'!$A:$A,0)),"NOT FOUND")</f>
        <v/>
      </c>
      <c r="AA460" s="2">
        <f>IFERROR(INDEX('7_3nf_product'!$C:$C,MATCH(Y460,'7_3nf_product'!$A:$A,0)),"NOT FOUND")</f>
        <v/>
      </c>
      <c r="AB460" s="2">
        <f>IFERROR(INDEX('7_3nf_product'!$D:$D,MATCH(Y460,'7_3nf_product'!$A:$A,0)),"NOT FOUND")</f>
        <v/>
      </c>
      <c r="AC460" s="6">
        <f>IFERROR(INDEX('7_3nf_product'!$E:$E,MATCH(Y460,'7_3nf_product'!$A:$A,0)),"NOT FOUND")</f>
        <v/>
      </c>
      <c r="AD460" s="33">
        <f>IF(LEN(TRIM(E460))=10,TRIM(E460),IF(LEN(TRIM(E460))=8,"00"&amp;TRIM(E460),"CHECK"))</f>
        <v/>
      </c>
      <c r="AE460" s="2">
        <f>IFERROR(INDEX('8_3nf_customer'!$C:$C,MATCH(AD460,'8_3nf_customer'!$B:$B,0)),"NOT FOUND")</f>
        <v/>
      </c>
      <c r="AF460" s="30">
        <f>IFERROR(INDEX('8_3nf_customer'!$D:$D,MATCH(AD460,'8_3nf_customer'!$B:$B,0)),"NOT FOUND")</f>
        <v/>
      </c>
      <c r="AG460" s="4">
        <f>IF(ISNUMBER(AF460),DATEDIF(AF460,L460,"y"),"NOT FOUND")</f>
        <v/>
      </c>
      <c r="AH460" s="2">
        <f>IFERROR(INDEX('8_3nf_customer'!$E:$E,MATCH(AD460,'8_3nf_customer'!$B:$B,0)),"NOT FOUND")</f>
        <v/>
      </c>
      <c r="AI460" s="30">
        <f>IF(_xlfn.MAXIFS('9_3nf_customer_history'!$B$2:$B$500,'9_3nf_customer_history'!$A$2:$A$500,AD460,'9_3nf_customer_history'!$B$2:$B$500,"&lt;="&amp;L460)=0,"NOT FOUND",_xlfn.MAXIFS('9_3nf_customer_history'!$B$2:$B$500,'9_3nf_customer_history'!$A$2:$A$500,AD460,'9_3nf_customer_history'!$B$2:$B$500,"&lt;="&amp;L460))</f>
        <v/>
      </c>
      <c r="AJ460" s="2">
        <f>IF(AI460="NOT FOUND","NOT FOUND",INDEX('9_3nf_customer_history'!$C:$C,SUMPRODUCT(('9_3nf_customer_history'!$A$2:$A$500=AD460)*('9_3nf_customer_history'!$B$2:$B$500=AI460)*ROW('9_3nf_customer_history'!$A$2:$A$500))))</f>
        <v/>
      </c>
      <c r="AK460" s="2">
        <f>IF(AI460="NOT FOUND","NOT FOUND",INDEX('9_3nf_customer_history'!$D:$D,SUMPRODUCT(('9_3nf_customer_history'!$A$2:$A$500=AD460)*('9_3nf_customer_history'!$B$2:$B$500=AI460)*ROW('9_3nf_customer_history'!$A$2:$A$500))))</f>
        <v/>
      </c>
      <c r="AL460" s="2">
        <f>UPPER(TRIM(H460))</f>
        <v/>
      </c>
      <c r="AM460" s="30">
        <f>IF(_xlfn.MAXIFS('10_ref_fx_rate'!$B$2:$B$2000,'10_ref_fx_rate'!$A$2:$A$2000,AL460,'10_ref_fx_rate'!$B$2:$B$2000,"&lt;="&amp;L460)=0,"NOT FOUND",_xlfn.MAXIFS('10_ref_fx_rate'!$B$2:$B$2000,'10_ref_fx_rate'!$A$2:$A$2000,AL460,'10_ref_fx_rate'!$B$2:$B$2000,"&lt;="&amp;L460))</f>
        <v/>
      </c>
      <c r="AN460" s="8">
        <f>IF(AM460="NOT FOUND","NOT FOUND",SUMIFS('10_ref_fx_rate'!$D$2:$D$2000,'10_ref_fx_rate'!$A$2:$A$2000,AL460,'10_ref_fx_rate'!$B$2:$B$2000,AM460))</f>
        <v/>
      </c>
      <c r="AO460" s="37">
        <f>IF(ISNUMBER(AN460),I460*AN460,"NOT FOUND")</f>
        <v/>
      </c>
      <c r="AP460" s="2">
        <f>UPPER(TRIM(J460))</f>
        <v/>
      </c>
      <c r="AQ460" s="2">
        <f>IF(AP460="","SELF-DIRECTED",IF(ISNUMBER(MATCH(AP460,'11_3nf_sales_person'!$A:$A,0)),IF(EXACT(AP460,J460),"OK","OK (auto-fixed)"),IF(ISNA(MATCH($A460,'12_sales_person_confirmation'!$A:$A,0)),"CONFIRM (not logged)",IF(INDEX('12_sales_person_confirmation'!$I:$I,MATCH($A460,'12_sales_person_confirmation'!$A:$A,0))="CONFIRMED","CONFIRMED ("&amp;LOWER(INDEX('12_sales_person_confirmation'!$E:$E,MATCH($A460,'12_sales_person_confirmation'!$A:$A,0)))&amp;")","PENDING CONFIRM"))))</f>
        <v/>
      </c>
      <c r="AR460" s="2">
        <f>IF(OR(AQ460="OK",AQ460="OK (auto-fixed)"),AP460,IF(LEFT(AQ460,9)="CONFIRMED",INDEX('12_sales_person_confirmation'!$F:$F,MATCH($A460,'12_sales_person_confirmation'!$A:$A,0)),""))</f>
        <v/>
      </c>
      <c r="AS460" s="2">
        <f>IF(AR460="","",INDEX('11_3nf_sales_person'!$B:$B,MATCH(AR460,'11_3nf_sales_person'!$A:$A,0)))</f>
        <v/>
      </c>
    </row>
    <row r="461">
      <c r="A461" s="2">
        <f>IF(ISBLANK('1_raw_log'!A461),"",'1_raw_log'!A461)</f>
        <v/>
      </c>
      <c r="B461" s="3">
        <f>IF(ISBLANK('1_raw_log'!B461),"",'1_raw_log'!B461)</f>
        <v/>
      </c>
      <c r="C461" s="2">
        <f>IF(ISBLANK('1_raw_log'!C461),"",'1_raw_log'!C461)</f>
        <v/>
      </c>
      <c r="D461" s="2">
        <f>IF(ISBLANK('1_raw_log'!D461),"",'1_raw_log'!D461)</f>
        <v/>
      </c>
      <c r="E461" s="4">
        <f>IF(ISBLANK('1_raw_log'!E461),"",'1_raw_log'!E461)</f>
        <v/>
      </c>
      <c r="F461" s="2">
        <f>IF(ISBLANK('1_raw_log'!F461),"",'1_raw_log'!F461)</f>
        <v/>
      </c>
      <c r="G461" s="2">
        <f>IF(ISBLANK('1_raw_log'!G461),"",'1_raw_log'!G461)</f>
        <v/>
      </c>
      <c r="H461" s="2">
        <f>IF(ISBLANK('1_raw_log'!H461),"",'1_raw_log'!H461)</f>
        <v/>
      </c>
      <c r="I461" s="7">
        <f>IF(ISBLANK('1_raw_log'!I461),"",'1_raw_log'!I461)</f>
        <v/>
      </c>
      <c r="J461" s="2">
        <f>IF(ISBLANK('1_raw_log'!J461),"",'1_raw_log'!J461)</f>
        <v/>
      </c>
      <c r="K461" s="2">
        <f>IF(ISBLANK('1_raw_log'!K461),"",'1_raw_log'!K461)</f>
        <v/>
      </c>
      <c r="L461" s="30">
        <f>INT(B461)</f>
        <v/>
      </c>
      <c r="M461" s="20">
        <f>ROUND(MOD(B461,1)*1440,0)/1440</f>
        <v/>
      </c>
      <c r="N461" s="4">
        <f>IFERROR(INDEX('3_ref_date'!$B:$B,MATCH(L461,'3_ref_date'!$A:$A,0)),"NOT FOUND")</f>
        <v/>
      </c>
      <c r="O461" s="2">
        <f>IFERROR(INDEX('3_ref_date'!$C:$C,MATCH(L461,'3_ref_date'!$A:$A,0)),"NOT FOUND")</f>
        <v/>
      </c>
      <c r="P461" s="4">
        <f>IFERROR(INDEX('3_ref_date'!$D:$D,MATCH(L461,'3_ref_date'!$A:$A,0)),"NOT FOUND")</f>
        <v/>
      </c>
      <c r="Q461" s="4">
        <f>IFERROR(INDEX('3_ref_date'!$E:$E,MATCH(L461,'3_ref_date'!$A:$A,0)),"NOT FOUND")</f>
        <v/>
      </c>
      <c r="R461" s="2">
        <f>IFERROR(INDEX('3_ref_date'!$F:$F,MATCH(L461,'3_ref_date'!$A:$A,0)),"NOT FOUND")</f>
        <v/>
      </c>
      <c r="S461" s="2">
        <f>IFERROR(INDEX('4_ref_time'!$D:$D,MATCH(ROUND(M461*1440,0),'4_ref_time'!$A:$A,0)),"NOT FOUND")</f>
        <v/>
      </c>
      <c r="T461" s="2">
        <f>UPPER(TRIM(C461))</f>
        <v/>
      </c>
      <c r="U461" s="30">
        <f>IF(_xlfn.MAXIFS('6_3nf_branch_history'!$B$2:$B$50,'6_3nf_branch_history'!$A$2:$A$50,T461,'6_3nf_branch_history'!$B$2:$B$50,"&lt;="&amp;L461)=0,"NOT FOUND",_xlfn.MAXIFS('6_3nf_branch_history'!$B$2:$B$50,'6_3nf_branch_history'!$A$2:$A$50,T461,'6_3nf_branch_history'!$B$2:$B$50,"&lt;="&amp;L461))</f>
        <v/>
      </c>
      <c r="V461" s="2">
        <f>IF(U461="NOT FOUND","NOT FOUND",INDEX('6_3nf_branch_history'!$C:$C,SUMPRODUCT(('6_3nf_branch_history'!$A$2:$A$50=T461)*('6_3nf_branch_history'!$B$2:$B$50=U461)*ROW('6_3nf_branch_history'!$A$2:$A$50))))</f>
        <v/>
      </c>
      <c r="W461" s="2">
        <f>IF(U461="NOT FOUND","NOT FOUND",INDEX('6_3nf_branch_history'!$D:$D,SUMPRODUCT(('6_3nf_branch_history'!$A$2:$A$50=T461)*('6_3nf_branch_history'!$B$2:$B$50=U461)*ROW('6_3nf_branch_history'!$A$2:$A$50))))</f>
        <v/>
      </c>
      <c r="X461" s="2">
        <f>IF(U461="NOT FOUND","NOT FOUND",INDEX('6_3nf_branch_history'!$E:$E,SUMPRODUCT(('6_3nf_branch_history'!$A$2:$A$50=T461)*('6_3nf_branch_history'!$B$2:$B$50=U461)*ROW('6_3nf_branch_history'!$A$2:$A$50))))</f>
        <v/>
      </c>
      <c r="Y461" s="2">
        <f>UPPER(TRIM(D461))</f>
        <v/>
      </c>
      <c r="Z461" s="2">
        <f>IFERROR(INDEX('7_3nf_product'!$B:$B,MATCH(Y461,'7_3nf_product'!$A:$A,0)),"NOT FOUND")</f>
        <v/>
      </c>
      <c r="AA461" s="2">
        <f>IFERROR(INDEX('7_3nf_product'!$C:$C,MATCH(Y461,'7_3nf_product'!$A:$A,0)),"NOT FOUND")</f>
        <v/>
      </c>
      <c r="AB461" s="2">
        <f>IFERROR(INDEX('7_3nf_product'!$D:$D,MATCH(Y461,'7_3nf_product'!$A:$A,0)),"NOT FOUND")</f>
        <v/>
      </c>
      <c r="AC461" s="6">
        <f>IFERROR(INDEX('7_3nf_product'!$E:$E,MATCH(Y461,'7_3nf_product'!$A:$A,0)),"NOT FOUND")</f>
        <v/>
      </c>
      <c r="AD461" s="33">
        <f>IF(LEN(TRIM(E461))=10,TRIM(E461),IF(LEN(TRIM(E461))=8,"00"&amp;TRIM(E461),"CHECK"))</f>
        <v/>
      </c>
      <c r="AE461" s="2">
        <f>IFERROR(INDEX('8_3nf_customer'!$C:$C,MATCH(AD461,'8_3nf_customer'!$B:$B,0)),"NOT FOUND")</f>
        <v/>
      </c>
      <c r="AF461" s="30">
        <f>IFERROR(INDEX('8_3nf_customer'!$D:$D,MATCH(AD461,'8_3nf_customer'!$B:$B,0)),"NOT FOUND")</f>
        <v/>
      </c>
      <c r="AG461" s="4">
        <f>IF(ISNUMBER(AF461),DATEDIF(AF461,L461,"y"),"NOT FOUND")</f>
        <v/>
      </c>
      <c r="AH461" s="2">
        <f>IFERROR(INDEX('8_3nf_customer'!$E:$E,MATCH(AD461,'8_3nf_customer'!$B:$B,0)),"NOT FOUND")</f>
        <v/>
      </c>
      <c r="AI461" s="30">
        <f>IF(_xlfn.MAXIFS('9_3nf_customer_history'!$B$2:$B$500,'9_3nf_customer_history'!$A$2:$A$500,AD461,'9_3nf_customer_history'!$B$2:$B$500,"&lt;="&amp;L461)=0,"NOT FOUND",_xlfn.MAXIFS('9_3nf_customer_history'!$B$2:$B$500,'9_3nf_customer_history'!$A$2:$A$500,AD461,'9_3nf_customer_history'!$B$2:$B$500,"&lt;="&amp;L461))</f>
        <v/>
      </c>
      <c r="AJ461" s="2">
        <f>IF(AI461="NOT FOUND","NOT FOUND",INDEX('9_3nf_customer_history'!$C:$C,SUMPRODUCT(('9_3nf_customer_history'!$A$2:$A$500=AD461)*('9_3nf_customer_history'!$B$2:$B$500=AI461)*ROW('9_3nf_customer_history'!$A$2:$A$500))))</f>
        <v/>
      </c>
      <c r="AK461" s="2">
        <f>IF(AI461="NOT FOUND","NOT FOUND",INDEX('9_3nf_customer_history'!$D:$D,SUMPRODUCT(('9_3nf_customer_history'!$A$2:$A$500=AD461)*('9_3nf_customer_history'!$B$2:$B$500=AI461)*ROW('9_3nf_customer_history'!$A$2:$A$500))))</f>
        <v/>
      </c>
      <c r="AL461" s="2">
        <f>UPPER(TRIM(H461))</f>
        <v/>
      </c>
      <c r="AM461" s="30">
        <f>IF(_xlfn.MAXIFS('10_ref_fx_rate'!$B$2:$B$2000,'10_ref_fx_rate'!$A$2:$A$2000,AL461,'10_ref_fx_rate'!$B$2:$B$2000,"&lt;="&amp;L461)=0,"NOT FOUND",_xlfn.MAXIFS('10_ref_fx_rate'!$B$2:$B$2000,'10_ref_fx_rate'!$A$2:$A$2000,AL461,'10_ref_fx_rate'!$B$2:$B$2000,"&lt;="&amp;L461))</f>
        <v/>
      </c>
      <c r="AN461" s="8">
        <f>IF(AM461="NOT FOUND","NOT FOUND",SUMIFS('10_ref_fx_rate'!$D$2:$D$2000,'10_ref_fx_rate'!$A$2:$A$2000,AL461,'10_ref_fx_rate'!$B$2:$B$2000,AM461))</f>
        <v/>
      </c>
      <c r="AO461" s="37">
        <f>IF(ISNUMBER(AN461),I461*AN461,"NOT FOUND")</f>
        <v/>
      </c>
      <c r="AP461" s="2">
        <f>UPPER(TRIM(J461))</f>
        <v/>
      </c>
      <c r="AQ461" s="2">
        <f>IF(AP461="","SELF-DIRECTED",IF(ISNUMBER(MATCH(AP461,'11_3nf_sales_person'!$A:$A,0)),IF(EXACT(AP461,J461),"OK","OK (auto-fixed)"),IF(ISNA(MATCH($A461,'12_sales_person_confirmation'!$A:$A,0)),"CONFIRM (not logged)",IF(INDEX('12_sales_person_confirmation'!$I:$I,MATCH($A461,'12_sales_person_confirmation'!$A:$A,0))="CONFIRMED","CONFIRMED ("&amp;LOWER(INDEX('12_sales_person_confirmation'!$E:$E,MATCH($A461,'12_sales_person_confirmation'!$A:$A,0)))&amp;")","PENDING CONFIRM"))))</f>
        <v/>
      </c>
      <c r="AR461" s="2">
        <f>IF(OR(AQ461="OK",AQ461="OK (auto-fixed)"),AP461,IF(LEFT(AQ461,9)="CONFIRMED",INDEX('12_sales_person_confirmation'!$F:$F,MATCH($A461,'12_sales_person_confirmation'!$A:$A,0)),""))</f>
        <v/>
      </c>
      <c r="AS461" s="2">
        <f>IF(AR461="","",INDEX('11_3nf_sales_person'!$B:$B,MATCH(AR461,'11_3nf_sales_person'!$A:$A,0)))</f>
        <v/>
      </c>
    </row>
    <row r="462">
      <c r="A462" s="2">
        <f>IF(ISBLANK('1_raw_log'!A462),"",'1_raw_log'!A462)</f>
        <v/>
      </c>
      <c r="B462" s="3">
        <f>IF(ISBLANK('1_raw_log'!B462),"",'1_raw_log'!B462)</f>
        <v/>
      </c>
      <c r="C462" s="2">
        <f>IF(ISBLANK('1_raw_log'!C462),"",'1_raw_log'!C462)</f>
        <v/>
      </c>
      <c r="D462" s="2">
        <f>IF(ISBLANK('1_raw_log'!D462),"",'1_raw_log'!D462)</f>
        <v/>
      </c>
      <c r="E462" s="4">
        <f>IF(ISBLANK('1_raw_log'!E462),"",'1_raw_log'!E462)</f>
        <v/>
      </c>
      <c r="F462" s="2">
        <f>IF(ISBLANK('1_raw_log'!F462),"",'1_raw_log'!F462)</f>
        <v/>
      </c>
      <c r="G462" s="2">
        <f>IF(ISBLANK('1_raw_log'!G462),"",'1_raw_log'!G462)</f>
        <v/>
      </c>
      <c r="H462" s="2">
        <f>IF(ISBLANK('1_raw_log'!H462),"",'1_raw_log'!H462)</f>
        <v/>
      </c>
      <c r="I462" s="7">
        <f>IF(ISBLANK('1_raw_log'!I462),"",'1_raw_log'!I462)</f>
        <v/>
      </c>
      <c r="J462" s="2">
        <f>IF(ISBLANK('1_raw_log'!J462),"",'1_raw_log'!J462)</f>
        <v/>
      </c>
      <c r="K462" s="2">
        <f>IF(ISBLANK('1_raw_log'!K462),"",'1_raw_log'!K462)</f>
        <v/>
      </c>
      <c r="L462" s="30">
        <f>INT(B462)</f>
        <v/>
      </c>
      <c r="M462" s="20">
        <f>ROUND(MOD(B462,1)*1440,0)/1440</f>
        <v/>
      </c>
      <c r="N462" s="4">
        <f>IFERROR(INDEX('3_ref_date'!$B:$B,MATCH(L462,'3_ref_date'!$A:$A,0)),"NOT FOUND")</f>
        <v/>
      </c>
      <c r="O462" s="2">
        <f>IFERROR(INDEX('3_ref_date'!$C:$C,MATCH(L462,'3_ref_date'!$A:$A,0)),"NOT FOUND")</f>
        <v/>
      </c>
      <c r="P462" s="4">
        <f>IFERROR(INDEX('3_ref_date'!$D:$D,MATCH(L462,'3_ref_date'!$A:$A,0)),"NOT FOUND")</f>
        <v/>
      </c>
      <c r="Q462" s="4">
        <f>IFERROR(INDEX('3_ref_date'!$E:$E,MATCH(L462,'3_ref_date'!$A:$A,0)),"NOT FOUND")</f>
        <v/>
      </c>
      <c r="R462" s="2">
        <f>IFERROR(INDEX('3_ref_date'!$F:$F,MATCH(L462,'3_ref_date'!$A:$A,0)),"NOT FOUND")</f>
        <v/>
      </c>
      <c r="S462" s="2">
        <f>IFERROR(INDEX('4_ref_time'!$D:$D,MATCH(ROUND(M462*1440,0),'4_ref_time'!$A:$A,0)),"NOT FOUND")</f>
        <v/>
      </c>
      <c r="T462" s="2">
        <f>UPPER(TRIM(C462))</f>
        <v/>
      </c>
      <c r="U462" s="30">
        <f>IF(_xlfn.MAXIFS('6_3nf_branch_history'!$B$2:$B$50,'6_3nf_branch_history'!$A$2:$A$50,T462,'6_3nf_branch_history'!$B$2:$B$50,"&lt;="&amp;L462)=0,"NOT FOUND",_xlfn.MAXIFS('6_3nf_branch_history'!$B$2:$B$50,'6_3nf_branch_history'!$A$2:$A$50,T462,'6_3nf_branch_history'!$B$2:$B$50,"&lt;="&amp;L462))</f>
        <v/>
      </c>
      <c r="V462" s="2">
        <f>IF(U462="NOT FOUND","NOT FOUND",INDEX('6_3nf_branch_history'!$C:$C,SUMPRODUCT(('6_3nf_branch_history'!$A$2:$A$50=T462)*('6_3nf_branch_history'!$B$2:$B$50=U462)*ROW('6_3nf_branch_history'!$A$2:$A$50))))</f>
        <v/>
      </c>
      <c r="W462" s="2">
        <f>IF(U462="NOT FOUND","NOT FOUND",INDEX('6_3nf_branch_history'!$D:$D,SUMPRODUCT(('6_3nf_branch_history'!$A$2:$A$50=T462)*('6_3nf_branch_history'!$B$2:$B$50=U462)*ROW('6_3nf_branch_history'!$A$2:$A$50))))</f>
        <v/>
      </c>
      <c r="X462" s="2">
        <f>IF(U462="NOT FOUND","NOT FOUND",INDEX('6_3nf_branch_history'!$E:$E,SUMPRODUCT(('6_3nf_branch_history'!$A$2:$A$50=T462)*('6_3nf_branch_history'!$B$2:$B$50=U462)*ROW('6_3nf_branch_history'!$A$2:$A$50))))</f>
        <v/>
      </c>
      <c r="Y462" s="2">
        <f>UPPER(TRIM(D462))</f>
        <v/>
      </c>
      <c r="Z462" s="2">
        <f>IFERROR(INDEX('7_3nf_product'!$B:$B,MATCH(Y462,'7_3nf_product'!$A:$A,0)),"NOT FOUND")</f>
        <v/>
      </c>
      <c r="AA462" s="2">
        <f>IFERROR(INDEX('7_3nf_product'!$C:$C,MATCH(Y462,'7_3nf_product'!$A:$A,0)),"NOT FOUND")</f>
        <v/>
      </c>
      <c r="AB462" s="2">
        <f>IFERROR(INDEX('7_3nf_product'!$D:$D,MATCH(Y462,'7_3nf_product'!$A:$A,0)),"NOT FOUND")</f>
        <v/>
      </c>
      <c r="AC462" s="6">
        <f>IFERROR(INDEX('7_3nf_product'!$E:$E,MATCH(Y462,'7_3nf_product'!$A:$A,0)),"NOT FOUND")</f>
        <v/>
      </c>
      <c r="AD462" s="33">
        <f>IF(LEN(TRIM(E462))=10,TRIM(E462),IF(LEN(TRIM(E462))=8,"00"&amp;TRIM(E462),"CHECK"))</f>
        <v/>
      </c>
      <c r="AE462" s="2">
        <f>IFERROR(INDEX('8_3nf_customer'!$C:$C,MATCH(AD462,'8_3nf_customer'!$B:$B,0)),"NOT FOUND")</f>
        <v/>
      </c>
      <c r="AF462" s="30">
        <f>IFERROR(INDEX('8_3nf_customer'!$D:$D,MATCH(AD462,'8_3nf_customer'!$B:$B,0)),"NOT FOUND")</f>
        <v/>
      </c>
      <c r="AG462" s="4">
        <f>IF(ISNUMBER(AF462),DATEDIF(AF462,L462,"y"),"NOT FOUND")</f>
        <v/>
      </c>
      <c r="AH462" s="2">
        <f>IFERROR(INDEX('8_3nf_customer'!$E:$E,MATCH(AD462,'8_3nf_customer'!$B:$B,0)),"NOT FOUND")</f>
        <v/>
      </c>
      <c r="AI462" s="30">
        <f>IF(_xlfn.MAXIFS('9_3nf_customer_history'!$B$2:$B$500,'9_3nf_customer_history'!$A$2:$A$500,AD462,'9_3nf_customer_history'!$B$2:$B$500,"&lt;="&amp;L462)=0,"NOT FOUND",_xlfn.MAXIFS('9_3nf_customer_history'!$B$2:$B$500,'9_3nf_customer_history'!$A$2:$A$500,AD462,'9_3nf_customer_history'!$B$2:$B$500,"&lt;="&amp;L462))</f>
        <v/>
      </c>
      <c r="AJ462" s="2">
        <f>IF(AI462="NOT FOUND","NOT FOUND",INDEX('9_3nf_customer_history'!$C:$C,SUMPRODUCT(('9_3nf_customer_history'!$A$2:$A$500=AD462)*('9_3nf_customer_history'!$B$2:$B$500=AI462)*ROW('9_3nf_customer_history'!$A$2:$A$500))))</f>
        <v/>
      </c>
      <c r="AK462" s="2">
        <f>IF(AI462="NOT FOUND","NOT FOUND",INDEX('9_3nf_customer_history'!$D:$D,SUMPRODUCT(('9_3nf_customer_history'!$A$2:$A$500=AD462)*('9_3nf_customer_history'!$B$2:$B$500=AI462)*ROW('9_3nf_customer_history'!$A$2:$A$500))))</f>
        <v/>
      </c>
      <c r="AL462" s="2">
        <f>UPPER(TRIM(H462))</f>
        <v/>
      </c>
      <c r="AM462" s="30">
        <f>IF(_xlfn.MAXIFS('10_ref_fx_rate'!$B$2:$B$2000,'10_ref_fx_rate'!$A$2:$A$2000,AL462,'10_ref_fx_rate'!$B$2:$B$2000,"&lt;="&amp;L462)=0,"NOT FOUND",_xlfn.MAXIFS('10_ref_fx_rate'!$B$2:$B$2000,'10_ref_fx_rate'!$A$2:$A$2000,AL462,'10_ref_fx_rate'!$B$2:$B$2000,"&lt;="&amp;L462))</f>
        <v/>
      </c>
      <c r="AN462" s="8">
        <f>IF(AM462="NOT FOUND","NOT FOUND",SUMIFS('10_ref_fx_rate'!$D$2:$D$2000,'10_ref_fx_rate'!$A$2:$A$2000,AL462,'10_ref_fx_rate'!$B$2:$B$2000,AM462))</f>
        <v/>
      </c>
      <c r="AO462" s="37">
        <f>IF(ISNUMBER(AN462),I462*AN462,"NOT FOUND")</f>
        <v/>
      </c>
      <c r="AP462" s="2">
        <f>UPPER(TRIM(J462))</f>
        <v/>
      </c>
      <c r="AQ462" s="2">
        <f>IF(AP462="","SELF-DIRECTED",IF(ISNUMBER(MATCH(AP462,'11_3nf_sales_person'!$A:$A,0)),IF(EXACT(AP462,J462),"OK","OK (auto-fixed)"),IF(ISNA(MATCH($A462,'12_sales_person_confirmation'!$A:$A,0)),"CONFIRM (not logged)",IF(INDEX('12_sales_person_confirmation'!$I:$I,MATCH($A462,'12_sales_person_confirmation'!$A:$A,0))="CONFIRMED","CONFIRMED ("&amp;LOWER(INDEX('12_sales_person_confirmation'!$E:$E,MATCH($A462,'12_sales_person_confirmation'!$A:$A,0)))&amp;")","PENDING CONFIRM"))))</f>
        <v/>
      </c>
      <c r="AR462" s="2">
        <f>IF(OR(AQ462="OK",AQ462="OK (auto-fixed)"),AP462,IF(LEFT(AQ462,9)="CONFIRMED",INDEX('12_sales_person_confirmation'!$F:$F,MATCH($A462,'12_sales_person_confirmation'!$A:$A,0)),""))</f>
        <v/>
      </c>
      <c r="AS462" s="2">
        <f>IF(AR462="","",INDEX('11_3nf_sales_person'!$B:$B,MATCH(AR462,'11_3nf_sales_person'!$A:$A,0)))</f>
        <v/>
      </c>
    </row>
    <row r="463">
      <c r="A463" s="2">
        <f>IF(ISBLANK('1_raw_log'!A463),"",'1_raw_log'!A463)</f>
        <v/>
      </c>
      <c r="B463" s="3">
        <f>IF(ISBLANK('1_raw_log'!B463),"",'1_raw_log'!B463)</f>
        <v/>
      </c>
      <c r="C463" s="2">
        <f>IF(ISBLANK('1_raw_log'!C463),"",'1_raw_log'!C463)</f>
        <v/>
      </c>
      <c r="D463" s="2">
        <f>IF(ISBLANK('1_raw_log'!D463),"",'1_raw_log'!D463)</f>
        <v/>
      </c>
      <c r="E463" s="4">
        <f>IF(ISBLANK('1_raw_log'!E463),"",'1_raw_log'!E463)</f>
        <v/>
      </c>
      <c r="F463" s="2">
        <f>IF(ISBLANK('1_raw_log'!F463),"",'1_raw_log'!F463)</f>
        <v/>
      </c>
      <c r="G463" s="2">
        <f>IF(ISBLANK('1_raw_log'!G463),"",'1_raw_log'!G463)</f>
        <v/>
      </c>
      <c r="H463" s="2">
        <f>IF(ISBLANK('1_raw_log'!H463),"",'1_raw_log'!H463)</f>
        <v/>
      </c>
      <c r="I463" s="7">
        <f>IF(ISBLANK('1_raw_log'!I463),"",'1_raw_log'!I463)</f>
        <v/>
      </c>
      <c r="J463" s="2">
        <f>IF(ISBLANK('1_raw_log'!J463),"",'1_raw_log'!J463)</f>
        <v/>
      </c>
      <c r="K463" s="2">
        <f>IF(ISBLANK('1_raw_log'!K463),"",'1_raw_log'!K463)</f>
        <v/>
      </c>
      <c r="L463" s="30">
        <f>INT(B463)</f>
        <v/>
      </c>
      <c r="M463" s="20">
        <f>ROUND(MOD(B463,1)*1440,0)/1440</f>
        <v/>
      </c>
      <c r="N463" s="4">
        <f>IFERROR(INDEX('3_ref_date'!$B:$B,MATCH(L463,'3_ref_date'!$A:$A,0)),"NOT FOUND")</f>
        <v/>
      </c>
      <c r="O463" s="2">
        <f>IFERROR(INDEX('3_ref_date'!$C:$C,MATCH(L463,'3_ref_date'!$A:$A,0)),"NOT FOUND")</f>
        <v/>
      </c>
      <c r="P463" s="4">
        <f>IFERROR(INDEX('3_ref_date'!$D:$D,MATCH(L463,'3_ref_date'!$A:$A,0)),"NOT FOUND")</f>
        <v/>
      </c>
      <c r="Q463" s="4">
        <f>IFERROR(INDEX('3_ref_date'!$E:$E,MATCH(L463,'3_ref_date'!$A:$A,0)),"NOT FOUND")</f>
        <v/>
      </c>
      <c r="R463" s="2">
        <f>IFERROR(INDEX('3_ref_date'!$F:$F,MATCH(L463,'3_ref_date'!$A:$A,0)),"NOT FOUND")</f>
        <v/>
      </c>
      <c r="S463" s="2">
        <f>IFERROR(INDEX('4_ref_time'!$D:$D,MATCH(ROUND(M463*1440,0),'4_ref_time'!$A:$A,0)),"NOT FOUND")</f>
        <v/>
      </c>
      <c r="T463" s="2">
        <f>UPPER(TRIM(C463))</f>
        <v/>
      </c>
      <c r="U463" s="30">
        <f>IF(_xlfn.MAXIFS('6_3nf_branch_history'!$B$2:$B$50,'6_3nf_branch_history'!$A$2:$A$50,T463,'6_3nf_branch_history'!$B$2:$B$50,"&lt;="&amp;L463)=0,"NOT FOUND",_xlfn.MAXIFS('6_3nf_branch_history'!$B$2:$B$50,'6_3nf_branch_history'!$A$2:$A$50,T463,'6_3nf_branch_history'!$B$2:$B$50,"&lt;="&amp;L463))</f>
        <v/>
      </c>
      <c r="V463" s="2">
        <f>IF(U463="NOT FOUND","NOT FOUND",INDEX('6_3nf_branch_history'!$C:$C,SUMPRODUCT(('6_3nf_branch_history'!$A$2:$A$50=T463)*('6_3nf_branch_history'!$B$2:$B$50=U463)*ROW('6_3nf_branch_history'!$A$2:$A$50))))</f>
        <v/>
      </c>
      <c r="W463" s="2">
        <f>IF(U463="NOT FOUND","NOT FOUND",INDEX('6_3nf_branch_history'!$D:$D,SUMPRODUCT(('6_3nf_branch_history'!$A$2:$A$50=T463)*('6_3nf_branch_history'!$B$2:$B$50=U463)*ROW('6_3nf_branch_history'!$A$2:$A$50))))</f>
        <v/>
      </c>
      <c r="X463" s="2">
        <f>IF(U463="NOT FOUND","NOT FOUND",INDEX('6_3nf_branch_history'!$E:$E,SUMPRODUCT(('6_3nf_branch_history'!$A$2:$A$50=T463)*('6_3nf_branch_history'!$B$2:$B$50=U463)*ROW('6_3nf_branch_history'!$A$2:$A$50))))</f>
        <v/>
      </c>
      <c r="Y463" s="2">
        <f>UPPER(TRIM(D463))</f>
        <v/>
      </c>
      <c r="Z463" s="2">
        <f>IFERROR(INDEX('7_3nf_product'!$B:$B,MATCH(Y463,'7_3nf_product'!$A:$A,0)),"NOT FOUND")</f>
        <v/>
      </c>
      <c r="AA463" s="2">
        <f>IFERROR(INDEX('7_3nf_product'!$C:$C,MATCH(Y463,'7_3nf_product'!$A:$A,0)),"NOT FOUND")</f>
        <v/>
      </c>
      <c r="AB463" s="2">
        <f>IFERROR(INDEX('7_3nf_product'!$D:$D,MATCH(Y463,'7_3nf_product'!$A:$A,0)),"NOT FOUND")</f>
        <v/>
      </c>
      <c r="AC463" s="6">
        <f>IFERROR(INDEX('7_3nf_product'!$E:$E,MATCH(Y463,'7_3nf_product'!$A:$A,0)),"NOT FOUND")</f>
        <v/>
      </c>
      <c r="AD463" s="33">
        <f>IF(LEN(TRIM(E463))=10,TRIM(E463),IF(LEN(TRIM(E463))=8,"00"&amp;TRIM(E463),"CHECK"))</f>
        <v/>
      </c>
      <c r="AE463" s="2">
        <f>IFERROR(INDEX('8_3nf_customer'!$C:$C,MATCH(AD463,'8_3nf_customer'!$B:$B,0)),"NOT FOUND")</f>
        <v/>
      </c>
      <c r="AF463" s="30">
        <f>IFERROR(INDEX('8_3nf_customer'!$D:$D,MATCH(AD463,'8_3nf_customer'!$B:$B,0)),"NOT FOUND")</f>
        <v/>
      </c>
      <c r="AG463" s="4">
        <f>IF(ISNUMBER(AF463),DATEDIF(AF463,L463,"y"),"NOT FOUND")</f>
        <v/>
      </c>
      <c r="AH463" s="2">
        <f>IFERROR(INDEX('8_3nf_customer'!$E:$E,MATCH(AD463,'8_3nf_customer'!$B:$B,0)),"NOT FOUND")</f>
        <v/>
      </c>
      <c r="AI463" s="30">
        <f>IF(_xlfn.MAXIFS('9_3nf_customer_history'!$B$2:$B$500,'9_3nf_customer_history'!$A$2:$A$500,AD463,'9_3nf_customer_history'!$B$2:$B$500,"&lt;="&amp;L463)=0,"NOT FOUND",_xlfn.MAXIFS('9_3nf_customer_history'!$B$2:$B$500,'9_3nf_customer_history'!$A$2:$A$500,AD463,'9_3nf_customer_history'!$B$2:$B$500,"&lt;="&amp;L463))</f>
        <v/>
      </c>
      <c r="AJ463" s="2">
        <f>IF(AI463="NOT FOUND","NOT FOUND",INDEX('9_3nf_customer_history'!$C:$C,SUMPRODUCT(('9_3nf_customer_history'!$A$2:$A$500=AD463)*('9_3nf_customer_history'!$B$2:$B$500=AI463)*ROW('9_3nf_customer_history'!$A$2:$A$500))))</f>
        <v/>
      </c>
      <c r="AK463" s="2">
        <f>IF(AI463="NOT FOUND","NOT FOUND",INDEX('9_3nf_customer_history'!$D:$D,SUMPRODUCT(('9_3nf_customer_history'!$A$2:$A$500=AD463)*('9_3nf_customer_history'!$B$2:$B$500=AI463)*ROW('9_3nf_customer_history'!$A$2:$A$500))))</f>
        <v/>
      </c>
      <c r="AL463" s="2">
        <f>UPPER(TRIM(H463))</f>
        <v/>
      </c>
      <c r="AM463" s="30">
        <f>IF(_xlfn.MAXIFS('10_ref_fx_rate'!$B$2:$B$2000,'10_ref_fx_rate'!$A$2:$A$2000,AL463,'10_ref_fx_rate'!$B$2:$B$2000,"&lt;="&amp;L463)=0,"NOT FOUND",_xlfn.MAXIFS('10_ref_fx_rate'!$B$2:$B$2000,'10_ref_fx_rate'!$A$2:$A$2000,AL463,'10_ref_fx_rate'!$B$2:$B$2000,"&lt;="&amp;L463))</f>
        <v/>
      </c>
      <c r="AN463" s="8">
        <f>IF(AM463="NOT FOUND","NOT FOUND",SUMIFS('10_ref_fx_rate'!$D$2:$D$2000,'10_ref_fx_rate'!$A$2:$A$2000,AL463,'10_ref_fx_rate'!$B$2:$B$2000,AM463))</f>
        <v/>
      </c>
      <c r="AO463" s="37">
        <f>IF(ISNUMBER(AN463),I463*AN463,"NOT FOUND")</f>
        <v/>
      </c>
      <c r="AP463" s="2">
        <f>UPPER(TRIM(J463))</f>
        <v/>
      </c>
      <c r="AQ463" s="2">
        <f>IF(AP463="","SELF-DIRECTED",IF(ISNUMBER(MATCH(AP463,'11_3nf_sales_person'!$A:$A,0)),IF(EXACT(AP463,J463),"OK","OK (auto-fixed)"),IF(ISNA(MATCH($A463,'12_sales_person_confirmation'!$A:$A,0)),"CONFIRM (not logged)",IF(INDEX('12_sales_person_confirmation'!$I:$I,MATCH($A463,'12_sales_person_confirmation'!$A:$A,0))="CONFIRMED","CONFIRMED ("&amp;LOWER(INDEX('12_sales_person_confirmation'!$E:$E,MATCH($A463,'12_sales_person_confirmation'!$A:$A,0)))&amp;")","PENDING CONFIRM"))))</f>
        <v/>
      </c>
      <c r="AR463" s="2">
        <f>IF(OR(AQ463="OK",AQ463="OK (auto-fixed)"),AP463,IF(LEFT(AQ463,9)="CONFIRMED",INDEX('12_sales_person_confirmation'!$F:$F,MATCH($A463,'12_sales_person_confirmation'!$A:$A,0)),""))</f>
        <v/>
      </c>
      <c r="AS463" s="2">
        <f>IF(AR463="","",INDEX('11_3nf_sales_person'!$B:$B,MATCH(AR463,'11_3nf_sales_person'!$A:$A,0)))</f>
        <v/>
      </c>
    </row>
    <row r="464">
      <c r="A464" s="2">
        <f>IF(ISBLANK('1_raw_log'!A464),"",'1_raw_log'!A464)</f>
        <v/>
      </c>
      <c r="B464" s="3">
        <f>IF(ISBLANK('1_raw_log'!B464),"",'1_raw_log'!B464)</f>
        <v/>
      </c>
      <c r="C464" s="2">
        <f>IF(ISBLANK('1_raw_log'!C464),"",'1_raw_log'!C464)</f>
        <v/>
      </c>
      <c r="D464" s="2">
        <f>IF(ISBLANK('1_raw_log'!D464),"",'1_raw_log'!D464)</f>
        <v/>
      </c>
      <c r="E464" s="4">
        <f>IF(ISBLANK('1_raw_log'!E464),"",'1_raw_log'!E464)</f>
        <v/>
      </c>
      <c r="F464" s="2">
        <f>IF(ISBLANK('1_raw_log'!F464),"",'1_raw_log'!F464)</f>
        <v/>
      </c>
      <c r="G464" s="2">
        <f>IF(ISBLANK('1_raw_log'!G464),"",'1_raw_log'!G464)</f>
        <v/>
      </c>
      <c r="H464" s="2">
        <f>IF(ISBLANK('1_raw_log'!H464),"",'1_raw_log'!H464)</f>
        <v/>
      </c>
      <c r="I464" s="7">
        <f>IF(ISBLANK('1_raw_log'!I464),"",'1_raw_log'!I464)</f>
        <v/>
      </c>
      <c r="J464" s="2">
        <f>IF(ISBLANK('1_raw_log'!J464),"",'1_raw_log'!J464)</f>
        <v/>
      </c>
      <c r="K464" s="2">
        <f>IF(ISBLANK('1_raw_log'!K464),"",'1_raw_log'!K464)</f>
        <v/>
      </c>
      <c r="L464" s="30">
        <f>INT(B464)</f>
        <v/>
      </c>
      <c r="M464" s="20">
        <f>ROUND(MOD(B464,1)*1440,0)/1440</f>
        <v/>
      </c>
      <c r="N464" s="4">
        <f>IFERROR(INDEX('3_ref_date'!$B:$B,MATCH(L464,'3_ref_date'!$A:$A,0)),"NOT FOUND")</f>
        <v/>
      </c>
      <c r="O464" s="2">
        <f>IFERROR(INDEX('3_ref_date'!$C:$C,MATCH(L464,'3_ref_date'!$A:$A,0)),"NOT FOUND")</f>
        <v/>
      </c>
      <c r="P464" s="4">
        <f>IFERROR(INDEX('3_ref_date'!$D:$D,MATCH(L464,'3_ref_date'!$A:$A,0)),"NOT FOUND")</f>
        <v/>
      </c>
      <c r="Q464" s="4">
        <f>IFERROR(INDEX('3_ref_date'!$E:$E,MATCH(L464,'3_ref_date'!$A:$A,0)),"NOT FOUND")</f>
        <v/>
      </c>
      <c r="R464" s="2">
        <f>IFERROR(INDEX('3_ref_date'!$F:$F,MATCH(L464,'3_ref_date'!$A:$A,0)),"NOT FOUND")</f>
        <v/>
      </c>
      <c r="S464" s="2">
        <f>IFERROR(INDEX('4_ref_time'!$D:$D,MATCH(ROUND(M464*1440,0),'4_ref_time'!$A:$A,0)),"NOT FOUND")</f>
        <v/>
      </c>
      <c r="T464" s="2">
        <f>UPPER(TRIM(C464))</f>
        <v/>
      </c>
      <c r="U464" s="30">
        <f>IF(_xlfn.MAXIFS('6_3nf_branch_history'!$B$2:$B$50,'6_3nf_branch_history'!$A$2:$A$50,T464,'6_3nf_branch_history'!$B$2:$B$50,"&lt;="&amp;L464)=0,"NOT FOUND",_xlfn.MAXIFS('6_3nf_branch_history'!$B$2:$B$50,'6_3nf_branch_history'!$A$2:$A$50,T464,'6_3nf_branch_history'!$B$2:$B$50,"&lt;="&amp;L464))</f>
        <v/>
      </c>
      <c r="V464" s="2">
        <f>IF(U464="NOT FOUND","NOT FOUND",INDEX('6_3nf_branch_history'!$C:$C,SUMPRODUCT(('6_3nf_branch_history'!$A$2:$A$50=T464)*('6_3nf_branch_history'!$B$2:$B$50=U464)*ROW('6_3nf_branch_history'!$A$2:$A$50))))</f>
        <v/>
      </c>
      <c r="W464" s="2">
        <f>IF(U464="NOT FOUND","NOT FOUND",INDEX('6_3nf_branch_history'!$D:$D,SUMPRODUCT(('6_3nf_branch_history'!$A$2:$A$50=T464)*('6_3nf_branch_history'!$B$2:$B$50=U464)*ROW('6_3nf_branch_history'!$A$2:$A$50))))</f>
        <v/>
      </c>
      <c r="X464" s="2">
        <f>IF(U464="NOT FOUND","NOT FOUND",INDEX('6_3nf_branch_history'!$E:$E,SUMPRODUCT(('6_3nf_branch_history'!$A$2:$A$50=T464)*('6_3nf_branch_history'!$B$2:$B$50=U464)*ROW('6_3nf_branch_history'!$A$2:$A$50))))</f>
        <v/>
      </c>
      <c r="Y464" s="2">
        <f>UPPER(TRIM(D464))</f>
        <v/>
      </c>
      <c r="Z464" s="2">
        <f>IFERROR(INDEX('7_3nf_product'!$B:$B,MATCH(Y464,'7_3nf_product'!$A:$A,0)),"NOT FOUND")</f>
        <v/>
      </c>
      <c r="AA464" s="2">
        <f>IFERROR(INDEX('7_3nf_product'!$C:$C,MATCH(Y464,'7_3nf_product'!$A:$A,0)),"NOT FOUND")</f>
        <v/>
      </c>
      <c r="AB464" s="2">
        <f>IFERROR(INDEX('7_3nf_product'!$D:$D,MATCH(Y464,'7_3nf_product'!$A:$A,0)),"NOT FOUND")</f>
        <v/>
      </c>
      <c r="AC464" s="6">
        <f>IFERROR(INDEX('7_3nf_product'!$E:$E,MATCH(Y464,'7_3nf_product'!$A:$A,0)),"NOT FOUND")</f>
        <v/>
      </c>
      <c r="AD464" s="33">
        <f>IF(LEN(TRIM(E464))=10,TRIM(E464),IF(LEN(TRIM(E464))=8,"00"&amp;TRIM(E464),"CHECK"))</f>
        <v/>
      </c>
      <c r="AE464" s="2">
        <f>IFERROR(INDEX('8_3nf_customer'!$C:$C,MATCH(AD464,'8_3nf_customer'!$B:$B,0)),"NOT FOUND")</f>
        <v/>
      </c>
      <c r="AF464" s="30">
        <f>IFERROR(INDEX('8_3nf_customer'!$D:$D,MATCH(AD464,'8_3nf_customer'!$B:$B,0)),"NOT FOUND")</f>
        <v/>
      </c>
      <c r="AG464" s="4">
        <f>IF(ISNUMBER(AF464),DATEDIF(AF464,L464,"y"),"NOT FOUND")</f>
        <v/>
      </c>
      <c r="AH464" s="2">
        <f>IFERROR(INDEX('8_3nf_customer'!$E:$E,MATCH(AD464,'8_3nf_customer'!$B:$B,0)),"NOT FOUND")</f>
        <v/>
      </c>
      <c r="AI464" s="30">
        <f>IF(_xlfn.MAXIFS('9_3nf_customer_history'!$B$2:$B$500,'9_3nf_customer_history'!$A$2:$A$500,AD464,'9_3nf_customer_history'!$B$2:$B$500,"&lt;="&amp;L464)=0,"NOT FOUND",_xlfn.MAXIFS('9_3nf_customer_history'!$B$2:$B$500,'9_3nf_customer_history'!$A$2:$A$500,AD464,'9_3nf_customer_history'!$B$2:$B$500,"&lt;="&amp;L464))</f>
        <v/>
      </c>
      <c r="AJ464" s="2">
        <f>IF(AI464="NOT FOUND","NOT FOUND",INDEX('9_3nf_customer_history'!$C:$C,SUMPRODUCT(('9_3nf_customer_history'!$A$2:$A$500=AD464)*('9_3nf_customer_history'!$B$2:$B$500=AI464)*ROW('9_3nf_customer_history'!$A$2:$A$500))))</f>
        <v/>
      </c>
      <c r="AK464" s="2">
        <f>IF(AI464="NOT FOUND","NOT FOUND",INDEX('9_3nf_customer_history'!$D:$D,SUMPRODUCT(('9_3nf_customer_history'!$A$2:$A$500=AD464)*('9_3nf_customer_history'!$B$2:$B$500=AI464)*ROW('9_3nf_customer_history'!$A$2:$A$500))))</f>
        <v/>
      </c>
      <c r="AL464" s="2">
        <f>UPPER(TRIM(H464))</f>
        <v/>
      </c>
      <c r="AM464" s="30">
        <f>IF(_xlfn.MAXIFS('10_ref_fx_rate'!$B$2:$B$2000,'10_ref_fx_rate'!$A$2:$A$2000,AL464,'10_ref_fx_rate'!$B$2:$B$2000,"&lt;="&amp;L464)=0,"NOT FOUND",_xlfn.MAXIFS('10_ref_fx_rate'!$B$2:$B$2000,'10_ref_fx_rate'!$A$2:$A$2000,AL464,'10_ref_fx_rate'!$B$2:$B$2000,"&lt;="&amp;L464))</f>
        <v/>
      </c>
      <c r="AN464" s="8">
        <f>IF(AM464="NOT FOUND","NOT FOUND",SUMIFS('10_ref_fx_rate'!$D$2:$D$2000,'10_ref_fx_rate'!$A$2:$A$2000,AL464,'10_ref_fx_rate'!$B$2:$B$2000,AM464))</f>
        <v/>
      </c>
      <c r="AO464" s="37">
        <f>IF(ISNUMBER(AN464),I464*AN464,"NOT FOUND")</f>
        <v/>
      </c>
      <c r="AP464" s="2">
        <f>UPPER(TRIM(J464))</f>
        <v/>
      </c>
      <c r="AQ464" s="2">
        <f>IF(AP464="","SELF-DIRECTED",IF(ISNUMBER(MATCH(AP464,'11_3nf_sales_person'!$A:$A,0)),IF(EXACT(AP464,J464),"OK","OK (auto-fixed)"),IF(ISNA(MATCH($A464,'12_sales_person_confirmation'!$A:$A,0)),"CONFIRM (not logged)",IF(INDEX('12_sales_person_confirmation'!$I:$I,MATCH($A464,'12_sales_person_confirmation'!$A:$A,0))="CONFIRMED","CONFIRMED ("&amp;LOWER(INDEX('12_sales_person_confirmation'!$E:$E,MATCH($A464,'12_sales_person_confirmation'!$A:$A,0)))&amp;")","PENDING CONFIRM"))))</f>
        <v/>
      </c>
      <c r="AR464" s="2">
        <f>IF(OR(AQ464="OK",AQ464="OK (auto-fixed)"),AP464,IF(LEFT(AQ464,9)="CONFIRMED",INDEX('12_sales_person_confirmation'!$F:$F,MATCH($A464,'12_sales_person_confirmation'!$A:$A,0)),""))</f>
        <v/>
      </c>
      <c r="AS464" s="2">
        <f>IF(AR464="","",INDEX('11_3nf_sales_person'!$B:$B,MATCH(AR464,'11_3nf_sales_person'!$A:$A,0)))</f>
        <v/>
      </c>
    </row>
    <row r="465">
      <c r="A465" s="2">
        <f>IF(ISBLANK('1_raw_log'!A465),"",'1_raw_log'!A465)</f>
        <v/>
      </c>
      <c r="B465" s="3">
        <f>IF(ISBLANK('1_raw_log'!B465),"",'1_raw_log'!B465)</f>
        <v/>
      </c>
      <c r="C465" s="2">
        <f>IF(ISBLANK('1_raw_log'!C465),"",'1_raw_log'!C465)</f>
        <v/>
      </c>
      <c r="D465" s="2">
        <f>IF(ISBLANK('1_raw_log'!D465),"",'1_raw_log'!D465)</f>
        <v/>
      </c>
      <c r="E465" s="4">
        <f>IF(ISBLANK('1_raw_log'!E465),"",'1_raw_log'!E465)</f>
        <v/>
      </c>
      <c r="F465" s="2">
        <f>IF(ISBLANK('1_raw_log'!F465),"",'1_raw_log'!F465)</f>
        <v/>
      </c>
      <c r="G465" s="2">
        <f>IF(ISBLANK('1_raw_log'!G465),"",'1_raw_log'!G465)</f>
        <v/>
      </c>
      <c r="H465" s="2">
        <f>IF(ISBLANK('1_raw_log'!H465),"",'1_raw_log'!H465)</f>
        <v/>
      </c>
      <c r="I465" s="7">
        <f>IF(ISBLANK('1_raw_log'!I465),"",'1_raw_log'!I465)</f>
        <v/>
      </c>
      <c r="J465" s="2">
        <f>IF(ISBLANK('1_raw_log'!J465),"",'1_raw_log'!J465)</f>
        <v/>
      </c>
      <c r="K465" s="2">
        <f>IF(ISBLANK('1_raw_log'!K465),"",'1_raw_log'!K465)</f>
        <v/>
      </c>
      <c r="L465" s="30">
        <f>INT(B465)</f>
        <v/>
      </c>
      <c r="M465" s="20">
        <f>ROUND(MOD(B465,1)*1440,0)/1440</f>
        <v/>
      </c>
      <c r="N465" s="4">
        <f>IFERROR(INDEX('3_ref_date'!$B:$B,MATCH(L465,'3_ref_date'!$A:$A,0)),"NOT FOUND")</f>
        <v/>
      </c>
      <c r="O465" s="2">
        <f>IFERROR(INDEX('3_ref_date'!$C:$C,MATCH(L465,'3_ref_date'!$A:$A,0)),"NOT FOUND")</f>
        <v/>
      </c>
      <c r="P465" s="4">
        <f>IFERROR(INDEX('3_ref_date'!$D:$D,MATCH(L465,'3_ref_date'!$A:$A,0)),"NOT FOUND")</f>
        <v/>
      </c>
      <c r="Q465" s="4">
        <f>IFERROR(INDEX('3_ref_date'!$E:$E,MATCH(L465,'3_ref_date'!$A:$A,0)),"NOT FOUND")</f>
        <v/>
      </c>
      <c r="R465" s="2">
        <f>IFERROR(INDEX('3_ref_date'!$F:$F,MATCH(L465,'3_ref_date'!$A:$A,0)),"NOT FOUND")</f>
        <v/>
      </c>
      <c r="S465" s="2">
        <f>IFERROR(INDEX('4_ref_time'!$D:$D,MATCH(ROUND(M465*1440,0),'4_ref_time'!$A:$A,0)),"NOT FOUND")</f>
        <v/>
      </c>
      <c r="T465" s="2">
        <f>UPPER(TRIM(C465))</f>
        <v/>
      </c>
      <c r="U465" s="30">
        <f>IF(_xlfn.MAXIFS('6_3nf_branch_history'!$B$2:$B$50,'6_3nf_branch_history'!$A$2:$A$50,T465,'6_3nf_branch_history'!$B$2:$B$50,"&lt;="&amp;L465)=0,"NOT FOUND",_xlfn.MAXIFS('6_3nf_branch_history'!$B$2:$B$50,'6_3nf_branch_history'!$A$2:$A$50,T465,'6_3nf_branch_history'!$B$2:$B$50,"&lt;="&amp;L465))</f>
        <v/>
      </c>
      <c r="V465" s="2">
        <f>IF(U465="NOT FOUND","NOT FOUND",INDEX('6_3nf_branch_history'!$C:$C,SUMPRODUCT(('6_3nf_branch_history'!$A$2:$A$50=T465)*('6_3nf_branch_history'!$B$2:$B$50=U465)*ROW('6_3nf_branch_history'!$A$2:$A$50))))</f>
        <v/>
      </c>
      <c r="W465" s="2">
        <f>IF(U465="NOT FOUND","NOT FOUND",INDEX('6_3nf_branch_history'!$D:$D,SUMPRODUCT(('6_3nf_branch_history'!$A$2:$A$50=T465)*('6_3nf_branch_history'!$B$2:$B$50=U465)*ROW('6_3nf_branch_history'!$A$2:$A$50))))</f>
        <v/>
      </c>
      <c r="X465" s="2">
        <f>IF(U465="NOT FOUND","NOT FOUND",INDEX('6_3nf_branch_history'!$E:$E,SUMPRODUCT(('6_3nf_branch_history'!$A$2:$A$50=T465)*('6_3nf_branch_history'!$B$2:$B$50=U465)*ROW('6_3nf_branch_history'!$A$2:$A$50))))</f>
        <v/>
      </c>
      <c r="Y465" s="2">
        <f>UPPER(TRIM(D465))</f>
        <v/>
      </c>
      <c r="Z465" s="2">
        <f>IFERROR(INDEX('7_3nf_product'!$B:$B,MATCH(Y465,'7_3nf_product'!$A:$A,0)),"NOT FOUND")</f>
        <v/>
      </c>
      <c r="AA465" s="2">
        <f>IFERROR(INDEX('7_3nf_product'!$C:$C,MATCH(Y465,'7_3nf_product'!$A:$A,0)),"NOT FOUND")</f>
        <v/>
      </c>
      <c r="AB465" s="2">
        <f>IFERROR(INDEX('7_3nf_product'!$D:$D,MATCH(Y465,'7_3nf_product'!$A:$A,0)),"NOT FOUND")</f>
        <v/>
      </c>
      <c r="AC465" s="6">
        <f>IFERROR(INDEX('7_3nf_product'!$E:$E,MATCH(Y465,'7_3nf_product'!$A:$A,0)),"NOT FOUND")</f>
        <v/>
      </c>
      <c r="AD465" s="33">
        <f>IF(LEN(TRIM(E465))=10,TRIM(E465),IF(LEN(TRIM(E465))=8,"00"&amp;TRIM(E465),"CHECK"))</f>
        <v/>
      </c>
      <c r="AE465" s="2">
        <f>IFERROR(INDEX('8_3nf_customer'!$C:$C,MATCH(AD465,'8_3nf_customer'!$B:$B,0)),"NOT FOUND")</f>
        <v/>
      </c>
      <c r="AF465" s="30">
        <f>IFERROR(INDEX('8_3nf_customer'!$D:$D,MATCH(AD465,'8_3nf_customer'!$B:$B,0)),"NOT FOUND")</f>
        <v/>
      </c>
      <c r="AG465" s="4">
        <f>IF(ISNUMBER(AF465),DATEDIF(AF465,L465,"y"),"NOT FOUND")</f>
        <v/>
      </c>
      <c r="AH465" s="2">
        <f>IFERROR(INDEX('8_3nf_customer'!$E:$E,MATCH(AD465,'8_3nf_customer'!$B:$B,0)),"NOT FOUND")</f>
        <v/>
      </c>
      <c r="AI465" s="30">
        <f>IF(_xlfn.MAXIFS('9_3nf_customer_history'!$B$2:$B$500,'9_3nf_customer_history'!$A$2:$A$500,AD465,'9_3nf_customer_history'!$B$2:$B$500,"&lt;="&amp;L465)=0,"NOT FOUND",_xlfn.MAXIFS('9_3nf_customer_history'!$B$2:$B$500,'9_3nf_customer_history'!$A$2:$A$500,AD465,'9_3nf_customer_history'!$B$2:$B$500,"&lt;="&amp;L465))</f>
        <v/>
      </c>
      <c r="AJ465" s="2">
        <f>IF(AI465="NOT FOUND","NOT FOUND",INDEX('9_3nf_customer_history'!$C:$C,SUMPRODUCT(('9_3nf_customer_history'!$A$2:$A$500=AD465)*('9_3nf_customer_history'!$B$2:$B$500=AI465)*ROW('9_3nf_customer_history'!$A$2:$A$500))))</f>
        <v/>
      </c>
      <c r="AK465" s="2">
        <f>IF(AI465="NOT FOUND","NOT FOUND",INDEX('9_3nf_customer_history'!$D:$D,SUMPRODUCT(('9_3nf_customer_history'!$A$2:$A$500=AD465)*('9_3nf_customer_history'!$B$2:$B$500=AI465)*ROW('9_3nf_customer_history'!$A$2:$A$500))))</f>
        <v/>
      </c>
      <c r="AL465" s="2">
        <f>UPPER(TRIM(H465))</f>
        <v/>
      </c>
      <c r="AM465" s="30">
        <f>IF(_xlfn.MAXIFS('10_ref_fx_rate'!$B$2:$B$2000,'10_ref_fx_rate'!$A$2:$A$2000,AL465,'10_ref_fx_rate'!$B$2:$B$2000,"&lt;="&amp;L465)=0,"NOT FOUND",_xlfn.MAXIFS('10_ref_fx_rate'!$B$2:$B$2000,'10_ref_fx_rate'!$A$2:$A$2000,AL465,'10_ref_fx_rate'!$B$2:$B$2000,"&lt;="&amp;L465))</f>
        <v/>
      </c>
      <c r="AN465" s="8">
        <f>IF(AM465="NOT FOUND","NOT FOUND",SUMIFS('10_ref_fx_rate'!$D$2:$D$2000,'10_ref_fx_rate'!$A$2:$A$2000,AL465,'10_ref_fx_rate'!$B$2:$B$2000,AM465))</f>
        <v/>
      </c>
      <c r="AO465" s="37">
        <f>IF(ISNUMBER(AN465),I465*AN465,"NOT FOUND")</f>
        <v/>
      </c>
      <c r="AP465" s="2">
        <f>UPPER(TRIM(J465))</f>
        <v/>
      </c>
      <c r="AQ465" s="2">
        <f>IF(AP465="","SELF-DIRECTED",IF(ISNUMBER(MATCH(AP465,'11_3nf_sales_person'!$A:$A,0)),IF(EXACT(AP465,J465),"OK","OK (auto-fixed)"),IF(ISNA(MATCH($A465,'12_sales_person_confirmation'!$A:$A,0)),"CONFIRM (not logged)",IF(INDEX('12_sales_person_confirmation'!$I:$I,MATCH($A465,'12_sales_person_confirmation'!$A:$A,0))="CONFIRMED","CONFIRMED ("&amp;LOWER(INDEX('12_sales_person_confirmation'!$E:$E,MATCH($A465,'12_sales_person_confirmation'!$A:$A,0)))&amp;")","PENDING CONFIRM"))))</f>
        <v/>
      </c>
      <c r="AR465" s="2">
        <f>IF(OR(AQ465="OK",AQ465="OK (auto-fixed)"),AP465,IF(LEFT(AQ465,9)="CONFIRMED",INDEX('12_sales_person_confirmation'!$F:$F,MATCH($A465,'12_sales_person_confirmation'!$A:$A,0)),""))</f>
        <v/>
      </c>
      <c r="AS465" s="2">
        <f>IF(AR465="","",INDEX('11_3nf_sales_person'!$B:$B,MATCH(AR465,'11_3nf_sales_person'!$A:$A,0)))</f>
        <v/>
      </c>
    </row>
    <row r="466">
      <c r="A466" s="2">
        <f>IF(ISBLANK('1_raw_log'!A466),"",'1_raw_log'!A466)</f>
        <v/>
      </c>
      <c r="B466" s="3">
        <f>IF(ISBLANK('1_raw_log'!B466),"",'1_raw_log'!B466)</f>
        <v/>
      </c>
      <c r="C466" s="2">
        <f>IF(ISBLANK('1_raw_log'!C466),"",'1_raw_log'!C466)</f>
        <v/>
      </c>
      <c r="D466" s="2">
        <f>IF(ISBLANK('1_raw_log'!D466),"",'1_raw_log'!D466)</f>
        <v/>
      </c>
      <c r="E466" s="4">
        <f>IF(ISBLANK('1_raw_log'!E466),"",'1_raw_log'!E466)</f>
        <v/>
      </c>
      <c r="F466" s="2">
        <f>IF(ISBLANK('1_raw_log'!F466),"",'1_raw_log'!F466)</f>
        <v/>
      </c>
      <c r="G466" s="2">
        <f>IF(ISBLANK('1_raw_log'!G466),"",'1_raw_log'!G466)</f>
        <v/>
      </c>
      <c r="H466" s="2">
        <f>IF(ISBLANK('1_raw_log'!H466),"",'1_raw_log'!H466)</f>
        <v/>
      </c>
      <c r="I466" s="7">
        <f>IF(ISBLANK('1_raw_log'!I466),"",'1_raw_log'!I466)</f>
        <v/>
      </c>
      <c r="J466" s="2">
        <f>IF(ISBLANK('1_raw_log'!J466),"",'1_raw_log'!J466)</f>
        <v/>
      </c>
      <c r="K466" s="2">
        <f>IF(ISBLANK('1_raw_log'!K466),"",'1_raw_log'!K466)</f>
        <v/>
      </c>
      <c r="L466" s="30">
        <f>INT(B466)</f>
        <v/>
      </c>
      <c r="M466" s="20">
        <f>ROUND(MOD(B466,1)*1440,0)/1440</f>
        <v/>
      </c>
      <c r="N466" s="4">
        <f>IFERROR(INDEX('3_ref_date'!$B:$B,MATCH(L466,'3_ref_date'!$A:$A,0)),"NOT FOUND")</f>
        <v/>
      </c>
      <c r="O466" s="2">
        <f>IFERROR(INDEX('3_ref_date'!$C:$C,MATCH(L466,'3_ref_date'!$A:$A,0)),"NOT FOUND")</f>
        <v/>
      </c>
      <c r="P466" s="4">
        <f>IFERROR(INDEX('3_ref_date'!$D:$D,MATCH(L466,'3_ref_date'!$A:$A,0)),"NOT FOUND")</f>
        <v/>
      </c>
      <c r="Q466" s="4">
        <f>IFERROR(INDEX('3_ref_date'!$E:$E,MATCH(L466,'3_ref_date'!$A:$A,0)),"NOT FOUND")</f>
        <v/>
      </c>
      <c r="R466" s="2">
        <f>IFERROR(INDEX('3_ref_date'!$F:$F,MATCH(L466,'3_ref_date'!$A:$A,0)),"NOT FOUND")</f>
        <v/>
      </c>
      <c r="S466" s="2">
        <f>IFERROR(INDEX('4_ref_time'!$D:$D,MATCH(ROUND(M466*1440,0),'4_ref_time'!$A:$A,0)),"NOT FOUND")</f>
        <v/>
      </c>
      <c r="T466" s="2">
        <f>UPPER(TRIM(C466))</f>
        <v/>
      </c>
      <c r="U466" s="30">
        <f>IF(_xlfn.MAXIFS('6_3nf_branch_history'!$B$2:$B$50,'6_3nf_branch_history'!$A$2:$A$50,T466,'6_3nf_branch_history'!$B$2:$B$50,"&lt;="&amp;L466)=0,"NOT FOUND",_xlfn.MAXIFS('6_3nf_branch_history'!$B$2:$B$50,'6_3nf_branch_history'!$A$2:$A$50,T466,'6_3nf_branch_history'!$B$2:$B$50,"&lt;="&amp;L466))</f>
        <v/>
      </c>
      <c r="V466" s="2">
        <f>IF(U466="NOT FOUND","NOT FOUND",INDEX('6_3nf_branch_history'!$C:$C,SUMPRODUCT(('6_3nf_branch_history'!$A$2:$A$50=T466)*('6_3nf_branch_history'!$B$2:$B$50=U466)*ROW('6_3nf_branch_history'!$A$2:$A$50))))</f>
        <v/>
      </c>
      <c r="W466" s="2">
        <f>IF(U466="NOT FOUND","NOT FOUND",INDEX('6_3nf_branch_history'!$D:$D,SUMPRODUCT(('6_3nf_branch_history'!$A$2:$A$50=T466)*('6_3nf_branch_history'!$B$2:$B$50=U466)*ROW('6_3nf_branch_history'!$A$2:$A$50))))</f>
        <v/>
      </c>
      <c r="X466" s="2">
        <f>IF(U466="NOT FOUND","NOT FOUND",INDEX('6_3nf_branch_history'!$E:$E,SUMPRODUCT(('6_3nf_branch_history'!$A$2:$A$50=T466)*('6_3nf_branch_history'!$B$2:$B$50=U466)*ROW('6_3nf_branch_history'!$A$2:$A$50))))</f>
        <v/>
      </c>
      <c r="Y466" s="2">
        <f>UPPER(TRIM(D466))</f>
        <v/>
      </c>
      <c r="Z466" s="2">
        <f>IFERROR(INDEX('7_3nf_product'!$B:$B,MATCH(Y466,'7_3nf_product'!$A:$A,0)),"NOT FOUND")</f>
        <v/>
      </c>
      <c r="AA466" s="2">
        <f>IFERROR(INDEX('7_3nf_product'!$C:$C,MATCH(Y466,'7_3nf_product'!$A:$A,0)),"NOT FOUND")</f>
        <v/>
      </c>
      <c r="AB466" s="2">
        <f>IFERROR(INDEX('7_3nf_product'!$D:$D,MATCH(Y466,'7_3nf_product'!$A:$A,0)),"NOT FOUND")</f>
        <v/>
      </c>
      <c r="AC466" s="6">
        <f>IFERROR(INDEX('7_3nf_product'!$E:$E,MATCH(Y466,'7_3nf_product'!$A:$A,0)),"NOT FOUND")</f>
        <v/>
      </c>
      <c r="AD466" s="33">
        <f>IF(LEN(TRIM(E466))=10,TRIM(E466),IF(LEN(TRIM(E466))=8,"00"&amp;TRIM(E466),"CHECK"))</f>
        <v/>
      </c>
      <c r="AE466" s="2">
        <f>IFERROR(INDEX('8_3nf_customer'!$C:$C,MATCH(AD466,'8_3nf_customer'!$B:$B,0)),"NOT FOUND")</f>
        <v/>
      </c>
      <c r="AF466" s="30">
        <f>IFERROR(INDEX('8_3nf_customer'!$D:$D,MATCH(AD466,'8_3nf_customer'!$B:$B,0)),"NOT FOUND")</f>
        <v/>
      </c>
      <c r="AG466" s="4">
        <f>IF(ISNUMBER(AF466),DATEDIF(AF466,L466,"y"),"NOT FOUND")</f>
        <v/>
      </c>
      <c r="AH466" s="2">
        <f>IFERROR(INDEX('8_3nf_customer'!$E:$E,MATCH(AD466,'8_3nf_customer'!$B:$B,0)),"NOT FOUND")</f>
        <v/>
      </c>
      <c r="AI466" s="30">
        <f>IF(_xlfn.MAXIFS('9_3nf_customer_history'!$B$2:$B$500,'9_3nf_customer_history'!$A$2:$A$500,AD466,'9_3nf_customer_history'!$B$2:$B$500,"&lt;="&amp;L466)=0,"NOT FOUND",_xlfn.MAXIFS('9_3nf_customer_history'!$B$2:$B$500,'9_3nf_customer_history'!$A$2:$A$500,AD466,'9_3nf_customer_history'!$B$2:$B$500,"&lt;="&amp;L466))</f>
        <v/>
      </c>
      <c r="AJ466" s="2">
        <f>IF(AI466="NOT FOUND","NOT FOUND",INDEX('9_3nf_customer_history'!$C:$C,SUMPRODUCT(('9_3nf_customer_history'!$A$2:$A$500=AD466)*('9_3nf_customer_history'!$B$2:$B$500=AI466)*ROW('9_3nf_customer_history'!$A$2:$A$500))))</f>
        <v/>
      </c>
      <c r="AK466" s="2">
        <f>IF(AI466="NOT FOUND","NOT FOUND",INDEX('9_3nf_customer_history'!$D:$D,SUMPRODUCT(('9_3nf_customer_history'!$A$2:$A$500=AD466)*('9_3nf_customer_history'!$B$2:$B$500=AI466)*ROW('9_3nf_customer_history'!$A$2:$A$500))))</f>
        <v/>
      </c>
      <c r="AL466" s="2">
        <f>UPPER(TRIM(H466))</f>
        <v/>
      </c>
      <c r="AM466" s="30">
        <f>IF(_xlfn.MAXIFS('10_ref_fx_rate'!$B$2:$B$2000,'10_ref_fx_rate'!$A$2:$A$2000,AL466,'10_ref_fx_rate'!$B$2:$B$2000,"&lt;="&amp;L466)=0,"NOT FOUND",_xlfn.MAXIFS('10_ref_fx_rate'!$B$2:$B$2000,'10_ref_fx_rate'!$A$2:$A$2000,AL466,'10_ref_fx_rate'!$B$2:$B$2000,"&lt;="&amp;L466))</f>
        <v/>
      </c>
      <c r="AN466" s="8">
        <f>IF(AM466="NOT FOUND","NOT FOUND",SUMIFS('10_ref_fx_rate'!$D$2:$D$2000,'10_ref_fx_rate'!$A$2:$A$2000,AL466,'10_ref_fx_rate'!$B$2:$B$2000,AM466))</f>
        <v/>
      </c>
      <c r="AO466" s="37">
        <f>IF(ISNUMBER(AN466),I466*AN466,"NOT FOUND")</f>
        <v/>
      </c>
      <c r="AP466" s="2">
        <f>UPPER(TRIM(J466))</f>
        <v/>
      </c>
      <c r="AQ466" s="2">
        <f>IF(AP466="","SELF-DIRECTED",IF(ISNUMBER(MATCH(AP466,'11_3nf_sales_person'!$A:$A,0)),IF(EXACT(AP466,J466),"OK","OK (auto-fixed)"),IF(ISNA(MATCH($A466,'12_sales_person_confirmation'!$A:$A,0)),"CONFIRM (not logged)",IF(INDEX('12_sales_person_confirmation'!$I:$I,MATCH($A466,'12_sales_person_confirmation'!$A:$A,0))="CONFIRMED","CONFIRMED ("&amp;LOWER(INDEX('12_sales_person_confirmation'!$E:$E,MATCH($A466,'12_sales_person_confirmation'!$A:$A,0)))&amp;")","PENDING CONFIRM"))))</f>
        <v/>
      </c>
      <c r="AR466" s="2">
        <f>IF(OR(AQ466="OK",AQ466="OK (auto-fixed)"),AP466,IF(LEFT(AQ466,9)="CONFIRMED",INDEX('12_sales_person_confirmation'!$F:$F,MATCH($A466,'12_sales_person_confirmation'!$A:$A,0)),""))</f>
        <v/>
      </c>
      <c r="AS466" s="2">
        <f>IF(AR466="","",INDEX('11_3nf_sales_person'!$B:$B,MATCH(AR466,'11_3nf_sales_person'!$A:$A,0)))</f>
        <v/>
      </c>
    </row>
    <row r="467">
      <c r="A467" s="2">
        <f>IF(ISBLANK('1_raw_log'!A467),"",'1_raw_log'!A467)</f>
        <v/>
      </c>
      <c r="B467" s="3">
        <f>IF(ISBLANK('1_raw_log'!B467),"",'1_raw_log'!B467)</f>
        <v/>
      </c>
      <c r="C467" s="2">
        <f>IF(ISBLANK('1_raw_log'!C467),"",'1_raw_log'!C467)</f>
        <v/>
      </c>
      <c r="D467" s="2">
        <f>IF(ISBLANK('1_raw_log'!D467),"",'1_raw_log'!D467)</f>
        <v/>
      </c>
      <c r="E467" s="4">
        <f>IF(ISBLANK('1_raw_log'!E467),"",'1_raw_log'!E467)</f>
        <v/>
      </c>
      <c r="F467" s="2">
        <f>IF(ISBLANK('1_raw_log'!F467),"",'1_raw_log'!F467)</f>
        <v/>
      </c>
      <c r="G467" s="2">
        <f>IF(ISBLANK('1_raw_log'!G467),"",'1_raw_log'!G467)</f>
        <v/>
      </c>
      <c r="H467" s="2">
        <f>IF(ISBLANK('1_raw_log'!H467),"",'1_raw_log'!H467)</f>
        <v/>
      </c>
      <c r="I467" s="7">
        <f>IF(ISBLANK('1_raw_log'!I467),"",'1_raw_log'!I467)</f>
        <v/>
      </c>
      <c r="J467" s="2">
        <f>IF(ISBLANK('1_raw_log'!J467),"",'1_raw_log'!J467)</f>
        <v/>
      </c>
      <c r="K467" s="2">
        <f>IF(ISBLANK('1_raw_log'!K467),"",'1_raw_log'!K467)</f>
        <v/>
      </c>
      <c r="L467" s="30">
        <f>INT(B467)</f>
        <v/>
      </c>
      <c r="M467" s="20">
        <f>ROUND(MOD(B467,1)*1440,0)/1440</f>
        <v/>
      </c>
      <c r="N467" s="4">
        <f>IFERROR(INDEX('3_ref_date'!$B:$B,MATCH(L467,'3_ref_date'!$A:$A,0)),"NOT FOUND")</f>
        <v/>
      </c>
      <c r="O467" s="2">
        <f>IFERROR(INDEX('3_ref_date'!$C:$C,MATCH(L467,'3_ref_date'!$A:$A,0)),"NOT FOUND")</f>
        <v/>
      </c>
      <c r="P467" s="4">
        <f>IFERROR(INDEX('3_ref_date'!$D:$D,MATCH(L467,'3_ref_date'!$A:$A,0)),"NOT FOUND")</f>
        <v/>
      </c>
      <c r="Q467" s="4">
        <f>IFERROR(INDEX('3_ref_date'!$E:$E,MATCH(L467,'3_ref_date'!$A:$A,0)),"NOT FOUND")</f>
        <v/>
      </c>
      <c r="R467" s="2">
        <f>IFERROR(INDEX('3_ref_date'!$F:$F,MATCH(L467,'3_ref_date'!$A:$A,0)),"NOT FOUND")</f>
        <v/>
      </c>
      <c r="S467" s="2">
        <f>IFERROR(INDEX('4_ref_time'!$D:$D,MATCH(ROUND(M467*1440,0),'4_ref_time'!$A:$A,0)),"NOT FOUND")</f>
        <v/>
      </c>
      <c r="T467" s="2">
        <f>UPPER(TRIM(C467))</f>
        <v/>
      </c>
      <c r="U467" s="30">
        <f>IF(_xlfn.MAXIFS('6_3nf_branch_history'!$B$2:$B$50,'6_3nf_branch_history'!$A$2:$A$50,T467,'6_3nf_branch_history'!$B$2:$B$50,"&lt;="&amp;L467)=0,"NOT FOUND",_xlfn.MAXIFS('6_3nf_branch_history'!$B$2:$B$50,'6_3nf_branch_history'!$A$2:$A$50,T467,'6_3nf_branch_history'!$B$2:$B$50,"&lt;="&amp;L467))</f>
        <v/>
      </c>
      <c r="V467" s="2">
        <f>IF(U467="NOT FOUND","NOT FOUND",INDEX('6_3nf_branch_history'!$C:$C,SUMPRODUCT(('6_3nf_branch_history'!$A$2:$A$50=T467)*('6_3nf_branch_history'!$B$2:$B$50=U467)*ROW('6_3nf_branch_history'!$A$2:$A$50))))</f>
        <v/>
      </c>
      <c r="W467" s="2">
        <f>IF(U467="NOT FOUND","NOT FOUND",INDEX('6_3nf_branch_history'!$D:$D,SUMPRODUCT(('6_3nf_branch_history'!$A$2:$A$50=T467)*('6_3nf_branch_history'!$B$2:$B$50=U467)*ROW('6_3nf_branch_history'!$A$2:$A$50))))</f>
        <v/>
      </c>
      <c r="X467" s="2">
        <f>IF(U467="NOT FOUND","NOT FOUND",INDEX('6_3nf_branch_history'!$E:$E,SUMPRODUCT(('6_3nf_branch_history'!$A$2:$A$50=T467)*('6_3nf_branch_history'!$B$2:$B$50=U467)*ROW('6_3nf_branch_history'!$A$2:$A$50))))</f>
        <v/>
      </c>
      <c r="Y467" s="2">
        <f>UPPER(TRIM(D467))</f>
        <v/>
      </c>
      <c r="Z467" s="2">
        <f>IFERROR(INDEX('7_3nf_product'!$B:$B,MATCH(Y467,'7_3nf_product'!$A:$A,0)),"NOT FOUND")</f>
        <v/>
      </c>
      <c r="AA467" s="2">
        <f>IFERROR(INDEX('7_3nf_product'!$C:$C,MATCH(Y467,'7_3nf_product'!$A:$A,0)),"NOT FOUND")</f>
        <v/>
      </c>
      <c r="AB467" s="2">
        <f>IFERROR(INDEX('7_3nf_product'!$D:$D,MATCH(Y467,'7_3nf_product'!$A:$A,0)),"NOT FOUND")</f>
        <v/>
      </c>
      <c r="AC467" s="6">
        <f>IFERROR(INDEX('7_3nf_product'!$E:$E,MATCH(Y467,'7_3nf_product'!$A:$A,0)),"NOT FOUND")</f>
        <v/>
      </c>
      <c r="AD467" s="33">
        <f>IF(LEN(TRIM(E467))=10,TRIM(E467),IF(LEN(TRIM(E467))=8,"00"&amp;TRIM(E467),"CHECK"))</f>
        <v/>
      </c>
      <c r="AE467" s="2">
        <f>IFERROR(INDEX('8_3nf_customer'!$C:$C,MATCH(AD467,'8_3nf_customer'!$B:$B,0)),"NOT FOUND")</f>
        <v/>
      </c>
      <c r="AF467" s="30">
        <f>IFERROR(INDEX('8_3nf_customer'!$D:$D,MATCH(AD467,'8_3nf_customer'!$B:$B,0)),"NOT FOUND")</f>
        <v/>
      </c>
      <c r="AG467" s="4">
        <f>IF(ISNUMBER(AF467),DATEDIF(AF467,L467,"y"),"NOT FOUND")</f>
        <v/>
      </c>
      <c r="AH467" s="2">
        <f>IFERROR(INDEX('8_3nf_customer'!$E:$E,MATCH(AD467,'8_3nf_customer'!$B:$B,0)),"NOT FOUND")</f>
        <v/>
      </c>
      <c r="AI467" s="30">
        <f>IF(_xlfn.MAXIFS('9_3nf_customer_history'!$B$2:$B$500,'9_3nf_customer_history'!$A$2:$A$500,AD467,'9_3nf_customer_history'!$B$2:$B$500,"&lt;="&amp;L467)=0,"NOT FOUND",_xlfn.MAXIFS('9_3nf_customer_history'!$B$2:$B$500,'9_3nf_customer_history'!$A$2:$A$500,AD467,'9_3nf_customer_history'!$B$2:$B$500,"&lt;="&amp;L467))</f>
        <v/>
      </c>
      <c r="AJ467" s="2">
        <f>IF(AI467="NOT FOUND","NOT FOUND",INDEX('9_3nf_customer_history'!$C:$C,SUMPRODUCT(('9_3nf_customer_history'!$A$2:$A$500=AD467)*('9_3nf_customer_history'!$B$2:$B$500=AI467)*ROW('9_3nf_customer_history'!$A$2:$A$500))))</f>
        <v/>
      </c>
      <c r="AK467" s="2">
        <f>IF(AI467="NOT FOUND","NOT FOUND",INDEX('9_3nf_customer_history'!$D:$D,SUMPRODUCT(('9_3nf_customer_history'!$A$2:$A$500=AD467)*('9_3nf_customer_history'!$B$2:$B$500=AI467)*ROW('9_3nf_customer_history'!$A$2:$A$500))))</f>
        <v/>
      </c>
      <c r="AL467" s="2">
        <f>UPPER(TRIM(H467))</f>
        <v/>
      </c>
      <c r="AM467" s="30">
        <f>IF(_xlfn.MAXIFS('10_ref_fx_rate'!$B$2:$B$2000,'10_ref_fx_rate'!$A$2:$A$2000,AL467,'10_ref_fx_rate'!$B$2:$B$2000,"&lt;="&amp;L467)=0,"NOT FOUND",_xlfn.MAXIFS('10_ref_fx_rate'!$B$2:$B$2000,'10_ref_fx_rate'!$A$2:$A$2000,AL467,'10_ref_fx_rate'!$B$2:$B$2000,"&lt;="&amp;L467))</f>
        <v/>
      </c>
      <c r="AN467" s="8">
        <f>IF(AM467="NOT FOUND","NOT FOUND",SUMIFS('10_ref_fx_rate'!$D$2:$D$2000,'10_ref_fx_rate'!$A$2:$A$2000,AL467,'10_ref_fx_rate'!$B$2:$B$2000,AM467))</f>
        <v/>
      </c>
      <c r="AO467" s="37">
        <f>IF(ISNUMBER(AN467),I467*AN467,"NOT FOUND")</f>
        <v/>
      </c>
      <c r="AP467" s="2">
        <f>UPPER(TRIM(J467))</f>
        <v/>
      </c>
      <c r="AQ467" s="2">
        <f>IF(AP467="","SELF-DIRECTED",IF(ISNUMBER(MATCH(AP467,'11_3nf_sales_person'!$A:$A,0)),IF(EXACT(AP467,J467),"OK","OK (auto-fixed)"),IF(ISNA(MATCH($A467,'12_sales_person_confirmation'!$A:$A,0)),"CONFIRM (not logged)",IF(INDEX('12_sales_person_confirmation'!$I:$I,MATCH($A467,'12_sales_person_confirmation'!$A:$A,0))="CONFIRMED","CONFIRMED ("&amp;LOWER(INDEX('12_sales_person_confirmation'!$E:$E,MATCH($A467,'12_sales_person_confirmation'!$A:$A,0)))&amp;")","PENDING CONFIRM"))))</f>
        <v/>
      </c>
      <c r="AR467" s="2">
        <f>IF(OR(AQ467="OK",AQ467="OK (auto-fixed)"),AP467,IF(LEFT(AQ467,9)="CONFIRMED",INDEX('12_sales_person_confirmation'!$F:$F,MATCH($A467,'12_sales_person_confirmation'!$A:$A,0)),""))</f>
        <v/>
      </c>
      <c r="AS467" s="2">
        <f>IF(AR467="","",INDEX('11_3nf_sales_person'!$B:$B,MATCH(AR467,'11_3nf_sales_person'!$A:$A,0)))</f>
        <v/>
      </c>
    </row>
    <row r="468">
      <c r="A468" s="2">
        <f>IF(ISBLANK('1_raw_log'!A468),"",'1_raw_log'!A468)</f>
        <v/>
      </c>
      <c r="B468" s="3">
        <f>IF(ISBLANK('1_raw_log'!B468),"",'1_raw_log'!B468)</f>
        <v/>
      </c>
      <c r="C468" s="2">
        <f>IF(ISBLANK('1_raw_log'!C468),"",'1_raw_log'!C468)</f>
        <v/>
      </c>
      <c r="D468" s="2">
        <f>IF(ISBLANK('1_raw_log'!D468),"",'1_raw_log'!D468)</f>
        <v/>
      </c>
      <c r="E468" s="4">
        <f>IF(ISBLANK('1_raw_log'!E468),"",'1_raw_log'!E468)</f>
        <v/>
      </c>
      <c r="F468" s="2">
        <f>IF(ISBLANK('1_raw_log'!F468),"",'1_raw_log'!F468)</f>
        <v/>
      </c>
      <c r="G468" s="2">
        <f>IF(ISBLANK('1_raw_log'!G468),"",'1_raw_log'!G468)</f>
        <v/>
      </c>
      <c r="H468" s="2">
        <f>IF(ISBLANK('1_raw_log'!H468),"",'1_raw_log'!H468)</f>
        <v/>
      </c>
      <c r="I468" s="7">
        <f>IF(ISBLANK('1_raw_log'!I468),"",'1_raw_log'!I468)</f>
        <v/>
      </c>
      <c r="J468" s="2">
        <f>IF(ISBLANK('1_raw_log'!J468),"",'1_raw_log'!J468)</f>
        <v/>
      </c>
      <c r="K468" s="2">
        <f>IF(ISBLANK('1_raw_log'!K468),"",'1_raw_log'!K468)</f>
        <v/>
      </c>
      <c r="L468" s="30">
        <f>INT(B468)</f>
        <v/>
      </c>
      <c r="M468" s="20">
        <f>ROUND(MOD(B468,1)*1440,0)/1440</f>
        <v/>
      </c>
      <c r="N468" s="4">
        <f>IFERROR(INDEX('3_ref_date'!$B:$B,MATCH(L468,'3_ref_date'!$A:$A,0)),"NOT FOUND")</f>
        <v/>
      </c>
      <c r="O468" s="2">
        <f>IFERROR(INDEX('3_ref_date'!$C:$C,MATCH(L468,'3_ref_date'!$A:$A,0)),"NOT FOUND")</f>
        <v/>
      </c>
      <c r="P468" s="4">
        <f>IFERROR(INDEX('3_ref_date'!$D:$D,MATCH(L468,'3_ref_date'!$A:$A,0)),"NOT FOUND")</f>
        <v/>
      </c>
      <c r="Q468" s="4">
        <f>IFERROR(INDEX('3_ref_date'!$E:$E,MATCH(L468,'3_ref_date'!$A:$A,0)),"NOT FOUND")</f>
        <v/>
      </c>
      <c r="R468" s="2">
        <f>IFERROR(INDEX('3_ref_date'!$F:$F,MATCH(L468,'3_ref_date'!$A:$A,0)),"NOT FOUND")</f>
        <v/>
      </c>
      <c r="S468" s="2">
        <f>IFERROR(INDEX('4_ref_time'!$D:$D,MATCH(ROUND(M468*1440,0),'4_ref_time'!$A:$A,0)),"NOT FOUND")</f>
        <v/>
      </c>
      <c r="T468" s="2">
        <f>UPPER(TRIM(C468))</f>
        <v/>
      </c>
      <c r="U468" s="30">
        <f>IF(_xlfn.MAXIFS('6_3nf_branch_history'!$B$2:$B$50,'6_3nf_branch_history'!$A$2:$A$50,T468,'6_3nf_branch_history'!$B$2:$B$50,"&lt;="&amp;L468)=0,"NOT FOUND",_xlfn.MAXIFS('6_3nf_branch_history'!$B$2:$B$50,'6_3nf_branch_history'!$A$2:$A$50,T468,'6_3nf_branch_history'!$B$2:$B$50,"&lt;="&amp;L468))</f>
        <v/>
      </c>
      <c r="V468" s="2">
        <f>IF(U468="NOT FOUND","NOT FOUND",INDEX('6_3nf_branch_history'!$C:$C,SUMPRODUCT(('6_3nf_branch_history'!$A$2:$A$50=T468)*('6_3nf_branch_history'!$B$2:$B$50=U468)*ROW('6_3nf_branch_history'!$A$2:$A$50))))</f>
        <v/>
      </c>
      <c r="W468" s="2">
        <f>IF(U468="NOT FOUND","NOT FOUND",INDEX('6_3nf_branch_history'!$D:$D,SUMPRODUCT(('6_3nf_branch_history'!$A$2:$A$50=T468)*('6_3nf_branch_history'!$B$2:$B$50=U468)*ROW('6_3nf_branch_history'!$A$2:$A$50))))</f>
        <v/>
      </c>
      <c r="X468" s="2">
        <f>IF(U468="NOT FOUND","NOT FOUND",INDEX('6_3nf_branch_history'!$E:$E,SUMPRODUCT(('6_3nf_branch_history'!$A$2:$A$50=T468)*('6_3nf_branch_history'!$B$2:$B$50=U468)*ROW('6_3nf_branch_history'!$A$2:$A$50))))</f>
        <v/>
      </c>
      <c r="Y468" s="2">
        <f>UPPER(TRIM(D468))</f>
        <v/>
      </c>
      <c r="Z468" s="2">
        <f>IFERROR(INDEX('7_3nf_product'!$B:$B,MATCH(Y468,'7_3nf_product'!$A:$A,0)),"NOT FOUND")</f>
        <v/>
      </c>
      <c r="AA468" s="2">
        <f>IFERROR(INDEX('7_3nf_product'!$C:$C,MATCH(Y468,'7_3nf_product'!$A:$A,0)),"NOT FOUND")</f>
        <v/>
      </c>
      <c r="AB468" s="2">
        <f>IFERROR(INDEX('7_3nf_product'!$D:$D,MATCH(Y468,'7_3nf_product'!$A:$A,0)),"NOT FOUND")</f>
        <v/>
      </c>
      <c r="AC468" s="6">
        <f>IFERROR(INDEX('7_3nf_product'!$E:$E,MATCH(Y468,'7_3nf_product'!$A:$A,0)),"NOT FOUND")</f>
        <v/>
      </c>
      <c r="AD468" s="33">
        <f>IF(LEN(TRIM(E468))=10,TRIM(E468),IF(LEN(TRIM(E468))=8,"00"&amp;TRIM(E468),"CHECK"))</f>
        <v/>
      </c>
      <c r="AE468" s="2">
        <f>IFERROR(INDEX('8_3nf_customer'!$C:$C,MATCH(AD468,'8_3nf_customer'!$B:$B,0)),"NOT FOUND")</f>
        <v/>
      </c>
      <c r="AF468" s="30">
        <f>IFERROR(INDEX('8_3nf_customer'!$D:$D,MATCH(AD468,'8_3nf_customer'!$B:$B,0)),"NOT FOUND")</f>
        <v/>
      </c>
      <c r="AG468" s="4">
        <f>IF(ISNUMBER(AF468),DATEDIF(AF468,L468,"y"),"NOT FOUND")</f>
        <v/>
      </c>
      <c r="AH468" s="2">
        <f>IFERROR(INDEX('8_3nf_customer'!$E:$E,MATCH(AD468,'8_3nf_customer'!$B:$B,0)),"NOT FOUND")</f>
        <v/>
      </c>
      <c r="AI468" s="30">
        <f>IF(_xlfn.MAXIFS('9_3nf_customer_history'!$B$2:$B$500,'9_3nf_customer_history'!$A$2:$A$500,AD468,'9_3nf_customer_history'!$B$2:$B$500,"&lt;="&amp;L468)=0,"NOT FOUND",_xlfn.MAXIFS('9_3nf_customer_history'!$B$2:$B$500,'9_3nf_customer_history'!$A$2:$A$500,AD468,'9_3nf_customer_history'!$B$2:$B$500,"&lt;="&amp;L468))</f>
        <v/>
      </c>
      <c r="AJ468" s="2">
        <f>IF(AI468="NOT FOUND","NOT FOUND",INDEX('9_3nf_customer_history'!$C:$C,SUMPRODUCT(('9_3nf_customer_history'!$A$2:$A$500=AD468)*('9_3nf_customer_history'!$B$2:$B$500=AI468)*ROW('9_3nf_customer_history'!$A$2:$A$500))))</f>
        <v/>
      </c>
      <c r="AK468" s="2">
        <f>IF(AI468="NOT FOUND","NOT FOUND",INDEX('9_3nf_customer_history'!$D:$D,SUMPRODUCT(('9_3nf_customer_history'!$A$2:$A$500=AD468)*('9_3nf_customer_history'!$B$2:$B$500=AI468)*ROW('9_3nf_customer_history'!$A$2:$A$500))))</f>
        <v/>
      </c>
      <c r="AL468" s="2">
        <f>UPPER(TRIM(H468))</f>
        <v/>
      </c>
      <c r="AM468" s="30">
        <f>IF(_xlfn.MAXIFS('10_ref_fx_rate'!$B$2:$B$2000,'10_ref_fx_rate'!$A$2:$A$2000,AL468,'10_ref_fx_rate'!$B$2:$B$2000,"&lt;="&amp;L468)=0,"NOT FOUND",_xlfn.MAXIFS('10_ref_fx_rate'!$B$2:$B$2000,'10_ref_fx_rate'!$A$2:$A$2000,AL468,'10_ref_fx_rate'!$B$2:$B$2000,"&lt;="&amp;L468))</f>
        <v/>
      </c>
      <c r="AN468" s="8">
        <f>IF(AM468="NOT FOUND","NOT FOUND",SUMIFS('10_ref_fx_rate'!$D$2:$D$2000,'10_ref_fx_rate'!$A$2:$A$2000,AL468,'10_ref_fx_rate'!$B$2:$B$2000,AM468))</f>
        <v/>
      </c>
      <c r="AO468" s="37">
        <f>IF(ISNUMBER(AN468),I468*AN468,"NOT FOUND")</f>
        <v/>
      </c>
      <c r="AP468" s="2">
        <f>UPPER(TRIM(J468))</f>
        <v/>
      </c>
      <c r="AQ468" s="2">
        <f>IF(AP468="","SELF-DIRECTED",IF(ISNUMBER(MATCH(AP468,'11_3nf_sales_person'!$A:$A,0)),IF(EXACT(AP468,J468),"OK","OK (auto-fixed)"),IF(ISNA(MATCH($A468,'12_sales_person_confirmation'!$A:$A,0)),"CONFIRM (not logged)",IF(INDEX('12_sales_person_confirmation'!$I:$I,MATCH($A468,'12_sales_person_confirmation'!$A:$A,0))="CONFIRMED","CONFIRMED ("&amp;LOWER(INDEX('12_sales_person_confirmation'!$E:$E,MATCH($A468,'12_sales_person_confirmation'!$A:$A,0)))&amp;")","PENDING CONFIRM"))))</f>
        <v/>
      </c>
      <c r="AR468" s="2">
        <f>IF(OR(AQ468="OK",AQ468="OK (auto-fixed)"),AP468,IF(LEFT(AQ468,9)="CONFIRMED",INDEX('12_sales_person_confirmation'!$F:$F,MATCH($A468,'12_sales_person_confirmation'!$A:$A,0)),""))</f>
        <v/>
      </c>
      <c r="AS468" s="2">
        <f>IF(AR468="","",INDEX('11_3nf_sales_person'!$B:$B,MATCH(AR468,'11_3nf_sales_person'!$A:$A,0)))</f>
        <v/>
      </c>
    </row>
    <row r="469">
      <c r="A469" s="2">
        <f>IF(ISBLANK('1_raw_log'!A469),"",'1_raw_log'!A469)</f>
        <v/>
      </c>
      <c r="B469" s="3">
        <f>IF(ISBLANK('1_raw_log'!B469),"",'1_raw_log'!B469)</f>
        <v/>
      </c>
      <c r="C469" s="2">
        <f>IF(ISBLANK('1_raw_log'!C469),"",'1_raw_log'!C469)</f>
        <v/>
      </c>
      <c r="D469" s="2">
        <f>IF(ISBLANK('1_raw_log'!D469),"",'1_raw_log'!D469)</f>
        <v/>
      </c>
      <c r="E469" s="4">
        <f>IF(ISBLANK('1_raw_log'!E469),"",'1_raw_log'!E469)</f>
        <v/>
      </c>
      <c r="F469" s="2">
        <f>IF(ISBLANK('1_raw_log'!F469),"",'1_raw_log'!F469)</f>
        <v/>
      </c>
      <c r="G469" s="2">
        <f>IF(ISBLANK('1_raw_log'!G469),"",'1_raw_log'!G469)</f>
        <v/>
      </c>
      <c r="H469" s="2">
        <f>IF(ISBLANK('1_raw_log'!H469),"",'1_raw_log'!H469)</f>
        <v/>
      </c>
      <c r="I469" s="7">
        <f>IF(ISBLANK('1_raw_log'!I469),"",'1_raw_log'!I469)</f>
        <v/>
      </c>
      <c r="J469" s="2">
        <f>IF(ISBLANK('1_raw_log'!J469),"",'1_raw_log'!J469)</f>
        <v/>
      </c>
      <c r="K469" s="2">
        <f>IF(ISBLANK('1_raw_log'!K469),"",'1_raw_log'!K469)</f>
        <v/>
      </c>
      <c r="L469" s="30">
        <f>INT(B469)</f>
        <v/>
      </c>
      <c r="M469" s="20">
        <f>ROUND(MOD(B469,1)*1440,0)/1440</f>
        <v/>
      </c>
      <c r="N469" s="4">
        <f>IFERROR(INDEX('3_ref_date'!$B:$B,MATCH(L469,'3_ref_date'!$A:$A,0)),"NOT FOUND")</f>
        <v/>
      </c>
      <c r="O469" s="2">
        <f>IFERROR(INDEX('3_ref_date'!$C:$C,MATCH(L469,'3_ref_date'!$A:$A,0)),"NOT FOUND")</f>
        <v/>
      </c>
      <c r="P469" s="4">
        <f>IFERROR(INDEX('3_ref_date'!$D:$D,MATCH(L469,'3_ref_date'!$A:$A,0)),"NOT FOUND")</f>
        <v/>
      </c>
      <c r="Q469" s="4">
        <f>IFERROR(INDEX('3_ref_date'!$E:$E,MATCH(L469,'3_ref_date'!$A:$A,0)),"NOT FOUND")</f>
        <v/>
      </c>
      <c r="R469" s="2">
        <f>IFERROR(INDEX('3_ref_date'!$F:$F,MATCH(L469,'3_ref_date'!$A:$A,0)),"NOT FOUND")</f>
        <v/>
      </c>
      <c r="S469" s="2">
        <f>IFERROR(INDEX('4_ref_time'!$D:$D,MATCH(ROUND(M469*1440,0),'4_ref_time'!$A:$A,0)),"NOT FOUND")</f>
        <v/>
      </c>
      <c r="T469" s="2">
        <f>UPPER(TRIM(C469))</f>
        <v/>
      </c>
      <c r="U469" s="30">
        <f>IF(_xlfn.MAXIFS('6_3nf_branch_history'!$B$2:$B$50,'6_3nf_branch_history'!$A$2:$A$50,T469,'6_3nf_branch_history'!$B$2:$B$50,"&lt;="&amp;L469)=0,"NOT FOUND",_xlfn.MAXIFS('6_3nf_branch_history'!$B$2:$B$50,'6_3nf_branch_history'!$A$2:$A$50,T469,'6_3nf_branch_history'!$B$2:$B$50,"&lt;="&amp;L469))</f>
        <v/>
      </c>
      <c r="V469" s="2">
        <f>IF(U469="NOT FOUND","NOT FOUND",INDEX('6_3nf_branch_history'!$C:$C,SUMPRODUCT(('6_3nf_branch_history'!$A$2:$A$50=T469)*('6_3nf_branch_history'!$B$2:$B$50=U469)*ROW('6_3nf_branch_history'!$A$2:$A$50))))</f>
        <v/>
      </c>
      <c r="W469" s="2">
        <f>IF(U469="NOT FOUND","NOT FOUND",INDEX('6_3nf_branch_history'!$D:$D,SUMPRODUCT(('6_3nf_branch_history'!$A$2:$A$50=T469)*('6_3nf_branch_history'!$B$2:$B$50=U469)*ROW('6_3nf_branch_history'!$A$2:$A$50))))</f>
        <v/>
      </c>
      <c r="X469" s="2">
        <f>IF(U469="NOT FOUND","NOT FOUND",INDEX('6_3nf_branch_history'!$E:$E,SUMPRODUCT(('6_3nf_branch_history'!$A$2:$A$50=T469)*('6_3nf_branch_history'!$B$2:$B$50=U469)*ROW('6_3nf_branch_history'!$A$2:$A$50))))</f>
        <v/>
      </c>
      <c r="Y469" s="2">
        <f>UPPER(TRIM(D469))</f>
        <v/>
      </c>
      <c r="Z469" s="2">
        <f>IFERROR(INDEX('7_3nf_product'!$B:$B,MATCH(Y469,'7_3nf_product'!$A:$A,0)),"NOT FOUND")</f>
        <v/>
      </c>
      <c r="AA469" s="2">
        <f>IFERROR(INDEX('7_3nf_product'!$C:$C,MATCH(Y469,'7_3nf_product'!$A:$A,0)),"NOT FOUND")</f>
        <v/>
      </c>
      <c r="AB469" s="2">
        <f>IFERROR(INDEX('7_3nf_product'!$D:$D,MATCH(Y469,'7_3nf_product'!$A:$A,0)),"NOT FOUND")</f>
        <v/>
      </c>
      <c r="AC469" s="6">
        <f>IFERROR(INDEX('7_3nf_product'!$E:$E,MATCH(Y469,'7_3nf_product'!$A:$A,0)),"NOT FOUND")</f>
        <v/>
      </c>
      <c r="AD469" s="33">
        <f>IF(LEN(TRIM(E469))=10,TRIM(E469),IF(LEN(TRIM(E469))=8,"00"&amp;TRIM(E469),"CHECK"))</f>
        <v/>
      </c>
      <c r="AE469" s="2">
        <f>IFERROR(INDEX('8_3nf_customer'!$C:$C,MATCH(AD469,'8_3nf_customer'!$B:$B,0)),"NOT FOUND")</f>
        <v/>
      </c>
      <c r="AF469" s="30">
        <f>IFERROR(INDEX('8_3nf_customer'!$D:$D,MATCH(AD469,'8_3nf_customer'!$B:$B,0)),"NOT FOUND")</f>
        <v/>
      </c>
      <c r="AG469" s="4">
        <f>IF(ISNUMBER(AF469),DATEDIF(AF469,L469,"y"),"NOT FOUND")</f>
        <v/>
      </c>
      <c r="AH469" s="2">
        <f>IFERROR(INDEX('8_3nf_customer'!$E:$E,MATCH(AD469,'8_3nf_customer'!$B:$B,0)),"NOT FOUND")</f>
        <v/>
      </c>
      <c r="AI469" s="30">
        <f>IF(_xlfn.MAXIFS('9_3nf_customer_history'!$B$2:$B$500,'9_3nf_customer_history'!$A$2:$A$500,AD469,'9_3nf_customer_history'!$B$2:$B$500,"&lt;="&amp;L469)=0,"NOT FOUND",_xlfn.MAXIFS('9_3nf_customer_history'!$B$2:$B$500,'9_3nf_customer_history'!$A$2:$A$500,AD469,'9_3nf_customer_history'!$B$2:$B$500,"&lt;="&amp;L469))</f>
        <v/>
      </c>
      <c r="AJ469" s="2">
        <f>IF(AI469="NOT FOUND","NOT FOUND",INDEX('9_3nf_customer_history'!$C:$C,SUMPRODUCT(('9_3nf_customer_history'!$A$2:$A$500=AD469)*('9_3nf_customer_history'!$B$2:$B$500=AI469)*ROW('9_3nf_customer_history'!$A$2:$A$500))))</f>
        <v/>
      </c>
      <c r="AK469" s="2">
        <f>IF(AI469="NOT FOUND","NOT FOUND",INDEX('9_3nf_customer_history'!$D:$D,SUMPRODUCT(('9_3nf_customer_history'!$A$2:$A$500=AD469)*('9_3nf_customer_history'!$B$2:$B$500=AI469)*ROW('9_3nf_customer_history'!$A$2:$A$500))))</f>
        <v/>
      </c>
      <c r="AL469" s="2">
        <f>UPPER(TRIM(H469))</f>
        <v/>
      </c>
      <c r="AM469" s="30">
        <f>IF(_xlfn.MAXIFS('10_ref_fx_rate'!$B$2:$B$2000,'10_ref_fx_rate'!$A$2:$A$2000,AL469,'10_ref_fx_rate'!$B$2:$B$2000,"&lt;="&amp;L469)=0,"NOT FOUND",_xlfn.MAXIFS('10_ref_fx_rate'!$B$2:$B$2000,'10_ref_fx_rate'!$A$2:$A$2000,AL469,'10_ref_fx_rate'!$B$2:$B$2000,"&lt;="&amp;L469))</f>
        <v/>
      </c>
      <c r="AN469" s="8">
        <f>IF(AM469="NOT FOUND","NOT FOUND",SUMIFS('10_ref_fx_rate'!$D$2:$D$2000,'10_ref_fx_rate'!$A$2:$A$2000,AL469,'10_ref_fx_rate'!$B$2:$B$2000,AM469))</f>
        <v/>
      </c>
      <c r="AO469" s="37">
        <f>IF(ISNUMBER(AN469),I469*AN469,"NOT FOUND")</f>
        <v/>
      </c>
      <c r="AP469" s="2">
        <f>UPPER(TRIM(J469))</f>
        <v/>
      </c>
      <c r="AQ469" s="2">
        <f>IF(AP469="","SELF-DIRECTED",IF(ISNUMBER(MATCH(AP469,'11_3nf_sales_person'!$A:$A,0)),IF(EXACT(AP469,J469),"OK","OK (auto-fixed)"),IF(ISNA(MATCH($A469,'12_sales_person_confirmation'!$A:$A,0)),"CONFIRM (not logged)",IF(INDEX('12_sales_person_confirmation'!$I:$I,MATCH($A469,'12_sales_person_confirmation'!$A:$A,0))="CONFIRMED","CONFIRMED ("&amp;LOWER(INDEX('12_sales_person_confirmation'!$E:$E,MATCH($A469,'12_sales_person_confirmation'!$A:$A,0)))&amp;")","PENDING CONFIRM"))))</f>
        <v/>
      </c>
      <c r="AR469" s="2">
        <f>IF(OR(AQ469="OK",AQ469="OK (auto-fixed)"),AP469,IF(LEFT(AQ469,9)="CONFIRMED",INDEX('12_sales_person_confirmation'!$F:$F,MATCH($A469,'12_sales_person_confirmation'!$A:$A,0)),""))</f>
        <v/>
      </c>
      <c r="AS469" s="2">
        <f>IF(AR469="","",INDEX('11_3nf_sales_person'!$B:$B,MATCH(AR469,'11_3nf_sales_person'!$A:$A,0)))</f>
        <v/>
      </c>
    </row>
    <row r="470">
      <c r="A470" s="2">
        <f>IF(ISBLANK('1_raw_log'!A470),"",'1_raw_log'!A470)</f>
        <v/>
      </c>
      <c r="B470" s="3">
        <f>IF(ISBLANK('1_raw_log'!B470),"",'1_raw_log'!B470)</f>
        <v/>
      </c>
      <c r="C470" s="2">
        <f>IF(ISBLANK('1_raw_log'!C470),"",'1_raw_log'!C470)</f>
        <v/>
      </c>
      <c r="D470" s="2">
        <f>IF(ISBLANK('1_raw_log'!D470),"",'1_raw_log'!D470)</f>
        <v/>
      </c>
      <c r="E470" s="4">
        <f>IF(ISBLANK('1_raw_log'!E470),"",'1_raw_log'!E470)</f>
        <v/>
      </c>
      <c r="F470" s="2">
        <f>IF(ISBLANK('1_raw_log'!F470),"",'1_raw_log'!F470)</f>
        <v/>
      </c>
      <c r="G470" s="2">
        <f>IF(ISBLANK('1_raw_log'!G470),"",'1_raw_log'!G470)</f>
        <v/>
      </c>
      <c r="H470" s="2">
        <f>IF(ISBLANK('1_raw_log'!H470),"",'1_raw_log'!H470)</f>
        <v/>
      </c>
      <c r="I470" s="7">
        <f>IF(ISBLANK('1_raw_log'!I470),"",'1_raw_log'!I470)</f>
        <v/>
      </c>
      <c r="J470" s="2">
        <f>IF(ISBLANK('1_raw_log'!J470),"",'1_raw_log'!J470)</f>
        <v/>
      </c>
      <c r="K470" s="2">
        <f>IF(ISBLANK('1_raw_log'!K470),"",'1_raw_log'!K470)</f>
        <v/>
      </c>
      <c r="L470" s="30">
        <f>INT(B470)</f>
        <v/>
      </c>
      <c r="M470" s="20">
        <f>ROUND(MOD(B470,1)*1440,0)/1440</f>
        <v/>
      </c>
      <c r="N470" s="4">
        <f>IFERROR(INDEX('3_ref_date'!$B:$B,MATCH(L470,'3_ref_date'!$A:$A,0)),"NOT FOUND")</f>
        <v/>
      </c>
      <c r="O470" s="2">
        <f>IFERROR(INDEX('3_ref_date'!$C:$C,MATCH(L470,'3_ref_date'!$A:$A,0)),"NOT FOUND")</f>
        <v/>
      </c>
      <c r="P470" s="4">
        <f>IFERROR(INDEX('3_ref_date'!$D:$D,MATCH(L470,'3_ref_date'!$A:$A,0)),"NOT FOUND")</f>
        <v/>
      </c>
      <c r="Q470" s="4">
        <f>IFERROR(INDEX('3_ref_date'!$E:$E,MATCH(L470,'3_ref_date'!$A:$A,0)),"NOT FOUND")</f>
        <v/>
      </c>
      <c r="R470" s="2">
        <f>IFERROR(INDEX('3_ref_date'!$F:$F,MATCH(L470,'3_ref_date'!$A:$A,0)),"NOT FOUND")</f>
        <v/>
      </c>
      <c r="S470" s="2">
        <f>IFERROR(INDEX('4_ref_time'!$D:$D,MATCH(ROUND(M470*1440,0),'4_ref_time'!$A:$A,0)),"NOT FOUND")</f>
        <v/>
      </c>
      <c r="T470" s="2">
        <f>UPPER(TRIM(C470))</f>
        <v/>
      </c>
      <c r="U470" s="30">
        <f>IF(_xlfn.MAXIFS('6_3nf_branch_history'!$B$2:$B$50,'6_3nf_branch_history'!$A$2:$A$50,T470,'6_3nf_branch_history'!$B$2:$B$50,"&lt;="&amp;L470)=0,"NOT FOUND",_xlfn.MAXIFS('6_3nf_branch_history'!$B$2:$B$50,'6_3nf_branch_history'!$A$2:$A$50,T470,'6_3nf_branch_history'!$B$2:$B$50,"&lt;="&amp;L470))</f>
        <v/>
      </c>
      <c r="V470" s="2">
        <f>IF(U470="NOT FOUND","NOT FOUND",INDEX('6_3nf_branch_history'!$C:$C,SUMPRODUCT(('6_3nf_branch_history'!$A$2:$A$50=T470)*('6_3nf_branch_history'!$B$2:$B$50=U470)*ROW('6_3nf_branch_history'!$A$2:$A$50))))</f>
        <v/>
      </c>
      <c r="W470" s="2">
        <f>IF(U470="NOT FOUND","NOT FOUND",INDEX('6_3nf_branch_history'!$D:$D,SUMPRODUCT(('6_3nf_branch_history'!$A$2:$A$50=T470)*('6_3nf_branch_history'!$B$2:$B$50=U470)*ROW('6_3nf_branch_history'!$A$2:$A$50))))</f>
        <v/>
      </c>
      <c r="X470" s="2">
        <f>IF(U470="NOT FOUND","NOT FOUND",INDEX('6_3nf_branch_history'!$E:$E,SUMPRODUCT(('6_3nf_branch_history'!$A$2:$A$50=T470)*('6_3nf_branch_history'!$B$2:$B$50=U470)*ROW('6_3nf_branch_history'!$A$2:$A$50))))</f>
        <v/>
      </c>
      <c r="Y470" s="2">
        <f>UPPER(TRIM(D470))</f>
        <v/>
      </c>
      <c r="Z470" s="2">
        <f>IFERROR(INDEX('7_3nf_product'!$B:$B,MATCH(Y470,'7_3nf_product'!$A:$A,0)),"NOT FOUND")</f>
        <v/>
      </c>
      <c r="AA470" s="2">
        <f>IFERROR(INDEX('7_3nf_product'!$C:$C,MATCH(Y470,'7_3nf_product'!$A:$A,0)),"NOT FOUND")</f>
        <v/>
      </c>
      <c r="AB470" s="2">
        <f>IFERROR(INDEX('7_3nf_product'!$D:$D,MATCH(Y470,'7_3nf_product'!$A:$A,0)),"NOT FOUND")</f>
        <v/>
      </c>
      <c r="AC470" s="6">
        <f>IFERROR(INDEX('7_3nf_product'!$E:$E,MATCH(Y470,'7_3nf_product'!$A:$A,0)),"NOT FOUND")</f>
        <v/>
      </c>
      <c r="AD470" s="33">
        <f>IF(LEN(TRIM(E470))=10,TRIM(E470),IF(LEN(TRIM(E470))=8,"00"&amp;TRIM(E470),"CHECK"))</f>
        <v/>
      </c>
      <c r="AE470" s="2">
        <f>IFERROR(INDEX('8_3nf_customer'!$C:$C,MATCH(AD470,'8_3nf_customer'!$B:$B,0)),"NOT FOUND")</f>
        <v/>
      </c>
      <c r="AF470" s="30">
        <f>IFERROR(INDEX('8_3nf_customer'!$D:$D,MATCH(AD470,'8_3nf_customer'!$B:$B,0)),"NOT FOUND")</f>
        <v/>
      </c>
      <c r="AG470" s="4">
        <f>IF(ISNUMBER(AF470),DATEDIF(AF470,L470,"y"),"NOT FOUND")</f>
        <v/>
      </c>
      <c r="AH470" s="2">
        <f>IFERROR(INDEX('8_3nf_customer'!$E:$E,MATCH(AD470,'8_3nf_customer'!$B:$B,0)),"NOT FOUND")</f>
        <v/>
      </c>
      <c r="AI470" s="30">
        <f>IF(_xlfn.MAXIFS('9_3nf_customer_history'!$B$2:$B$500,'9_3nf_customer_history'!$A$2:$A$500,AD470,'9_3nf_customer_history'!$B$2:$B$500,"&lt;="&amp;L470)=0,"NOT FOUND",_xlfn.MAXIFS('9_3nf_customer_history'!$B$2:$B$500,'9_3nf_customer_history'!$A$2:$A$500,AD470,'9_3nf_customer_history'!$B$2:$B$500,"&lt;="&amp;L470))</f>
        <v/>
      </c>
      <c r="AJ470" s="2">
        <f>IF(AI470="NOT FOUND","NOT FOUND",INDEX('9_3nf_customer_history'!$C:$C,SUMPRODUCT(('9_3nf_customer_history'!$A$2:$A$500=AD470)*('9_3nf_customer_history'!$B$2:$B$500=AI470)*ROW('9_3nf_customer_history'!$A$2:$A$500))))</f>
        <v/>
      </c>
      <c r="AK470" s="2">
        <f>IF(AI470="NOT FOUND","NOT FOUND",INDEX('9_3nf_customer_history'!$D:$D,SUMPRODUCT(('9_3nf_customer_history'!$A$2:$A$500=AD470)*('9_3nf_customer_history'!$B$2:$B$500=AI470)*ROW('9_3nf_customer_history'!$A$2:$A$500))))</f>
        <v/>
      </c>
      <c r="AL470" s="2">
        <f>UPPER(TRIM(H470))</f>
        <v/>
      </c>
      <c r="AM470" s="30">
        <f>IF(_xlfn.MAXIFS('10_ref_fx_rate'!$B$2:$B$2000,'10_ref_fx_rate'!$A$2:$A$2000,AL470,'10_ref_fx_rate'!$B$2:$B$2000,"&lt;="&amp;L470)=0,"NOT FOUND",_xlfn.MAXIFS('10_ref_fx_rate'!$B$2:$B$2000,'10_ref_fx_rate'!$A$2:$A$2000,AL470,'10_ref_fx_rate'!$B$2:$B$2000,"&lt;="&amp;L470))</f>
        <v/>
      </c>
      <c r="AN470" s="8">
        <f>IF(AM470="NOT FOUND","NOT FOUND",SUMIFS('10_ref_fx_rate'!$D$2:$D$2000,'10_ref_fx_rate'!$A$2:$A$2000,AL470,'10_ref_fx_rate'!$B$2:$B$2000,AM470))</f>
        <v/>
      </c>
      <c r="AO470" s="37">
        <f>IF(ISNUMBER(AN470),I470*AN470,"NOT FOUND")</f>
        <v/>
      </c>
      <c r="AP470" s="2">
        <f>UPPER(TRIM(J470))</f>
        <v/>
      </c>
      <c r="AQ470" s="2">
        <f>IF(AP470="","SELF-DIRECTED",IF(ISNUMBER(MATCH(AP470,'11_3nf_sales_person'!$A:$A,0)),IF(EXACT(AP470,J470),"OK","OK (auto-fixed)"),IF(ISNA(MATCH($A470,'12_sales_person_confirmation'!$A:$A,0)),"CONFIRM (not logged)",IF(INDEX('12_sales_person_confirmation'!$I:$I,MATCH($A470,'12_sales_person_confirmation'!$A:$A,0))="CONFIRMED","CONFIRMED ("&amp;LOWER(INDEX('12_sales_person_confirmation'!$E:$E,MATCH($A470,'12_sales_person_confirmation'!$A:$A,0)))&amp;")","PENDING CONFIRM"))))</f>
        <v/>
      </c>
      <c r="AR470" s="2">
        <f>IF(OR(AQ470="OK",AQ470="OK (auto-fixed)"),AP470,IF(LEFT(AQ470,9)="CONFIRMED",INDEX('12_sales_person_confirmation'!$F:$F,MATCH($A470,'12_sales_person_confirmation'!$A:$A,0)),""))</f>
        <v/>
      </c>
      <c r="AS470" s="2">
        <f>IF(AR470="","",INDEX('11_3nf_sales_person'!$B:$B,MATCH(AR470,'11_3nf_sales_person'!$A:$A,0)))</f>
        <v/>
      </c>
    </row>
    <row r="471">
      <c r="A471" s="2">
        <f>IF(ISBLANK('1_raw_log'!A471),"",'1_raw_log'!A471)</f>
        <v/>
      </c>
      <c r="B471" s="3">
        <f>IF(ISBLANK('1_raw_log'!B471),"",'1_raw_log'!B471)</f>
        <v/>
      </c>
      <c r="C471" s="2">
        <f>IF(ISBLANK('1_raw_log'!C471),"",'1_raw_log'!C471)</f>
        <v/>
      </c>
      <c r="D471" s="2">
        <f>IF(ISBLANK('1_raw_log'!D471),"",'1_raw_log'!D471)</f>
        <v/>
      </c>
      <c r="E471" s="4">
        <f>IF(ISBLANK('1_raw_log'!E471),"",'1_raw_log'!E471)</f>
        <v/>
      </c>
      <c r="F471" s="2">
        <f>IF(ISBLANK('1_raw_log'!F471),"",'1_raw_log'!F471)</f>
        <v/>
      </c>
      <c r="G471" s="2">
        <f>IF(ISBLANK('1_raw_log'!G471),"",'1_raw_log'!G471)</f>
        <v/>
      </c>
      <c r="H471" s="2">
        <f>IF(ISBLANK('1_raw_log'!H471),"",'1_raw_log'!H471)</f>
        <v/>
      </c>
      <c r="I471" s="7">
        <f>IF(ISBLANK('1_raw_log'!I471),"",'1_raw_log'!I471)</f>
        <v/>
      </c>
      <c r="J471" s="2">
        <f>IF(ISBLANK('1_raw_log'!J471),"",'1_raw_log'!J471)</f>
        <v/>
      </c>
      <c r="K471" s="2">
        <f>IF(ISBLANK('1_raw_log'!K471),"",'1_raw_log'!K471)</f>
        <v/>
      </c>
      <c r="L471" s="30">
        <f>INT(B471)</f>
        <v/>
      </c>
      <c r="M471" s="20">
        <f>ROUND(MOD(B471,1)*1440,0)/1440</f>
        <v/>
      </c>
      <c r="N471" s="4">
        <f>IFERROR(INDEX('3_ref_date'!$B:$B,MATCH(L471,'3_ref_date'!$A:$A,0)),"NOT FOUND")</f>
        <v/>
      </c>
      <c r="O471" s="2">
        <f>IFERROR(INDEX('3_ref_date'!$C:$C,MATCH(L471,'3_ref_date'!$A:$A,0)),"NOT FOUND")</f>
        <v/>
      </c>
      <c r="P471" s="4">
        <f>IFERROR(INDEX('3_ref_date'!$D:$D,MATCH(L471,'3_ref_date'!$A:$A,0)),"NOT FOUND")</f>
        <v/>
      </c>
      <c r="Q471" s="4">
        <f>IFERROR(INDEX('3_ref_date'!$E:$E,MATCH(L471,'3_ref_date'!$A:$A,0)),"NOT FOUND")</f>
        <v/>
      </c>
      <c r="R471" s="2">
        <f>IFERROR(INDEX('3_ref_date'!$F:$F,MATCH(L471,'3_ref_date'!$A:$A,0)),"NOT FOUND")</f>
        <v/>
      </c>
      <c r="S471" s="2">
        <f>IFERROR(INDEX('4_ref_time'!$D:$D,MATCH(ROUND(M471*1440,0),'4_ref_time'!$A:$A,0)),"NOT FOUND")</f>
        <v/>
      </c>
      <c r="T471" s="2">
        <f>UPPER(TRIM(C471))</f>
        <v/>
      </c>
      <c r="U471" s="30">
        <f>IF(_xlfn.MAXIFS('6_3nf_branch_history'!$B$2:$B$50,'6_3nf_branch_history'!$A$2:$A$50,T471,'6_3nf_branch_history'!$B$2:$B$50,"&lt;="&amp;L471)=0,"NOT FOUND",_xlfn.MAXIFS('6_3nf_branch_history'!$B$2:$B$50,'6_3nf_branch_history'!$A$2:$A$50,T471,'6_3nf_branch_history'!$B$2:$B$50,"&lt;="&amp;L471))</f>
        <v/>
      </c>
      <c r="V471" s="2">
        <f>IF(U471="NOT FOUND","NOT FOUND",INDEX('6_3nf_branch_history'!$C:$C,SUMPRODUCT(('6_3nf_branch_history'!$A$2:$A$50=T471)*('6_3nf_branch_history'!$B$2:$B$50=U471)*ROW('6_3nf_branch_history'!$A$2:$A$50))))</f>
        <v/>
      </c>
      <c r="W471" s="2">
        <f>IF(U471="NOT FOUND","NOT FOUND",INDEX('6_3nf_branch_history'!$D:$D,SUMPRODUCT(('6_3nf_branch_history'!$A$2:$A$50=T471)*('6_3nf_branch_history'!$B$2:$B$50=U471)*ROW('6_3nf_branch_history'!$A$2:$A$50))))</f>
        <v/>
      </c>
      <c r="X471" s="2">
        <f>IF(U471="NOT FOUND","NOT FOUND",INDEX('6_3nf_branch_history'!$E:$E,SUMPRODUCT(('6_3nf_branch_history'!$A$2:$A$50=T471)*('6_3nf_branch_history'!$B$2:$B$50=U471)*ROW('6_3nf_branch_history'!$A$2:$A$50))))</f>
        <v/>
      </c>
      <c r="Y471" s="2">
        <f>UPPER(TRIM(D471))</f>
        <v/>
      </c>
      <c r="Z471" s="2">
        <f>IFERROR(INDEX('7_3nf_product'!$B:$B,MATCH(Y471,'7_3nf_product'!$A:$A,0)),"NOT FOUND")</f>
        <v/>
      </c>
      <c r="AA471" s="2">
        <f>IFERROR(INDEX('7_3nf_product'!$C:$C,MATCH(Y471,'7_3nf_product'!$A:$A,0)),"NOT FOUND")</f>
        <v/>
      </c>
      <c r="AB471" s="2">
        <f>IFERROR(INDEX('7_3nf_product'!$D:$D,MATCH(Y471,'7_3nf_product'!$A:$A,0)),"NOT FOUND")</f>
        <v/>
      </c>
      <c r="AC471" s="6">
        <f>IFERROR(INDEX('7_3nf_product'!$E:$E,MATCH(Y471,'7_3nf_product'!$A:$A,0)),"NOT FOUND")</f>
        <v/>
      </c>
      <c r="AD471" s="33">
        <f>IF(LEN(TRIM(E471))=10,TRIM(E471),IF(LEN(TRIM(E471))=8,"00"&amp;TRIM(E471),"CHECK"))</f>
        <v/>
      </c>
      <c r="AE471" s="2">
        <f>IFERROR(INDEX('8_3nf_customer'!$C:$C,MATCH(AD471,'8_3nf_customer'!$B:$B,0)),"NOT FOUND")</f>
        <v/>
      </c>
      <c r="AF471" s="30">
        <f>IFERROR(INDEX('8_3nf_customer'!$D:$D,MATCH(AD471,'8_3nf_customer'!$B:$B,0)),"NOT FOUND")</f>
        <v/>
      </c>
      <c r="AG471" s="4">
        <f>IF(ISNUMBER(AF471),DATEDIF(AF471,L471,"y"),"NOT FOUND")</f>
        <v/>
      </c>
      <c r="AH471" s="2">
        <f>IFERROR(INDEX('8_3nf_customer'!$E:$E,MATCH(AD471,'8_3nf_customer'!$B:$B,0)),"NOT FOUND")</f>
        <v/>
      </c>
      <c r="AI471" s="30">
        <f>IF(_xlfn.MAXIFS('9_3nf_customer_history'!$B$2:$B$500,'9_3nf_customer_history'!$A$2:$A$500,AD471,'9_3nf_customer_history'!$B$2:$B$500,"&lt;="&amp;L471)=0,"NOT FOUND",_xlfn.MAXIFS('9_3nf_customer_history'!$B$2:$B$500,'9_3nf_customer_history'!$A$2:$A$500,AD471,'9_3nf_customer_history'!$B$2:$B$500,"&lt;="&amp;L471))</f>
        <v/>
      </c>
      <c r="AJ471" s="2">
        <f>IF(AI471="NOT FOUND","NOT FOUND",INDEX('9_3nf_customer_history'!$C:$C,SUMPRODUCT(('9_3nf_customer_history'!$A$2:$A$500=AD471)*('9_3nf_customer_history'!$B$2:$B$500=AI471)*ROW('9_3nf_customer_history'!$A$2:$A$500))))</f>
        <v/>
      </c>
      <c r="AK471" s="2">
        <f>IF(AI471="NOT FOUND","NOT FOUND",INDEX('9_3nf_customer_history'!$D:$D,SUMPRODUCT(('9_3nf_customer_history'!$A$2:$A$500=AD471)*('9_3nf_customer_history'!$B$2:$B$500=AI471)*ROW('9_3nf_customer_history'!$A$2:$A$500))))</f>
        <v/>
      </c>
      <c r="AL471" s="2">
        <f>UPPER(TRIM(H471))</f>
        <v/>
      </c>
      <c r="AM471" s="30">
        <f>IF(_xlfn.MAXIFS('10_ref_fx_rate'!$B$2:$B$2000,'10_ref_fx_rate'!$A$2:$A$2000,AL471,'10_ref_fx_rate'!$B$2:$B$2000,"&lt;="&amp;L471)=0,"NOT FOUND",_xlfn.MAXIFS('10_ref_fx_rate'!$B$2:$B$2000,'10_ref_fx_rate'!$A$2:$A$2000,AL471,'10_ref_fx_rate'!$B$2:$B$2000,"&lt;="&amp;L471))</f>
        <v/>
      </c>
      <c r="AN471" s="8">
        <f>IF(AM471="NOT FOUND","NOT FOUND",SUMIFS('10_ref_fx_rate'!$D$2:$D$2000,'10_ref_fx_rate'!$A$2:$A$2000,AL471,'10_ref_fx_rate'!$B$2:$B$2000,AM471))</f>
        <v/>
      </c>
      <c r="AO471" s="37">
        <f>IF(ISNUMBER(AN471),I471*AN471,"NOT FOUND")</f>
        <v/>
      </c>
      <c r="AP471" s="2">
        <f>UPPER(TRIM(J471))</f>
        <v/>
      </c>
      <c r="AQ471" s="2">
        <f>IF(AP471="","SELF-DIRECTED",IF(ISNUMBER(MATCH(AP471,'11_3nf_sales_person'!$A:$A,0)),IF(EXACT(AP471,J471),"OK","OK (auto-fixed)"),IF(ISNA(MATCH($A471,'12_sales_person_confirmation'!$A:$A,0)),"CONFIRM (not logged)",IF(INDEX('12_sales_person_confirmation'!$I:$I,MATCH($A471,'12_sales_person_confirmation'!$A:$A,0))="CONFIRMED","CONFIRMED ("&amp;LOWER(INDEX('12_sales_person_confirmation'!$E:$E,MATCH($A471,'12_sales_person_confirmation'!$A:$A,0)))&amp;")","PENDING CONFIRM"))))</f>
        <v/>
      </c>
      <c r="AR471" s="2">
        <f>IF(OR(AQ471="OK",AQ471="OK (auto-fixed)"),AP471,IF(LEFT(AQ471,9)="CONFIRMED",INDEX('12_sales_person_confirmation'!$F:$F,MATCH($A471,'12_sales_person_confirmation'!$A:$A,0)),""))</f>
        <v/>
      </c>
      <c r="AS471" s="2">
        <f>IF(AR471="","",INDEX('11_3nf_sales_person'!$B:$B,MATCH(AR471,'11_3nf_sales_person'!$A:$A,0)))</f>
        <v/>
      </c>
    </row>
    <row r="472">
      <c r="A472" s="2">
        <f>IF(ISBLANK('1_raw_log'!A472),"",'1_raw_log'!A472)</f>
        <v/>
      </c>
      <c r="B472" s="3">
        <f>IF(ISBLANK('1_raw_log'!B472),"",'1_raw_log'!B472)</f>
        <v/>
      </c>
      <c r="C472" s="2">
        <f>IF(ISBLANK('1_raw_log'!C472),"",'1_raw_log'!C472)</f>
        <v/>
      </c>
      <c r="D472" s="2">
        <f>IF(ISBLANK('1_raw_log'!D472),"",'1_raw_log'!D472)</f>
        <v/>
      </c>
      <c r="E472" s="4">
        <f>IF(ISBLANK('1_raw_log'!E472),"",'1_raw_log'!E472)</f>
        <v/>
      </c>
      <c r="F472" s="2">
        <f>IF(ISBLANK('1_raw_log'!F472),"",'1_raw_log'!F472)</f>
        <v/>
      </c>
      <c r="G472" s="2">
        <f>IF(ISBLANK('1_raw_log'!G472),"",'1_raw_log'!G472)</f>
        <v/>
      </c>
      <c r="H472" s="2">
        <f>IF(ISBLANK('1_raw_log'!H472),"",'1_raw_log'!H472)</f>
        <v/>
      </c>
      <c r="I472" s="7">
        <f>IF(ISBLANK('1_raw_log'!I472),"",'1_raw_log'!I472)</f>
        <v/>
      </c>
      <c r="J472" s="2">
        <f>IF(ISBLANK('1_raw_log'!J472),"",'1_raw_log'!J472)</f>
        <v/>
      </c>
      <c r="K472" s="2">
        <f>IF(ISBLANK('1_raw_log'!K472),"",'1_raw_log'!K472)</f>
        <v/>
      </c>
      <c r="L472" s="30">
        <f>INT(B472)</f>
        <v/>
      </c>
      <c r="M472" s="20">
        <f>ROUND(MOD(B472,1)*1440,0)/1440</f>
        <v/>
      </c>
      <c r="N472" s="4">
        <f>IFERROR(INDEX('3_ref_date'!$B:$B,MATCH(L472,'3_ref_date'!$A:$A,0)),"NOT FOUND")</f>
        <v/>
      </c>
      <c r="O472" s="2">
        <f>IFERROR(INDEX('3_ref_date'!$C:$C,MATCH(L472,'3_ref_date'!$A:$A,0)),"NOT FOUND")</f>
        <v/>
      </c>
      <c r="P472" s="4">
        <f>IFERROR(INDEX('3_ref_date'!$D:$D,MATCH(L472,'3_ref_date'!$A:$A,0)),"NOT FOUND")</f>
        <v/>
      </c>
      <c r="Q472" s="4">
        <f>IFERROR(INDEX('3_ref_date'!$E:$E,MATCH(L472,'3_ref_date'!$A:$A,0)),"NOT FOUND")</f>
        <v/>
      </c>
      <c r="R472" s="2">
        <f>IFERROR(INDEX('3_ref_date'!$F:$F,MATCH(L472,'3_ref_date'!$A:$A,0)),"NOT FOUND")</f>
        <v/>
      </c>
      <c r="S472" s="2">
        <f>IFERROR(INDEX('4_ref_time'!$D:$D,MATCH(ROUND(M472*1440,0),'4_ref_time'!$A:$A,0)),"NOT FOUND")</f>
        <v/>
      </c>
      <c r="T472" s="2">
        <f>UPPER(TRIM(C472))</f>
        <v/>
      </c>
      <c r="U472" s="30">
        <f>IF(_xlfn.MAXIFS('6_3nf_branch_history'!$B$2:$B$50,'6_3nf_branch_history'!$A$2:$A$50,T472,'6_3nf_branch_history'!$B$2:$B$50,"&lt;="&amp;L472)=0,"NOT FOUND",_xlfn.MAXIFS('6_3nf_branch_history'!$B$2:$B$50,'6_3nf_branch_history'!$A$2:$A$50,T472,'6_3nf_branch_history'!$B$2:$B$50,"&lt;="&amp;L472))</f>
        <v/>
      </c>
      <c r="V472" s="2">
        <f>IF(U472="NOT FOUND","NOT FOUND",INDEX('6_3nf_branch_history'!$C:$C,SUMPRODUCT(('6_3nf_branch_history'!$A$2:$A$50=T472)*('6_3nf_branch_history'!$B$2:$B$50=U472)*ROW('6_3nf_branch_history'!$A$2:$A$50))))</f>
        <v/>
      </c>
      <c r="W472" s="2">
        <f>IF(U472="NOT FOUND","NOT FOUND",INDEX('6_3nf_branch_history'!$D:$D,SUMPRODUCT(('6_3nf_branch_history'!$A$2:$A$50=T472)*('6_3nf_branch_history'!$B$2:$B$50=U472)*ROW('6_3nf_branch_history'!$A$2:$A$50))))</f>
        <v/>
      </c>
      <c r="X472" s="2">
        <f>IF(U472="NOT FOUND","NOT FOUND",INDEX('6_3nf_branch_history'!$E:$E,SUMPRODUCT(('6_3nf_branch_history'!$A$2:$A$50=T472)*('6_3nf_branch_history'!$B$2:$B$50=U472)*ROW('6_3nf_branch_history'!$A$2:$A$50))))</f>
        <v/>
      </c>
      <c r="Y472" s="2">
        <f>UPPER(TRIM(D472))</f>
        <v/>
      </c>
      <c r="Z472" s="2">
        <f>IFERROR(INDEX('7_3nf_product'!$B:$B,MATCH(Y472,'7_3nf_product'!$A:$A,0)),"NOT FOUND")</f>
        <v/>
      </c>
      <c r="AA472" s="2">
        <f>IFERROR(INDEX('7_3nf_product'!$C:$C,MATCH(Y472,'7_3nf_product'!$A:$A,0)),"NOT FOUND")</f>
        <v/>
      </c>
      <c r="AB472" s="2">
        <f>IFERROR(INDEX('7_3nf_product'!$D:$D,MATCH(Y472,'7_3nf_product'!$A:$A,0)),"NOT FOUND")</f>
        <v/>
      </c>
      <c r="AC472" s="6">
        <f>IFERROR(INDEX('7_3nf_product'!$E:$E,MATCH(Y472,'7_3nf_product'!$A:$A,0)),"NOT FOUND")</f>
        <v/>
      </c>
      <c r="AD472" s="33">
        <f>IF(LEN(TRIM(E472))=10,TRIM(E472),IF(LEN(TRIM(E472))=8,"00"&amp;TRIM(E472),"CHECK"))</f>
        <v/>
      </c>
      <c r="AE472" s="2">
        <f>IFERROR(INDEX('8_3nf_customer'!$C:$C,MATCH(AD472,'8_3nf_customer'!$B:$B,0)),"NOT FOUND")</f>
        <v/>
      </c>
      <c r="AF472" s="30">
        <f>IFERROR(INDEX('8_3nf_customer'!$D:$D,MATCH(AD472,'8_3nf_customer'!$B:$B,0)),"NOT FOUND")</f>
        <v/>
      </c>
      <c r="AG472" s="4">
        <f>IF(ISNUMBER(AF472),DATEDIF(AF472,L472,"y"),"NOT FOUND")</f>
        <v/>
      </c>
      <c r="AH472" s="2">
        <f>IFERROR(INDEX('8_3nf_customer'!$E:$E,MATCH(AD472,'8_3nf_customer'!$B:$B,0)),"NOT FOUND")</f>
        <v/>
      </c>
      <c r="AI472" s="30">
        <f>IF(_xlfn.MAXIFS('9_3nf_customer_history'!$B$2:$B$500,'9_3nf_customer_history'!$A$2:$A$500,AD472,'9_3nf_customer_history'!$B$2:$B$500,"&lt;="&amp;L472)=0,"NOT FOUND",_xlfn.MAXIFS('9_3nf_customer_history'!$B$2:$B$500,'9_3nf_customer_history'!$A$2:$A$500,AD472,'9_3nf_customer_history'!$B$2:$B$500,"&lt;="&amp;L472))</f>
        <v/>
      </c>
      <c r="AJ472" s="2">
        <f>IF(AI472="NOT FOUND","NOT FOUND",INDEX('9_3nf_customer_history'!$C:$C,SUMPRODUCT(('9_3nf_customer_history'!$A$2:$A$500=AD472)*('9_3nf_customer_history'!$B$2:$B$500=AI472)*ROW('9_3nf_customer_history'!$A$2:$A$500))))</f>
        <v/>
      </c>
      <c r="AK472" s="2">
        <f>IF(AI472="NOT FOUND","NOT FOUND",INDEX('9_3nf_customer_history'!$D:$D,SUMPRODUCT(('9_3nf_customer_history'!$A$2:$A$500=AD472)*('9_3nf_customer_history'!$B$2:$B$500=AI472)*ROW('9_3nf_customer_history'!$A$2:$A$500))))</f>
        <v/>
      </c>
      <c r="AL472" s="2">
        <f>UPPER(TRIM(H472))</f>
        <v/>
      </c>
      <c r="AM472" s="30">
        <f>IF(_xlfn.MAXIFS('10_ref_fx_rate'!$B$2:$B$2000,'10_ref_fx_rate'!$A$2:$A$2000,AL472,'10_ref_fx_rate'!$B$2:$B$2000,"&lt;="&amp;L472)=0,"NOT FOUND",_xlfn.MAXIFS('10_ref_fx_rate'!$B$2:$B$2000,'10_ref_fx_rate'!$A$2:$A$2000,AL472,'10_ref_fx_rate'!$B$2:$B$2000,"&lt;="&amp;L472))</f>
        <v/>
      </c>
      <c r="AN472" s="8">
        <f>IF(AM472="NOT FOUND","NOT FOUND",SUMIFS('10_ref_fx_rate'!$D$2:$D$2000,'10_ref_fx_rate'!$A$2:$A$2000,AL472,'10_ref_fx_rate'!$B$2:$B$2000,AM472))</f>
        <v/>
      </c>
      <c r="AO472" s="37">
        <f>IF(ISNUMBER(AN472),I472*AN472,"NOT FOUND")</f>
        <v/>
      </c>
      <c r="AP472" s="2">
        <f>UPPER(TRIM(J472))</f>
        <v/>
      </c>
      <c r="AQ472" s="2">
        <f>IF(AP472="","SELF-DIRECTED",IF(ISNUMBER(MATCH(AP472,'11_3nf_sales_person'!$A:$A,0)),IF(EXACT(AP472,J472),"OK","OK (auto-fixed)"),IF(ISNA(MATCH($A472,'12_sales_person_confirmation'!$A:$A,0)),"CONFIRM (not logged)",IF(INDEX('12_sales_person_confirmation'!$I:$I,MATCH($A472,'12_sales_person_confirmation'!$A:$A,0))="CONFIRMED","CONFIRMED ("&amp;LOWER(INDEX('12_sales_person_confirmation'!$E:$E,MATCH($A472,'12_sales_person_confirmation'!$A:$A,0)))&amp;")","PENDING CONFIRM"))))</f>
        <v/>
      </c>
      <c r="AR472" s="2">
        <f>IF(OR(AQ472="OK",AQ472="OK (auto-fixed)"),AP472,IF(LEFT(AQ472,9)="CONFIRMED",INDEX('12_sales_person_confirmation'!$F:$F,MATCH($A472,'12_sales_person_confirmation'!$A:$A,0)),""))</f>
        <v/>
      </c>
      <c r="AS472" s="2">
        <f>IF(AR472="","",INDEX('11_3nf_sales_person'!$B:$B,MATCH(AR472,'11_3nf_sales_person'!$A:$A,0)))</f>
        <v/>
      </c>
    </row>
    <row r="473">
      <c r="A473" s="2">
        <f>IF(ISBLANK('1_raw_log'!A473),"",'1_raw_log'!A473)</f>
        <v/>
      </c>
      <c r="B473" s="3">
        <f>IF(ISBLANK('1_raw_log'!B473),"",'1_raw_log'!B473)</f>
        <v/>
      </c>
      <c r="C473" s="2">
        <f>IF(ISBLANK('1_raw_log'!C473),"",'1_raw_log'!C473)</f>
        <v/>
      </c>
      <c r="D473" s="2">
        <f>IF(ISBLANK('1_raw_log'!D473),"",'1_raw_log'!D473)</f>
        <v/>
      </c>
      <c r="E473" s="4">
        <f>IF(ISBLANK('1_raw_log'!E473),"",'1_raw_log'!E473)</f>
        <v/>
      </c>
      <c r="F473" s="2">
        <f>IF(ISBLANK('1_raw_log'!F473),"",'1_raw_log'!F473)</f>
        <v/>
      </c>
      <c r="G473" s="2">
        <f>IF(ISBLANK('1_raw_log'!G473),"",'1_raw_log'!G473)</f>
        <v/>
      </c>
      <c r="H473" s="2">
        <f>IF(ISBLANK('1_raw_log'!H473),"",'1_raw_log'!H473)</f>
        <v/>
      </c>
      <c r="I473" s="7">
        <f>IF(ISBLANK('1_raw_log'!I473),"",'1_raw_log'!I473)</f>
        <v/>
      </c>
      <c r="J473" s="2">
        <f>IF(ISBLANK('1_raw_log'!J473),"",'1_raw_log'!J473)</f>
        <v/>
      </c>
      <c r="K473" s="2">
        <f>IF(ISBLANK('1_raw_log'!K473),"",'1_raw_log'!K473)</f>
        <v/>
      </c>
      <c r="L473" s="30">
        <f>INT(B473)</f>
        <v/>
      </c>
      <c r="M473" s="20">
        <f>ROUND(MOD(B473,1)*1440,0)/1440</f>
        <v/>
      </c>
      <c r="N473" s="4">
        <f>IFERROR(INDEX('3_ref_date'!$B:$B,MATCH(L473,'3_ref_date'!$A:$A,0)),"NOT FOUND")</f>
        <v/>
      </c>
      <c r="O473" s="2">
        <f>IFERROR(INDEX('3_ref_date'!$C:$C,MATCH(L473,'3_ref_date'!$A:$A,0)),"NOT FOUND")</f>
        <v/>
      </c>
      <c r="P473" s="4">
        <f>IFERROR(INDEX('3_ref_date'!$D:$D,MATCH(L473,'3_ref_date'!$A:$A,0)),"NOT FOUND")</f>
        <v/>
      </c>
      <c r="Q473" s="4">
        <f>IFERROR(INDEX('3_ref_date'!$E:$E,MATCH(L473,'3_ref_date'!$A:$A,0)),"NOT FOUND")</f>
        <v/>
      </c>
      <c r="R473" s="2">
        <f>IFERROR(INDEX('3_ref_date'!$F:$F,MATCH(L473,'3_ref_date'!$A:$A,0)),"NOT FOUND")</f>
        <v/>
      </c>
      <c r="S473" s="2">
        <f>IFERROR(INDEX('4_ref_time'!$D:$D,MATCH(ROUND(M473*1440,0),'4_ref_time'!$A:$A,0)),"NOT FOUND")</f>
        <v/>
      </c>
      <c r="T473" s="2">
        <f>UPPER(TRIM(C473))</f>
        <v/>
      </c>
      <c r="U473" s="30">
        <f>IF(_xlfn.MAXIFS('6_3nf_branch_history'!$B$2:$B$50,'6_3nf_branch_history'!$A$2:$A$50,T473,'6_3nf_branch_history'!$B$2:$B$50,"&lt;="&amp;L473)=0,"NOT FOUND",_xlfn.MAXIFS('6_3nf_branch_history'!$B$2:$B$50,'6_3nf_branch_history'!$A$2:$A$50,T473,'6_3nf_branch_history'!$B$2:$B$50,"&lt;="&amp;L473))</f>
        <v/>
      </c>
      <c r="V473" s="2">
        <f>IF(U473="NOT FOUND","NOT FOUND",INDEX('6_3nf_branch_history'!$C:$C,SUMPRODUCT(('6_3nf_branch_history'!$A$2:$A$50=T473)*('6_3nf_branch_history'!$B$2:$B$50=U473)*ROW('6_3nf_branch_history'!$A$2:$A$50))))</f>
        <v/>
      </c>
      <c r="W473" s="2">
        <f>IF(U473="NOT FOUND","NOT FOUND",INDEX('6_3nf_branch_history'!$D:$D,SUMPRODUCT(('6_3nf_branch_history'!$A$2:$A$50=T473)*('6_3nf_branch_history'!$B$2:$B$50=U473)*ROW('6_3nf_branch_history'!$A$2:$A$50))))</f>
        <v/>
      </c>
      <c r="X473" s="2">
        <f>IF(U473="NOT FOUND","NOT FOUND",INDEX('6_3nf_branch_history'!$E:$E,SUMPRODUCT(('6_3nf_branch_history'!$A$2:$A$50=T473)*('6_3nf_branch_history'!$B$2:$B$50=U473)*ROW('6_3nf_branch_history'!$A$2:$A$50))))</f>
        <v/>
      </c>
      <c r="Y473" s="2">
        <f>UPPER(TRIM(D473))</f>
        <v/>
      </c>
      <c r="Z473" s="2">
        <f>IFERROR(INDEX('7_3nf_product'!$B:$B,MATCH(Y473,'7_3nf_product'!$A:$A,0)),"NOT FOUND")</f>
        <v/>
      </c>
      <c r="AA473" s="2">
        <f>IFERROR(INDEX('7_3nf_product'!$C:$C,MATCH(Y473,'7_3nf_product'!$A:$A,0)),"NOT FOUND")</f>
        <v/>
      </c>
      <c r="AB473" s="2">
        <f>IFERROR(INDEX('7_3nf_product'!$D:$D,MATCH(Y473,'7_3nf_product'!$A:$A,0)),"NOT FOUND")</f>
        <v/>
      </c>
      <c r="AC473" s="6">
        <f>IFERROR(INDEX('7_3nf_product'!$E:$E,MATCH(Y473,'7_3nf_product'!$A:$A,0)),"NOT FOUND")</f>
        <v/>
      </c>
      <c r="AD473" s="33">
        <f>IF(LEN(TRIM(E473))=10,TRIM(E473),IF(LEN(TRIM(E473))=8,"00"&amp;TRIM(E473),"CHECK"))</f>
        <v/>
      </c>
      <c r="AE473" s="2">
        <f>IFERROR(INDEX('8_3nf_customer'!$C:$C,MATCH(AD473,'8_3nf_customer'!$B:$B,0)),"NOT FOUND")</f>
        <v/>
      </c>
      <c r="AF473" s="30">
        <f>IFERROR(INDEX('8_3nf_customer'!$D:$D,MATCH(AD473,'8_3nf_customer'!$B:$B,0)),"NOT FOUND")</f>
        <v/>
      </c>
      <c r="AG473" s="4">
        <f>IF(ISNUMBER(AF473),DATEDIF(AF473,L473,"y"),"NOT FOUND")</f>
        <v/>
      </c>
      <c r="AH473" s="2">
        <f>IFERROR(INDEX('8_3nf_customer'!$E:$E,MATCH(AD473,'8_3nf_customer'!$B:$B,0)),"NOT FOUND")</f>
        <v/>
      </c>
      <c r="AI473" s="30">
        <f>IF(_xlfn.MAXIFS('9_3nf_customer_history'!$B$2:$B$500,'9_3nf_customer_history'!$A$2:$A$500,AD473,'9_3nf_customer_history'!$B$2:$B$500,"&lt;="&amp;L473)=0,"NOT FOUND",_xlfn.MAXIFS('9_3nf_customer_history'!$B$2:$B$500,'9_3nf_customer_history'!$A$2:$A$500,AD473,'9_3nf_customer_history'!$B$2:$B$500,"&lt;="&amp;L473))</f>
        <v/>
      </c>
      <c r="AJ473" s="2">
        <f>IF(AI473="NOT FOUND","NOT FOUND",INDEX('9_3nf_customer_history'!$C:$C,SUMPRODUCT(('9_3nf_customer_history'!$A$2:$A$500=AD473)*('9_3nf_customer_history'!$B$2:$B$500=AI473)*ROW('9_3nf_customer_history'!$A$2:$A$500))))</f>
        <v/>
      </c>
      <c r="AK473" s="2">
        <f>IF(AI473="NOT FOUND","NOT FOUND",INDEX('9_3nf_customer_history'!$D:$D,SUMPRODUCT(('9_3nf_customer_history'!$A$2:$A$500=AD473)*('9_3nf_customer_history'!$B$2:$B$500=AI473)*ROW('9_3nf_customer_history'!$A$2:$A$500))))</f>
        <v/>
      </c>
      <c r="AL473" s="2">
        <f>UPPER(TRIM(H473))</f>
        <v/>
      </c>
      <c r="AM473" s="30">
        <f>IF(_xlfn.MAXIFS('10_ref_fx_rate'!$B$2:$B$2000,'10_ref_fx_rate'!$A$2:$A$2000,AL473,'10_ref_fx_rate'!$B$2:$B$2000,"&lt;="&amp;L473)=0,"NOT FOUND",_xlfn.MAXIFS('10_ref_fx_rate'!$B$2:$B$2000,'10_ref_fx_rate'!$A$2:$A$2000,AL473,'10_ref_fx_rate'!$B$2:$B$2000,"&lt;="&amp;L473))</f>
        <v/>
      </c>
      <c r="AN473" s="8">
        <f>IF(AM473="NOT FOUND","NOT FOUND",SUMIFS('10_ref_fx_rate'!$D$2:$D$2000,'10_ref_fx_rate'!$A$2:$A$2000,AL473,'10_ref_fx_rate'!$B$2:$B$2000,AM473))</f>
        <v/>
      </c>
      <c r="AO473" s="37">
        <f>IF(ISNUMBER(AN473),I473*AN473,"NOT FOUND")</f>
        <v/>
      </c>
      <c r="AP473" s="2">
        <f>UPPER(TRIM(J473))</f>
        <v/>
      </c>
      <c r="AQ473" s="2">
        <f>IF(AP473="","SELF-DIRECTED",IF(ISNUMBER(MATCH(AP473,'11_3nf_sales_person'!$A:$A,0)),IF(EXACT(AP473,J473),"OK","OK (auto-fixed)"),IF(ISNA(MATCH($A473,'12_sales_person_confirmation'!$A:$A,0)),"CONFIRM (not logged)",IF(INDEX('12_sales_person_confirmation'!$I:$I,MATCH($A473,'12_sales_person_confirmation'!$A:$A,0))="CONFIRMED","CONFIRMED ("&amp;LOWER(INDEX('12_sales_person_confirmation'!$E:$E,MATCH($A473,'12_sales_person_confirmation'!$A:$A,0)))&amp;")","PENDING CONFIRM"))))</f>
        <v/>
      </c>
      <c r="AR473" s="2">
        <f>IF(OR(AQ473="OK",AQ473="OK (auto-fixed)"),AP473,IF(LEFT(AQ473,9)="CONFIRMED",INDEX('12_sales_person_confirmation'!$F:$F,MATCH($A473,'12_sales_person_confirmation'!$A:$A,0)),""))</f>
        <v/>
      </c>
      <c r="AS473" s="2">
        <f>IF(AR473="","",INDEX('11_3nf_sales_person'!$B:$B,MATCH(AR473,'11_3nf_sales_person'!$A:$A,0)))</f>
        <v/>
      </c>
    </row>
    <row r="474">
      <c r="A474" s="2">
        <f>IF(ISBLANK('1_raw_log'!A474),"",'1_raw_log'!A474)</f>
        <v/>
      </c>
      <c r="B474" s="3">
        <f>IF(ISBLANK('1_raw_log'!B474),"",'1_raw_log'!B474)</f>
        <v/>
      </c>
      <c r="C474" s="2">
        <f>IF(ISBLANK('1_raw_log'!C474),"",'1_raw_log'!C474)</f>
        <v/>
      </c>
      <c r="D474" s="2">
        <f>IF(ISBLANK('1_raw_log'!D474),"",'1_raw_log'!D474)</f>
        <v/>
      </c>
      <c r="E474" s="4">
        <f>IF(ISBLANK('1_raw_log'!E474),"",'1_raw_log'!E474)</f>
        <v/>
      </c>
      <c r="F474" s="2">
        <f>IF(ISBLANK('1_raw_log'!F474),"",'1_raw_log'!F474)</f>
        <v/>
      </c>
      <c r="G474" s="2">
        <f>IF(ISBLANK('1_raw_log'!G474),"",'1_raw_log'!G474)</f>
        <v/>
      </c>
      <c r="H474" s="2">
        <f>IF(ISBLANK('1_raw_log'!H474),"",'1_raw_log'!H474)</f>
        <v/>
      </c>
      <c r="I474" s="7">
        <f>IF(ISBLANK('1_raw_log'!I474),"",'1_raw_log'!I474)</f>
        <v/>
      </c>
      <c r="J474" s="2">
        <f>IF(ISBLANK('1_raw_log'!J474),"",'1_raw_log'!J474)</f>
        <v/>
      </c>
      <c r="K474" s="2">
        <f>IF(ISBLANK('1_raw_log'!K474),"",'1_raw_log'!K474)</f>
        <v/>
      </c>
      <c r="L474" s="30">
        <f>INT(B474)</f>
        <v/>
      </c>
      <c r="M474" s="20">
        <f>ROUND(MOD(B474,1)*1440,0)/1440</f>
        <v/>
      </c>
      <c r="N474" s="4">
        <f>IFERROR(INDEX('3_ref_date'!$B:$B,MATCH(L474,'3_ref_date'!$A:$A,0)),"NOT FOUND")</f>
        <v/>
      </c>
      <c r="O474" s="2">
        <f>IFERROR(INDEX('3_ref_date'!$C:$C,MATCH(L474,'3_ref_date'!$A:$A,0)),"NOT FOUND")</f>
        <v/>
      </c>
      <c r="P474" s="4">
        <f>IFERROR(INDEX('3_ref_date'!$D:$D,MATCH(L474,'3_ref_date'!$A:$A,0)),"NOT FOUND")</f>
        <v/>
      </c>
      <c r="Q474" s="4">
        <f>IFERROR(INDEX('3_ref_date'!$E:$E,MATCH(L474,'3_ref_date'!$A:$A,0)),"NOT FOUND")</f>
        <v/>
      </c>
      <c r="R474" s="2">
        <f>IFERROR(INDEX('3_ref_date'!$F:$F,MATCH(L474,'3_ref_date'!$A:$A,0)),"NOT FOUND")</f>
        <v/>
      </c>
      <c r="S474" s="2">
        <f>IFERROR(INDEX('4_ref_time'!$D:$D,MATCH(ROUND(M474*1440,0),'4_ref_time'!$A:$A,0)),"NOT FOUND")</f>
        <v/>
      </c>
      <c r="T474" s="2">
        <f>UPPER(TRIM(C474))</f>
        <v/>
      </c>
      <c r="U474" s="30">
        <f>IF(_xlfn.MAXIFS('6_3nf_branch_history'!$B$2:$B$50,'6_3nf_branch_history'!$A$2:$A$50,T474,'6_3nf_branch_history'!$B$2:$B$50,"&lt;="&amp;L474)=0,"NOT FOUND",_xlfn.MAXIFS('6_3nf_branch_history'!$B$2:$B$50,'6_3nf_branch_history'!$A$2:$A$50,T474,'6_3nf_branch_history'!$B$2:$B$50,"&lt;="&amp;L474))</f>
        <v/>
      </c>
      <c r="V474" s="2">
        <f>IF(U474="NOT FOUND","NOT FOUND",INDEX('6_3nf_branch_history'!$C:$C,SUMPRODUCT(('6_3nf_branch_history'!$A$2:$A$50=T474)*('6_3nf_branch_history'!$B$2:$B$50=U474)*ROW('6_3nf_branch_history'!$A$2:$A$50))))</f>
        <v/>
      </c>
      <c r="W474" s="2">
        <f>IF(U474="NOT FOUND","NOT FOUND",INDEX('6_3nf_branch_history'!$D:$D,SUMPRODUCT(('6_3nf_branch_history'!$A$2:$A$50=T474)*('6_3nf_branch_history'!$B$2:$B$50=U474)*ROW('6_3nf_branch_history'!$A$2:$A$50))))</f>
        <v/>
      </c>
      <c r="X474" s="2">
        <f>IF(U474="NOT FOUND","NOT FOUND",INDEX('6_3nf_branch_history'!$E:$E,SUMPRODUCT(('6_3nf_branch_history'!$A$2:$A$50=T474)*('6_3nf_branch_history'!$B$2:$B$50=U474)*ROW('6_3nf_branch_history'!$A$2:$A$50))))</f>
        <v/>
      </c>
      <c r="Y474" s="2">
        <f>UPPER(TRIM(D474))</f>
        <v/>
      </c>
      <c r="Z474" s="2">
        <f>IFERROR(INDEX('7_3nf_product'!$B:$B,MATCH(Y474,'7_3nf_product'!$A:$A,0)),"NOT FOUND")</f>
        <v/>
      </c>
      <c r="AA474" s="2">
        <f>IFERROR(INDEX('7_3nf_product'!$C:$C,MATCH(Y474,'7_3nf_product'!$A:$A,0)),"NOT FOUND")</f>
        <v/>
      </c>
      <c r="AB474" s="2">
        <f>IFERROR(INDEX('7_3nf_product'!$D:$D,MATCH(Y474,'7_3nf_product'!$A:$A,0)),"NOT FOUND")</f>
        <v/>
      </c>
      <c r="AC474" s="6">
        <f>IFERROR(INDEX('7_3nf_product'!$E:$E,MATCH(Y474,'7_3nf_product'!$A:$A,0)),"NOT FOUND")</f>
        <v/>
      </c>
      <c r="AD474" s="33">
        <f>IF(LEN(TRIM(E474))=10,TRIM(E474),IF(LEN(TRIM(E474))=8,"00"&amp;TRIM(E474),"CHECK"))</f>
        <v/>
      </c>
      <c r="AE474" s="2">
        <f>IFERROR(INDEX('8_3nf_customer'!$C:$C,MATCH(AD474,'8_3nf_customer'!$B:$B,0)),"NOT FOUND")</f>
        <v/>
      </c>
      <c r="AF474" s="30">
        <f>IFERROR(INDEX('8_3nf_customer'!$D:$D,MATCH(AD474,'8_3nf_customer'!$B:$B,0)),"NOT FOUND")</f>
        <v/>
      </c>
      <c r="AG474" s="4">
        <f>IF(ISNUMBER(AF474),DATEDIF(AF474,L474,"y"),"NOT FOUND")</f>
        <v/>
      </c>
      <c r="AH474" s="2">
        <f>IFERROR(INDEX('8_3nf_customer'!$E:$E,MATCH(AD474,'8_3nf_customer'!$B:$B,0)),"NOT FOUND")</f>
        <v/>
      </c>
      <c r="AI474" s="30">
        <f>IF(_xlfn.MAXIFS('9_3nf_customer_history'!$B$2:$B$500,'9_3nf_customer_history'!$A$2:$A$500,AD474,'9_3nf_customer_history'!$B$2:$B$500,"&lt;="&amp;L474)=0,"NOT FOUND",_xlfn.MAXIFS('9_3nf_customer_history'!$B$2:$B$500,'9_3nf_customer_history'!$A$2:$A$500,AD474,'9_3nf_customer_history'!$B$2:$B$500,"&lt;="&amp;L474))</f>
        <v/>
      </c>
      <c r="AJ474" s="2">
        <f>IF(AI474="NOT FOUND","NOT FOUND",INDEX('9_3nf_customer_history'!$C:$C,SUMPRODUCT(('9_3nf_customer_history'!$A$2:$A$500=AD474)*('9_3nf_customer_history'!$B$2:$B$500=AI474)*ROW('9_3nf_customer_history'!$A$2:$A$500))))</f>
        <v/>
      </c>
      <c r="AK474" s="2">
        <f>IF(AI474="NOT FOUND","NOT FOUND",INDEX('9_3nf_customer_history'!$D:$D,SUMPRODUCT(('9_3nf_customer_history'!$A$2:$A$500=AD474)*('9_3nf_customer_history'!$B$2:$B$500=AI474)*ROW('9_3nf_customer_history'!$A$2:$A$500))))</f>
        <v/>
      </c>
      <c r="AL474" s="2">
        <f>UPPER(TRIM(H474))</f>
        <v/>
      </c>
      <c r="AM474" s="30">
        <f>IF(_xlfn.MAXIFS('10_ref_fx_rate'!$B$2:$B$2000,'10_ref_fx_rate'!$A$2:$A$2000,AL474,'10_ref_fx_rate'!$B$2:$B$2000,"&lt;="&amp;L474)=0,"NOT FOUND",_xlfn.MAXIFS('10_ref_fx_rate'!$B$2:$B$2000,'10_ref_fx_rate'!$A$2:$A$2000,AL474,'10_ref_fx_rate'!$B$2:$B$2000,"&lt;="&amp;L474))</f>
        <v/>
      </c>
      <c r="AN474" s="8">
        <f>IF(AM474="NOT FOUND","NOT FOUND",SUMIFS('10_ref_fx_rate'!$D$2:$D$2000,'10_ref_fx_rate'!$A$2:$A$2000,AL474,'10_ref_fx_rate'!$B$2:$B$2000,AM474))</f>
        <v/>
      </c>
      <c r="AO474" s="37">
        <f>IF(ISNUMBER(AN474),I474*AN474,"NOT FOUND")</f>
        <v/>
      </c>
      <c r="AP474" s="2">
        <f>UPPER(TRIM(J474))</f>
        <v/>
      </c>
      <c r="AQ474" s="2">
        <f>IF(AP474="","SELF-DIRECTED",IF(ISNUMBER(MATCH(AP474,'11_3nf_sales_person'!$A:$A,0)),IF(EXACT(AP474,J474),"OK","OK (auto-fixed)"),IF(ISNA(MATCH($A474,'12_sales_person_confirmation'!$A:$A,0)),"CONFIRM (not logged)",IF(INDEX('12_sales_person_confirmation'!$I:$I,MATCH($A474,'12_sales_person_confirmation'!$A:$A,0))="CONFIRMED","CONFIRMED ("&amp;LOWER(INDEX('12_sales_person_confirmation'!$E:$E,MATCH($A474,'12_sales_person_confirmation'!$A:$A,0)))&amp;")","PENDING CONFIRM"))))</f>
        <v/>
      </c>
      <c r="AR474" s="2">
        <f>IF(OR(AQ474="OK",AQ474="OK (auto-fixed)"),AP474,IF(LEFT(AQ474,9)="CONFIRMED",INDEX('12_sales_person_confirmation'!$F:$F,MATCH($A474,'12_sales_person_confirmation'!$A:$A,0)),""))</f>
        <v/>
      </c>
      <c r="AS474" s="2">
        <f>IF(AR474="","",INDEX('11_3nf_sales_person'!$B:$B,MATCH(AR474,'11_3nf_sales_person'!$A:$A,0)))</f>
        <v/>
      </c>
    </row>
    <row r="475">
      <c r="A475" s="2">
        <f>IF(ISBLANK('1_raw_log'!A475),"",'1_raw_log'!A475)</f>
        <v/>
      </c>
      <c r="B475" s="3">
        <f>IF(ISBLANK('1_raw_log'!B475),"",'1_raw_log'!B475)</f>
        <v/>
      </c>
      <c r="C475" s="2">
        <f>IF(ISBLANK('1_raw_log'!C475),"",'1_raw_log'!C475)</f>
        <v/>
      </c>
      <c r="D475" s="2">
        <f>IF(ISBLANK('1_raw_log'!D475),"",'1_raw_log'!D475)</f>
        <v/>
      </c>
      <c r="E475" s="4">
        <f>IF(ISBLANK('1_raw_log'!E475),"",'1_raw_log'!E475)</f>
        <v/>
      </c>
      <c r="F475" s="2">
        <f>IF(ISBLANK('1_raw_log'!F475),"",'1_raw_log'!F475)</f>
        <v/>
      </c>
      <c r="G475" s="2">
        <f>IF(ISBLANK('1_raw_log'!G475),"",'1_raw_log'!G475)</f>
        <v/>
      </c>
      <c r="H475" s="2">
        <f>IF(ISBLANK('1_raw_log'!H475),"",'1_raw_log'!H475)</f>
        <v/>
      </c>
      <c r="I475" s="7">
        <f>IF(ISBLANK('1_raw_log'!I475),"",'1_raw_log'!I475)</f>
        <v/>
      </c>
      <c r="J475" s="2">
        <f>IF(ISBLANK('1_raw_log'!J475),"",'1_raw_log'!J475)</f>
        <v/>
      </c>
      <c r="K475" s="2">
        <f>IF(ISBLANK('1_raw_log'!K475),"",'1_raw_log'!K475)</f>
        <v/>
      </c>
      <c r="L475" s="30">
        <f>INT(B475)</f>
        <v/>
      </c>
      <c r="M475" s="20">
        <f>ROUND(MOD(B475,1)*1440,0)/1440</f>
        <v/>
      </c>
      <c r="N475" s="4">
        <f>IFERROR(INDEX('3_ref_date'!$B:$B,MATCH(L475,'3_ref_date'!$A:$A,0)),"NOT FOUND")</f>
        <v/>
      </c>
      <c r="O475" s="2">
        <f>IFERROR(INDEX('3_ref_date'!$C:$C,MATCH(L475,'3_ref_date'!$A:$A,0)),"NOT FOUND")</f>
        <v/>
      </c>
      <c r="P475" s="4">
        <f>IFERROR(INDEX('3_ref_date'!$D:$D,MATCH(L475,'3_ref_date'!$A:$A,0)),"NOT FOUND")</f>
        <v/>
      </c>
      <c r="Q475" s="4">
        <f>IFERROR(INDEX('3_ref_date'!$E:$E,MATCH(L475,'3_ref_date'!$A:$A,0)),"NOT FOUND")</f>
        <v/>
      </c>
      <c r="R475" s="2">
        <f>IFERROR(INDEX('3_ref_date'!$F:$F,MATCH(L475,'3_ref_date'!$A:$A,0)),"NOT FOUND")</f>
        <v/>
      </c>
      <c r="S475" s="2">
        <f>IFERROR(INDEX('4_ref_time'!$D:$D,MATCH(ROUND(M475*1440,0),'4_ref_time'!$A:$A,0)),"NOT FOUND")</f>
        <v/>
      </c>
      <c r="T475" s="2">
        <f>UPPER(TRIM(C475))</f>
        <v/>
      </c>
      <c r="U475" s="30">
        <f>IF(_xlfn.MAXIFS('6_3nf_branch_history'!$B$2:$B$50,'6_3nf_branch_history'!$A$2:$A$50,T475,'6_3nf_branch_history'!$B$2:$B$50,"&lt;="&amp;L475)=0,"NOT FOUND",_xlfn.MAXIFS('6_3nf_branch_history'!$B$2:$B$50,'6_3nf_branch_history'!$A$2:$A$50,T475,'6_3nf_branch_history'!$B$2:$B$50,"&lt;="&amp;L475))</f>
        <v/>
      </c>
      <c r="V475" s="2">
        <f>IF(U475="NOT FOUND","NOT FOUND",INDEX('6_3nf_branch_history'!$C:$C,SUMPRODUCT(('6_3nf_branch_history'!$A$2:$A$50=T475)*('6_3nf_branch_history'!$B$2:$B$50=U475)*ROW('6_3nf_branch_history'!$A$2:$A$50))))</f>
        <v/>
      </c>
      <c r="W475" s="2">
        <f>IF(U475="NOT FOUND","NOT FOUND",INDEX('6_3nf_branch_history'!$D:$D,SUMPRODUCT(('6_3nf_branch_history'!$A$2:$A$50=T475)*('6_3nf_branch_history'!$B$2:$B$50=U475)*ROW('6_3nf_branch_history'!$A$2:$A$50))))</f>
        <v/>
      </c>
      <c r="X475" s="2">
        <f>IF(U475="NOT FOUND","NOT FOUND",INDEX('6_3nf_branch_history'!$E:$E,SUMPRODUCT(('6_3nf_branch_history'!$A$2:$A$50=T475)*('6_3nf_branch_history'!$B$2:$B$50=U475)*ROW('6_3nf_branch_history'!$A$2:$A$50))))</f>
        <v/>
      </c>
      <c r="Y475" s="2">
        <f>UPPER(TRIM(D475))</f>
        <v/>
      </c>
      <c r="Z475" s="2">
        <f>IFERROR(INDEX('7_3nf_product'!$B:$B,MATCH(Y475,'7_3nf_product'!$A:$A,0)),"NOT FOUND")</f>
        <v/>
      </c>
      <c r="AA475" s="2">
        <f>IFERROR(INDEX('7_3nf_product'!$C:$C,MATCH(Y475,'7_3nf_product'!$A:$A,0)),"NOT FOUND")</f>
        <v/>
      </c>
      <c r="AB475" s="2">
        <f>IFERROR(INDEX('7_3nf_product'!$D:$D,MATCH(Y475,'7_3nf_product'!$A:$A,0)),"NOT FOUND")</f>
        <v/>
      </c>
      <c r="AC475" s="6">
        <f>IFERROR(INDEX('7_3nf_product'!$E:$E,MATCH(Y475,'7_3nf_product'!$A:$A,0)),"NOT FOUND")</f>
        <v/>
      </c>
      <c r="AD475" s="33">
        <f>IF(LEN(TRIM(E475))=10,TRIM(E475),IF(LEN(TRIM(E475))=8,"00"&amp;TRIM(E475),"CHECK"))</f>
        <v/>
      </c>
      <c r="AE475" s="2">
        <f>IFERROR(INDEX('8_3nf_customer'!$C:$C,MATCH(AD475,'8_3nf_customer'!$B:$B,0)),"NOT FOUND")</f>
        <v/>
      </c>
      <c r="AF475" s="30">
        <f>IFERROR(INDEX('8_3nf_customer'!$D:$D,MATCH(AD475,'8_3nf_customer'!$B:$B,0)),"NOT FOUND")</f>
        <v/>
      </c>
      <c r="AG475" s="4">
        <f>IF(ISNUMBER(AF475),DATEDIF(AF475,L475,"y"),"NOT FOUND")</f>
        <v/>
      </c>
      <c r="AH475" s="2">
        <f>IFERROR(INDEX('8_3nf_customer'!$E:$E,MATCH(AD475,'8_3nf_customer'!$B:$B,0)),"NOT FOUND")</f>
        <v/>
      </c>
      <c r="AI475" s="30">
        <f>IF(_xlfn.MAXIFS('9_3nf_customer_history'!$B$2:$B$500,'9_3nf_customer_history'!$A$2:$A$500,AD475,'9_3nf_customer_history'!$B$2:$B$500,"&lt;="&amp;L475)=0,"NOT FOUND",_xlfn.MAXIFS('9_3nf_customer_history'!$B$2:$B$500,'9_3nf_customer_history'!$A$2:$A$500,AD475,'9_3nf_customer_history'!$B$2:$B$500,"&lt;="&amp;L475))</f>
        <v/>
      </c>
      <c r="AJ475" s="2">
        <f>IF(AI475="NOT FOUND","NOT FOUND",INDEX('9_3nf_customer_history'!$C:$C,SUMPRODUCT(('9_3nf_customer_history'!$A$2:$A$500=AD475)*('9_3nf_customer_history'!$B$2:$B$500=AI475)*ROW('9_3nf_customer_history'!$A$2:$A$500))))</f>
        <v/>
      </c>
      <c r="AK475" s="2">
        <f>IF(AI475="NOT FOUND","NOT FOUND",INDEX('9_3nf_customer_history'!$D:$D,SUMPRODUCT(('9_3nf_customer_history'!$A$2:$A$500=AD475)*('9_3nf_customer_history'!$B$2:$B$500=AI475)*ROW('9_3nf_customer_history'!$A$2:$A$500))))</f>
        <v/>
      </c>
      <c r="AL475" s="2">
        <f>UPPER(TRIM(H475))</f>
        <v/>
      </c>
      <c r="AM475" s="30">
        <f>IF(_xlfn.MAXIFS('10_ref_fx_rate'!$B$2:$B$2000,'10_ref_fx_rate'!$A$2:$A$2000,AL475,'10_ref_fx_rate'!$B$2:$B$2000,"&lt;="&amp;L475)=0,"NOT FOUND",_xlfn.MAXIFS('10_ref_fx_rate'!$B$2:$B$2000,'10_ref_fx_rate'!$A$2:$A$2000,AL475,'10_ref_fx_rate'!$B$2:$B$2000,"&lt;="&amp;L475))</f>
        <v/>
      </c>
      <c r="AN475" s="8">
        <f>IF(AM475="NOT FOUND","NOT FOUND",SUMIFS('10_ref_fx_rate'!$D$2:$D$2000,'10_ref_fx_rate'!$A$2:$A$2000,AL475,'10_ref_fx_rate'!$B$2:$B$2000,AM475))</f>
        <v/>
      </c>
      <c r="AO475" s="37">
        <f>IF(ISNUMBER(AN475),I475*AN475,"NOT FOUND")</f>
        <v/>
      </c>
      <c r="AP475" s="2">
        <f>UPPER(TRIM(J475))</f>
        <v/>
      </c>
      <c r="AQ475" s="2">
        <f>IF(AP475="","SELF-DIRECTED",IF(ISNUMBER(MATCH(AP475,'11_3nf_sales_person'!$A:$A,0)),IF(EXACT(AP475,J475),"OK","OK (auto-fixed)"),IF(ISNA(MATCH($A475,'12_sales_person_confirmation'!$A:$A,0)),"CONFIRM (not logged)",IF(INDEX('12_sales_person_confirmation'!$I:$I,MATCH($A475,'12_sales_person_confirmation'!$A:$A,0))="CONFIRMED","CONFIRMED ("&amp;LOWER(INDEX('12_sales_person_confirmation'!$E:$E,MATCH($A475,'12_sales_person_confirmation'!$A:$A,0)))&amp;")","PENDING CONFIRM"))))</f>
        <v/>
      </c>
      <c r="AR475" s="2">
        <f>IF(OR(AQ475="OK",AQ475="OK (auto-fixed)"),AP475,IF(LEFT(AQ475,9)="CONFIRMED",INDEX('12_sales_person_confirmation'!$F:$F,MATCH($A475,'12_sales_person_confirmation'!$A:$A,0)),""))</f>
        <v/>
      </c>
      <c r="AS475" s="2">
        <f>IF(AR475="","",INDEX('11_3nf_sales_person'!$B:$B,MATCH(AR475,'11_3nf_sales_person'!$A:$A,0)))</f>
        <v/>
      </c>
    </row>
    <row r="476">
      <c r="A476" s="2">
        <f>IF(ISBLANK('1_raw_log'!A476),"",'1_raw_log'!A476)</f>
        <v/>
      </c>
      <c r="B476" s="3">
        <f>IF(ISBLANK('1_raw_log'!B476),"",'1_raw_log'!B476)</f>
        <v/>
      </c>
      <c r="C476" s="2">
        <f>IF(ISBLANK('1_raw_log'!C476),"",'1_raw_log'!C476)</f>
        <v/>
      </c>
      <c r="D476" s="2">
        <f>IF(ISBLANK('1_raw_log'!D476),"",'1_raw_log'!D476)</f>
        <v/>
      </c>
      <c r="E476" s="4">
        <f>IF(ISBLANK('1_raw_log'!E476),"",'1_raw_log'!E476)</f>
        <v/>
      </c>
      <c r="F476" s="2">
        <f>IF(ISBLANK('1_raw_log'!F476),"",'1_raw_log'!F476)</f>
        <v/>
      </c>
      <c r="G476" s="2">
        <f>IF(ISBLANK('1_raw_log'!G476),"",'1_raw_log'!G476)</f>
        <v/>
      </c>
      <c r="H476" s="2">
        <f>IF(ISBLANK('1_raw_log'!H476),"",'1_raw_log'!H476)</f>
        <v/>
      </c>
      <c r="I476" s="7">
        <f>IF(ISBLANK('1_raw_log'!I476),"",'1_raw_log'!I476)</f>
        <v/>
      </c>
      <c r="J476" s="2">
        <f>IF(ISBLANK('1_raw_log'!J476),"",'1_raw_log'!J476)</f>
        <v/>
      </c>
      <c r="K476" s="2">
        <f>IF(ISBLANK('1_raw_log'!K476),"",'1_raw_log'!K476)</f>
        <v/>
      </c>
      <c r="L476" s="30">
        <f>INT(B476)</f>
        <v/>
      </c>
      <c r="M476" s="20">
        <f>ROUND(MOD(B476,1)*1440,0)/1440</f>
        <v/>
      </c>
      <c r="N476" s="4">
        <f>IFERROR(INDEX('3_ref_date'!$B:$B,MATCH(L476,'3_ref_date'!$A:$A,0)),"NOT FOUND")</f>
        <v/>
      </c>
      <c r="O476" s="2">
        <f>IFERROR(INDEX('3_ref_date'!$C:$C,MATCH(L476,'3_ref_date'!$A:$A,0)),"NOT FOUND")</f>
        <v/>
      </c>
      <c r="P476" s="4">
        <f>IFERROR(INDEX('3_ref_date'!$D:$D,MATCH(L476,'3_ref_date'!$A:$A,0)),"NOT FOUND")</f>
        <v/>
      </c>
      <c r="Q476" s="4">
        <f>IFERROR(INDEX('3_ref_date'!$E:$E,MATCH(L476,'3_ref_date'!$A:$A,0)),"NOT FOUND")</f>
        <v/>
      </c>
      <c r="R476" s="2">
        <f>IFERROR(INDEX('3_ref_date'!$F:$F,MATCH(L476,'3_ref_date'!$A:$A,0)),"NOT FOUND")</f>
        <v/>
      </c>
      <c r="S476" s="2">
        <f>IFERROR(INDEX('4_ref_time'!$D:$D,MATCH(ROUND(M476*1440,0),'4_ref_time'!$A:$A,0)),"NOT FOUND")</f>
        <v/>
      </c>
      <c r="T476" s="2">
        <f>UPPER(TRIM(C476))</f>
        <v/>
      </c>
      <c r="U476" s="30">
        <f>IF(_xlfn.MAXIFS('6_3nf_branch_history'!$B$2:$B$50,'6_3nf_branch_history'!$A$2:$A$50,T476,'6_3nf_branch_history'!$B$2:$B$50,"&lt;="&amp;L476)=0,"NOT FOUND",_xlfn.MAXIFS('6_3nf_branch_history'!$B$2:$B$50,'6_3nf_branch_history'!$A$2:$A$50,T476,'6_3nf_branch_history'!$B$2:$B$50,"&lt;="&amp;L476))</f>
        <v/>
      </c>
      <c r="V476" s="2">
        <f>IF(U476="NOT FOUND","NOT FOUND",INDEX('6_3nf_branch_history'!$C:$C,SUMPRODUCT(('6_3nf_branch_history'!$A$2:$A$50=T476)*('6_3nf_branch_history'!$B$2:$B$50=U476)*ROW('6_3nf_branch_history'!$A$2:$A$50))))</f>
        <v/>
      </c>
      <c r="W476" s="2">
        <f>IF(U476="NOT FOUND","NOT FOUND",INDEX('6_3nf_branch_history'!$D:$D,SUMPRODUCT(('6_3nf_branch_history'!$A$2:$A$50=T476)*('6_3nf_branch_history'!$B$2:$B$50=U476)*ROW('6_3nf_branch_history'!$A$2:$A$50))))</f>
        <v/>
      </c>
      <c r="X476" s="2">
        <f>IF(U476="NOT FOUND","NOT FOUND",INDEX('6_3nf_branch_history'!$E:$E,SUMPRODUCT(('6_3nf_branch_history'!$A$2:$A$50=T476)*('6_3nf_branch_history'!$B$2:$B$50=U476)*ROW('6_3nf_branch_history'!$A$2:$A$50))))</f>
        <v/>
      </c>
      <c r="Y476" s="2">
        <f>UPPER(TRIM(D476))</f>
        <v/>
      </c>
      <c r="Z476" s="2">
        <f>IFERROR(INDEX('7_3nf_product'!$B:$B,MATCH(Y476,'7_3nf_product'!$A:$A,0)),"NOT FOUND")</f>
        <v/>
      </c>
      <c r="AA476" s="2">
        <f>IFERROR(INDEX('7_3nf_product'!$C:$C,MATCH(Y476,'7_3nf_product'!$A:$A,0)),"NOT FOUND")</f>
        <v/>
      </c>
      <c r="AB476" s="2">
        <f>IFERROR(INDEX('7_3nf_product'!$D:$D,MATCH(Y476,'7_3nf_product'!$A:$A,0)),"NOT FOUND")</f>
        <v/>
      </c>
      <c r="AC476" s="6">
        <f>IFERROR(INDEX('7_3nf_product'!$E:$E,MATCH(Y476,'7_3nf_product'!$A:$A,0)),"NOT FOUND")</f>
        <v/>
      </c>
      <c r="AD476" s="33">
        <f>IF(LEN(TRIM(E476))=10,TRIM(E476),IF(LEN(TRIM(E476))=8,"00"&amp;TRIM(E476),"CHECK"))</f>
        <v/>
      </c>
      <c r="AE476" s="2">
        <f>IFERROR(INDEX('8_3nf_customer'!$C:$C,MATCH(AD476,'8_3nf_customer'!$B:$B,0)),"NOT FOUND")</f>
        <v/>
      </c>
      <c r="AF476" s="30">
        <f>IFERROR(INDEX('8_3nf_customer'!$D:$D,MATCH(AD476,'8_3nf_customer'!$B:$B,0)),"NOT FOUND")</f>
        <v/>
      </c>
      <c r="AG476" s="4">
        <f>IF(ISNUMBER(AF476),DATEDIF(AF476,L476,"y"),"NOT FOUND")</f>
        <v/>
      </c>
      <c r="AH476" s="2">
        <f>IFERROR(INDEX('8_3nf_customer'!$E:$E,MATCH(AD476,'8_3nf_customer'!$B:$B,0)),"NOT FOUND")</f>
        <v/>
      </c>
      <c r="AI476" s="30">
        <f>IF(_xlfn.MAXIFS('9_3nf_customer_history'!$B$2:$B$500,'9_3nf_customer_history'!$A$2:$A$500,AD476,'9_3nf_customer_history'!$B$2:$B$500,"&lt;="&amp;L476)=0,"NOT FOUND",_xlfn.MAXIFS('9_3nf_customer_history'!$B$2:$B$500,'9_3nf_customer_history'!$A$2:$A$500,AD476,'9_3nf_customer_history'!$B$2:$B$500,"&lt;="&amp;L476))</f>
        <v/>
      </c>
      <c r="AJ476" s="2">
        <f>IF(AI476="NOT FOUND","NOT FOUND",INDEX('9_3nf_customer_history'!$C:$C,SUMPRODUCT(('9_3nf_customer_history'!$A$2:$A$500=AD476)*('9_3nf_customer_history'!$B$2:$B$500=AI476)*ROW('9_3nf_customer_history'!$A$2:$A$500))))</f>
        <v/>
      </c>
      <c r="AK476" s="2">
        <f>IF(AI476="NOT FOUND","NOT FOUND",INDEX('9_3nf_customer_history'!$D:$D,SUMPRODUCT(('9_3nf_customer_history'!$A$2:$A$500=AD476)*('9_3nf_customer_history'!$B$2:$B$500=AI476)*ROW('9_3nf_customer_history'!$A$2:$A$500))))</f>
        <v/>
      </c>
      <c r="AL476" s="2">
        <f>UPPER(TRIM(H476))</f>
        <v/>
      </c>
      <c r="AM476" s="30">
        <f>IF(_xlfn.MAXIFS('10_ref_fx_rate'!$B$2:$B$2000,'10_ref_fx_rate'!$A$2:$A$2000,AL476,'10_ref_fx_rate'!$B$2:$B$2000,"&lt;="&amp;L476)=0,"NOT FOUND",_xlfn.MAXIFS('10_ref_fx_rate'!$B$2:$B$2000,'10_ref_fx_rate'!$A$2:$A$2000,AL476,'10_ref_fx_rate'!$B$2:$B$2000,"&lt;="&amp;L476))</f>
        <v/>
      </c>
      <c r="AN476" s="8">
        <f>IF(AM476="NOT FOUND","NOT FOUND",SUMIFS('10_ref_fx_rate'!$D$2:$D$2000,'10_ref_fx_rate'!$A$2:$A$2000,AL476,'10_ref_fx_rate'!$B$2:$B$2000,AM476))</f>
        <v/>
      </c>
      <c r="AO476" s="37">
        <f>IF(ISNUMBER(AN476),I476*AN476,"NOT FOUND")</f>
        <v/>
      </c>
      <c r="AP476" s="2">
        <f>UPPER(TRIM(J476))</f>
        <v/>
      </c>
      <c r="AQ476" s="2">
        <f>IF(AP476="","SELF-DIRECTED",IF(ISNUMBER(MATCH(AP476,'11_3nf_sales_person'!$A:$A,0)),IF(EXACT(AP476,J476),"OK","OK (auto-fixed)"),IF(ISNA(MATCH($A476,'12_sales_person_confirmation'!$A:$A,0)),"CONFIRM (not logged)",IF(INDEX('12_sales_person_confirmation'!$I:$I,MATCH($A476,'12_sales_person_confirmation'!$A:$A,0))="CONFIRMED","CONFIRMED ("&amp;LOWER(INDEX('12_sales_person_confirmation'!$E:$E,MATCH($A476,'12_sales_person_confirmation'!$A:$A,0)))&amp;")","PENDING CONFIRM"))))</f>
        <v/>
      </c>
      <c r="AR476" s="2">
        <f>IF(OR(AQ476="OK",AQ476="OK (auto-fixed)"),AP476,IF(LEFT(AQ476,9)="CONFIRMED",INDEX('12_sales_person_confirmation'!$F:$F,MATCH($A476,'12_sales_person_confirmation'!$A:$A,0)),""))</f>
        <v/>
      </c>
      <c r="AS476" s="2">
        <f>IF(AR476="","",INDEX('11_3nf_sales_person'!$B:$B,MATCH(AR476,'11_3nf_sales_person'!$A:$A,0)))</f>
        <v/>
      </c>
    </row>
    <row r="477">
      <c r="A477" s="2">
        <f>IF(ISBLANK('1_raw_log'!A477),"",'1_raw_log'!A477)</f>
        <v/>
      </c>
      <c r="B477" s="3">
        <f>IF(ISBLANK('1_raw_log'!B477),"",'1_raw_log'!B477)</f>
        <v/>
      </c>
      <c r="C477" s="2">
        <f>IF(ISBLANK('1_raw_log'!C477),"",'1_raw_log'!C477)</f>
        <v/>
      </c>
      <c r="D477" s="2">
        <f>IF(ISBLANK('1_raw_log'!D477),"",'1_raw_log'!D477)</f>
        <v/>
      </c>
      <c r="E477" s="4">
        <f>IF(ISBLANK('1_raw_log'!E477),"",'1_raw_log'!E477)</f>
        <v/>
      </c>
      <c r="F477" s="2">
        <f>IF(ISBLANK('1_raw_log'!F477),"",'1_raw_log'!F477)</f>
        <v/>
      </c>
      <c r="G477" s="2">
        <f>IF(ISBLANK('1_raw_log'!G477),"",'1_raw_log'!G477)</f>
        <v/>
      </c>
      <c r="H477" s="2">
        <f>IF(ISBLANK('1_raw_log'!H477),"",'1_raw_log'!H477)</f>
        <v/>
      </c>
      <c r="I477" s="7">
        <f>IF(ISBLANK('1_raw_log'!I477),"",'1_raw_log'!I477)</f>
        <v/>
      </c>
      <c r="J477" s="2">
        <f>IF(ISBLANK('1_raw_log'!J477),"",'1_raw_log'!J477)</f>
        <v/>
      </c>
      <c r="K477" s="2">
        <f>IF(ISBLANK('1_raw_log'!K477),"",'1_raw_log'!K477)</f>
        <v/>
      </c>
      <c r="L477" s="30">
        <f>INT(B477)</f>
        <v/>
      </c>
      <c r="M477" s="20">
        <f>ROUND(MOD(B477,1)*1440,0)/1440</f>
        <v/>
      </c>
      <c r="N477" s="4">
        <f>IFERROR(INDEX('3_ref_date'!$B:$B,MATCH(L477,'3_ref_date'!$A:$A,0)),"NOT FOUND")</f>
        <v/>
      </c>
      <c r="O477" s="2">
        <f>IFERROR(INDEX('3_ref_date'!$C:$C,MATCH(L477,'3_ref_date'!$A:$A,0)),"NOT FOUND")</f>
        <v/>
      </c>
      <c r="P477" s="4">
        <f>IFERROR(INDEX('3_ref_date'!$D:$D,MATCH(L477,'3_ref_date'!$A:$A,0)),"NOT FOUND")</f>
        <v/>
      </c>
      <c r="Q477" s="4">
        <f>IFERROR(INDEX('3_ref_date'!$E:$E,MATCH(L477,'3_ref_date'!$A:$A,0)),"NOT FOUND")</f>
        <v/>
      </c>
      <c r="R477" s="2">
        <f>IFERROR(INDEX('3_ref_date'!$F:$F,MATCH(L477,'3_ref_date'!$A:$A,0)),"NOT FOUND")</f>
        <v/>
      </c>
      <c r="S477" s="2">
        <f>IFERROR(INDEX('4_ref_time'!$D:$D,MATCH(ROUND(M477*1440,0),'4_ref_time'!$A:$A,0)),"NOT FOUND")</f>
        <v/>
      </c>
      <c r="T477" s="2">
        <f>UPPER(TRIM(C477))</f>
        <v/>
      </c>
      <c r="U477" s="30">
        <f>IF(_xlfn.MAXIFS('6_3nf_branch_history'!$B$2:$B$50,'6_3nf_branch_history'!$A$2:$A$50,T477,'6_3nf_branch_history'!$B$2:$B$50,"&lt;="&amp;L477)=0,"NOT FOUND",_xlfn.MAXIFS('6_3nf_branch_history'!$B$2:$B$50,'6_3nf_branch_history'!$A$2:$A$50,T477,'6_3nf_branch_history'!$B$2:$B$50,"&lt;="&amp;L477))</f>
        <v/>
      </c>
      <c r="V477" s="2">
        <f>IF(U477="NOT FOUND","NOT FOUND",INDEX('6_3nf_branch_history'!$C:$C,SUMPRODUCT(('6_3nf_branch_history'!$A$2:$A$50=T477)*('6_3nf_branch_history'!$B$2:$B$50=U477)*ROW('6_3nf_branch_history'!$A$2:$A$50))))</f>
        <v/>
      </c>
      <c r="W477" s="2">
        <f>IF(U477="NOT FOUND","NOT FOUND",INDEX('6_3nf_branch_history'!$D:$D,SUMPRODUCT(('6_3nf_branch_history'!$A$2:$A$50=T477)*('6_3nf_branch_history'!$B$2:$B$50=U477)*ROW('6_3nf_branch_history'!$A$2:$A$50))))</f>
        <v/>
      </c>
      <c r="X477" s="2">
        <f>IF(U477="NOT FOUND","NOT FOUND",INDEX('6_3nf_branch_history'!$E:$E,SUMPRODUCT(('6_3nf_branch_history'!$A$2:$A$50=T477)*('6_3nf_branch_history'!$B$2:$B$50=U477)*ROW('6_3nf_branch_history'!$A$2:$A$50))))</f>
        <v/>
      </c>
      <c r="Y477" s="2">
        <f>UPPER(TRIM(D477))</f>
        <v/>
      </c>
      <c r="Z477" s="2">
        <f>IFERROR(INDEX('7_3nf_product'!$B:$B,MATCH(Y477,'7_3nf_product'!$A:$A,0)),"NOT FOUND")</f>
        <v/>
      </c>
      <c r="AA477" s="2">
        <f>IFERROR(INDEX('7_3nf_product'!$C:$C,MATCH(Y477,'7_3nf_product'!$A:$A,0)),"NOT FOUND")</f>
        <v/>
      </c>
      <c r="AB477" s="2">
        <f>IFERROR(INDEX('7_3nf_product'!$D:$D,MATCH(Y477,'7_3nf_product'!$A:$A,0)),"NOT FOUND")</f>
        <v/>
      </c>
      <c r="AC477" s="6">
        <f>IFERROR(INDEX('7_3nf_product'!$E:$E,MATCH(Y477,'7_3nf_product'!$A:$A,0)),"NOT FOUND")</f>
        <v/>
      </c>
      <c r="AD477" s="33">
        <f>IF(LEN(TRIM(E477))=10,TRIM(E477),IF(LEN(TRIM(E477))=8,"00"&amp;TRIM(E477),"CHECK"))</f>
        <v/>
      </c>
      <c r="AE477" s="2">
        <f>IFERROR(INDEX('8_3nf_customer'!$C:$C,MATCH(AD477,'8_3nf_customer'!$B:$B,0)),"NOT FOUND")</f>
        <v/>
      </c>
      <c r="AF477" s="30">
        <f>IFERROR(INDEX('8_3nf_customer'!$D:$D,MATCH(AD477,'8_3nf_customer'!$B:$B,0)),"NOT FOUND")</f>
        <v/>
      </c>
      <c r="AG477" s="4">
        <f>IF(ISNUMBER(AF477),DATEDIF(AF477,L477,"y"),"NOT FOUND")</f>
        <v/>
      </c>
      <c r="AH477" s="2">
        <f>IFERROR(INDEX('8_3nf_customer'!$E:$E,MATCH(AD477,'8_3nf_customer'!$B:$B,0)),"NOT FOUND")</f>
        <v/>
      </c>
      <c r="AI477" s="30">
        <f>IF(_xlfn.MAXIFS('9_3nf_customer_history'!$B$2:$B$500,'9_3nf_customer_history'!$A$2:$A$500,AD477,'9_3nf_customer_history'!$B$2:$B$500,"&lt;="&amp;L477)=0,"NOT FOUND",_xlfn.MAXIFS('9_3nf_customer_history'!$B$2:$B$500,'9_3nf_customer_history'!$A$2:$A$500,AD477,'9_3nf_customer_history'!$B$2:$B$500,"&lt;="&amp;L477))</f>
        <v/>
      </c>
      <c r="AJ477" s="2">
        <f>IF(AI477="NOT FOUND","NOT FOUND",INDEX('9_3nf_customer_history'!$C:$C,SUMPRODUCT(('9_3nf_customer_history'!$A$2:$A$500=AD477)*('9_3nf_customer_history'!$B$2:$B$500=AI477)*ROW('9_3nf_customer_history'!$A$2:$A$500))))</f>
        <v/>
      </c>
      <c r="AK477" s="2">
        <f>IF(AI477="NOT FOUND","NOT FOUND",INDEX('9_3nf_customer_history'!$D:$D,SUMPRODUCT(('9_3nf_customer_history'!$A$2:$A$500=AD477)*('9_3nf_customer_history'!$B$2:$B$500=AI477)*ROW('9_3nf_customer_history'!$A$2:$A$500))))</f>
        <v/>
      </c>
      <c r="AL477" s="2">
        <f>UPPER(TRIM(H477))</f>
        <v/>
      </c>
      <c r="AM477" s="30">
        <f>IF(_xlfn.MAXIFS('10_ref_fx_rate'!$B$2:$B$2000,'10_ref_fx_rate'!$A$2:$A$2000,AL477,'10_ref_fx_rate'!$B$2:$B$2000,"&lt;="&amp;L477)=0,"NOT FOUND",_xlfn.MAXIFS('10_ref_fx_rate'!$B$2:$B$2000,'10_ref_fx_rate'!$A$2:$A$2000,AL477,'10_ref_fx_rate'!$B$2:$B$2000,"&lt;="&amp;L477))</f>
        <v/>
      </c>
      <c r="AN477" s="8">
        <f>IF(AM477="NOT FOUND","NOT FOUND",SUMIFS('10_ref_fx_rate'!$D$2:$D$2000,'10_ref_fx_rate'!$A$2:$A$2000,AL477,'10_ref_fx_rate'!$B$2:$B$2000,AM477))</f>
        <v/>
      </c>
      <c r="AO477" s="37">
        <f>IF(ISNUMBER(AN477),I477*AN477,"NOT FOUND")</f>
        <v/>
      </c>
      <c r="AP477" s="2">
        <f>UPPER(TRIM(J477))</f>
        <v/>
      </c>
      <c r="AQ477" s="2">
        <f>IF(AP477="","SELF-DIRECTED",IF(ISNUMBER(MATCH(AP477,'11_3nf_sales_person'!$A:$A,0)),IF(EXACT(AP477,J477),"OK","OK (auto-fixed)"),IF(ISNA(MATCH($A477,'12_sales_person_confirmation'!$A:$A,0)),"CONFIRM (not logged)",IF(INDEX('12_sales_person_confirmation'!$I:$I,MATCH($A477,'12_sales_person_confirmation'!$A:$A,0))="CONFIRMED","CONFIRMED ("&amp;LOWER(INDEX('12_sales_person_confirmation'!$E:$E,MATCH($A477,'12_sales_person_confirmation'!$A:$A,0)))&amp;")","PENDING CONFIRM"))))</f>
        <v/>
      </c>
      <c r="AR477" s="2">
        <f>IF(OR(AQ477="OK",AQ477="OK (auto-fixed)"),AP477,IF(LEFT(AQ477,9)="CONFIRMED",INDEX('12_sales_person_confirmation'!$F:$F,MATCH($A477,'12_sales_person_confirmation'!$A:$A,0)),""))</f>
        <v/>
      </c>
      <c r="AS477" s="2">
        <f>IF(AR477="","",INDEX('11_3nf_sales_person'!$B:$B,MATCH(AR477,'11_3nf_sales_person'!$A:$A,0)))</f>
        <v/>
      </c>
    </row>
    <row r="478">
      <c r="A478" s="2">
        <f>IF(ISBLANK('1_raw_log'!A478),"",'1_raw_log'!A478)</f>
        <v/>
      </c>
      <c r="B478" s="3">
        <f>IF(ISBLANK('1_raw_log'!B478),"",'1_raw_log'!B478)</f>
        <v/>
      </c>
      <c r="C478" s="2">
        <f>IF(ISBLANK('1_raw_log'!C478),"",'1_raw_log'!C478)</f>
        <v/>
      </c>
      <c r="D478" s="2">
        <f>IF(ISBLANK('1_raw_log'!D478),"",'1_raw_log'!D478)</f>
        <v/>
      </c>
      <c r="E478" s="4">
        <f>IF(ISBLANK('1_raw_log'!E478),"",'1_raw_log'!E478)</f>
        <v/>
      </c>
      <c r="F478" s="2">
        <f>IF(ISBLANK('1_raw_log'!F478),"",'1_raw_log'!F478)</f>
        <v/>
      </c>
      <c r="G478" s="2">
        <f>IF(ISBLANK('1_raw_log'!G478),"",'1_raw_log'!G478)</f>
        <v/>
      </c>
      <c r="H478" s="2">
        <f>IF(ISBLANK('1_raw_log'!H478),"",'1_raw_log'!H478)</f>
        <v/>
      </c>
      <c r="I478" s="7">
        <f>IF(ISBLANK('1_raw_log'!I478),"",'1_raw_log'!I478)</f>
        <v/>
      </c>
      <c r="J478" s="2">
        <f>IF(ISBLANK('1_raw_log'!J478),"",'1_raw_log'!J478)</f>
        <v/>
      </c>
      <c r="K478" s="2">
        <f>IF(ISBLANK('1_raw_log'!K478),"",'1_raw_log'!K478)</f>
        <v/>
      </c>
      <c r="L478" s="30">
        <f>INT(B478)</f>
        <v/>
      </c>
      <c r="M478" s="20">
        <f>ROUND(MOD(B478,1)*1440,0)/1440</f>
        <v/>
      </c>
      <c r="N478" s="4">
        <f>IFERROR(INDEX('3_ref_date'!$B:$B,MATCH(L478,'3_ref_date'!$A:$A,0)),"NOT FOUND")</f>
        <v/>
      </c>
      <c r="O478" s="2">
        <f>IFERROR(INDEX('3_ref_date'!$C:$C,MATCH(L478,'3_ref_date'!$A:$A,0)),"NOT FOUND")</f>
        <v/>
      </c>
      <c r="P478" s="4">
        <f>IFERROR(INDEX('3_ref_date'!$D:$D,MATCH(L478,'3_ref_date'!$A:$A,0)),"NOT FOUND")</f>
        <v/>
      </c>
      <c r="Q478" s="4">
        <f>IFERROR(INDEX('3_ref_date'!$E:$E,MATCH(L478,'3_ref_date'!$A:$A,0)),"NOT FOUND")</f>
        <v/>
      </c>
      <c r="R478" s="2">
        <f>IFERROR(INDEX('3_ref_date'!$F:$F,MATCH(L478,'3_ref_date'!$A:$A,0)),"NOT FOUND")</f>
        <v/>
      </c>
      <c r="S478" s="2">
        <f>IFERROR(INDEX('4_ref_time'!$D:$D,MATCH(ROUND(M478*1440,0),'4_ref_time'!$A:$A,0)),"NOT FOUND")</f>
        <v/>
      </c>
      <c r="T478" s="2">
        <f>UPPER(TRIM(C478))</f>
        <v/>
      </c>
      <c r="U478" s="30">
        <f>IF(_xlfn.MAXIFS('6_3nf_branch_history'!$B$2:$B$50,'6_3nf_branch_history'!$A$2:$A$50,T478,'6_3nf_branch_history'!$B$2:$B$50,"&lt;="&amp;L478)=0,"NOT FOUND",_xlfn.MAXIFS('6_3nf_branch_history'!$B$2:$B$50,'6_3nf_branch_history'!$A$2:$A$50,T478,'6_3nf_branch_history'!$B$2:$B$50,"&lt;="&amp;L478))</f>
        <v/>
      </c>
      <c r="V478" s="2">
        <f>IF(U478="NOT FOUND","NOT FOUND",INDEX('6_3nf_branch_history'!$C:$C,SUMPRODUCT(('6_3nf_branch_history'!$A$2:$A$50=T478)*('6_3nf_branch_history'!$B$2:$B$50=U478)*ROW('6_3nf_branch_history'!$A$2:$A$50))))</f>
        <v/>
      </c>
      <c r="W478" s="2">
        <f>IF(U478="NOT FOUND","NOT FOUND",INDEX('6_3nf_branch_history'!$D:$D,SUMPRODUCT(('6_3nf_branch_history'!$A$2:$A$50=T478)*('6_3nf_branch_history'!$B$2:$B$50=U478)*ROW('6_3nf_branch_history'!$A$2:$A$50))))</f>
        <v/>
      </c>
      <c r="X478" s="2">
        <f>IF(U478="NOT FOUND","NOT FOUND",INDEX('6_3nf_branch_history'!$E:$E,SUMPRODUCT(('6_3nf_branch_history'!$A$2:$A$50=T478)*('6_3nf_branch_history'!$B$2:$B$50=U478)*ROW('6_3nf_branch_history'!$A$2:$A$50))))</f>
        <v/>
      </c>
      <c r="Y478" s="2">
        <f>UPPER(TRIM(D478))</f>
        <v/>
      </c>
      <c r="Z478" s="2">
        <f>IFERROR(INDEX('7_3nf_product'!$B:$B,MATCH(Y478,'7_3nf_product'!$A:$A,0)),"NOT FOUND")</f>
        <v/>
      </c>
      <c r="AA478" s="2">
        <f>IFERROR(INDEX('7_3nf_product'!$C:$C,MATCH(Y478,'7_3nf_product'!$A:$A,0)),"NOT FOUND")</f>
        <v/>
      </c>
      <c r="AB478" s="2">
        <f>IFERROR(INDEX('7_3nf_product'!$D:$D,MATCH(Y478,'7_3nf_product'!$A:$A,0)),"NOT FOUND")</f>
        <v/>
      </c>
      <c r="AC478" s="6">
        <f>IFERROR(INDEX('7_3nf_product'!$E:$E,MATCH(Y478,'7_3nf_product'!$A:$A,0)),"NOT FOUND")</f>
        <v/>
      </c>
      <c r="AD478" s="33">
        <f>IF(LEN(TRIM(E478))=10,TRIM(E478),IF(LEN(TRIM(E478))=8,"00"&amp;TRIM(E478),"CHECK"))</f>
        <v/>
      </c>
      <c r="AE478" s="2">
        <f>IFERROR(INDEX('8_3nf_customer'!$C:$C,MATCH(AD478,'8_3nf_customer'!$B:$B,0)),"NOT FOUND")</f>
        <v/>
      </c>
      <c r="AF478" s="30">
        <f>IFERROR(INDEX('8_3nf_customer'!$D:$D,MATCH(AD478,'8_3nf_customer'!$B:$B,0)),"NOT FOUND")</f>
        <v/>
      </c>
      <c r="AG478" s="4">
        <f>IF(ISNUMBER(AF478),DATEDIF(AF478,L478,"y"),"NOT FOUND")</f>
        <v/>
      </c>
      <c r="AH478" s="2">
        <f>IFERROR(INDEX('8_3nf_customer'!$E:$E,MATCH(AD478,'8_3nf_customer'!$B:$B,0)),"NOT FOUND")</f>
        <v/>
      </c>
      <c r="AI478" s="30">
        <f>IF(_xlfn.MAXIFS('9_3nf_customer_history'!$B$2:$B$500,'9_3nf_customer_history'!$A$2:$A$500,AD478,'9_3nf_customer_history'!$B$2:$B$500,"&lt;="&amp;L478)=0,"NOT FOUND",_xlfn.MAXIFS('9_3nf_customer_history'!$B$2:$B$500,'9_3nf_customer_history'!$A$2:$A$500,AD478,'9_3nf_customer_history'!$B$2:$B$500,"&lt;="&amp;L478))</f>
        <v/>
      </c>
      <c r="AJ478" s="2">
        <f>IF(AI478="NOT FOUND","NOT FOUND",INDEX('9_3nf_customer_history'!$C:$C,SUMPRODUCT(('9_3nf_customer_history'!$A$2:$A$500=AD478)*('9_3nf_customer_history'!$B$2:$B$500=AI478)*ROW('9_3nf_customer_history'!$A$2:$A$500))))</f>
        <v/>
      </c>
      <c r="AK478" s="2">
        <f>IF(AI478="NOT FOUND","NOT FOUND",INDEX('9_3nf_customer_history'!$D:$D,SUMPRODUCT(('9_3nf_customer_history'!$A$2:$A$500=AD478)*('9_3nf_customer_history'!$B$2:$B$500=AI478)*ROW('9_3nf_customer_history'!$A$2:$A$500))))</f>
        <v/>
      </c>
      <c r="AL478" s="2">
        <f>UPPER(TRIM(H478))</f>
        <v/>
      </c>
      <c r="AM478" s="30">
        <f>IF(_xlfn.MAXIFS('10_ref_fx_rate'!$B$2:$B$2000,'10_ref_fx_rate'!$A$2:$A$2000,AL478,'10_ref_fx_rate'!$B$2:$B$2000,"&lt;="&amp;L478)=0,"NOT FOUND",_xlfn.MAXIFS('10_ref_fx_rate'!$B$2:$B$2000,'10_ref_fx_rate'!$A$2:$A$2000,AL478,'10_ref_fx_rate'!$B$2:$B$2000,"&lt;="&amp;L478))</f>
        <v/>
      </c>
      <c r="AN478" s="8">
        <f>IF(AM478="NOT FOUND","NOT FOUND",SUMIFS('10_ref_fx_rate'!$D$2:$D$2000,'10_ref_fx_rate'!$A$2:$A$2000,AL478,'10_ref_fx_rate'!$B$2:$B$2000,AM478))</f>
        <v/>
      </c>
      <c r="AO478" s="37">
        <f>IF(ISNUMBER(AN478),I478*AN478,"NOT FOUND")</f>
        <v/>
      </c>
      <c r="AP478" s="2">
        <f>UPPER(TRIM(J478))</f>
        <v/>
      </c>
      <c r="AQ478" s="2">
        <f>IF(AP478="","SELF-DIRECTED",IF(ISNUMBER(MATCH(AP478,'11_3nf_sales_person'!$A:$A,0)),IF(EXACT(AP478,J478),"OK","OK (auto-fixed)"),IF(ISNA(MATCH($A478,'12_sales_person_confirmation'!$A:$A,0)),"CONFIRM (not logged)",IF(INDEX('12_sales_person_confirmation'!$I:$I,MATCH($A478,'12_sales_person_confirmation'!$A:$A,0))="CONFIRMED","CONFIRMED ("&amp;LOWER(INDEX('12_sales_person_confirmation'!$E:$E,MATCH($A478,'12_sales_person_confirmation'!$A:$A,0)))&amp;")","PENDING CONFIRM"))))</f>
        <v/>
      </c>
      <c r="AR478" s="2">
        <f>IF(OR(AQ478="OK",AQ478="OK (auto-fixed)"),AP478,IF(LEFT(AQ478,9)="CONFIRMED",INDEX('12_sales_person_confirmation'!$F:$F,MATCH($A478,'12_sales_person_confirmation'!$A:$A,0)),""))</f>
        <v/>
      </c>
      <c r="AS478" s="2">
        <f>IF(AR478="","",INDEX('11_3nf_sales_person'!$B:$B,MATCH(AR478,'11_3nf_sales_person'!$A:$A,0)))</f>
        <v/>
      </c>
    </row>
    <row r="479">
      <c r="A479" s="2">
        <f>IF(ISBLANK('1_raw_log'!A479),"",'1_raw_log'!A479)</f>
        <v/>
      </c>
      <c r="B479" s="3">
        <f>IF(ISBLANK('1_raw_log'!B479),"",'1_raw_log'!B479)</f>
        <v/>
      </c>
      <c r="C479" s="2">
        <f>IF(ISBLANK('1_raw_log'!C479),"",'1_raw_log'!C479)</f>
        <v/>
      </c>
      <c r="D479" s="2">
        <f>IF(ISBLANK('1_raw_log'!D479),"",'1_raw_log'!D479)</f>
        <v/>
      </c>
      <c r="E479" s="4">
        <f>IF(ISBLANK('1_raw_log'!E479),"",'1_raw_log'!E479)</f>
        <v/>
      </c>
      <c r="F479" s="2">
        <f>IF(ISBLANK('1_raw_log'!F479),"",'1_raw_log'!F479)</f>
        <v/>
      </c>
      <c r="G479" s="2">
        <f>IF(ISBLANK('1_raw_log'!G479),"",'1_raw_log'!G479)</f>
        <v/>
      </c>
      <c r="H479" s="2">
        <f>IF(ISBLANK('1_raw_log'!H479),"",'1_raw_log'!H479)</f>
        <v/>
      </c>
      <c r="I479" s="7">
        <f>IF(ISBLANK('1_raw_log'!I479),"",'1_raw_log'!I479)</f>
        <v/>
      </c>
      <c r="J479" s="2">
        <f>IF(ISBLANK('1_raw_log'!J479),"",'1_raw_log'!J479)</f>
        <v/>
      </c>
      <c r="K479" s="2">
        <f>IF(ISBLANK('1_raw_log'!K479),"",'1_raw_log'!K479)</f>
        <v/>
      </c>
      <c r="L479" s="30">
        <f>INT(B479)</f>
        <v/>
      </c>
      <c r="M479" s="20">
        <f>ROUND(MOD(B479,1)*1440,0)/1440</f>
        <v/>
      </c>
      <c r="N479" s="4">
        <f>IFERROR(INDEX('3_ref_date'!$B:$B,MATCH(L479,'3_ref_date'!$A:$A,0)),"NOT FOUND")</f>
        <v/>
      </c>
      <c r="O479" s="2">
        <f>IFERROR(INDEX('3_ref_date'!$C:$C,MATCH(L479,'3_ref_date'!$A:$A,0)),"NOT FOUND")</f>
        <v/>
      </c>
      <c r="P479" s="4">
        <f>IFERROR(INDEX('3_ref_date'!$D:$D,MATCH(L479,'3_ref_date'!$A:$A,0)),"NOT FOUND")</f>
        <v/>
      </c>
      <c r="Q479" s="4">
        <f>IFERROR(INDEX('3_ref_date'!$E:$E,MATCH(L479,'3_ref_date'!$A:$A,0)),"NOT FOUND")</f>
        <v/>
      </c>
      <c r="R479" s="2">
        <f>IFERROR(INDEX('3_ref_date'!$F:$F,MATCH(L479,'3_ref_date'!$A:$A,0)),"NOT FOUND")</f>
        <v/>
      </c>
      <c r="S479" s="2">
        <f>IFERROR(INDEX('4_ref_time'!$D:$D,MATCH(ROUND(M479*1440,0),'4_ref_time'!$A:$A,0)),"NOT FOUND")</f>
        <v/>
      </c>
      <c r="T479" s="2">
        <f>UPPER(TRIM(C479))</f>
        <v/>
      </c>
      <c r="U479" s="30">
        <f>IF(_xlfn.MAXIFS('6_3nf_branch_history'!$B$2:$B$50,'6_3nf_branch_history'!$A$2:$A$50,T479,'6_3nf_branch_history'!$B$2:$B$50,"&lt;="&amp;L479)=0,"NOT FOUND",_xlfn.MAXIFS('6_3nf_branch_history'!$B$2:$B$50,'6_3nf_branch_history'!$A$2:$A$50,T479,'6_3nf_branch_history'!$B$2:$B$50,"&lt;="&amp;L479))</f>
        <v/>
      </c>
      <c r="V479" s="2">
        <f>IF(U479="NOT FOUND","NOT FOUND",INDEX('6_3nf_branch_history'!$C:$C,SUMPRODUCT(('6_3nf_branch_history'!$A$2:$A$50=T479)*('6_3nf_branch_history'!$B$2:$B$50=U479)*ROW('6_3nf_branch_history'!$A$2:$A$50))))</f>
        <v/>
      </c>
      <c r="W479" s="2">
        <f>IF(U479="NOT FOUND","NOT FOUND",INDEX('6_3nf_branch_history'!$D:$D,SUMPRODUCT(('6_3nf_branch_history'!$A$2:$A$50=T479)*('6_3nf_branch_history'!$B$2:$B$50=U479)*ROW('6_3nf_branch_history'!$A$2:$A$50))))</f>
        <v/>
      </c>
      <c r="X479" s="2">
        <f>IF(U479="NOT FOUND","NOT FOUND",INDEX('6_3nf_branch_history'!$E:$E,SUMPRODUCT(('6_3nf_branch_history'!$A$2:$A$50=T479)*('6_3nf_branch_history'!$B$2:$B$50=U479)*ROW('6_3nf_branch_history'!$A$2:$A$50))))</f>
        <v/>
      </c>
      <c r="Y479" s="2">
        <f>UPPER(TRIM(D479))</f>
        <v/>
      </c>
      <c r="Z479" s="2">
        <f>IFERROR(INDEX('7_3nf_product'!$B:$B,MATCH(Y479,'7_3nf_product'!$A:$A,0)),"NOT FOUND")</f>
        <v/>
      </c>
      <c r="AA479" s="2">
        <f>IFERROR(INDEX('7_3nf_product'!$C:$C,MATCH(Y479,'7_3nf_product'!$A:$A,0)),"NOT FOUND")</f>
        <v/>
      </c>
      <c r="AB479" s="2">
        <f>IFERROR(INDEX('7_3nf_product'!$D:$D,MATCH(Y479,'7_3nf_product'!$A:$A,0)),"NOT FOUND")</f>
        <v/>
      </c>
      <c r="AC479" s="6">
        <f>IFERROR(INDEX('7_3nf_product'!$E:$E,MATCH(Y479,'7_3nf_product'!$A:$A,0)),"NOT FOUND")</f>
        <v/>
      </c>
      <c r="AD479" s="33">
        <f>IF(LEN(TRIM(E479))=10,TRIM(E479),IF(LEN(TRIM(E479))=8,"00"&amp;TRIM(E479),"CHECK"))</f>
        <v/>
      </c>
      <c r="AE479" s="2">
        <f>IFERROR(INDEX('8_3nf_customer'!$C:$C,MATCH(AD479,'8_3nf_customer'!$B:$B,0)),"NOT FOUND")</f>
        <v/>
      </c>
      <c r="AF479" s="30">
        <f>IFERROR(INDEX('8_3nf_customer'!$D:$D,MATCH(AD479,'8_3nf_customer'!$B:$B,0)),"NOT FOUND")</f>
        <v/>
      </c>
      <c r="AG479" s="4">
        <f>IF(ISNUMBER(AF479),DATEDIF(AF479,L479,"y"),"NOT FOUND")</f>
        <v/>
      </c>
      <c r="AH479" s="2">
        <f>IFERROR(INDEX('8_3nf_customer'!$E:$E,MATCH(AD479,'8_3nf_customer'!$B:$B,0)),"NOT FOUND")</f>
        <v/>
      </c>
      <c r="AI479" s="30">
        <f>IF(_xlfn.MAXIFS('9_3nf_customer_history'!$B$2:$B$500,'9_3nf_customer_history'!$A$2:$A$500,AD479,'9_3nf_customer_history'!$B$2:$B$500,"&lt;="&amp;L479)=0,"NOT FOUND",_xlfn.MAXIFS('9_3nf_customer_history'!$B$2:$B$500,'9_3nf_customer_history'!$A$2:$A$500,AD479,'9_3nf_customer_history'!$B$2:$B$500,"&lt;="&amp;L479))</f>
        <v/>
      </c>
      <c r="AJ479" s="2">
        <f>IF(AI479="NOT FOUND","NOT FOUND",INDEX('9_3nf_customer_history'!$C:$C,SUMPRODUCT(('9_3nf_customer_history'!$A$2:$A$500=AD479)*('9_3nf_customer_history'!$B$2:$B$500=AI479)*ROW('9_3nf_customer_history'!$A$2:$A$500))))</f>
        <v/>
      </c>
      <c r="AK479" s="2">
        <f>IF(AI479="NOT FOUND","NOT FOUND",INDEX('9_3nf_customer_history'!$D:$D,SUMPRODUCT(('9_3nf_customer_history'!$A$2:$A$500=AD479)*('9_3nf_customer_history'!$B$2:$B$500=AI479)*ROW('9_3nf_customer_history'!$A$2:$A$500))))</f>
        <v/>
      </c>
      <c r="AL479" s="2">
        <f>UPPER(TRIM(H479))</f>
        <v/>
      </c>
      <c r="AM479" s="30">
        <f>IF(_xlfn.MAXIFS('10_ref_fx_rate'!$B$2:$B$2000,'10_ref_fx_rate'!$A$2:$A$2000,AL479,'10_ref_fx_rate'!$B$2:$B$2000,"&lt;="&amp;L479)=0,"NOT FOUND",_xlfn.MAXIFS('10_ref_fx_rate'!$B$2:$B$2000,'10_ref_fx_rate'!$A$2:$A$2000,AL479,'10_ref_fx_rate'!$B$2:$B$2000,"&lt;="&amp;L479))</f>
        <v/>
      </c>
      <c r="AN479" s="8">
        <f>IF(AM479="NOT FOUND","NOT FOUND",SUMIFS('10_ref_fx_rate'!$D$2:$D$2000,'10_ref_fx_rate'!$A$2:$A$2000,AL479,'10_ref_fx_rate'!$B$2:$B$2000,AM479))</f>
        <v/>
      </c>
      <c r="AO479" s="37">
        <f>IF(ISNUMBER(AN479),I479*AN479,"NOT FOUND")</f>
        <v/>
      </c>
      <c r="AP479" s="2">
        <f>UPPER(TRIM(J479))</f>
        <v/>
      </c>
      <c r="AQ479" s="2">
        <f>IF(AP479="","SELF-DIRECTED",IF(ISNUMBER(MATCH(AP479,'11_3nf_sales_person'!$A:$A,0)),IF(EXACT(AP479,J479),"OK","OK (auto-fixed)"),IF(ISNA(MATCH($A479,'12_sales_person_confirmation'!$A:$A,0)),"CONFIRM (not logged)",IF(INDEX('12_sales_person_confirmation'!$I:$I,MATCH($A479,'12_sales_person_confirmation'!$A:$A,0))="CONFIRMED","CONFIRMED ("&amp;LOWER(INDEX('12_sales_person_confirmation'!$E:$E,MATCH($A479,'12_sales_person_confirmation'!$A:$A,0)))&amp;")","PENDING CONFIRM"))))</f>
        <v/>
      </c>
      <c r="AR479" s="2">
        <f>IF(OR(AQ479="OK",AQ479="OK (auto-fixed)"),AP479,IF(LEFT(AQ479,9)="CONFIRMED",INDEX('12_sales_person_confirmation'!$F:$F,MATCH($A479,'12_sales_person_confirmation'!$A:$A,0)),""))</f>
        <v/>
      </c>
      <c r="AS479" s="2">
        <f>IF(AR479="","",INDEX('11_3nf_sales_person'!$B:$B,MATCH(AR479,'11_3nf_sales_person'!$A:$A,0)))</f>
        <v/>
      </c>
    </row>
    <row r="480">
      <c r="A480" s="2">
        <f>IF(ISBLANK('1_raw_log'!A480),"",'1_raw_log'!A480)</f>
        <v/>
      </c>
      <c r="B480" s="3">
        <f>IF(ISBLANK('1_raw_log'!B480),"",'1_raw_log'!B480)</f>
        <v/>
      </c>
      <c r="C480" s="2">
        <f>IF(ISBLANK('1_raw_log'!C480),"",'1_raw_log'!C480)</f>
        <v/>
      </c>
      <c r="D480" s="2">
        <f>IF(ISBLANK('1_raw_log'!D480),"",'1_raw_log'!D480)</f>
        <v/>
      </c>
      <c r="E480" s="4">
        <f>IF(ISBLANK('1_raw_log'!E480),"",'1_raw_log'!E480)</f>
        <v/>
      </c>
      <c r="F480" s="2">
        <f>IF(ISBLANK('1_raw_log'!F480),"",'1_raw_log'!F480)</f>
        <v/>
      </c>
      <c r="G480" s="2">
        <f>IF(ISBLANK('1_raw_log'!G480),"",'1_raw_log'!G480)</f>
        <v/>
      </c>
      <c r="H480" s="2">
        <f>IF(ISBLANK('1_raw_log'!H480),"",'1_raw_log'!H480)</f>
        <v/>
      </c>
      <c r="I480" s="7">
        <f>IF(ISBLANK('1_raw_log'!I480),"",'1_raw_log'!I480)</f>
        <v/>
      </c>
      <c r="J480" s="2">
        <f>IF(ISBLANK('1_raw_log'!J480),"",'1_raw_log'!J480)</f>
        <v/>
      </c>
      <c r="K480" s="2">
        <f>IF(ISBLANK('1_raw_log'!K480),"",'1_raw_log'!K480)</f>
        <v/>
      </c>
      <c r="L480" s="30">
        <f>INT(B480)</f>
        <v/>
      </c>
      <c r="M480" s="20">
        <f>ROUND(MOD(B480,1)*1440,0)/1440</f>
        <v/>
      </c>
      <c r="N480" s="4">
        <f>IFERROR(INDEX('3_ref_date'!$B:$B,MATCH(L480,'3_ref_date'!$A:$A,0)),"NOT FOUND")</f>
        <v/>
      </c>
      <c r="O480" s="2">
        <f>IFERROR(INDEX('3_ref_date'!$C:$C,MATCH(L480,'3_ref_date'!$A:$A,0)),"NOT FOUND")</f>
        <v/>
      </c>
      <c r="P480" s="4">
        <f>IFERROR(INDEX('3_ref_date'!$D:$D,MATCH(L480,'3_ref_date'!$A:$A,0)),"NOT FOUND")</f>
        <v/>
      </c>
      <c r="Q480" s="4">
        <f>IFERROR(INDEX('3_ref_date'!$E:$E,MATCH(L480,'3_ref_date'!$A:$A,0)),"NOT FOUND")</f>
        <v/>
      </c>
      <c r="R480" s="2">
        <f>IFERROR(INDEX('3_ref_date'!$F:$F,MATCH(L480,'3_ref_date'!$A:$A,0)),"NOT FOUND")</f>
        <v/>
      </c>
      <c r="S480" s="2">
        <f>IFERROR(INDEX('4_ref_time'!$D:$D,MATCH(ROUND(M480*1440,0),'4_ref_time'!$A:$A,0)),"NOT FOUND")</f>
        <v/>
      </c>
      <c r="T480" s="2">
        <f>UPPER(TRIM(C480))</f>
        <v/>
      </c>
      <c r="U480" s="30">
        <f>IF(_xlfn.MAXIFS('6_3nf_branch_history'!$B$2:$B$50,'6_3nf_branch_history'!$A$2:$A$50,T480,'6_3nf_branch_history'!$B$2:$B$50,"&lt;="&amp;L480)=0,"NOT FOUND",_xlfn.MAXIFS('6_3nf_branch_history'!$B$2:$B$50,'6_3nf_branch_history'!$A$2:$A$50,T480,'6_3nf_branch_history'!$B$2:$B$50,"&lt;="&amp;L480))</f>
        <v/>
      </c>
      <c r="V480" s="2">
        <f>IF(U480="NOT FOUND","NOT FOUND",INDEX('6_3nf_branch_history'!$C:$C,SUMPRODUCT(('6_3nf_branch_history'!$A$2:$A$50=T480)*('6_3nf_branch_history'!$B$2:$B$50=U480)*ROW('6_3nf_branch_history'!$A$2:$A$50))))</f>
        <v/>
      </c>
      <c r="W480" s="2">
        <f>IF(U480="NOT FOUND","NOT FOUND",INDEX('6_3nf_branch_history'!$D:$D,SUMPRODUCT(('6_3nf_branch_history'!$A$2:$A$50=T480)*('6_3nf_branch_history'!$B$2:$B$50=U480)*ROW('6_3nf_branch_history'!$A$2:$A$50))))</f>
        <v/>
      </c>
      <c r="X480" s="2">
        <f>IF(U480="NOT FOUND","NOT FOUND",INDEX('6_3nf_branch_history'!$E:$E,SUMPRODUCT(('6_3nf_branch_history'!$A$2:$A$50=T480)*('6_3nf_branch_history'!$B$2:$B$50=U480)*ROW('6_3nf_branch_history'!$A$2:$A$50))))</f>
        <v/>
      </c>
      <c r="Y480" s="2">
        <f>UPPER(TRIM(D480))</f>
        <v/>
      </c>
      <c r="Z480" s="2">
        <f>IFERROR(INDEX('7_3nf_product'!$B:$B,MATCH(Y480,'7_3nf_product'!$A:$A,0)),"NOT FOUND")</f>
        <v/>
      </c>
      <c r="AA480" s="2">
        <f>IFERROR(INDEX('7_3nf_product'!$C:$C,MATCH(Y480,'7_3nf_product'!$A:$A,0)),"NOT FOUND")</f>
        <v/>
      </c>
      <c r="AB480" s="2">
        <f>IFERROR(INDEX('7_3nf_product'!$D:$D,MATCH(Y480,'7_3nf_product'!$A:$A,0)),"NOT FOUND")</f>
        <v/>
      </c>
      <c r="AC480" s="6">
        <f>IFERROR(INDEX('7_3nf_product'!$E:$E,MATCH(Y480,'7_3nf_product'!$A:$A,0)),"NOT FOUND")</f>
        <v/>
      </c>
      <c r="AD480" s="33">
        <f>IF(LEN(TRIM(E480))=10,TRIM(E480),IF(LEN(TRIM(E480))=8,"00"&amp;TRIM(E480),"CHECK"))</f>
        <v/>
      </c>
      <c r="AE480" s="2">
        <f>IFERROR(INDEX('8_3nf_customer'!$C:$C,MATCH(AD480,'8_3nf_customer'!$B:$B,0)),"NOT FOUND")</f>
        <v/>
      </c>
      <c r="AF480" s="30">
        <f>IFERROR(INDEX('8_3nf_customer'!$D:$D,MATCH(AD480,'8_3nf_customer'!$B:$B,0)),"NOT FOUND")</f>
        <v/>
      </c>
      <c r="AG480" s="4">
        <f>IF(ISNUMBER(AF480),DATEDIF(AF480,L480,"y"),"NOT FOUND")</f>
        <v/>
      </c>
      <c r="AH480" s="2">
        <f>IFERROR(INDEX('8_3nf_customer'!$E:$E,MATCH(AD480,'8_3nf_customer'!$B:$B,0)),"NOT FOUND")</f>
        <v/>
      </c>
      <c r="AI480" s="30">
        <f>IF(_xlfn.MAXIFS('9_3nf_customer_history'!$B$2:$B$500,'9_3nf_customer_history'!$A$2:$A$500,AD480,'9_3nf_customer_history'!$B$2:$B$500,"&lt;="&amp;L480)=0,"NOT FOUND",_xlfn.MAXIFS('9_3nf_customer_history'!$B$2:$B$500,'9_3nf_customer_history'!$A$2:$A$500,AD480,'9_3nf_customer_history'!$B$2:$B$500,"&lt;="&amp;L480))</f>
        <v/>
      </c>
      <c r="AJ480" s="2">
        <f>IF(AI480="NOT FOUND","NOT FOUND",INDEX('9_3nf_customer_history'!$C:$C,SUMPRODUCT(('9_3nf_customer_history'!$A$2:$A$500=AD480)*('9_3nf_customer_history'!$B$2:$B$500=AI480)*ROW('9_3nf_customer_history'!$A$2:$A$500))))</f>
        <v/>
      </c>
      <c r="AK480" s="2">
        <f>IF(AI480="NOT FOUND","NOT FOUND",INDEX('9_3nf_customer_history'!$D:$D,SUMPRODUCT(('9_3nf_customer_history'!$A$2:$A$500=AD480)*('9_3nf_customer_history'!$B$2:$B$500=AI480)*ROW('9_3nf_customer_history'!$A$2:$A$500))))</f>
        <v/>
      </c>
      <c r="AL480" s="2">
        <f>UPPER(TRIM(H480))</f>
        <v/>
      </c>
      <c r="AM480" s="30">
        <f>IF(_xlfn.MAXIFS('10_ref_fx_rate'!$B$2:$B$2000,'10_ref_fx_rate'!$A$2:$A$2000,AL480,'10_ref_fx_rate'!$B$2:$B$2000,"&lt;="&amp;L480)=0,"NOT FOUND",_xlfn.MAXIFS('10_ref_fx_rate'!$B$2:$B$2000,'10_ref_fx_rate'!$A$2:$A$2000,AL480,'10_ref_fx_rate'!$B$2:$B$2000,"&lt;="&amp;L480))</f>
        <v/>
      </c>
      <c r="AN480" s="8">
        <f>IF(AM480="NOT FOUND","NOT FOUND",SUMIFS('10_ref_fx_rate'!$D$2:$D$2000,'10_ref_fx_rate'!$A$2:$A$2000,AL480,'10_ref_fx_rate'!$B$2:$B$2000,AM480))</f>
        <v/>
      </c>
      <c r="AO480" s="37">
        <f>IF(ISNUMBER(AN480),I480*AN480,"NOT FOUND")</f>
        <v/>
      </c>
      <c r="AP480" s="2">
        <f>UPPER(TRIM(J480))</f>
        <v/>
      </c>
      <c r="AQ480" s="2">
        <f>IF(AP480="","SELF-DIRECTED",IF(ISNUMBER(MATCH(AP480,'11_3nf_sales_person'!$A:$A,0)),IF(EXACT(AP480,J480),"OK","OK (auto-fixed)"),IF(ISNA(MATCH($A480,'12_sales_person_confirmation'!$A:$A,0)),"CONFIRM (not logged)",IF(INDEX('12_sales_person_confirmation'!$I:$I,MATCH($A480,'12_sales_person_confirmation'!$A:$A,0))="CONFIRMED","CONFIRMED ("&amp;LOWER(INDEX('12_sales_person_confirmation'!$E:$E,MATCH($A480,'12_sales_person_confirmation'!$A:$A,0)))&amp;")","PENDING CONFIRM"))))</f>
        <v/>
      </c>
      <c r="AR480" s="2">
        <f>IF(OR(AQ480="OK",AQ480="OK (auto-fixed)"),AP480,IF(LEFT(AQ480,9)="CONFIRMED",INDEX('12_sales_person_confirmation'!$F:$F,MATCH($A480,'12_sales_person_confirmation'!$A:$A,0)),""))</f>
        <v/>
      </c>
      <c r="AS480" s="2">
        <f>IF(AR480="","",INDEX('11_3nf_sales_person'!$B:$B,MATCH(AR480,'11_3nf_sales_person'!$A:$A,0)))</f>
        <v/>
      </c>
    </row>
    <row r="481">
      <c r="A481" s="2">
        <f>IF(ISBLANK('1_raw_log'!A481),"",'1_raw_log'!A481)</f>
        <v/>
      </c>
      <c r="B481" s="3">
        <f>IF(ISBLANK('1_raw_log'!B481),"",'1_raw_log'!B481)</f>
        <v/>
      </c>
      <c r="C481" s="2">
        <f>IF(ISBLANK('1_raw_log'!C481),"",'1_raw_log'!C481)</f>
        <v/>
      </c>
      <c r="D481" s="2">
        <f>IF(ISBLANK('1_raw_log'!D481),"",'1_raw_log'!D481)</f>
        <v/>
      </c>
      <c r="E481" s="4">
        <f>IF(ISBLANK('1_raw_log'!E481),"",'1_raw_log'!E481)</f>
        <v/>
      </c>
      <c r="F481" s="2">
        <f>IF(ISBLANK('1_raw_log'!F481),"",'1_raw_log'!F481)</f>
        <v/>
      </c>
      <c r="G481" s="2">
        <f>IF(ISBLANK('1_raw_log'!G481),"",'1_raw_log'!G481)</f>
        <v/>
      </c>
      <c r="H481" s="2">
        <f>IF(ISBLANK('1_raw_log'!H481),"",'1_raw_log'!H481)</f>
        <v/>
      </c>
      <c r="I481" s="7">
        <f>IF(ISBLANK('1_raw_log'!I481),"",'1_raw_log'!I481)</f>
        <v/>
      </c>
      <c r="J481" s="2">
        <f>IF(ISBLANK('1_raw_log'!J481),"",'1_raw_log'!J481)</f>
        <v/>
      </c>
      <c r="K481" s="2">
        <f>IF(ISBLANK('1_raw_log'!K481),"",'1_raw_log'!K481)</f>
        <v/>
      </c>
      <c r="L481" s="30">
        <f>INT(B481)</f>
        <v/>
      </c>
      <c r="M481" s="20">
        <f>ROUND(MOD(B481,1)*1440,0)/1440</f>
        <v/>
      </c>
      <c r="N481" s="4">
        <f>IFERROR(INDEX('3_ref_date'!$B:$B,MATCH(L481,'3_ref_date'!$A:$A,0)),"NOT FOUND")</f>
        <v/>
      </c>
      <c r="O481" s="2">
        <f>IFERROR(INDEX('3_ref_date'!$C:$C,MATCH(L481,'3_ref_date'!$A:$A,0)),"NOT FOUND")</f>
        <v/>
      </c>
      <c r="P481" s="4">
        <f>IFERROR(INDEX('3_ref_date'!$D:$D,MATCH(L481,'3_ref_date'!$A:$A,0)),"NOT FOUND")</f>
        <v/>
      </c>
      <c r="Q481" s="4">
        <f>IFERROR(INDEX('3_ref_date'!$E:$E,MATCH(L481,'3_ref_date'!$A:$A,0)),"NOT FOUND")</f>
        <v/>
      </c>
      <c r="R481" s="2">
        <f>IFERROR(INDEX('3_ref_date'!$F:$F,MATCH(L481,'3_ref_date'!$A:$A,0)),"NOT FOUND")</f>
        <v/>
      </c>
      <c r="S481" s="2">
        <f>IFERROR(INDEX('4_ref_time'!$D:$D,MATCH(ROUND(M481*1440,0),'4_ref_time'!$A:$A,0)),"NOT FOUND")</f>
        <v/>
      </c>
      <c r="T481" s="2">
        <f>UPPER(TRIM(C481))</f>
        <v/>
      </c>
      <c r="U481" s="30">
        <f>IF(_xlfn.MAXIFS('6_3nf_branch_history'!$B$2:$B$50,'6_3nf_branch_history'!$A$2:$A$50,T481,'6_3nf_branch_history'!$B$2:$B$50,"&lt;="&amp;L481)=0,"NOT FOUND",_xlfn.MAXIFS('6_3nf_branch_history'!$B$2:$B$50,'6_3nf_branch_history'!$A$2:$A$50,T481,'6_3nf_branch_history'!$B$2:$B$50,"&lt;="&amp;L481))</f>
        <v/>
      </c>
      <c r="V481" s="2">
        <f>IF(U481="NOT FOUND","NOT FOUND",INDEX('6_3nf_branch_history'!$C:$C,SUMPRODUCT(('6_3nf_branch_history'!$A$2:$A$50=T481)*('6_3nf_branch_history'!$B$2:$B$50=U481)*ROW('6_3nf_branch_history'!$A$2:$A$50))))</f>
        <v/>
      </c>
      <c r="W481" s="2">
        <f>IF(U481="NOT FOUND","NOT FOUND",INDEX('6_3nf_branch_history'!$D:$D,SUMPRODUCT(('6_3nf_branch_history'!$A$2:$A$50=T481)*('6_3nf_branch_history'!$B$2:$B$50=U481)*ROW('6_3nf_branch_history'!$A$2:$A$50))))</f>
        <v/>
      </c>
      <c r="X481" s="2">
        <f>IF(U481="NOT FOUND","NOT FOUND",INDEX('6_3nf_branch_history'!$E:$E,SUMPRODUCT(('6_3nf_branch_history'!$A$2:$A$50=T481)*('6_3nf_branch_history'!$B$2:$B$50=U481)*ROW('6_3nf_branch_history'!$A$2:$A$50))))</f>
        <v/>
      </c>
      <c r="Y481" s="2">
        <f>UPPER(TRIM(D481))</f>
        <v/>
      </c>
      <c r="Z481" s="2">
        <f>IFERROR(INDEX('7_3nf_product'!$B:$B,MATCH(Y481,'7_3nf_product'!$A:$A,0)),"NOT FOUND")</f>
        <v/>
      </c>
      <c r="AA481" s="2">
        <f>IFERROR(INDEX('7_3nf_product'!$C:$C,MATCH(Y481,'7_3nf_product'!$A:$A,0)),"NOT FOUND")</f>
        <v/>
      </c>
      <c r="AB481" s="2">
        <f>IFERROR(INDEX('7_3nf_product'!$D:$D,MATCH(Y481,'7_3nf_product'!$A:$A,0)),"NOT FOUND")</f>
        <v/>
      </c>
      <c r="AC481" s="6">
        <f>IFERROR(INDEX('7_3nf_product'!$E:$E,MATCH(Y481,'7_3nf_product'!$A:$A,0)),"NOT FOUND")</f>
        <v/>
      </c>
      <c r="AD481" s="33">
        <f>IF(LEN(TRIM(E481))=10,TRIM(E481),IF(LEN(TRIM(E481))=8,"00"&amp;TRIM(E481),"CHECK"))</f>
        <v/>
      </c>
      <c r="AE481" s="2">
        <f>IFERROR(INDEX('8_3nf_customer'!$C:$C,MATCH(AD481,'8_3nf_customer'!$B:$B,0)),"NOT FOUND")</f>
        <v/>
      </c>
      <c r="AF481" s="30">
        <f>IFERROR(INDEX('8_3nf_customer'!$D:$D,MATCH(AD481,'8_3nf_customer'!$B:$B,0)),"NOT FOUND")</f>
        <v/>
      </c>
      <c r="AG481" s="4">
        <f>IF(ISNUMBER(AF481),DATEDIF(AF481,L481,"y"),"NOT FOUND")</f>
        <v/>
      </c>
      <c r="AH481" s="2">
        <f>IFERROR(INDEX('8_3nf_customer'!$E:$E,MATCH(AD481,'8_3nf_customer'!$B:$B,0)),"NOT FOUND")</f>
        <v/>
      </c>
      <c r="AI481" s="30">
        <f>IF(_xlfn.MAXIFS('9_3nf_customer_history'!$B$2:$B$500,'9_3nf_customer_history'!$A$2:$A$500,AD481,'9_3nf_customer_history'!$B$2:$B$500,"&lt;="&amp;L481)=0,"NOT FOUND",_xlfn.MAXIFS('9_3nf_customer_history'!$B$2:$B$500,'9_3nf_customer_history'!$A$2:$A$500,AD481,'9_3nf_customer_history'!$B$2:$B$500,"&lt;="&amp;L481))</f>
        <v/>
      </c>
      <c r="AJ481" s="2">
        <f>IF(AI481="NOT FOUND","NOT FOUND",INDEX('9_3nf_customer_history'!$C:$C,SUMPRODUCT(('9_3nf_customer_history'!$A$2:$A$500=AD481)*('9_3nf_customer_history'!$B$2:$B$500=AI481)*ROW('9_3nf_customer_history'!$A$2:$A$500))))</f>
        <v/>
      </c>
      <c r="AK481" s="2">
        <f>IF(AI481="NOT FOUND","NOT FOUND",INDEX('9_3nf_customer_history'!$D:$D,SUMPRODUCT(('9_3nf_customer_history'!$A$2:$A$500=AD481)*('9_3nf_customer_history'!$B$2:$B$500=AI481)*ROW('9_3nf_customer_history'!$A$2:$A$500))))</f>
        <v/>
      </c>
      <c r="AL481" s="2">
        <f>UPPER(TRIM(H481))</f>
        <v/>
      </c>
      <c r="AM481" s="30">
        <f>IF(_xlfn.MAXIFS('10_ref_fx_rate'!$B$2:$B$2000,'10_ref_fx_rate'!$A$2:$A$2000,AL481,'10_ref_fx_rate'!$B$2:$B$2000,"&lt;="&amp;L481)=0,"NOT FOUND",_xlfn.MAXIFS('10_ref_fx_rate'!$B$2:$B$2000,'10_ref_fx_rate'!$A$2:$A$2000,AL481,'10_ref_fx_rate'!$B$2:$B$2000,"&lt;="&amp;L481))</f>
        <v/>
      </c>
      <c r="AN481" s="8">
        <f>IF(AM481="NOT FOUND","NOT FOUND",SUMIFS('10_ref_fx_rate'!$D$2:$D$2000,'10_ref_fx_rate'!$A$2:$A$2000,AL481,'10_ref_fx_rate'!$B$2:$B$2000,AM481))</f>
        <v/>
      </c>
      <c r="AO481" s="37">
        <f>IF(ISNUMBER(AN481),I481*AN481,"NOT FOUND")</f>
        <v/>
      </c>
      <c r="AP481" s="2">
        <f>UPPER(TRIM(J481))</f>
        <v/>
      </c>
      <c r="AQ481" s="2">
        <f>IF(AP481="","SELF-DIRECTED",IF(ISNUMBER(MATCH(AP481,'11_3nf_sales_person'!$A:$A,0)),IF(EXACT(AP481,J481),"OK","OK (auto-fixed)"),IF(ISNA(MATCH($A481,'12_sales_person_confirmation'!$A:$A,0)),"CONFIRM (not logged)",IF(INDEX('12_sales_person_confirmation'!$I:$I,MATCH($A481,'12_sales_person_confirmation'!$A:$A,0))="CONFIRMED","CONFIRMED ("&amp;LOWER(INDEX('12_sales_person_confirmation'!$E:$E,MATCH($A481,'12_sales_person_confirmation'!$A:$A,0)))&amp;")","PENDING CONFIRM"))))</f>
        <v/>
      </c>
      <c r="AR481" s="2">
        <f>IF(OR(AQ481="OK",AQ481="OK (auto-fixed)"),AP481,IF(LEFT(AQ481,9)="CONFIRMED",INDEX('12_sales_person_confirmation'!$F:$F,MATCH($A481,'12_sales_person_confirmation'!$A:$A,0)),""))</f>
        <v/>
      </c>
      <c r="AS481" s="2">
        <f>IF(AR481="","",INDEX('11_3nf_sales_person'!$B:$B,MATCH(AR481,'11_3nf_sales_person'!$A:$A,0)))</f>
        <v/>
      </c>
    </row>
    <row r="482">
      <c r="A482" s="2">
        <f>IF(ISBLANK('1_raw_log'!A482),"",'1_raw_log'!A482)</f>
        <v/>
      </c>
      <c r="B482" s="3">
        <f>IF(ISBLANK('1_raw_log'!B482),"",'1_raw_log'!B482)</f>
        <v/>
      </c>
      <c r="C482" s="2">
        <f>IF(ISBLANK('1_raw_log'!C482),"",'1_raw_log'!C482)</f>
        <v/>
      </c>
      <c r="D482" s="2">
        <f>IF(ISBLANK('1_raw_log'!D482),"",'1_raw_log'!D482)</f>
        <v/>
      </c>
      <c r="E482" s="4">
        <f>IF(ISBLANK('1_raw_log'!E482),"",'1_raw_log'!E482)</f>
        <v/>
      </c>
      <c r="F482" s="2">
        <f>IF(ISBLANK('1_raw_log'!F482),"",'1_raw_log'!F482)</f>
        <v/>
      </c>
      <c r="G482" s="2">
        <f>IF(ISBLANK('1_raw_log'!G482),"",'1_raw_log'!G482)</f>
        <v/>
      </c>
      <c r="H482" s="2">
        <f>IF(ISBLANK('1_raw_log'!H482),"",'1_raw_log'!H482)</f>
        <v/>
      </c>
      <c r="I482" s="7">
        <f>IF(ISBLANK('1_raw_log'!I482),"",'1_raw_log'!I482)</f>
        <v/>
      </c>
      <c r="J482" s="2">
        <f>IF(ISBLANK('1_raw_log'!J482),"",'1_raw_log'!J482)</f>
        <v/>
      </c>
      <c r="K482" s="2">
        <f>IF(ISBLANK('1_raw_log'!K482),"",'1_raw_log'!K482)</f>
        <v/>
      </c>
      <c r="L482" s="30">
        <f>INT(B482)</f>
        <v/>
      </c>
      <c r="M482" s="20">
        <f>ROUND(MOD(B482,1)*1440,0)/1440</f>
        <v/>
      </c>
      <c r="N482" s="4">
        <f>IFERROR(INDEX('3_ref_date'!$B:$B,MATCH(L482,'3_ref_date'!$A:$A,0)),"NOT FOUND")</f>
        <v/>
      </c>
      <c r="O482" s="2">
        <f>IFERROR(INDEX('3_ref_date'!$C:$C,MATCH(L482,'3_ref_date'!$A:$A,0)),"NOT FOUND")</f>
        <v/>
      </c>
      <c r="P482" s="4">
        <f>IFERROR(INDEX('3_ref_date'!$D:$D,MATCH(L482,'3_ref_date'!$A:$A,0)),"NOT FOUND")</f>
        <v/>
      </c>
      <c r="Q482" s="4">
        <f>IFERROR(INDEX('3_ref_date'!$E:$E,MATCH(L482,'3_ref_date'!$A:$A,0)),"NOT FOUND")</f>
        <v/>
      </c>
      <c r="R482" s="2">
        <f>IFERROR(INDEX('3_ref_date'!$F:$F,MATCH(L482,'3_ref_date'!$A:$A,0)),"NOT FOUND")</f>
        <v/>
      </c>
      <c r="S482" s="2">
        <f>IFERROR(INDEX('4_ref_time'!$D:$D,MATCH(ROUND(M482*1440,0),'4_ref_time'!$A:$A,0)),"NOT FOUND")</f>
        <v/>
      </c>
      <c r="T482" s="2">
        <f>UPPER(TRIM(C482))</f>
        <v/>
      </c>
      <c r="U482" s="30">
        <f>IF(_xlfn.MAXIFS('6_3nf_branch_history'!$B$2:$B$50,'6_3nf_branch_history'!$A$2:$A$50,T482,'6_3nf_branch_history'!$B$2:$B$50,"&lt;="&amp;L482)=0,"NOT FOUND",_xlfn.MAXIFS('6_3nf_branch_history'!$B$2:$B$50,'6_3nf_branch_history'!$A$2:$A$50,T482,'6_3nf_branch_history'!$B$2:$B$50,"&lt;="&amp;L482))</f>
        <v/>
      </c>
      <c r="V482" s="2">
        <f>IF(U482="NOT FOUND","NOT FOUND",INDEX('6_3nf_branch_history'!$C:$C,SUMPRODUCT(('6_3nf_branch_history'!$A$2:$A$50=T482)*('6_3nf_branch_history'!$B$2:$B$50=U482)*ROW('6_3nf_branch_history'!$A$2:$A$50))))</f>
        <v/>
      </c>
      <c r="W482" s="2">
        <f>IF(U482="NOT FOUND","NOT FOUND",INDEX('6_3nf_branch_history'!$D:$D,SUMPRODUCT(('6_3nf_branch_history'!$A$2:$A$50=T482)*('6_3nf_branch_history'!$B$2:$B$50=U482)*ROW('6_3nf_branch_history'!$A$2:$A$50))))</f>
        <v/>
      </c>
      <c r="X482" s="2">
        <f>IF(U482="NOT FOUND","NOT FOUND",INDEX('6_3nf_branch_history'!$E:$E,SUMPRODUCT(('6_3nf_branch_history'!$A$2:$A$50=T482)*('6_3nf_branch_history'!$B$2:$B$50=U482)*ROW('6_3nf_branch_history'!$A$2:$A$50))))</f>
        <v/>
      </c>
      <c r="Y482" s="2">
        <f>UPPER(TRIM(D482))</f>
        <v/>
      </c>
      <c r="Z482" s="2">
        <f>IFERROR(INDEX('7_3nf_product'!$B:$B,MATCH(Y482,'7_3nf_product'!$A:$A,0)),"NOT FOUND")</f>
        <v/>
      </c>
      <c r="AA482" s="2">
        <f>IFERROR(INDEX('7_3nf_product'!$C:$C,MATCH(Y482,'7_3nf_product'!$A:$A,0)),"NOT FOUND")</f>
        <v/>
      </c>
      <c r="AB482" s="2">
        <f>IFERROR(INDEX('7_3nf_product'!$D:$D,MATCH(Y482,'7_3nf_product'!$A:$A,0)),"NOT FOUND")</f>
        <v/>
      </c>
      <c r="AC482" s="6">
        <f>IFERROR(INDEX('7_3nf_product'!$E:$E,MATCH(Y482,'7_3nf_product'!$A:$A,0)),"NOT FOUND")</f>
        <v/>
      </c>
      <c r="AD482" s="33">
        <f>IF(LEN(TRIM(E482))=10,TRIM(E482),IF(LEN(TRIM(E482))=8,"00"&amp;TRIM(E482),"CHECK"))</f>
        <v/>
      </c>
      <c r="AE482" s="2">
        <f>IFERROR(INDEX('8_3nf_customer'!$C:$C,MATCH(AD482,'8_3nf_customer'!$B:$B,0)),"NOT FOUND")</f>
        <v/>
      </c>
      <c r="AF482" s="30">
        <f>IFERROR(INDEX('8_3nf_customer'!$D:$D,MATCH(AD482,'8_3nf_customer'!$B:$B,0)),"NOT FOUND")</f>
        <v/>
      </c>
      <c r="AG482" s="4">
        <f>IF(ISNUMBER(AF482),DATEDIF(AF482,L482,"y"),"NOT FOUND")</f>
        <v/>
      </c>
      <c r="AH482" s="2">
        <f>IFERROR(INDEX('8_3nf_customer'!$E:$E,MATCH(AD482,'8_3nf_customer'!$B:$B,0)),"NOT FOUND")</f>
        <v/>
      </c>
      <c r="AI482" s="30">
        <f>IF(_xlfn.MAXIFS('9_3nf_customer_history'!$B$2:$B$500,'9_3nf_customer_history'!$A$2:$A$500,AD482,'9_3nf_customer_history'!$B$2:$B$500,"&lt;="&amp;L482)=0,"NOT FOUND",_xlfn.MAXIFS('9_3nf_customer_history'!$B$2:$B$500,'9_3nf_customer_history'!$A$2:$A$500,AD482,'9_3nf_customer_history'!$B$2:$B$500,"&lt;="&amp;L482))</f>
        <v/>
      </c>
      <c r="AJ482" s="2">
        <f>IF(AI482="NOT FOUND","NOT FOUND",INDEX('9_3nf_customer_history'!$C:$C,SUMPRODUCT(('9_3nf_customer_history'!$A$2:$A$500=AD482)*('9_3nf_customer_history'!$B$2:$B$500=AI482)*ROW('9_3nf_customer_history'!$A$2:$A$500))))</f>
        <v/>
      </c>
      <c r="AK482" s="2">
        <f>IF(AI482="NOT FOUND","NOT FOUND",INDEX('9_3nf_customer_history'!$D:$D,SUMPRODUCT(('9_3nf_customer_history'!$A$2:$A$500=AD482)*('9_3nf_customer_history'!$B$2:$B$500=AI482)*ROW('9_3nf_customer_history'!$A$2:$A$500))))</f>
        <v/>
      </c>
      <c r="AL482" s="2">
        <f>UPPER(TRIM(H482))</f>
        <v/>
      </c>
      <c r="AM482" s="30">
        <f>IF(_xlfn.MAXIFS('10_ref_fx_rate'!$B$2:$B$2000,'10_ref_fx_rate'!$A$2:$A$2000,AL482,'10_ref_fx_rate'!$B$2:$B$2000,"&lt;="&amp;L482)=0,"NOT FOUND",_xlfn.MAXIFS('10_ref_fx_rate'!$B$2:$B$2000,'10_ref_fx_rate'!$A$2:$A$2000,AL482,'10_ref_fx_rate'!$B$2:$B$2000,"&lt;="&amp;L482))</f>
        <v/>
      </c>
      <c r="AN482" s="8">
        <f>IF(AM482="NOT FOUND","NOT FOUND",SUMIFS('10_ref_fx_rate'!$D$2:$D$2000,'10_ref_fx_rate'!$A$2:$A$2000,AL482,'10_ref_fx_rate'!$B$2:$B$2000,AM482))</f>
        <v/>
      </c>
      <c r="AO482" s="37">
        <f>IF(ISNUMBER(AN482),I482*AN482,"NOT FOUND")</f>
        <v/>
      </c>
      <c r="AP482" s="2">
        <f>UPPER(TRIM(J482))</f>
        <v/>
      </c>
      <c r="AQ482" s="2">
        <f>IF(AP482="","SELF-DIRECTED",IF(ISNUMBER(MATCH(AP482,'11_3nf_sales_person'!$A:$A,0)),IF(EXACT(AP482,J482),"OK","OK (auto-fixed)"),IF(ISNA(MATCH($A482,'12_sales_person_confirmation'!$A:$A,0)),"CONFIRM (not logged)",IF(INDEX('12_sales_person_confirmation'!$I:$I,MATCH($A482,'12_sales_person_confirmation'!$A:$A,0))="CONFIRMED","CONFIRMED ("&amp;LOWER(INDEX('12_sales_person_confirmation'!$E:$E,MATCH($A482,'12_sales_person_confirmation'!$A:$A,0)))&amp;")","PENDING CONFIRM"))))</f>
        <v/>
      </c>
      <c r="AR482" s="2">
        <f>IF(OR(AQ482="OK",AQ482="OK (auto-fixed)"),AP482,IF(LEFT(AQ482,9)="CONFIRMED",INDEX('12_sales_person_confirmation'!$F:$F,MATCH($A482,'12_sales_person_confirmation'!$A:$A,0)),""))</f>
        <v/>
      </c>
      <c r="AS482" s="2">
        <f>IF(AR482="","",INDEX('11_3nf_sales_person'!$B:$B,MATCH(AR482,'11_3nf_sales_person'!$A:$A,0)))</f>
        <v/>
      </c>
    </row>
    <row r="483">
      <c r="A483" s="2">
        <f>IF(ISBLANK('1_raw_log'!A483),"",'1_raw_log'!A483)</f>
        <v/>
      </c>
      <c r="B483" s="3">
        <f>IF(ISBLANK('1_raw_log'!B483),"",'1_raw_log'!B483)</f>
        <v/>
      </c>
      <c r="C483" s="2">
        <f>IF(ISBLANK('1_raw_log'!C483),"",'1_raw_log'!C483)</f>
        <v/>
      </c>
      <c r="D483" s="2">
        <f>IF(ISBLANK('1_raw_log'!D483),"",'1_raw_log'!D483)</f>
        <v/>
      </c>
      <c r="E483" s="4">
        <f>IF(ISBLANK('1_raw_log'!E483),"",'1_raw_log'!E483)</f>
        <v/>
      </c>
      <c r="F483" s="2">
        <f>IF(ISBLANK('1_raw_log'!F483),"",'1_raw_log'!F483)</f>
        <v/>
      </c>
      <c r="G483" s="2">
        <f>IF(ISBLANK('1_raw_log'!G483),"",'1_raw_log'!G483)</f>
        <v/>
      </c>
      <c r="H483" s="2">
        <f>IF(ISBLANK('1_raw_log'!H483),"",'1_raw_log'!H483)</f>
        <v/>
      </c>
      <c r="I483" s="7">
        <f>IF(ISBLANK('1_raw_log'!I483),"",'1_raw_log'!I483)</f>
        <v/>
      </c>
      <c r="J483" s="2">
        <f>IF(ISBLANK('1_raw_log'!J483),"",'1_raw_log'!J483)</f>
        <v/>
      </c>
      <c r="K483" s="2">
        <f>IF(ISBLANK('1_raw_log'!K483),"",'1_raw_log'!K483)</f>
        <v/>
      </c>
      <c r="L483" s="30">
        <f>INT(B483)</f>
        <v/>
      </c>
      <c r="M483" s="20">
        <f>ROUND(MOD(B483,1)*1440,0)/1440</f>
        <v/>
      </c>
      <c r="N483" s="4">
        <f>IFERROR(INDEX('3_ref_date'!$B:$B,MATCH(L483,'3_ref_date'!$A:$A,0)),"NOT FOUND")</f>
        <v/>
      </c>
      <c r="O483" s="2">
        <f>IFERROR(INDEX('3_ref_date'!$C:$C,MATCH(L483,'3_ref_date'!$A:$A,0)),"NOT FOUND")</f>
        <v/>
      </c>
      <c r="P483" s="4">
        <f>IFERROR(INDEX('3_ref_date'!$D:$D,MATCH(L483,'3_ref_date'!$A:$A,0)),"NOT FOUND")</f>
        <v/>
      </c>
      <c r="Q483" s="4">
        <f>IFERROR(INDEX('3_ref_date'!$E:$E,MATCH(L483,'3_ref_date'!$A:$A,0)),"NOT FOUND")</f>
        <v/>
      </c>
      <c r="R483" s="2">
        <f>IFERROR(INDEX('3_ref_date'!$F:$F,MATCH(L483,'3_ref_date'!$A:$A,0)),"NOT FOUND")</f>
        <v/>
      </c>
      <c r="S483" s="2">
        <f>IFERROR(INDEX('4_ref_time'!$D:$D,MATCH(ROUND(M483*1440,0),'4_ref_time'!$A:$A,0)),"NOT FOUND")</f>
        <v/>
      </c>
      <c r="T483" s="2">
        <f>UPPER(TRIM(C483))</f>
        <v/>
      </c>
      <c r="U483" s="30">
        <f>IF(_xlfn.MAXIFS('6_3nf_branch_history'!$B$2:$B$50,'6_3nf_branch_history'!$A$2:$A$50,T483,'6_3nf_branch_history'!$B$2:$B$50,"&lt;="&amp;L483)=0,"NOT FOUND",_xlfn.MAXIFS('6_3nf_branch_history'!$B$2:$B$50,'6_3nf_branch_history'!$A$2:$A$50,T483,'6_3nf_branch_history'!$B$2:$B$50,"&lt;="&amp;L483))</f>
        <v/>
      </c>
      <c r="V483" s="2">
        <f>IF(U483="NOT FOUND","NOT FOUND",INDEX('6_3nf_branch_history'!$C:$C,SUMPRODUCT(('6_3nf_branch_history'!$A$2:$A$50=T483)*('6_3nf_branch_history'!$B$2:$B$50=U483)*ROW('6_3nf_branch_history'!$A$2:$A$50))))</f>
        <v/>
      </c>
      <c r="W483" s="2">
        <f>IF(U483="NOT FOUND","NOT FOUND",INDEX('6_3nf_branch_history'!$D:$D,SUMPRODUCT(('6_3nf_branch_history'!$A$2:$A$50=T483)*('6_3nf_branch_history'!$B$2:$B$50=U483)*ROW('6_3nf_branch_history'!$A$2:$A$50))))</f>
        <v/>
      </c>
      <c r="X483" s="2">
        <f>IF(U483="NOT FOUND","NOT FOUND",INDEX('6_3nf_branch_history'!$E:$E,SUMPRODUCT(('6_3nf_branch_history'!$A$2:$A$50=T483)*('6_3nf_branch_history'!$B$2:$B$50=U483)*ROW('6_3nf_branch_history'!$A$2:$A$50))))</f>
        <v/>
      </c>
      <c r="Y483" s="2">
        <f>UPPER(TRIM(D483))</f>
        <v/>
      </c>
      <c r="Z483" s="2">
        <f>IFERROR(INDEX('7_3nf_product'!$B:$B,MATCH(Y483,'7_3nf_product'!$A:$A,0)),"NOT FOUND")</f>
        <v/>
      </c>
      <c r="AA483" s="2">
        <f>IFERROR(INDEX('7_3nf_product'!$C:$C,MATCH(Y483,'7_3nf_product'!$A:$A,0)),"NOT FOUND")</f>
        <v/>
      </c>
      <c r="AB483" s="2">
        <f>IFERROR(INDEX('7_3nf_product'!$D:$D,MATCH(Y483,'7_3nf_product'!$A:$A,0)),"NOT FOUND")</f>
        <v/>
      </c>
      <c r="AC483" s="6">
        <f>IFERROR(INDEX('7_3nf_product'!$E:$E,MATCH(Y483,'7_3nf_product'!$A:$A,0)),"NOT FOUND")</f>
        <v/>
      </c>
      <c r="AD483" s="33">
        <f>IF(LEN(TRIM(E483))=10,TRIM(E483),IF(LEN(TRIM(E483))=8,"00"&amp;TRIM(E483),"CHECK"))</f>
        <v/>
      </c>
      <c r="AE483" s="2">
        <f>IFERROR(INDEX('8_3nf_customer'!$C:$C,MATCH(AD483,'8_3nf_customer'!$B:$B,0)),"NOT FOUND")</f>
        <v/>
      </c>
      <c r="AF483" s="30">
        <f>IFERROR(INDEX('8_3nf_customer'!$D:$D,MATCH(AD483,'8_3nf_customer'!$B:$B,0)),"NOT FOUND")</f>
        <v/>
      </c>
      <c r="AG483" s="4">
        <f>IF(ISNUMBER(AF483),DATEDIF(AF483,L483,"y"),"NOT FOUND")</f>
        <v/>
      </c>
      <c r="AH483" s="2">
        <f>IFERROR(INDEX('8_3nf_customer'!$E:$E,MATCH(AD483,'8_3nf_customer'!$B:$B,0)),"NOT FOUND")</f>
        <v/>
      </c>
      <c r="AI483" s="30">
        <f>IF(_xlfn.MAXIFS('9_3nf_customer_history'!$B$2:$B$500,'9_3nf_customer_history'!$A$2:$A$500,AD483,'9_3nf_customer_history'!$B$2:$B$500,"&lt;="&amp;L483)=0,"NOT FOUND",_xlfn.MAXIFS('9_3nf_customer_history'!$B$2:$B$500,'9_3nf_customer_history'!$A$2:$A$500,AD483,'9_3nf_customer_history'!$B$2:$B$500,"&lt;="&amp;L483))</f>
        <v/>
      </c>
      <c r="AJ483" s="2">
        <f>IF(AI483="NOT FOUND","NOT FOUND",INDEX('9_3nf_customer_history'!$C:$C,SUMPRODUCT(('9_3nf_customer_history'!$A$2:$A$500=AD483)*('9_3nf_customer_history'!$B$2:$B$500=AI483)*ROW('9_3nf_customer_history'!$A$2:$A$500))))</f>
        <v/>
      </c>
      <c r="AK483" s="2">
        <f>IF(AI483="NOT FOUND","NOT FOUND",INDEX('9_3nf_customer_history'!$D:$D,SUMPRODUCT(('9_3nf_customer_history'!$A$2:$A$500=AD483)*('9_3nf_customer_history'!$B$2:$B$500=AI483)*ROW('9_3nf_customer_history'!$A$2:$A$500))))</f>
        <v/>
      </c>
      <c r="AL483" s="2">
        <f>UPPER(TRIM(H483))</f>
        <v/>
      </c>
      <c r="AM483" s="30">
        <f>IF(_xlfn.MAXIFS('10_ref_fx_rate'!$B$2:$B$2000,'10_ref_fx_rate'!$A$2:$A$2000,AL483,'10_ref_fx_rate'!$B$2:$B$2000,"&lt;="&amp;L483)=0,"NOT FOUND",_xlfn.MAXIFS('10_ref_fx_rate'!$B$2:$B$2000,'10_ref_fx_rate'!$A$2:$A$2000,AL483,'10_ref_fx_rate'!$B$2:$B$2000,"&lt;="&amp;L483))</f>
        <v/>
      </c>
      <c r="AN483" s="8">
        <f>IF(AM483="NOT FOUND","NOT FOUND",SUMIFS('10_ref_fx_rate'!$D$2:$D$2000,'10_ref_fx_rate'!$A$2:$A$2000,AL483,'10_ref_fx_rate'!$B$2:$B$2000,AM483))</f>
        <v/>
      </c>
      <c r="AO483" s="37">
        <f>IF(ISNUMBER(AN483),I483*AN483,"NOT FOUND")</f>
        <v/>
      </c>
      <c r="AP483" s="2">
        <f>UPPER(TRIM(J483))</f>
        <v/>
      </c>
      <c r="AQ483" s="2">
        <f>IF(AP483="","SELF-DIRECTED",IF(ISNUMBER(MATCH(AP483,'11_3nf_sales_person'!$A:$A,0)),IF(EXACT(AP483,J483),"OK","OK (auto-fixed)"),IF(ISNA(MATCH($A483,'12_sales_person_confirmation'!$A:$A,0)),"CONFIRM (not logged)",IF(INDEX('12_sales_person_confirmation'!$I:$I,MATCH($A483,'12_sales_person_confirmation'!$A:$A,0))="CONFIRMED","CONFIRMED ("&amp;LOWER(INDEX('12_sales_person_confirmation'!$E:$E,MATCH($A483,'12_sales_person_confirmation'!$A:$A,0)))&amp;")","PENDING CONFIRM"))))</f>
        <v/>
      </c>
      <c r="AR483" s="2">
        <f>IF(OR(AQ483="OK",AQ483="OK (auto-fixed)"),AP483,IF(LEFT(AQ483,9)="CONFIRMED",INDEX('12_sales_person_confirmation'!$F:$F,MATCH($A483,'12_sales_person_confirmation'!$A:$A,0)),""))</f>
        <v/>
      </c>
      <c r="AS483" s="2">
        <f>IF(AR483="","",INDEX('11_3nf_sales_person'!$B:$B,MATCH(AR483,'11_3nf_sales_person'!$A:$A,0)))</f>
        <v/>
      </c>
    </row>
    <row r="484">
      <c r="A484" s="2">
        <f>IF(ISBLANK('1_raw_log'!A484),"",'1_raw_log'!A484)</f>
        <v/>
      </c>
      <c r="B484" s="3">
        <f>IF(ISBLANK('1_raw_log'!B484),"",'1_raw_log'!B484)</f>
        <v/>
      </c>
      <c r="C484" s="2">
        <f>IF(ISBLANK('1_raw_log'!C484),"",'1_raw_log'!C484)</f>
        <v/>
      </c>
      <c r="D484" s="2">
        <f>IF(ISBLANK('1_raw_log'!D484),"",'1_raw_log'!D484)</f>
        <v/>
      </c>
      <c r="E484" s="4">
        <f>IF(ISBLANK('1_raw_log'!E484),"",'1_raw_log'!E484)</f>
        <v/>
      </c>
      <c r="F484" s="2">
        <f>IF(ISBLANK('1_raw_log'!F484),"",'1_raw_log'!F484)</f>
        <v/>
      </c>
      <c r="G484" s="2">
        <f>IF(ISBLANK('1_raw_log'!G484),"",'1_raw_log'!G484)</f>
        <v/>
      </c>
      <c r="H484" s="2">
        <f>IF(ISBLANK('1_raw_log'!H484),"",'1_raw_log'!H484)</f>
        <v/>
      </c>
      <c r="I484" s="7">
        <f>IF(ISBLANK('1_raw_log'!I484),"",'1_raw_log'!I484)</f>
        <v/>
      </c>
      <c r="J484" s="2">
        <f>IF(ISBLANK('1_raw_log'!J484),"",'1_raw_log'!J484)</f>
        <v/>
      </c>
      <c r="K484" s="2">
        <f>IF(ISBLANK('1_raw_log'!K484),"",'1_raw_log'!K484)</f>
        <v/>
      </c>
      <c r="L484" s="30">
        <f>INT(B484)</f>
        <v/>
      </c>
      <c r="M484" s="20">
        <f>ROUND(MOD(B484,1)*1440,0)/1440</f>
        <v/>
      </c>
      <c r="N484" s="4">
        <f>IFERROR(INDEX('3_ref_date'!$B:$B,MATCH(L484,'3_ref_date'!$A:$A,0)),"NOT FOUND")</f>
        <v/>
      </c>
      <c r="O484" s="2">
        <f>IFERROR(INDEX('3_ref_date'!$C:$C,MATCH(L484,'3_ref_date'!$A:$A,0)),"NOT FOUND")</f>
        <v/>
      </c>
      <c r="P484" s="4">
        <f>IFERROR(INDEX('3_ref_date'!$D:$D,MATCH(L484,'3_ref_date'!$A:$A,0)),"NOT FOUND")</f>
        <v/>
      </c>
      <c r="Q484" s="4">
        <f>IFERROR(INDEX('3_ref_date'!$E:$E,MATCH(L484,'3_ref_date'!$A:$A,0)),"NOT FOUND")</f>
        <v/>
      </c>
      <c r="R484" s="2">
        <f>IFERROR(INDEX('3_ref_date'!$F:$F,MATCH(L484,'3_ref_date'!$A:$A,0)),"NOT FOUND")</f>
        <v/>
      </c>
      <c r="S484" s="2">
        <f>IFERROR(INDEX('4_ref_time'!$D:$D,MATCH(ROUND(M484*1440,0),'4_ref_time'!$A:$A,0)),"NOT FOUND")</f>
        <v/>
      </c>
      <c r="T484" s="2">
        <f>UPPER(TRIM(C484))</f>
        <v/>
      </c>
      <c r="U484" s="30">
        <f>IF(_xlfn.MAXIFS('6_3nf_branch_history'!$B$2:$B$50,'6_3nf_branch_history'!$A$2:$A$50,T484,'6_3nf_branch_history'!$B$2:$B$50,"&lt;="&amp;L484)=0,"NOT FOUND",_xlfn.MAXIFS('6_3nf_branch_history'!$B$2:$B$50,'6_3nf_branch_history'!$A$2:$A$50,T484,'6_3nf_branch_history'!$B$2:$B$50,"&lt;="&amp;L484))</f>
        <v/>
      </c>
      <c r="V484" s="2">
        <f>IF(U484="NOT FOUND","NOT FOUND",INDEX('6_3nf_branch_history'!$C:$C,SUMPRODUCT(('6_3nf_branch_history'!$A$2:$A$50=T484)*('6_3nf_branch_history'!$B$2:$B$50=U484)*ROW('6_3nf_branch_history'!$A$2:$A$50))))</f>
        <v/>
      </c>
      <c r="W484" s="2">
        <f>IF(U484="NOT FOUND","NOT FOUND",INDEX('6_3nf_branch_history'!$D:$D,SUMPRODUCT(('6_3nf_branch_history'!$A$2:$A$50=T484)*('6_3nf_branch_history'!$B$2:$B$50=U484)*ROW('6_3nf_branch_history'!$A$2:$A$50))))</f>
        <v/>
      </c>
      <c r="X484" s="2">
        <f>IF(U484="NOT FOUND","NOT FOUND",INDEX('6_3nf_branch_history'!$E:$E,SUMPRODUCT(('6_3nf_branch_history'!$A$2:$A$50=T484)*('6_3nf_branch_history'!$B$2:$B$50=U484)*ROW('6_3nf_branch_history'!$A$2:$A$50))))</f>
        <v/>
      </c>
      <c r="Y484" s="2">
        <f>UPPER(TRIM(D484))</f>
        <v/>
      </c>
      <c r="Z484" s="2">
        <f>IFERROR(INDEX('7_3nf_product'!$B:$B,MATCH(Y484,'7_3nf_product'!$A:$A,0)),"NOT FOUND")</f>
        <v/>
      </c>
      <c r="AA484" s="2">
        <f>IFERROR(INDEX('7_3nf_product'!$C:$C,MATCH(Y484,'7_3nf_product'!$A:$A,0)),"NOT FOUND")</f>
        <v/>
      </c>
      <c r="AB484" s="2">
        <f>IFERROR(INDEX('7_3nf_product'!$D:$D,MATCH(Y484,'7_3nf_product'!$A:$A,0)),"NOT FOUND")</f>
        <v/>
      </c>
      <c r="AC484" s="6">
        <f>IFERROR(INDEX('7_3nf_product'!$E:$E,MATCH(Y484,'7_3nf_product'!$A:$A,0)),"NOT FOUND")</f>
        <v/>
      </c>
      <c r="AD484" s="33">
        <f>IF(LEN(TRIM(E484))=10,TRIM(E484),IF(LEN(TRIM(E484))=8,"00"&amp;TRIM(E484),"CHECK"))</f>
        <v/>
      </c>
      <c r="AE484" s="2">
        <f>IFERROR(INDEX('8_3nf_customer'!$C:$C,MATCH(AD484,'8_3nf_customer'!$B:$B,0)),"NOT FOUND")</f>
        <v/>
      </c>
      <c r="AF484" s="30">
        <f>IFERROR(INDEX('8_3nf_customer'!$D:$D,MATCH(AD484,'8_3nf_customer'!$B:$B,0)),"NOT FOUND")</f>
        <v/>
      </c>
      <c r="AG484" s="4">
        <f>IF(ISNUMBER(AF484),DATEDIF(AF484,L484,"y"),"NOT FOUND")</f>
        <v/>
      </c>
      <c r="AH484" s="2">
        <f>IFERROR(INDEX('8_3nf_customer'!$E:$E,MATCH(AD484,'8_3nf_customer'!$B:$B,0)),"NOT FOUND")</f>
        <v/>
      </c>
      <c r="AI484" s="30">
        <f>IF(_xlfn.MAXIFS('9_3nf_customer_history'!$B$2:$B$500,'9_3nf_customer_history'!$A$2:$A$500,AD484,'9_3nf_customer_history'!$B$2:$B$500,"&lt;="&amp;L484)=0,"NOT FOUND",_xlfn.MAXIFS('9_3nf_customer_history'!$B$2:$B$500,'9_3nf_customer_history'!$A$2:$A$500,AD484,'9_3nf_customer_history'!$B$2:$B$500,"&lt;="&amp;L484))</f>
        <v/>
      </c>
      <c r="AJ484" s="2">
        <f>IF(AI484="NOT FOUND","NOT FOUND",INDEX('9_3nf_customer_history'!$C:$C,SUMPRODUCT(('9_3nf_customer_history'!$A$2:$A$500=AD484)*('9_3nf_customer_history'!$B$2:$B$500=AI484)*ROW('9_3nf_customer_history'!$A$2:$A$500))))</f>
        <v/>
      </c>
      <c r="AK484" s="2">
        <f>IF(AI484="NOT FOUND","NOT FOUND",INDEX('9_3nf_customer_history'!$D:$D,SUMPRODUCT(('9_3nf_customer_history'!$A$2:$A$500=AD484)*('9_3nf_customer_history'!$B$2:$B$500=AI484)*ROW('9_3nf_customer_history'!$A$2:$A$500))))</f>
        <v/>
      </c>
      <c r="AL484" s="2">
        <f>UPPER(TRIM(H484))</f>
        <v/>
      </c>
      <c r="AM484" s="30">
        <f>IF(_xlfn.MAXIFS('10_ref_fx_rate'!$B$2:$B$2000,'10_ref_fx_rate'!$A$2:$A$2000,AL484,'10_ref_fx_rate'!$B$2:$B$2000,"&lt;="&amp;L484)=0,"NOT FOUND",_xlfn.MAXIFS('10_ref_fx_rate'!$B$2:$B$2000,'10_ref_fx_rate'!$A$2:$A$2000,AL484,'10_ref_fx_rate'!$B$2:$B$2000,"&lt;="&amp;L484))</f>
        <v/>
      </c>
      <c r="AN484" s="8">
        <f>IF(AM484="NOT FOUND","NOT FOUND",SUMIFS('10_ref_fx_rate'!$D$2:$D$2000,'10_ref_fx_rate'!$A$2:$A$2000,AL484,'10_ref_fx_rate'!$B$2:$B$2000,AM484))</f>
        <v/>
      </c>
      <c r="AO484" s="37">
        <f>IF(ISNUMBER(AN484),I484*AN484,"NOT FOUND")</f>
        <v/>
      </c>
      <c r="AP484" s="2">
        <f>UPPER(TRIM(J484))</f>
        <v/>
      </c>
      <c r="AQ484" s="2">
        <f>IF(AP484="","SELF-DIRECTED",IF(ISNUMBER(MATCH(AP484,'11_3nf_sales_person'!$A:$A,0)),IF(EXACT(AP484,J484),"OK","OK (auto-fixed)"),IF(ISNA(MATCH($A484,'12_sales_person_confirmation'!$A:$A,0)),"CONFIRM (not logged)",IF(INDEX('12_sales_person_confirmation'!$I:$I,MATCH($A484,'12_sales_person_confirmation'!$A:$A,0))="CONFIRMED","CONFIRMED ("&amp;LOWER(INDEX('12_sales_person_confirmation'!$E:$E,MATCH($A484,'12_sales_person_confirmation'!$A:$A,0)))&amp;")","PENDING CONFIRM"))))</f>
        <v/>
      </c>
      <c r="AR484" s="2">
        <f>IF(OR(AQ484="OK",AQ484="OK (auto-fixed)"),AP484,IF(LEFT(AQ484,9)="CONFIRMED",INDEX('12_sales_person_confirmation'!$F:$F,MATCH($A484,'12_sales_person_confirmation'!$A:$A,0)),""))</f>
        <v/>
      </c>
      <c r="AS484" s="2">
        <f>IF(AR484="","",INDEX('11_3nf_sales_person'!$B:$B,MATCH(AR484,'11_3nf_sales_person'!$A:$A,0)))</f>
        <v/>
      </c>
    </row>
    <row r="485">
      <c r="A485" s="2">
        <f>IF(ISBLANK('1_raw_log'!A485),"",'1_raw_log'!A485)</f>
        <v/>
      </c>
      <c r="B485" s="3">
        <f>IF(ISBLANK('1_raw_log'!B485),"",'1_raw_log'!B485)</f>
        <v/>
      </c>
      <c r="C485" s="2">
        <f>IF(ISBLANK('1_raw_log'!C485),"",'1_raw_log'!C485)</f>
        <v/>
      </c>
      <c r="D485" s="2">
        <f>IF(ISBLANK('1_raw_log'!D485),"",'1_raw_log'!D485)</f>
        <v/>
      </c>
      <c r="E485" s="4">
        <f>IF(ISBLANK('1_raw_log'!E485),"",'1_raw_log'!E485)</f>
        <v/>
      </c>
      <c r="F485" s="2">
        <f>IF(ISBLANK('1_raw_log'!F485),"",'1_raw_log'!F485)</f>
        <v/>
      </c>
      <c r="G485" s="2">
        <f>IF(ISBLANK('1_raw_log'!G485),"",'1_raw_log'!G485)</f>
        <v/>
      </c>
      <c r="H485" s="2">
        <f>IF(ISBLANK('1_raw_log'!H485),"",'1_raw_log'!H485)</f>
        <v/>
      </c>
      <c r="I485" s="7">
        <f>IF(ISBLANK('1_raw_log'!I485),"",'1_raw_log'!I485)</f>
        <v/>
      </c>
      <c r="J485" s="2">
        <f>IF(ISBLANK('1_raw_log'!J485),"",'1_raw_log'!J485)</f>
        <v/>
      </c>
      <c r="K485" s="2">
        <f>IF(ISBLANK('1_raw_log'!K485),"",'1_raw_log'!K485)</f>
        <v/>
      </c>
      <c r="L485" s="30">
        <f>INT(B485)</f>
        <v/>
      </c>
      <c r="M485" s="20">
        <f>ROUND(MOD(B485,1)*1440,0)/1440</f>
        <v/>
      </c>
      <c r="N485" s="4">
        <f>IFERROR(INDEX('3_ref_date'!$B:$B,MATCH(L485,'3_ref_date'!$A:$A,0)),"NOT FOUND")</f>
        <v/>
      </c>
      <c r="O485" s="2">
        <f>IFERROR(INDEX('3_ref_date'!$C:$C,MATCH(L485,'3_ref_date'!$A:$A,0)),"NOT FOUND")</f>
        <v/>
      </c>
      <c r="P485" s="4">
        <f>IFERROR(INDEX('3_ref_date'!$D:$D,MATCH(L485,'3_ref_date'!$A:$A,0)),"NOT FOUND")</f>
        <v/>
      </c>
      <c r="Q485" s="4">
        <f>IFERROR(INDEX('3_ref_date'!$E:$E,MATCH(L485,'3_ref_date'!$A:$A,0)),"NOT FOUND")</f>
        <v/>
      </c>
      <c r="R485" s="2">
        <f>IFERROR(INDEX('3_ref_date'!$F:$F,MATCH(L485,'3_ref_date'!$A:$A,0)),"NOT FOUND")</f>
        <v/>
      </c>
      <c r="S485" s="2">
        <f>IFERROR(INDEX('4_ref_time'!$D:$D,MATCH(ROUND(M485*1440,0),'4_ref_time'!$A:$A,0)),"NOT FOUND")</f>
        <v/>
      </c>
      <c r="T485" s="2">
        <f>UPPER(TRIM(C485))</f>
        <v/>
      </c>
      <c r="U485" s="30">
        <f>IF(_xlfn.MAXIFS('6_3nf_branch_history'!$B$2:$B$50,'6_3nf_branch_history'!$A$2:$A$50,T485,'6_3nf_branch_history'!$B$2:$B$50,"&lt;="&amp;L485)=0,"NOT FOUND",_xlfn.MAXIFS('6_3nf_branch_history'!$B$2:$B$50,'6_3nf_branch_history'!$A$2:$A$50,T485,'6_3nf_branch_history'!$B$2:$B$50,"&lt;="&amp;L485))</f>
        <v/>
      </c>
      <c r="V485" s="2">
        <f>IF(U485="NOT FOUND","NOT FOUND",INDEX('6_3nf_branch_history'!$C:$C,SUMPRODUCT(('6_3nf_branch_history'!$A$2:$A$50=T485)*('6_3nf_branch_history'!$B$2:$B$50=U485)*ROW('6_3nf_branch_history'!$A$2:$A$50))))</f>
        <v/>
      </c>
      <c r="W485" s="2">
        <f>IF(U485="NOT FOUND","NOT FOUND",INDEX('6_3nf_branch_history'!$D:$D,SUMPRODUCT(('6_3nf_branch_history'!$A$2:$A$50=T485)*('6_3nf_branch_history'!$B$2:$B$50=U485)*ROW('6_3nf_branch_history'!$A$2:$A$50))))</f>
        <v/>
      </c>
      <c r="X485" s="2">
        <f>IF(U485="NOT FOUND","NOT FOUND",INDEX('6_3nf_branch_history'!$E:$E,SUMPRODUCT(('6_3nf_branch_history'!$A$2:$A$50=T485)*('6_3nf_branch_history'!$B$2:$B$50=U485)*ROW('6_3nf_branch_history'!$A$2:$A$50))))</f>
        <v/>
      </c>
      <c r="Y485" s="2">
        <f>UPPER(TRIM(D485))</f>
        <v/>
      </c>
      <c r="Z485" s="2">
        <f>IFERROR(INDEX('7_3nf_product'!$B:$B,MATCH(Y485,'7_3nf_product'!$A:$A,0)),"NOT FOUND")</f>
        <v/>
      </c>
      <c r="AA485" s="2">
        <f>IFERROR(INDEX('7_3nf_product'!$C:$C,MATCH(Y485,'7_3nf_product'!$A:$A,0)),"NOT FOUND")</f>
        <v/>
      </c>
      <c r="AB485" s="2">
        <f>IFERROR(INDEX('7_3nf_product'!$D:$D,MATCH(Y485,'7_3nf_product'!$A:$A,0)),"NOT FOUND")</f>
        <v/>
      </c>
      <c r="AC485" s="6">
        <f>IFERROR(INDEX('7_3nf_product'!$E:$E,MATCH(Y485,'7_3nf_product'!$A:$A,0)),"NOT FOUND")</f>
        <v/>
      </c>
      <c r="AD485" s="33">
        <f>IF(LEN(TRIM(E485))=10,TRIM(E485),IF(LEN(TRIM(E485))=8,"00"&amp;TRIM(E485),"CHECK"))</f>
        <v/>
      </c>
      <c r="AE485" s="2">
        <f>IFERROR(INDEX('8_3nf_customer'!$C:$C,MATCH(AD485,'8_3nf_customer'!$B:$B,0)),"NOT FOUND")</f>
        <v/>
      </c>
      <c r="AF485" s="30">
        <f>IFERROR(INDEX('8_3nf_customer'!$D:$D,MATCH(AD485,'8_3nf_customer'!$B:$B,0)),"NOT FOUND")</f>
        <v/>
      </c>
      <c r="AG485" s="4">
        <f>IF(ISNUMBER(AF485),DATEDIF(AF485,L485,"y"),"NOT FOUND")</f>
        <v/>
      </c>
      <c r="AH485" s="2">
        <f>IFERROR(INDEX('8_3nf_customer'!$E:$E,MATCH(AD485,'8_3nf_customer'!$B:$B,0)),"NOT FOUND")</f>
        <v/>
      </c>
      <c r="AI485" s="30">
        <f>IF(_xlfn.MAXIFS('9_3nf_customer_history'!$B$2:$B$500,'9_3nf_customer_history'!$A$2:$A$500,AD485,'9_3nf_customer_history'!$B$2:$B$500,"&lt;="&amp;L485)=0,"NOT FOUND",_xlfn.MAXIFS('9_3nf_customer_history'!$B$2:$B$500,'9_3nf_customer_history'!$A$2:$A$500,AD485,'9_3nf_customer_history'!$B$2:$B$500,"&lt;="&amp;L485))</f>
        <v/>
      </c>
      <c r="AJ485" s="2">
        <f>IF(AI485="NOT FOUND","NOT FOUND",INDEX('9_3nf_customer_history'!$C:$C,SUMPRODUCT(('9_3nf_customer_history'!$A$2:$A$500=AD485)*('9_3nf_customer_history'!$B$2:$B$500=AI485)*ROW('9_3nf_customer_history'!$A$2:$A$500))))</f>
        <v/>
      </c>
      <c r="AK485" s="2">
        <f>IF(AI485="NOT FOUND","NOT FOUND",INDEX('9_3nf_customer_history'!$D:$D,SUMPRODUCT(('9_3nf_customer_history'!$A$2:$A$500=AD485)*('9_3nf_customer_history'!$B$2:$B$500=AI485)*ROW('9_3nf_customer_history'!$A$2:$A$500))))</f>
        <v/>
      </c>
      <c r="AL485" s="2">
        <f>UPPER(TRIM(H485))</f>
        <v/>
      </c>
      <c r="AM485" s="30">
        <f>IF(_xlfn.MAXIFS('10_ref_fx_rate'!$B$2:$B$2000,'10_ref_fx_rate'!$A$2:$A$2000,AL485,'10_ref_fx_rate'!$B$2:$B$2000,"&lt;="&amp;L485)=0,"NOT FOUND",_xlfn.MAXIFS('10_ref_fx_rate'!$B$2:$B$2000,'10_ref_fx_rate'!$A$2:$A$2000,AL485,'10_ref_fx_rate'!$B$2:$B$2000,"&lt;="&amp;L485))</f>
        <v/>
      </c>
      <c r="AN485" s="8">
        <f>IF(AM485="NOT FOUND","NOT FOUND",SUMIFS('10_ref_fx_rate'!$D$2:$D$2000,'10_ref_fx_rate'!$A$2:$A$2000,AL485,'10_ref_fx_rate'!$B$2:$B$2000,AM485))</f>
        <v/>
      </c>
      <c r="AO485" s="37">
        <f>IF(ISNUMBER(AN485),I485*AN485,"NOT FOUND")</f>
        <v/>
      </c>
      <c r="AP485" s="2">
        <f>UPPER(TRIM(J485))</f>
        <v/>
      </c>
      <c r="AQ485" s="2">
        <f>IF(AP485="","SELF-DIRECTED",IF(ISNUMBER(MATCH(AP485,'11_3nf_sales_person'!$A:$A,0)),IF(EXACT(AP485,J485),"OK","OK (auto-fixed)"),IF(ISNA(MATCH($A485,'12_sales_person_confirmation'!$A:$A,0)),"CONFIRM (not logged)",IF(INDEX('12_sales_person_confirmation'!$I:$I,MATCH($A485,'12_sales_person_confirmation'!$A:$A,0))="CONFIRMED","CONFIRMED ("&amp;LOWER(INDEX('12_sales_person_confirmation'!$E:$E,MATCH($A485,'12_sales_person_confirmation'!$A:$A,0)))&amp;")","PENDING CONFIRM"))))</f>
        <v/>
      </c>
      <c r="AR485" s="2">
        <f>IF(OR(AQ485="OK",AQ485="OK (auto-fixed)"),AP485,IF(LEFT(AQ485,9)="CONFIRMED",INDEX('12_sales_person_confirmation'!$F:$F,MATCH($A485,'12_sales_person_confirmation'!$A:$A,0)),""))</f>
        <v/>
      </c>
      <c r="AS485" s="2">
        <f>IF(AR485="","",INDEX('11_3nf_sales_person'!$B:$B,MATCH(AR485,'11_3nf_sales_person'!$A:$A,0)))</f>
        <v/>
      </c>
    </row>
    <row r="486">
      <c r="A486" s="2">
        <f>IF(ISBLANK('1_raw_log'!A486),"",'1_raw_log'!A486)</f>
        <v/>
      </c>
      <c r="B486" s="3">
        <f>IF(ISBLANK('1_raw_log'!B486),"",'1_raw_log'!B486)</f>
        <v/>
      </c>
      <c r="C486" s="2">
        <f>IF(ISBLANK('1_raw_log'!C486),"",'1_raw_log'!C486)</f>
        <v/>
      </c>
      <c r="D486" s="2">
        <f>IF(ISBLANK('1_raw_log'!D486),"",'1_raw_log'!D486)</f>
        <v/>
      </c>
      <c r="E486" s="4">
        <f>IF(ISBLANK('1_raw_log'!E486),"",'1_raw_log'!E486)</f>
        <v/>
      </c>
      <c r="F486" s="2">
        <f>IF(ISBLANK('1_raw_log'!F486),"",'1_raw_log'!F486)</f>
        <v/>
      </c>
      <c r="G486" s="2">
        <f>IF(ISBLANK('1_raw_log'!G486),"",'1_raw_log'!G486)</f>
        <v/>
      </c>
      <c r="H486" s="2">
        <f>IF(ISBLANK('1_raw_log'!H486),"",'1_raw_log'!H486)</f>
        <v/>
      </c>
      <c r="I486" s="7">
        <f>IF(ISBLANK('1_raw_log'!I486),"",'1_raw_log'!I486)</f>
        <v/>
      </c>
      <c r="J486" s="2">
        <f>IF(ISBLANK('1_raw_log'!J486),"",'1_raw_log'!J486)</f>
        <v/>
      </c>
      <c r="K486" s="2">
        <f>IF(ISBLANK('1_raw_log'!K486),"",'1_raw_log'!K486)</f>
        <v/>
      </c>
      <c r="L486" s="30">
        <f>INT(B486)</f>
        <v/>
      </c>
      <c r="M486" s="20">
        <f>ROUND(MOD(B486,1)*1440,0)/1440</f>
        <v/>
      </c>
      <c r="N486" s="4">
        <f>IFERROR(INDEX('3_ref_date'!$B:$B,MATCH(L486,'3_ref_date'!$A:$A,0)),"NOT FOUND")</f>
        <v/>
      </c>
      <c r="O486" s="2">
        <f>IFERROR(INDEX('3_ref_date'!$C:$C,MATCH(L486,'3_ref_date'!$A:$A,0)),"NOT FOUND")</f>
        <v/>
      </c>
      <c r="P486" s="4">
        <f>IFERROR(INDEX('3_ref_date'!$D:$D,MATCH(L486,'3_ref_date'!$A:$A,0)),"NOT FOUND")</f>
        <v/>
      </c>
      <c r="Q486" s="4">
        <f>IFERROR(INDEX('3_ref_date'!$E:$E,MATCH(L486,'3_ref_date'!$A:$A,0)),"NOT FOUND")</f>
        <v/>
      </c>
      <c r="R486" s="2">
        <f>IFERROR(INDEX('3_ref_date'!$F:$F,MATCH(L486,'3_ref_date'!$A:$A,0)),"NOT FOUND")</f>
        <v/>
      </c>
      <c r="S486" s="2">
        <f>IFERROR(INDEX('4_ref_time'!$D:$D,MATCH(ROUND(M486*1440,0),'4_ref_time'!$A:$A,0)),"NOT FOUND")</f>
        <v/>
      </c>
      <c r="T486" s="2">
        <f>UPPER(TRIM(C486))</f>
        <v/>
      </c>
      <c r="U486" s="30">
        <f>IF(_xlfn.MAXIFS('6_3nf_branch_history'!$B$2:$B$50,'6_3nf_branch_history'!$A$2:$A$50,T486,'6_3nf_branch_history'!$B$2:$B$50,"&lt;="&amp;L486)=0,"NOT FOUND",_xlfn.MAXIFS('6_3nf_branch_history'!$B$2:$B$50,'6_3nf_branch_history'!$A$2:$A$50,T486,'6_3nf_branch_history'!$B$2:$B$50,"&lt;="&amp;L486))</f>
        <v/>
      </c>
      <c r="V486" s="2">
        <f>IF(U486="NOT FOUND","NOT FOUND",INDEX('6_3nf_branch_history'!$C:$C,SUMPRODUCT(('6_3nf_branch_history'!$A$2:$A$50=T486)*('6_3nf_branch_history'!$B$2:$B$50=U486)*ROW('6_3nf_branch_history'!$A$2:$A$50))))</f>
        <v/>
      </c>
      <c r="W486" s="2">
        <f>IF(U486="NOT FOUND","NOT FOUND",INDEX('6_3nf_branch_history'!$D:$D,SUMPRODUCT(('6_3nf_branch_history'!$A$2:$A$50=T486)*('6_3nf_branch_history'!$B$2:$B$50=U486)*ROW('6_3nf_branch_history'!$A$2:$A$50))))</f>
        <v/>
      </c>
      <c r="X486" s="2">
        <f>IF(U486="NOT FOUND","NOT FOUND",INDEX('6_3nf_branch_history'!$E:$E,SUMPRODUCT(('6_3nf_branch_history'!$A$2:$A$50=T486)*('6_3nf_branch_history'!$B$2:$B$50=U486)*ROW('6_3nf_branch_history'!$A$2:$A$50))))</f>
        <v/>
      </c>
      <c r="Y486" s="2">
        <f>UPPER(TRIM(D486))</f>
        <v/>
      </c>
      <c r="Z486" s="2">
        <f>IFERROR(INDEX('7_3nf_product'!$B:$B,MATCH(Y486,'7_3nf_product'!$A:$A,0)),"NOT FOUND")</f>
        <v/>
      </c>
      <c r="AA486" s="2">
        <f>IFERROR(INDEX('7_3nf_product'!$C:$C,MATCH(Y486,'7_3nf_product'!$A:$A,0)),"NOT FOUND")</f>
        <v/>
      </c>
      <c r="AB486" s="2">
        <f>IFERROR(INDEX('7_3nf_product'!$D:$D,MATCH(Y486,'7_3nf_product'!$A:$A,0)),"NOT FOUND")</f>
        <v/>
      </c>
      <c r="AC486" s="6">
        <f>IFERROR(INDEX('7_3nf_product'!$E:$E,MATCH(Y486,'7_3nf_product'!$A:$A,0)),"NOT FOUND")</f>
        <v/>
      </c>
      <c r="AD486" s="33">
        <f>IF(LEN(TRIM(E486))=10,TRIM(E486),IF(LEN(TRIM(E486))=8,"00"&amp;TRIM(E486),"CHECK"))</f>
        <v/>
      </c>
      <c r="AE486" s="2">
        <f>IFERROR(INDEX('8_3nf_customer'!$C:$C,MATCH(AD486,'8_3nf_customer'!$B:$B,0)),"NOT FOUND")</f>
        <v/>
      </c>
      <c r="AF486" s="30">
        <f>IFERROR(INDEX('8_3nf_customer'!$D:$D,MATCH(AD486,'8_3nf_customer'!$B:$B,0)),"NOT FOUND")</f>
        <v/>
      </c>
      <c r="AG486" s="4">
        <f>IF(ISNUMBER(AF486),DATEDIF(AF486,L486,"y"),"NOT FOUND")</f>
        <v/>
      </c>
      <c r="AH486" s="2">
        <f>IFERROR(INDEX('8_3nf_customer'!$E:$E,MATCH(AD486,'8_3nf_customer'!$B:$B,0)),"NOT FOUND")</f>
        <v/>
      </c>
      <c r="AI486" s="30">
        <f>IF(_xlfn.MAXIFS('9_3nf_customer_history'!$B$2:$B$500,'9_3nf_customer_history'!$A$2:$A$500,AD486,'9_3nf_customer_history'!$B$2:$B$500,"&lt;="&amp;L486)=0,"NOT FOUND",_xlfn.MAXIFS('9_3nf_customer_history'!$B$2:$B$500,'9_3nf_customer_history'!$A$2:$A$500,AD486,'9_3nf_customer_history'!$B$2:$B$500,"&lt;="&amp;L486))</f>
        <v/>
      </c>
      <c r="AJ486" s="2">
        <f>IF(AI486="NOT FOUND","NOT FOUND",INDEX('9_3nf_customer_history'!$C:$C,SUMPRODUCT(('9_3nf_customer_history'!$A$2:$A$500=AD486)*('9_3nf_customer_history'!$B$2:$B$500=AI486)*ROW('9_3nf_customer_history'!$A$2:$A$500))))</f>
        <v/>
      </c>
      <c r="AK486" s="2">
        <f>IF(AI486="NOT FOUND","NOT FOUND",INDEX('9_3nf_customer_history'!$D:$D,SUMPRODUCT(('9_3nf_customer_history'!$A$2:$A$500=AD486)*('9_3nf_customer_history'!$B$2:$B$500=AI486)*ROW('9_3nf_customer_history'!$A$2:$A$500))))</f>
        <v/>
      </c>
      <c r="AL486" s="2">
        <f>UPPER(TRIM(H486))</f>
        <v/>
      </c>
      <c r="AM486" s="30">
        <f>IF(_xlfn.MAXIFS('10_ref_fx_rate'!$B$2:$B$2000,'10_ref_fx_rate'!$A$2:$A$2000,AL486,'10_ref_fx_rate'!$B$2:$B$2000,"&lt;="&amp;L486)=0,"NOT FOUND",_xlfn.MAXIFS('10_ref_fx_rate'!$B$2:$B$2000,'10_ref_fx_rate'!$A$2:$A$2000,AL486,'10_ref_fx_rate'!$B$2:$B$2000,"&lt;="&amp;L486))</f>
        <v/>
      </c>
      <c r="AN486" s="8">
        <f>IF(AM486="NOT FOUND","NOT FOUND",SUMIFS('10_ref_fx_rate'!$D$2:$D$2000,'10_ref_fx_rate'!$A$2:$A$2000,AL486,'10_ref_fx_rate'!$B$2:$B$2000,AM486))</f>
        <v/>
      </c>
      <c r="AO486" s="37">
        <f>IF(ISNUMBER(AN486),I486*AN486,"NOT FOUND")</f>
        <v/>
      </c>
      <c r="AP486" s="2">
        <f>UPPER(TRIM(J486))</f>
        <v/>
      </c>
      <c r="AQ486" s="2">
        <f>IF(AP486="","SELF-DIRECTED",IF(ISNUMBER(MATCH(AP486,'11_3nf_sales_person'!$A:$A,0)),IF(EXACT(AP486,J486),"OK","OK (auto-fixed)"),IF(ISNA(MATCH($A486,'12_sales_person_confirmation'!$A:$A,0)),"CONFIRM (not logged)",IF(INDEX('12_sales_person_confirmation'!$I:$I,MATCH($A486,'12_sales_person_confirmation'!$A:$A,0))="CONFIRMED","CONFIRMED ("&amp;LOWER(INDEX('12_sales_person_confirmation'!$E:$E,MATCH($A486,'12_sales_person_confirmation'!$A:$A,0)))&amp;")","PENDING CONFIRM"))))</f>
        <v/>
      </c>
      <c r="AR486" s="2">
        <f>IF(OR(AQ486="OK",AQ486="OK (auto-fixed)"),AP486,IF(LEFT(AQ486,9)="CONFIRMED",INDEX('12_sales_person_confirmation'!$F:$F,MATCH($A486,'12_sales_person_confirmation'!$A:$A,0)),""))</f>
        <v/>
      </c>
      <c r="AS486" s="2">
        <f>IF(AR486="","",INDEX('11_3nf_sales_person'!$B:$B,MATCH(AR486,'11_3nf_sales_person'!$A:$A,0)))</f>
        <v/>
      </c>
    </row>
    <row r="487">
      <c r="A487" s="2">
        <f>IF(ISBLANK('1_raw_log'!A487),"",'1_raw_log'!A487)</f>
        <v/>
      </c>
      <c r="B487" s="3">
        <f>IF(ISBLANK('1_raw_log'!B487),"",'1_raw_log'!B487)</f>
        <v/>
      </c>
      <c r="C487" s="2">
        <f>IF(ISBLANK('1_raw_log'!C487),"",'1_raw_log'!C487)</f>
        <v/>
      </c>
      <c r="D487" s="2">
        <f>IF(ISBLANK('1_raw_log'!D487),"",'1_raw_log'!D487)</f>
        <v/>
      </c>
      <c r="E487" s="4">
        <f>IF(ISBLANK('1_raw_log'!E487),"",'1_raw_log'!E487)</f>
        <v/>
      </c>
      <c r="F487" s="2">
        <f>IF(ISBLANK('1_raw_log'!F487),"",'1_raw_log'!F487)</f>
        <v/>
      </c>
      <c r="G487" s="2">
        <f>IF(ISBLANK('1_raw_log'!G487),"",'1_raw_log'!G487)</f>
        <v/>
      </c>
      <c r="H487" s="2">
        <f>IF(ISBLANK('1_raw_log'!H487),"",'1_raw_log'!H487)</f>
        <v/>
      </c>
      <c r="I487" s="7">
        <f>IF(ISBLANK('1_raw_log'!I487),"",'1_raw_log'!I487)</f>
        <v/>
      </c>
      <c r="J487" s="2">
        <f>IF(ISBLANK('1_raw_log'!J487),"",'1_raw_log'!J487)</f>
        <v/>
      </c>
      <c r="K487" s="2">
        <f>IF(ISBLANK('1_raw_log'!K487),"",'1_raw_log'!K487)</f>
        <v/>
      </c>
      <c r="L487" s="30">
        <f>INT(B487)</f>
        <v/>
      </c>
      <c r="M487" s="20">
        <f>ROUND(MOD(B487,1)*1440,0)/1440</f>
        <v/>
      </c>
      <c r="N487" s="4">
        <f>IFERROR(INDEX('3_ref_date'!$B:$B,MATCH(L487,'3_ref_date'!$A:$A,0)),"NOT FOUND")</f>
        <v/>
      </c>
      <c r="O487" s="2">
        <f>IFERROR(INDEX('3_ref_date'!$C:$C,MATCH(L487,'3_ref_date'!$A:$A,0)),"NOT FOUND")</f>
        <v/>
      </c>
      <c r="P487" s="4">
        <f>IFERROR(INDEX('3_ref_date'!$D:$D,MATCH(L487,'3_ref_date'!$A:$A,0)),"NOT FOUND")</f>
        <v/>
      </c>
      <c r="Q487" s="4">
        <f>IFERROR(INDEX('3_ref_date'!$E:$E,MATCH(L487,'3_ref_date'!$A:$A,0)),"NOT FOUND")</f>
        <v/>
      </c>
      <c r="R487" s="2">
        <f>IFERROR(INDEX('3_ref_date'!$F:$F,MATCH(L487,'3_ref_date'!$A:$A,0)),"NOT FOUND")</f>
        <v/>
      </c>
      <c r="S487" s="2">
        <f>IFERROR(INDEX('4_ref_time'!$D:$D,MATCH(ROUND(M487*1440,0),'4_ref_time'!$A:$A,0)),"NOT FOUND")</f>
        <v/>
      </c>
      <c r="T487" s="2">
        <f>UPPER(TRIM(C487))</f>
        <v/>
      </c>
      <c r="U487" s="30">
        <f>IF(_xlfn.MAXIFS('6_3nf_branch_history'!$B$2:$B$50,'6_3nf_branch_history'!$A$2:$A$50,T487,'6_3nf_branch_history'!$B$2:$B$50,"&lt;="&amp;L487)=0,"NOT FOUND",_xlfn.MAXIFS('6_3nf_branch_history'!$B$2:$B$50,'6_3nf_branch_history'!$A$2:$A$50,T487,'6_3nf_branch_history'!$B$2:$B$50,"&lt;="&amp;L487))</f>
        <v/>
      </c>
      <c r="V487" s="2">
        <f>IF(U487="NOT FOUND","NOT FOUND",INDEX('6_3nf_branch_history'!$C:$C,SUMPRODUCT(('6_3nf_branch_history'!$A$2:$A$50=T487)*('6_3nf_branch_history'!$B$2:$B$50=U487)*ROW('6_3nf_branch_history'!$A$2:$A$50))))</f>
        <v/>
      </c>
      <c r="W487" s="2">
        <f>IF(U487="NOT FOUND","NOT FOUND",INDEX('6_3nf_branch_history'!$D:$D,SUMPRODUCT(('6_3nf_branch_history'!$A$2:$A$50=T487)*('6_3nf_branch_history'!$B$2:$B$50=U487)*ROW('6_3nf_branch_history'!$A$2:$A$50))))</f>
        <v/>
      </c>
      <c r="X487" s="2">
        <f>IF(U487="NOT FOUND","NOT FOUND",INDEX('6_3nf_branch_history'!$E:$E,SUMPRODUCT(('6_3nf_branch_history'!$A$2:$A$50=T487)*('6_3nf_branch_history'!$B$2:$B$50=U487)*ROW('6_3nf_branch_history'!$A$2:$A$50))))</f>
        <v/>
      </c>
      <c r="Y487" s="2">
        <f>UPPER(TRIM(D487))</f>
        <v/>
      </c>
      <c r="Z487" s="2">
        <f>IFERROR(INDEX('7_3nf_product'!$B:$B,MATCH(Y487,'7_3nf_product'!$A:$A,0)),"NOT FOUND")</f>
        <v/>
      </c>
      <c r="AA487" s="2">
        <f>IFERROR(INDEX('7_3nf_product'!$C:$C,MATCH(Y487,'7_3nf_product'!$A:$A,0)),"NOT FOUND")</f>
        <v/>
      </c>
      <c r="AB487" s="2">
        <f>IFERROR(INDEX('7_3nf_product'!$D:$D,MATCH(Y487,'7_3nf_product'!$A:$A,0)),"NOT FOUND")</f>
        <v/>
      </c>
      <c r="AC487" s="6">
        <f>IFERROR(INDEX('7_3nf_product'!$E:$E,MATCH(Y487,'7_3nf_product'!$A:$A,0)),"NOT FOUND")</f>
        <v/>
      </c>
      <c r="AD487" s="33">
        <f>IF(LEN(TRIM(E487))=10,TRIM(E487),IF(LEN(TRIM(E487))=8,"00"&amp;TRIM(E487),"CHECK"))</f>
        <v/>
      </c>
      <c r="AE487" s="2">
        <f>IFERROR(INDEX('8_3nf_customer'!$C:$C,MATCH(AD487,'8_3nf_customer'!$B:$B,0)),"NOT FOUND")</f>
        <v/>
      </c>
      <c r="AF487" s="30">
        <f>IFERROR(INDEX('8_3nf_customer'!$D:$D,MATCH(AD487,'8_3nf_customer'!$B:$B,0)),"NOT FOUND")</f>
        <v/>
      </c>
      <c r="AG487" s="4">
        <f>IF(ISNUMBER(AF487),DATEDIF(AF487,L487,"y"),"NOT FOUND")</f>
        <v/>
      </c>
      <c r="AH487" s="2">
        <f>IFERROR(INDEX('8_3nf_customer'!$E:$E,MATCH(AD487,'8_3nf_customer'!$B:$B,0)),"NOT FOUND")</f>
        <v/>
      </c>
      <c r="AI487" s="30">
        <f>IF(_xlfn.MAXIFS('9_3nf_customer_history'!$B$2:$B$500,'9_3nf_customer_history'!$A$2:$A$500,AD487,'9_3nf_customer_history'!$B$2:$B$500,"&lt;="&amp;L487)=0,"NOT FOUND",_xlfn.MAXIFS('9_3nf_customer_history'!$B$2:$B$500,'9_3nf_customer_history'!$A$2:$A$500,AD487,'9_3nf_customer_history'!$B$2:$B$500,"&lt;="&amp;L487))</f>
        <v/>
      </c>
      <c r="AJ487" s="2">
        <f>IF(AI487="NOT FOUND","NOT FOUND",INDEX('9_3nf_customer_history'!$C:$C,SUMPRODUCT(('9_3nf_customer_history'!$A$2:$A$500=AD487)*('9_3nf_customer_history'!$B$2:$B$500=AI487)*ROW('9_3nf_customer_history'!$A$2:$A$500))))</f>
        <v/>
      </c>
      <c r="AK487" s="2">
        <f>IF(AI487="NOT FOUND","NOT FOUND",INDEX('9_3nf_customer_history'!$D:$D,SUMPRODUCT(('9_3nf_customer_history'!$A$2:$A$500=AD487)*('9_3nf_customer_history'!$B$2:$B$500=AI487)*ROW('9_3nf_customer_history'!$A$2:$A$500))))</f>
        <v/>
      </c>
      <c r="AL487" s="2">
        <f>UPPER(TRIM(H487))</f>
        <v/>
      </c>
      <c r="AM487" s="30">
        <f>IF(_xlfn.MAXIFS('10_ref_fx_rate'!$B$2:$B$2000,'10_ref_fx_rate'!$A$2:$A$2000,AL487,'10_ref_fx_rate'!$B$2:$B$2000,"&lt;="&amp;L487)=0,"NOT FOUND",_xlfn.MAXIFS('10_ref_fx_rate'!$B$2:$B$2000,'10_ref_fx_rate'!$A$2:$A$2000,AL487,'10_ref_fx_rate'!$B$2:$B$2000,"&lt;="&amp;L487))</f>
        <v/>
      </c>
      <c r="AN487" s="8">
        <f>IF(AM487="NOT FOUND","NOT FOUND",SUMIFS('10_ref_fx_rate'!$D$2:$D$2000,'10_ref_fx_rate'!$A$2:$A$2000,AL487,'10_ref_fx_rate'!$B$2:$B$2000,AM487))</f>
        <v/>
      </c>
      <c r="AO487" s="37">
        <f>IF(ISNUMBER(AN487),I487*AN487,"NOT FOUND")</f>
        <v/>
      </c>
      <c r="AP487" s="2">
        <f>UPPER(TRIM(J487))</f>
        <v/>
      </c>
      <c r="AQ487" s="2">
        <f>IF(AP487="","SELF-DIRECTED",IF(ISNUMBER(MATCH(AP487,'11_3nf_sales_person'!$A:$A,0)),IF(EXACT(AP487,J487),"OK","OK (auto-fixed)"),IF(ISNA(MATCH($A487,'12_sales_person_confirmation'!$A:$A,0)),"CONFIRM (not logged)",IF(INDEX('12_sales_person_confirmation'!$I:$I,MATCH($A487,'12_sales_person_confirmation'!$A:$A,0))="CONFIRMED","CONFIRMED ("&amp;LOWER(INDEX('12_sales_person_confirmation'!$E:$E,MATCH($A487,'12_sales_person_confirmation'!$A:$A,0)))&amp;")","PENDING CONFIRM"))))</f>
        <v/>
      </c>
      <c r="AR487" s="2">
        <f>IF(OR(AQ487="OK",AQ487="OK (auto-fixed)"),AP487,IF(LEFT(AQ487,9)="CONFIRMED",INDEX('12_sales_person_confirmation'!$F:$F,MATCH($A487,'12_sales_person_confirmation'!$A:$A,0)),""))</f>
        <v/>
      </c>
      <c r="AS487" s="2">
        <f>IF(AR487="","",INDEX('11_3nf_sales_person'!$B:$B,MATCH(AR487,'11_3nf_sales_person'!$A:$A,0)))</f>
        <v/>
      </c>
    </row>
    <row r="488">
      <c r="A488" s="2">
        <f>IF(ISBLANK('1_raw_log'!A488),"",'1_raw_log'!A488)</f>
        <v/>
      </c>
      <c r="B488" s="3">
        <f>IF(ISBLANK('1_raw_log'!B488),"",'1_raw_log'!B488)</f>
        <v/>
      </c>
      <c r="C488" s="2">
        <f>IF(ISBLANK('1_raw_log'!C488),"",'1_raw_log'!C488)</f>
        <v/>
      </c>
      <c r="D488" s="2">
        <f>IF(ISBLANK('1_raw_log'!D488),"",'1_raw_log'!D488)</f>
        <v/>
      </c>
      <c r="E488" s="4">
        <f>IF(ISBLANK('1_raw_log'!E488),"",'1_raw_log'!E488)</f>
        <v/>
      </c>
      <c r="F488" s="2">
        <f>IF(ISBLANK('1_raw_log'!F488),"",'1_raw_log'!F488)</f>
        <v/>
      </c>
      <c r="G488" s="2">
        <f>IF(ISBLANK('1_raw_log'!G488),"",'1_raw_log'!G488)</f>
        <v/>
      </c>
      <c r="H488" s="2">
        <f>IF(ISBLANK('1_raw_log'!H488),"",'1_raw_log'!H488)</f>
        <v/>
      </c>
      <c r="I488" s="7">
        <f>IF(ISBLANK('1_raw_log'!I488),"",'1_raw_log'!I488)</f>
        <v/>
      </c>
      <c r="J488" s="2">
        <f>IF(ISBLANK('1_raw_log'!J488),"",'1_raw_log'!J488)</f>
        <v/>
      </c>
      <c r="K488" s="2">
        <f>IF(ISBLANK('1_raw_log'!K488),"",'1_raw_log'!K488)</f>
        <v/>
      </c>
      <c r="L488" s="30">
        <f>INT(B488)</f>
        <v/>
      </c>
      <c r="M488" s="20">
        <f>ROUND(MOD(B488,1)*1440,0)/1440</f>
        <v/>
      </c>
      <c r="N488" s="4">
        <f>IFERROR(INDEX('3_ref_date'!$B:$B,MATCH(L488,'3_ref_date'!$A:$A,0)),"NOT FOUND")</f>
        <v/>
      </c>
      <c r="O488" s="2">
        <f>IFERROR(INDEX('3_ref_date'!$C:$C,MATCH(L488,'3_ref_date'!$A:$A,0)),"NOT FOUND")</f>
        <v/>
      </c>
      <c r="P488" s="4">
        <f>IFERROR(INDEX('3_ref_date'!$D:$D,MATCH(L488,'3_ref_date'!$A:$A,0)),"NOT FOUND")</f>
        <v/>
      </c>
      <c r="Q488" s="4">
        <f>IFERROR(INDEX('3_ref_date'!$E:$E,MATCH(L488,'3_ref_date'!$A:$A,0)),"NOT FOUND")</f>
        <v/>
      </c>
      <c r="R488" s="2">
        <f>IFERROR(INDEX('3_ref_date'!$F:$F,MATCH(L488,'3_ref_date'!$A:$A,0)),"NOT FOUND")</f>
        <v/>
      </c>
      <c r="S488" s="2">
        <f>IFERROR(INDEX('4_ref_time'!$D:$D,MATCH(ROUND(M488*1440,0),'4_ref_time'!$A:$A,0)),"NOT FOUND")</f>
        <v/>
      </c>
      <c r="T488" s="2">
        <f>UPPER(TRIM(C488))</f>
        <v/>
      </c>
      <c r="U488" s="30">
        <f>IF(_xlfn.MAXIFS('6_3nf_branch_history'!$B$2:$B$50,'6_3nf_branch_history'!$A$2:$A$50,T488,'6_3nf_branch_history'!$B$2:$B$50,"&lt;="&amp;L488)=0,"NOT FOUND",_xlfn.MAXIFS('6_3nf_branch_history'!$B$2:$B$50,'6_3nf_branch_history'!$A$2:$A$50,T488,'6_3nf_branch_history'!$B$2:$B$50,"&lt;="&amp;L488))</f>
        <v/>
      </c>
      <c r="V488" s="2">
        <f>IF(U488="NOT FOUND","NOT FOUND",INDEX('6_3nf_branch_history'!$C:$C,SUMPRODUCT(('6_3nf_branch_history'!$A$2:$A$50=T488)*('6_3nf_branch_history'!$B$2:$B$50=U488)*ROW('6_3nf_branch_history'!$A$2:$A$50))))</f>
        <v/>
      </c>
      <c r="W488" s="2">
        <f>IF(U488="NOT FOUND","NOT FOUND",INDEX('6_3nf_branch_history'!$D:$D,SUMPRODUCT(('6_3nf_branch_history'!$A$2:$A$50=T488)*('6_3nf_branch_history'!$B$2:$B$50=U488)*ROW('6_3nf_branch_history'!$A$2:$A$50))))</f>
        <v/>
      </c>
      <c r="X488" s="2">
        <f>IF(U488="NOT FOUND","NOT FOUND",INDEX('6_3nf_branch_history'!$E:$E,SUMPRODUCT(('6_3nf_branch_history'!$A$2:$A$50=T488)*('6_3nf_branch_history'!$B$2:$B$50=U488)*ROW('6_3nf_branch_history'!$A$2:$A$50))))</f>
        <v/>
      </c>
      <c r="Y488" s="2">
        <f>UPPER(TRIM(D488))</f>
        <v/>
      </c>
      <c r="Z488" s="2">
        <f>IFERROR(INDEX('7_3nf_product'!$B:$B,MATCH(Y488,'7_3nf_product'!$A:$A,0)),"NOT FOUND")</f>
        <v/>
      </c>
      <c r="AA488" s="2">
        <f>IFERROR(INDEX('7_3nf_product'!$C:$C,MATCH(Y488,'7_3nf_product'!$A:$A,0)),"NOT FOUND")</f>
        <v/>
      </c>
      <c r="AB488" s="2">
        <f>IFERROR(INDEX('7_3nf_product'!$D:$D,MATCH(Y488,'7_3nf_product'!$A:$A,0)),"NOT FOUND")</f>
        <v/>
      </c>
      <c r="AC488" s="6">
        <f>IFERROR(INDEX('7_3nf_product'!$E:$E,MATCH(Y488,'7_3nf_product'!$A:$A,0)),"NOT FOUND")</f>
        <v/>
      </c>
      <c r="AD488" s="33">
        <f>IF(LEN(TRIM(E488))=10,TRIM(E488),IF(LEN(TRIM(E488))=8,"00"&amp;TRIM(E488),"CHECK"))</f>
        <v/>
      </c>
      <c r="AE488" s="2">
        <f>IFERROR(INDEX('8_3nf_customer'!$C:$C,MATCH(AD488,'8_3nf_customer'!$B:$B,0)),"NOT FOUND")</f>
        <v/>
      </c>
      <c r="AF488" s="30">
        <f>IFERROR(INDEX('8_3nf_customer'!$D:$D,MATCH(AD488,'8_3nf_customer'!$B:$B,0)),"NOT FOUND")</f>
        <v/>
      </c>
      <c r="AG488" s="4">
        <f>IF(ISNUMBER(AF488),DATEDIF(AF488,L488,"y"),"NOT FOUND")</f>
        <v/>
      </c>
      <c r="AH488" s="2">
        <f>IFERROR(INDEX('8_3nf_customer'!$E:$E,MATCH(AD488,'8_3nf_customer'!$B:$B,0)),"NOT FOUND")</f>
        <v/>
      </c>
      <c r="AI488" s="30">
        <f>IF(_xlfn.MAXIFS('9_3nf_customer_history'!$B$2:$B$500,'9_3nf_customer_history'!$A$2:$A$500,AD488,'9_3nf_customer_history'!$B$2:$B$500,"&lt;="&amp;L488)=0,"NOT FOUND",_xlfn.MAXIFS('9_3nf_customer_history'!$B$2:$B$500,'9_3nf_customer_history'!$A$2:$A$500,AD488,'9_3nf_customer_history'!$B$2:$B$500,"&lt;="&amp;L488))</f>
        <v/>
      </c>
      <c r="AJ488" s="2">
        <f>IF(AI488="NOT FOUND","NOT FOUND",INDEX('9_3nf_customer_history'!$C:$C,SUMPRODUCT(('9_3nf_customer_history'!$A$2:$A$500=AD488)*('9_3nf_customer_history'!$B$2:$B$500=AI488)*ROW('9_3nf_customer_history'!$A$2:$A$500))))</f>
        <v/>
      </c>
      <c r="AK488" s="2">
        <f>IF(AI488="NOT FOUND","NOT FOUND",INDEX('9_3nf_customer_history'!$D:$D,SUMPRODUCT(('9_3nf_customer_history'!$A$2:$A$500=AD488)*('9_3nf_customer_history'!$B$2:$B$500=AI488)*ROW('9_3nf_customer_history'!$A$2:$A$500))))</f>
        <v/>
      </c>
      <c r="AL488" s="2">
        <f>UPPER(TRIM(H488))</f>
        <v/>
      </c>
      <c r="AM488" s="30">
        <f>IF(_xlfn.MAXIFS('10_ref_fx_rate'!$B$2:$B$2000,'10_ref_fx_rate'!$A$2:$A$2000,AL488,'10_ref_fx_rate'!$B$2:$B$2000,"&lt;="&amp;L488)=0,"NOT FOUND",_xlfn.MAXIFS('10_ref_fx_rate'!$B$2:$B$2000,'10_ref_fx_rate'!$A$2:$A$2000,AL488,'10_ref_fx_rate'!$B$2:$B$2000,"&lt;="&amp;L488))</f>
        <v/>
      </c>
      <c r="AN488" s="8">
        <f>IF(AM488="NOT FOUND","NOT FOUND",SUMIFS('10_ref_fx_rate'!$D$2:$D$2000,'10_ref_fx_rate'!$A$2:$A$2000,AL488,'10_ref_fx_rate'!$B$2:$B$2000,AM488))</f>
        <v/>
      </c>
      <c r="AO488" s="37">
        <f>IF(ISNUMBER(AN488),I488*AN488,"NOT FOUND")</f>
        <v/>
      </c>
      <c r="AP488" s="2">
        <f>UPPER(TRIM(J488))</f>
        <v/>
      </c>
      <c r="AQ488" s="2">
        <f>IF(AP488="","SELF-DIRECTED",IF(ISNUMBER(MATCH(AP488,'11_3nf_sales_person'!$A:$A,0)),IF(EXACT(AP488,J488),"OK","OK (auto-fixed)"),IF(ISNA(MATCH($A488,'12_sales_person_confirmation'!$A:$A,0)),"CONFIRM (not logged)",IF(INDEX('12_sales_person_confirmation'!$I:$I,MATCH($A488,'12_sales_person_confirmation'!$A:$A,0))="CONFIRMED","CONFIRMED ("&amp;LOWER(INDEX('12_sales_person_confirmation'!$E:$E,MATCH($A488,'12_sales_person_confirmation'!$A:$A,0)))&amp;")","PENDING CONFIRM"))))</f>
        <v/>
      </c>
      <c r="AR488" s="2">
        <f>IF(OR(AQ488="OK",AQ488="OK (auto-fixed)"),AP488,IF(LEFT(AQ488,9)="CONFIRMED",INDEX('12_sales_person_confirmation'!$F:$F,MATCH($A488,'12_sales_person_confirmation'!$A:$A,0)),""))</f>
        <v/>
      </c>
      <c r="AS488" s="2">
        <f>IF(AR488="","",INDEX('11_3nf_sales_person'!$B:$B,MATCH(AR488,'11_3nf_sales_person'!$A:$A,0)))</f>
        <v/>
      </c>
    </row>
    <row r="489">
      <c r="A489" s="2">
        <f>IF(ISBLANK('1_raw_log'!A489),"",'1_raw_log'!A489)</f>
        <v/>
      </c>
      <c r="B489" s="3">
        <f>IF(ISBLANK('1_raw_log'!B489),"",'1_raw_log'!B489)</f>
        <v/>
      </c>
      <c r="C489" s="2">
        <f>IF(ISBLANK('1_raw_log'!C489),"",'1_raw_log'!C489)</f>
        <v/>
      </c>
      <c r="D489" s="2">
        <f>IF(ISBLANK('1_raw_log'!D489),"",'1_raw_log'!D489)</f>
        <v/>
      </c>
      <c r="E489" s="4">
        <f>IF(ISBLANK('1_raw_log'!E489),"",'1_raw_log'!E489)</f>
        <v/>
      </c>
      <c r="F489" s="2">
        <f>IF(ISBLANK('1_raw_log'!F489),"",'1_raw_log'!F489)</f>
        <v/>
      </c>
      <c r="G489" s="2">
        <f>IF(ISBLANK('1_raw_log'!G489),"",'1_raw_log'!G489)</f>
        <v/>
      </c>
      <c r="H489" s="2">
        <f>IF(ISBLANK('1_raw_log'!H489),"",'1_raw_log'!H489)</f>
        <v/>
      </c>
      <c r="I489" s="7">
        <f>IF(ISBLANK('1_raw_log'!I489),"",'1_raw_log'!I489)</f>
        <v/>
      </c>
      <c r="J489" s="2">
        <f>IF(ISBLANK('1_raw_log'!J489),"",'1_raw_log'!J489)</f>
        <v/>
      </c>
      <c r="K489" s="2">
        <f>IF(ISBLANK('1_raw_log'!K489),"",'1_raw_log'!K489)</f>
        <v/>
      </c>
      <c r="L489" s="30">
        <f>INT(B489)</f>
        <v/>
      </c>
      <c r="M489" s="20">
        <f>ROUND(MOD(B489,1)*1440,0)/1440</f>
        <v/>
      </c>
      <c r="N489" s="4">
        <f>IFERROR(INDEX('3_ref_date'!$B:$B,MATCH(L489,'3_ref_date'!$A:$A,0)),"NOT FOUND")</f>
        <v/>
      </c>
      <c r="O489" s="2">
        <f>IFERROR(INDEX('3_ref_date'!$C:$C,MATCH(L489,'3_ref_date'!$A:$A,0)),"NOT FOUND")</f>
        <v/>
      </c>
      <c r="P489" s="4">
        <f>IFERROR(INDEX('3_ref_date'!$D:$D,MATCH(L489,'3_ref_date'!$A:$A,0)),"NOT FOUND")</f>
        <v/>
      </c>
      <c r="Q489" s="4">
        <f>IFERROR(INDEX('3_ref_date'!$E:$E,MATCH(L489,'3_ref_date'!$A:$A,0)),"NOT FOUND")</f>
        <v/>
      </c>
      <c r="R489" s="2">
        <f>IFERROR(INDEX('3_ref_date'!$F:$F,MATCH(L489,'3_ref_date'!$A:$A,0)),"NOT FOUND")</f>
        <v/>
      </c>
      <c r="S489" s="2">
        <f>IFERROR(INDEX('4_ref_time'!$D:$D,MATCH(ROUND(M489*1440,0),'4_ref_time'!$A:$A,0)),"NOT FOUND")</f>
        <v/>
      </c>
      <c r="T489" s="2">
        <f>UPPER(TRIM(C489))</f>
        <v/>
      </c>
      <c r="U489" s="30">
        <f>IF(_xlfn.MAXIFS('6_3nf_branch_history'!$B$2:$B$50,'6_3nf_branch_history'!$A$2:$A$50,T489,'6_3nf_branch_history'!$B$2:$B$50,"&lt;="&amp;L489)=0,"NOT FOUND",_xlfn.MAXIFS('6_3nf_branch_history'!$B$2:$B$50,'6_3nf_branch_history'!$A$2:$A$50,T489,'6_3nf_branch_history'!$B$2:$B$50,"&lt;="&amp;L489))</f>
        <v/>
      </c>
      <c r="V489" s="2">
        <f>IF(U489="NOT FOUND","NOT FOUND",INDEX('6_3nf_branch_history'!$C:$C,SUMPRODUCT(('6_3nf_branch_history'!$A$2:$A$50=T489)*('6_3nf_branch_history'!$B$2:$B$50=U489)*ROW('6_3nf_branch_history'!$A$2:$A$50))))</f>
        <v/>
      </c>
      <c r="W489" s="2">
        <f>IF(U489="NOT FOUND","NOT FOUND",INDEX('6_3nf_branch_history'!$D:$D,SUMPRODUCT(('6_3nf_branch_history'!$A$2:$A$50=T489)*('6_3nf_branch_history'!$B$2:$B$50=U489)*ROW('6_3nf_branch_history'!$A$2:$A$50))))</f>
        <v/>
      </c>
      <c r="X489" s="2">
        <f>IF(U489="NOT FOUND","NOT FOUND",INDEX('6_3nf_branch_history'!$E:$E,SUMPRODUCT(('6_3nf_branch_history'!$A$2:$A$50=T489)*('6_3nf_branch_history'!$B$2:$B$50=U489)*ROW('6_3nf_branch_history'!$A$2:$A$50))))</f>
        <v/>
      </c>
      <c r="Y489" s="2">
        <f>UPPER(TRIM(D489))</f>
        <v/>
      </c>
      <c r="Z489" s="2">
        <f>IFERROR(INDEX('7_3nf_product'!$B:$B,MATCH(Y489,'7_3nf_product'!$A:$A,0)),"NOT FOUND")</f>
        <v/>
      </c>
      <c r="AA489" s="2">
        <f>IFERROR(INDEX('7_3nf_product'!$C:$C,MATCH(Y489,'7_3nf_product'!$A:$A,0)),"NOT FOUND")</f>
        <v/>
      </c>
      <c r="AB489" s="2">
        <f>IFERROR(INDEX('7_3nf_product'!$D:$D,MATCH(Y489,'7_3nf_product'!$A:$A,0)),"NOT FOUND")</f>
        <v/>
      </c>
      <c r="AC489" s="6">
        <f>IFERROR(INDEX('7_3nf_product'!$E:$E,MATCH(Y489,'7_3nf_product'!$A:$A,0)),"NOT FOUND")</f>
        <v/>
      </c>
      <c r="AD489" s="33">
        <f>IF(LEN(TRIM(E489))=10,TRIM(E489),IF(LEN(TRIM(E489))=8,"00"&amp;TRIM(E489),"CHECK"))</f>
        <v/>
      </c>
      <c r="AE489" s="2">
        <f>IFERROR(INDEX('8_3nf_customer'!$C:$C,MATCH(AD489,'8_3nf_customer'!$B:$B,0)),"NOT FOUND")</f>
        <v/>
      </c>
      <c r="AF489" s="30">
        <f>IFERROR(INDEX('8_3nf_customer'!$D:$D,MATCH(AD489,'8_3nf_customer'!$B:$B,0)),"NOT FOUND")</f>
        <v/>
      </c>
      <c r="AG489" s="4">
        <f>IF(ISNUMBER(AF489),DATEDIF(AF489,L489,"y"),"NOT FOUND")</f>
        <v/>
      </c>
      <c r="AH489" s="2">
        <f>IFERROR(INDEX('8_3nf_customer'!$E:$E,MATCH(AD489,'8_3nf_customer'!$B:$B,0)),"NOT FOUND")</f>
        <v/>
      </c>
      <c r="AI489" s="30">
        <f>IF(_xlfn.MAXIFS('9_3nf_customer_history'!$B$2:$B$500,'9_3nf_customer_history'!$A$2:$A$500,AD489,'9_3nf_customer_history'!$B$2:$B$500,"&lt;="&amp;L489)=0,"NOT FOUND",_xlfn.MAXIFS('9_3nf_customer_history'!$B$2:$B$500,'9_3nf_customer_history'!$A$2:$A$500,AD489,'9_3nf_customer_history'!$B$2:$B$500,"&lt;="&amp;L489))</f>
        <v/>
      </c>
      <c r="AJ489" s="2">
        <f>IF(AI489="NOT FOUND","NOT FOUND",INDEX('9_3nf_customer_history'!$C:$C,SUMPRODUCT(('9_3nf_customer_history'!$A$2:$A$500=AD489)*('9_3nf_customer_history'!$B$2:$B$500=AI489)*ROW('9_3nf_customer_history'!$A$2:$A$500))))</f>
        <v/>
      </c>
      <c r="AK489" s="2">
        <f>IF(AI489="NOT FOUND","NOT FOUND",INDEX('9_3nf_customer_history'!$D:$D,SUMPRODUCT(('9_3nf_customer_history'!$A$2:$A$500=AD489)*('9_3nf_customer_history'!$B$2:$B$500=AI489)*ROW('9_3nf_customer_history'!$A$2:$A$500))))</f>
        <v/>
      </c>
      <c r="AL489" s="2">
        <f>UPPER(TRIM(H489))</f>
        <v/>
      </c>
      <c r="AM489" s="30">
        <f>IF(_xlfn.MAXIFS('10_ref_fx_rate'!$B$2:$B$2000,'10_ref_fx_rate'!$A$2:$A$2000,AL489,'10_ref_fx_rate'!$B$2:$B$2000,"&lt;="&amp;L489)=0,"NOT FOUND",_xlfn.MAXIFS('10_ref_fx_rate'!$B$2:$B$2000,'10_ref_fx_rate'!$A$2:$A$2000,AL489,'10_ref_fx_rate'!$B$2:$B$2000,"&lt;="&amp;L489))</f>
        <v/>
      </c>
      <c r="AN489" s="8">
        <f>IF(AM489="NOT FOUND","NOT FOUND",SUMIFS('10_ref_fx_rate'!$D$2:$D$2000,'10_ref_fx_rate'!$A$2:$A$2000,AL489,'10_ref_fx_rate'!$B$2:$B$2000,AM489))</f>
        <v/>
      </c>
      <c r="AO489" s="37">
        <f>IF(ISNUMBER(AN489),I489*AN489,"NOT FOUND")</f>
        <v/>
      </c>
      <c r="AP489" s="2">
        <f>UPPER(TRIM(J489))</f>
        <v/>
      </c>
      <c r="AQ489" s="2">
        <f>IF(AP489="","SELF-DIRECTED",IF(ISNUMBER(MATCH(AP489,'11_3nf_sales_person'!$A:$A,0)),IF(EXACT(AP489,J489),"OK","OK (auto-fixed)"),IF(ISNA(MATCH($A489,'12_sales_person_confirmation'!$A:$A,0)),"CONFIRM (not logged)",IF(INDEX('12_sales_person_confirmation'!$I:$I,MATCH($A489,'12_sales_person_confirmation'!$A:$A,0))="CONFIRMED","CONFIRMED ("&amp;LOWER(INDEX('12_sales_person_confirmation'!$E:$E,MATCH($A489,'12_sales_person_confirmation'!$A:$A,0)))&amp;")","PENDING CONFIRM"))))</f>
        <v/>
      </c>
      <c r="AR489" s="2">
        <f>IF(OR(AQ489="OK",AQ489="OK (auto-fixed)"),AP489,IF(LEFT(AQ489,9)="CONFIRMED",INDEX('12_sales_person_confirmation'!$F:$F,MATCH($A489,'12_sales_person_confirmation'!$A:$A,0)),""))</f>
        <v/>
      </c>
      <c r="AS489" s="2">
        <f>IF(AR489="","",INDEX('11_3nf_sales_person'!$B:$B,MATCH(AR489,'11_3nf_sales_person'!$A:$A,0)))</f>
        <v/>
      </c>
    </row>
    <row r="490">
      <c r="A490" s="2">
        <f>IF(ISBLANK('1_raw_log'!A490),"",'1_raw_log'!A490)</f>
        <v/>
      </c>
      <c r="B490" s="3">
        <f>IF(ISBLANK('1_raw_log'!B490),"",'1_raw_log'!B490)</f>
        <v/>
      </c>
      <c r="C490" s="2">
        <f>IF(ISBLANK('1_raw_log'!C490),"",'1_raw_log'!C490)</f>
        <v/>
      </c>
      <c r="D490" s="2">
        <f>IF(ISBLANK('1_raw_log'!D490),"",'1_raw_log'!D490)</f>
        <v/>
      </c>
      <c r="E490" s="4">
        <f>IF(ISBLANK('1_raw_log'!E490),"",'1_raw_log'!E490)</f>
        <v/>
      </c>
      <c r="F490" s="2">
        <f>IF(ISBLANK('1_raw_log'!F490),"",'1_raw_log'!F490)</f>
        <v/>
      </c>
      <c r="G490" s="2">
        <f>IF(ISBLANK('1_raw_log'!G490),"",'1_raw_log'!G490)</f>
        <v/>
      </c>
      <c r="H490" s="2">
        <f>IF(ISBLANK('1_raw_log'!H490),"",'1_raw_log'!H490)</f>
        <v/>
      </c>
      <c r="I490" s="7">
        <f>IF(ISBLANK('1_raw_log'!I490),"",'1_raw_log'!I490)</f>
        <v/>
      </c>
      <c r="J490" s="2">
        <f>IF(ISBLANK('1_raw_log'!J490),"",'1_raw_log'!J490)</f>
        <v/>
      </c>
      <c r="K490" s="2">
        <f>IF(ISBLANK('1_raw_log'!K490),"",'1_raw_log'!K490)</f>
        <v/>
      </c>
      <c r="L490" s="30">
        <f>INT(B490)</f>
        <v/>
      </c>
      <c r="M490" s="20">
        <f>ROUND(MOD(B490,1)*1440,0)/1440</f>
        <v/>
      </c>
      <c r="N490" s="4">
        <f>IFERROR(INDEX('3_ref_date'!$B:$B,MATCH(L490,'3_ref_date'!$A:$A,0)),"NOT FOUND")</f>
        <v/>
      </c>
      <c r="O490" s="2">
        <f>IFERROR(INDEX('3_ref_date'!$C:$C,MATCH(L490,'3_ref_date'!$A:$A,0)),"NOT FOUND")</f>
        <v/>
      </c>
      <c r="P490" s="4">
        <f>IFERROR(INDEX('3_ref_date'!$D:$D,MATCH(L490,'3_ref_date'!$A:$A,0)),"NOT FOUND")</f>
        <v/>
      </c>
      <c r="Q490" s="4">
        <f>IFERROR(INDEX('3_ref_date'!$E:$E,MATCH(L490,'3_ref_date'!$A:$A,0)),"NOT FOUND")</f>
        <v/>
      </c>
      <c r="R490" s="2">
        <f>IFERROR(INDEX('3_ref_date'!$F:$F,MATCH(L490,'3_ref_date'!$A:$A,0)),"NOT FOUND")</f>
        <v/>
      </c>
      <c r="S490" s="2">
        <f>IFERROR(INDEX('4_ref_time'!$D:$D,MATCH(ROUND(M490*1440,0),'4_ref_time'!$A:$A,0)),"NOT FOUND")</f>
        <v/>
      </c>
      <c r="T490" s="2">
        <f>UPPER(TRIM(C490))</f>
        <v/>
      </c>
      <c r="U490" s="30">
        <f>IF(_xlfn.MAXIFS('6_3nf_branch_history'!$B$2:$B$50,'6_3nf_branch_history'!$A$2:$A$50,T490,'6_3nf_branch_history'!$B$2:$B$50,"&lt;="&amp;L490)=0,"NOT FOUND",_xlfn.MAXIFS('6_3nf_branch_history'!$B$2:$B$50,'6_3nf_branch_history'!$A$2:$A$50,T490,'6_3nf_branch_history'!$B$2:$B$50,"&lt;="&amp;L490))</f>
        <v/>
      </c>
      <c r="V490" s="2">
        <f>IF(U490="NOT FOUND","NOT FOUND",INDEX('6_3nf_branch_history'!$C:$C,SUMPRODUCT(('6_3nf_branch_history'!$A$2:$A$50=T490)*('6_3nf_branch_history'!$B$2:$B$50=U490)*ROW('6_3nf_branch_history'!$A$2:$A$50))))</f>
        <v/>
      </c>
      <c r="W490" s="2">
        <f>IF(U490="NOT FOUND","NOT FOUND",INDEX('6_3nf_branch_history'!$D:$D,SUMPRODUCT(('6_3nf_branch_history'!$A$2:$A$50=T490)*('6_3nf_branch_history'!$B$2:$B$50=U490)*ROW('6_3nf_branch_history'!$A$2:$A$50))))</f>
        <v/>
      </c>
      <c r="X490" s="2">
        <f>IF(U490="NOT FOUND","NOT FOUND",INDEX('6_3nf_branch_history'!$E:$E,SUMPRODUCT(('6_3nf_branch_history'!$A$2:$A$50=T490)*('6_3nf_branch_history'!$B$2:$B$50=U490)*ROW('6_3nf_branch_history'!$A$2:$A$50))))</f>
        <v/>
      </c>
      <c r="Y490" s="2">
        <f>UPPER(TRIM(D490))</f>
        <v/>
      </c>
      <c r="Z490" s="2">
        <f>IFERROR(INDEX('7_3nf_product'!$B:$B,MATCH(Y490,'7_3nf_product'!$A:$A,0)),"NOT FOUND")</f>
        <v/>
      </c>
      <c r="AA490" s="2">
        <f>IFERROR(INDEX('7_3nf_product'!$C:$C,MATCH(Y490,'7_3nf_product'!$A:$A,0)),"NOT FOUND")</f>
        <v/>
      </c>
      <c r="AB490" s="2">
        <f>IFERROR(INDEX('7_3nf_product'!$D:$D,MATCH(Y490,'7_3nf_product'!$A:$A,0)),"NOT FOUND")</f>
        <v/>
      </c>
      <c r="AC490" s="6">
        <f>IFERROR(INDEX('7_3nf_product'!$E:$E,MATCH(Y490,'7_3nf_product'!$A:$A,0)),"NOT FOUND")</f>
        <v/>
      </c>
      <c r="AD490" s="33">
        <f>IF(LEN(TRIM(E490))=10,TRIM(E490),IF(LEN(TRIM(E490))=8,"00"&amp;TRIM(E490),"CHECK"))</f>
        <v/>
      </c>
      <c r="AE490" s="2">
        <f>IFERROR(INDEX('8_3nf_customer'!$C:$C,MATCH(AD490,'8_3nf_customer'!$B:$B,0)),"NOT FOUND")</f>
        <v/>
      </c>
      <c r="AF490" s="30">
        <f>IFERROR(INDEX('8_3nf_customer'!$D:$D,MATCH(AD490,'8_3nf_customer'!$B:$B,0)),"NOT FOUND")</f>
        <v/>
      </c>
      <c r="AG490" s="4">
        <f>IF(ISNUMBER(AF490),DATEDIF(AF490,L490,"y"),"NOT FOUND")</f>
        <v/>
      </c>
      <c r="AH490" s="2">
        <f>IFERROR(INDEX('8_3nf_customer'!$E:$E,MATCH(AD490,'8_3nf_customer'!$B:$B,0)),"NOT FOUND")</f>
        <v/>
      </c>
      <c r="AI490" s="30">
        <f>IF(_xlfn.MAXIFS('9_3nf_customer_history'!$B$2:$B$500,'9_3nf_customer_history'!$A$2:$A$500,AD490,'9_3nf_customer_history'!$B$2:$B$500,"&lt;="&amp;L490)=0,"NOT FOUND",_xlfn.MAXIFS('9_3nf_customer_history'!$B$2:$B$500,'9_3nf_customer_history'!$A$2:$A$500,AD490,'9_3nf_customer_history'!$B$2:$B$500,"&lt;="&amp;L490))</f>
        <v/>
      </c>
      <c r="AJ490" s="2">
        <f>IF(AI490="NOT FOUND","NOT FOUND",INDEX('9_3nf_customer_history'!$C:$C,SUMPRODUCT(('9_3nf_customer_history'!$A$2:$A$500=AD490)*('9_3nf_customer_history'!$B$2:$B$500=AI490)*ROW('9_3nf_customer_history'!$A$2:$A$500))))</f>
        <v/>
      </c>
      <c r="AK490" s="2">
        <f>IF(AI490="NOT FOUND","NOT FOUND",INDEX('9_3nf_customer_history'!$D:$D,SUMPRODUCT(('9_3nf_customer_history'!$A$2:$A$500=AD490)*('9_3nf_customer_history'!$B$2:$B$500=AI490)*ROW('9_3nf_customer_history'!$A$2:$A$500))))</f>
        <v/>
      </c>
      <c r="AL490" s="2">
        <f>UPPER(TRIM(H490))</f>
        <v/>
      </c>
      <c r="AM490" s="30">
        <f>IF(_xlfn.MAXIFS('10_ref_fx_rate'!$B$2:$B$2000,'10_ref_fx_rate'!$A$2:$A$2000,AL490,'10_ref_fx_rate'!$B$2:$B$2000,"&lt;="&amp;L490)=0,"NOT FOUND",_xlfn.MAXIFS('10_ref_fx_rate'!$B$2:$B$2000,'10_ref_fx_rate'!$A$2:$A$2000,AL490,'10_ref_fx_rate'!$B$2:$B$2000,"&lt;="&amp;L490))</f>
        <v/>
      </c>
      <c r="AN490" s="8">
        <f>IF(AM490="NOT FOUND","NOT FOUND",SUMIFS('10_ref_fx_rate'!$D$2:$D$2000,'10_ref_fx_rate'!$A$2:$A$2000,AL490,'10_ref_fx_rate'!$B$2:$B$2000,AM490))</f>
        <v/>
      </c>
      <c r="AO490" s="37">
        <f>IF(ISNUMBER(AN490),I490*AN490,"NOT FOUND")</f>
        <v/>
      </c>
      <c r="AP490" s="2">
        <f>UPPER(TRIM(J490))</f>
        <v/>
      </c>
      <c r="AQ490" s="2">
        <f>IF(AP490="","SELF-DIRECTED",IF(ISNUMBER(MATCH(AP490,'11_3nf_sales_person'!$A:$A,0)),IF(EXACT(AP490,J490),"OK","OK (auto-fixed)"),IF(ISNA(MATCH($A490,'12_sales_person_confirmation'!$A:$A,0)),"CONFIRM (not logged)",IF(INDEX('12_sales_person_confirmation'!$I:$I,MATCH($A490,'12_sales_person_confirmation'!$A:$A,0))="CONFIRMED","CONFIRMED ("&amp;LOWER(INDEX('12_sales_person_confirmation'!$E:$E,MATCH($A490,'12_sales_person_confirmation'!$A:$A,0)))&amp;")","PENDING CONFIRM"))))</f>
        <v/>
      </c>
      <c r="AR490" s="2">
        <f>IF(OR(AQ490="OK",AQ490="OK (auto-fixed)"),AP490,IF(LEFT(AQ490,9)="CONFIRMED",INDEX('12_sales_person_confirmation'!$F:$F,MATCH($A490,'12_sales_person_confirmation'!$A:$A,0)),""))</f>
        <v/>
      </c>
      <c r="AS490" s="2">
        <f>IF(AR490="","",INDEX('11_3nf_sales_person'!$B:$B,MATCH(AR490,'11_3nf_sales_person'!$A:$A,0)))</f>
        <v/>
      </c>
    </row>
    <row r="491">
      <c r="A491" s="2">
        <f>IF(ISBLANK('1_raw_log'!A491),"",'1_raw_log'!A491)</f>
        <v/>
      </c>
      <c r="B491" s="3">
        <f>IF(ISBLANK('1_raw_log'!B491),"",'1_raw_log'!B491)</f>
        <v/>
      </c>
      <c r="C491" s="2">
        <f>IF(ISBLANK('1_raw_log'!C491),"",'1_raw_log'!C491)</f>
        <v/>
      </c>
      <c r="D491" s="2">
        <f>IF(ISBLANK('1_raw_log'!D491),"",'1_raw_log'!D491)</f>
        <v/>
      </c>
      <c r="E491" s="4">
        <f>IF(ISBLANK('1_raw_log'!E491),"",'1_raw_log'!E491)</f>
        <v/>
      </c>
      <c r="F491" s="2">
        <f>IF(ISBLANK('1_raw_log'!F491),"",'1_raw_log'!F491)</f>
        <v/>
      </c>
      <c r="G491" s="2">
        <f>IF(ISBLANK('1_raw_log'!G491),"",'1_raw_log'!G491)</f>
        <v/>
      </c>
      <c r="H491" s="2">
        <f>IF(ISBLANK('1_raw_log'!H491),"",'1_raw_log'!H491)</f>
        <v/>
      </c>
      <c r="I491" s="7">
        <f>IF(ISBLANK('1_raw_log'!I491),"",'1_raw_log'!I491)</f>
        <v/>
      </c>
      <c r="J491" s="2">
        <f>IF(ISBLANK('1_raw_log'!J491),"",'1_raw_log'!J491)</f>
        <v/>
      </c>
      <c r="K491" s="2">
        <f>IF(ISBLANK('1_raw_log'!K491),"",'1_raw_log'!K491)</f>
        <v/>
      </c>
      <c r="L491" s="30">
        <f>INT(B491)</f>
        <v/>
      </c>
      <c r="M491" s="20">
        <f>ROUND(MOD(B491,1)*1440,0)/1440</f>
        <v/>
      </c>
      <c r="N491" s="4">
        <f>IFERROR(INDEX('3_ref_date'!$B:$B,MATCH(L491,'3_ref_date'!$A:$A,0)),"NOT FOUND")</f>
        <v/>
      </c>
      <c r="O491" s="2">
        <f>IFERROR(INDEX('3_ref_date'!$C:$C,MATCH(L491,'3_ref_date'!$A:$A,0)),"NOT FOUND")</f>
        <v/>
      </c>
      <c r="P491" s="4">
        <f>IFERROR(INDEX('3_ref_date'!$D:$D,MATCH(L491,'3_ref_date'!$A:$A,0)),"NOT FOUND")</f>
        <v/>
      </c>
      <c r="Q491" s="4">
        <f>IFERROR(INDEX('3_ref_date'!$E:$E,MATCH(L491,'3_ref_date'!$A:$A,0)),"NOT FOUND")</f>
        <v/>
      </c>
      <c r="R491" s="2">
        <f>IFERROR(INDEX('3_ref_date'!$F:$F,MATCH(L491,'3_ref_date'!$A:$A,0)),"NOT FOUND")</f>
        <v/>
      </c>
      <c r="S491" s="2">
        <f>IFERROR(INDEX('4_ref_time'!$D:$D,MATCH(ROUND(M491*1440,0),'4_ref_time'!$A:$A,0)),"NOT FOUND")</f>
        <v/>
      </c>
      <c r="T491" s="2">
        <f>UPPER(TRIM(C491))</f>
        <v/>
      </c>
      <c r="U491" s="30">
        <f>IF(_xlfn.MAXIFS('6_3nf_branch_history'!$B$2:$B$50,'6_3nf_branch_history'!$A$2:$A$50,T491,'6_3nf_branch_history'!$B$2:$B$50,"&lt;="&amp;L491)=0,"NOT FOUND",_xlfn.MAXIFS('6_3nf_branch_history'!$B$2:$B$50,'6_3nf_branch_history'!$A$2:$A$50,T491,'6_3nf_branch_history'!$B$2:$B$50,"&lt;="&amp;L491))</f>
        <v/>
      </c>
      <c r="V491" s="2">
        <f>IF(U491="NOT FOUND","NOT FOUND",INDEX('6_3nf_branch_history'!$C:$C,SUMPRODUCT(('6_3nf_branch_history'!$A$2:$A$50=T491)*('6_3nf_branch_history'!$B$2:$B$50=U491)*ROW('6_3nf_branch_history'!$A$2:$A$50))))</f>
        <v/>
      </c>
      <c r="W491" s="2">
        <f>IF(U491="NOT FOUND","NOT FOUND",INDEX('6_3nf_branch_history'!$D:$D,SUMPRODUCT(('6_3nf_branch_history'!$A$2:$A$50=T491)*('6_3nf_branch_history'!$B$2:$B$50=U491)*ROW('6_3nf_branch_history'!$A$2:$A$50))))</f>
        <v/>
      </c>
      <c r="X491" s="2">
        <f>IF(U491="NOT FOUND","NOT FOUND",INDEX('6_3nf_branch_history'!$E:$E,SUMPRODUCT(('6_3nf_branch_history'!$A$2:$A$50=T491)*('6_3nf_branch_history'!$B$2:$B$50=U491)*ROW('6_3nf_branch_history'!$A$2:$A$50))))</f>
        <v/>
      </c>
      <c r="Y491" s="2">
        <f>UPPER(TRIM(D491))</f>
        <v/>
      </c>
      <c r="Z491" s="2">
        <f>IFERROR(INDEX('7_3nf_product'!$B:$B,MATCH(Y491,'7_3nf_product'!$A:$A,0)),"NOT FOUND")</f>
        <v/>
      </c>
      <c r="AA491" s="2">
        <f>IFERROR(INDEX('7_3nf_product'!$C:$C,MATCH(Y491,'7_3nf_product'!$A:$A,0)),"NOT FOUND")</f>
        <v/>
      </c>
      <c r="AB491" s="2">
        <f>IFERROR(INDEX('7_3nf_product'!$D:$D,MATCH(Y491,'7_3nf_product'!$A:$A,0)),"NOT FOUND")</f>
        <v/>
      </c>
      <c r="AC491" s="6">
        <f>IFERROR(INDEX('7_3nf_product'!$E:$E,MATCH(Y491,'7_3nf_product'!$A:$A,0)),"NOT FOUND")</f>
        <v/>
      </c>
      <c r="AD491" s="33">
        <f>IF(LEN(TRIM(E491))=10,TRIM(E491),IF(LEN(TRIM(E491))=8,"00"&amp;TRIM(E491),"CHECK"))</f>
        <v/>
      </c>
      <c r="AE491" s="2">
        <f>IFERROR(INDEX('8_3nf_customer'!$C:$C,MATCH(AD491,'8_3nf_customer'!$B:$B,0)),"NOT FOUND")</f>
        <v/>
      </c>
      <c r="AF491" s="30">
        <f>IFERROR(INDEX('8_3nf_customer'!$D:$D,MATCH(AD491,'8_3nf_customer'!$B:$B,0)),"NOT FOUND")</f>
        <v/>
      </c>
      <c r="AG491" s="4">
        <f>IF(ISNUMBER(AF491),DATEDIF(AF491,L491,"y"),"NOT FOUND")</f>
        <v/>
      </c>
      <c r="AH491" s="2">
        <f>IFERROR(INDEX('8_3nf_customer'!$E:$E,MATCH(AD491,'8_3nf_customer'!$B:$B,0)),"NOT FOUND")</f>
        <v/>
      </c>
      <c r="AI491" s="30">
        <f>IF(_xlfn.MAXIFS('9_3nf_customer_history'!$B$2:$B$500,'9_3nf_customer_history'!$A$2:$A$500,AD491,'9_3nf_customer_history'!$B$2:$B$500,"&lt;="&amp;L491)=0,"NOT FOUND",_xlfn.MAXIFS('9_3nf_customer_history'!$B$2:$B$500,'9_3nf_customer_history'!$A$2:$A$500,AD491,'9_3nf_customer_history'!$B$2:$B$500,"&lt;="&amp;L491))</f>
        <v/>
      </c>
      <c r="AJ491" s="2">
        <f>IF(AI491="NOT FOUND","NOT FOUND",INDEX('9_3nf_customer_history'!$C:$C,SUMPRODUCT(('9_3nf_customer_history'!$A$2:$A$500=AD491)*('9_3nf_customer_history'!$B$2:$B$500=AI491)*ROW('9_3nf_customer_history'!$A$2:$A$500))))</f>
        <v/>
      </c>
      <c r="AK491" s="2">
        <f>IF(AI491="NOT FOUND","NOT FOUND",INDEX('9_3nf_customer_history'!$D:$D,SUMPRODUCT(('9_3nf_customer_history'!$A$2:$A$500=AD491)*('9_3nf_customer_history'!$B$2:$B$500=AI491)*ROW('9_3nf_customer_history'!$A$2:$A$500))))</f>
        <v/>
      </c>
      <c r="AL491" s="2">
        <f>UPPER(TRIM(H491))</f>
        <v/>
      </c>
      <c r="AM491" s="30">
        <f>IF(_xlfn.MAXIFS('10_ref_fx_rate'!$B$2:$B$2000,'10_ref_fx_rate'!$A$2:$A$2000,AL491,'10_ref_fx_rate'!$B$2:$B$2000,"&lt;="&amp;L491)=0,"NOT FOUND",_xlfn.MAXIFS('10_ref_fx_rate'!$B$2:$B$2000,'10_ref_fx_rate'!$A$2:$A$2000,AL491,'10_ref_fx_rate'!$B$2:$B$2000,"&lt;="&amp;L491))</f>
        <v/>
      </c>
      <c r="AN491" s="8">
        <f>IF(AM491="NOT FOUND","NOT FOUND",SUMIFS('10_ref_fx_rate'!$D$2:$D$2000,'10_ref_fx_rate'!$A$2:$A$2000,AL491,'10_ref_fx_rate'!$B$2:$B$2000,AM491))</f>
        <v/>
      </c>
      <c r="AO491" s="37">
        <f>IF(ISNUMBER(AN491),I491*AN491,"NOT FOUND")</f>
        <v/>
      </c>
      <c r="AP491" s="2">
        <f>UPPER(TRIM(J491))</f>
        <v/>
      </c>
      <c r="AQ491" s="2">
        <f>IF(AP491="","SELF-DIRECTED",IF(ISNUMBER(MATCH(AP491,'11_3nf_sales_person'!$A:$A,0)),IF(EXACT(AP491,J491),"OK","OK (auto-fixed)"),IF(ISNA(MATCH($A491,'12_sales_person_confirmation'!$A:$A,0)),"CONFIRM (not logged)",IF(INDEX('12_sales_person_confirmation'!$I:$I,MATCH($A491,'12_sales_person_confirmation'!$A:$A,0))="CONFIRMED","CONFIRMED ("&amp;LOWER(INDEX('12_sales_person_confirmation'!$E:$E,MATCH($A491,'12_sales_person_confirmation'!$A:$A,0)))&amp;")","PENDING CONFIRM"))))</f>
        <v/>
      </c>
      <c r="AR491" s="2">
        <f>IF(OR(AQ491="OK",AQ491="OK (auto-fixed)"),AP491,IF(LEFT(AQ491,9)="CONFIRMED",INDEX('12_sales_person_confirmation'!$F:$F,MATCH($A491,'12_sales_person_confirmation'!$A:$A,0)),""))</f>
        <v/>
      </c>
      <c r="AS491" s="2">
        <f>IF(AR491="","",INDEX('11_3nf_sales_person'!$B:$B,MATCH(AR491,'11_3nf_sales_person'!$A:$A,0)))</f>
        <v/>
      </c>
    </row>
    <row r="492">
      <c r="A492" s="2">
        <f>IF(ISBLANK('1_raw_log'!A492),"",'1_raw_log'!A492)</f>
        <v/>
      </c>
      <c r="B492" s="3">
        <f>IF(ISBLANK('1_raw_log'!B492),"",'1_raw_log'!B492)</f>
        <v/>
      </c>
      <c r="C492" s="2">
        <f>IF(ISBLANK('1_raw_log'!C492),"",'1_raw_log'!C492)</f>
        <v/>
      </c>
      <c r="D492" s="2">
        <f>IF(ISBLANK('1_raw_log'!D492),"",'1_raw_log'!D492)</f>
        <v/>
      </c>
      <c r="E492" s="4">
        <f>IF(ISBLANK('1_raw_log'!E492),"",'1_raw_log'!E492)</f>
        <v/>
      </c>
      <c r="F492" s="2">
        <f>IF(ISBLANK('1_raw_log'!F492),"",'1_raw_log'!F492)</f>
        <v/>
      </c>
      <c r="G492" s="2">
        <f>IF(ISBLANK('1_raw_log'!G492),"",'1_raw_log'!G492)</f>
        <v/>
      </c>
      <c r="H492" s="2">
        <f>IF(ISBLANK('1_raw_log'!H492),"",'1_raw_log'!H492)</f>
        <v/>
      </c>
      <c r="I492" s="7">
        <f>IF(ISBLANK('1_raw_log'!I492),"",'1_raw_log'!I492)</f>
        <v/>
      </c>
      <c r="J492" s="2">
        <f>IF(ISBLANK('1_raw_log'!J492),"",'1_raw_log'!J492)</f>
        <v/>
      </c>
      <c r="K492" s="2">
        <f>IF(ISBLANK('1_raw_log'!K492),"",'1_raw_log'!K492)</f>
        <v/>
      </c>
      <c r="L492" s="30">
        <f>INT(B492)</f>
        <v/>
      </c>
      <c r="M492" s="20">
        <f>ROUND(MOD(B492,1)*1440,0)/1440</f>
        <v/>
      </c>
      <c r="N492" s="4">
        <f>IFERROR(INDEX('3_ref_date'!$B:$B,MATCH(L492,'3_ref_date'!$A:$A,0)),"NOT FOUND")</f>
        <v/>
      </c>
      <c r="O492" s="2">
        <f>IFERROR(INDEX('3_ref_date'!$C:$C,MATCH(L492,'3_ref_date'!$A:$A,0)),"NOT FOUND")</f>
        <v/>
      </c>
      <c r="P492" s="4">
        <f>IFERROR(INDEX('3_ref_date'!$D:$D,MATCH(L492,'3_ref_date'!$A:$A,0)),"NOT FOUND")</f>
        <v/>
      </c>
      <c r="Q492" s="4">
        <f>IFERROR(INDEX('3_ref_date'!$E:$E,MATCH(L492,'3_ref_date'!$A:$A,0)),"NOT FOUND")</f>
        <v/>
      </c>
      <c r="R492" s="2">
        <f>IFERROR(INDEX('3_ref_date'!$F:$F,MATCH(L492,'3_ref_date'!$A:$A,0)),"NOT FOUND")</f>
        <v/>
      </c>
      <c r="S492" s="2">
        <f>IFERROR(INDEX('4_ref_time'!$D:$D,MATCH(ROUND(M492*1440,0),'4_ref_time'!$A:$A,0)),"NOT FOUND")</f>
        <v/>
      </c>
      <c r="T492" s="2">
        <f>UPPER(TRIM(C492))</f>
        <v/>
      </c>
      <c r="U492" s="30">
        <f>IF(_xlfn.MAXIFS('6_3nf_branch_history'!$B$2:$B$50,'6_3nf_branch_history'!$A$2:$A$50,T492,'6_3nf_branch_history'!$B$2:$B$50,"&lt;="&amp;L492)=0,"NOT FOUND",_xlfn.MAXIFS('6_3nf_branch_history'!$B$2:$B$50,'6_3nf_branch_history'!$A$2:$A$50,T492,'6_3nf_branch_history'!$B$2:$B$50,"&lt;="&amp;L492))</f>
        <v/>
      </c>
      <c r="V492" s="2">
        <f>IF(U492="NOT FOUND","NOT FOUND",INDEX('6_3nf_branch_history'!$C:$C,SUMPRODUCT(('6_3nf_branch_history'!$A$2:$A$50=T492)*('6_3nf_branch_history'!$B$2:$B$50=U492)*ROW('6_3nf_branch_history'!$A$2:$A$50))))</f>
        <v/>
      </c>
      <c r="W492" s="2">
        <f>IF(U492="NOT FOUND","NOT FOUND",INDEX('6_3nf_branch_history'!$D:$D,SUMPRODUCT(('6_3nf_branch_history'!$A$2:$A$50=T492)*('6_3nf_branch_history'!$B$2:$B$50=U492)*ROW('6_3nf_branch_history'!$A$2:$A$50))))</f>
        <v/>
      </c>
      <c r="X492" s="2">
        <f>IF(U492="NOT FOUND","NOT FOUND",INDEX('6_3nf_branch_history'!$E:$E,SUMPRODUCT(('6_3nf_branch_history'!$A$2:$A$50=T492)*('6_3nf_branch_history'!$B$2:$B$50=U492)*ROW('6_3nf_branch_history'!$A$2:$A$50))))</f>
        <v/>
      </c>
      <c r="Y492" s="2">
        <f>UPPER(TRIM(D492))</f>
        <v/>
      </c>
      <c r="Z492" s="2">
        <f>IFERROR(INDEX('7_3nf_product'!$B:$B,MATCH(Y492,'7_3nf_product'!$A:$A,0)),"NOT FOUND")</f>
        <v/>
      </c>
      <c r="AA492" s="2">
        <f>IFERROR(INDEX('7_3nf_product'!$C:$C,MATCH(Y492,'7_3nf_product'!$A:$A,0)),"NOT FOUND")</f>
        <v/>
      </c>
      <c r="AB492" s="2">
        <f>IFERROR(INDEX('7_3nf_product'!$D:$D,MATCH(Y492,'7_3nf_product'!$A:$A,0)),"NOT FOUND")</f>
        <v/>
      </c>
      <c r="AC492" s="6">
        <f>IFERROR(INDEX('7_3nf_product'!$E:$E,MATCH(Y492,'7_3nf_product'!$A:$A,0)),"NOT FOUND")</f>
        <v/>
      </c>
      <c r="AD492" s="33">
        <f>IF(LEN(TRIM(E492))=10,TRIM(E492),IF(LEN(TRIM(E492))=8,"00"&amp;TRIM(E492),"CHECK"))</f>
        <v/>
      </c>
      <c r="AE492" s="2">
        <f>IFERROR(INDEX('8_3nf_customer'!$C:$C,MATCH(AD492,'8_3nf_customer'!$B:$B,0)),"NOT FOUND")</f>
        <v/>
      </c>
      <c r="AF492" s="30">
        <f>IFERROR(INDEX('8_3nf_customer'!$D:$D,MATCH(AD492,'8_3nf_customer'!$B:$B,0)),"NOT FOUND")</f>
        <v/>
      </c>
      <c r="AG492" s="4">
        <f>IF(ISNUMBER(AF492),DATEDIF(AF492,L492,"y"),"NOT FOUND")</f>
        <v/>
      </c>
      <c r="AH492" s="2">
        <f>IFERROR(INDEX('8_3nf_customer'!$E:$E,MATCH(AD492,'8_3nf_customer'!$B:$B,0)),"NOT FOUND")</f>
        <v/>
      </c>
      <c r="AI492" s="30">
        <f>IF(_xlfn.MAXIFS('9_3nf_customer_history'!$B$2:$B$500,'9_3nf_customer_history'!$A$2:$A$500,AD492,'9_3nf_customer_history'!$B$2:$B$500,"&lt;="&amp;L492)=0,"NOT FOUND",_xlfn.MAXIFS('9_3nf_customer_history'!$B$2:$B$500,'9_3nf_customer_history'!$A$2:$A$500,AD492,'9_3nf_customer_history'!$B$2:$B$500,"&lt;="&amp;L492))</f>
        <v/>
      </c>
      <c r="AJ492" s="2">
        <f>IF(AI492="NOT FOUND","NOT FOUND",INDEX('9_3nf_customer_history'!$C:$C,SUMPRODUCT(('9_3nf_customer_history'!$A$2:$A$500=AD492)*('9_3nf_customer_history'!$B$2:$B$500=AI492)*ROW('9_3nf_customer_history'!$A$2:$A$500))))</f>
        <v/>
      </c>
      <c r="AK492" s="2">
        <f>IF(AI492="NOT FOUND","NOT FOUND",INDEX('9_3nf_customer_history'!$D:$D,SUMPRODUCT(('9_3nf_customer_history'!$A$2:$A$500=AD492)*('9_3nf_customer_history'!$B$2:$B$500=AI492)*ROW('9_3nf_customer_history'!$A$2:$A$500))))</f>
        <v/>
      </c>
      <c r="AL492" s="2">
        <f>UPPER(TRIM(H492))</f>
        <v/>
      </c>
      <c r="AM492" s="30">
        <f>IF(_xlfn.MAXIFS('10_ref_fx_rate'!$B$2:$B$2000,'10_ref_fx_rate'!$A$2:$A$2000,AL492,'10_ref_fx_rate'!$B$2:$B$2000,"&lt;="&amp;L492)=0,"NOT FOUND",_xlfn.MAXIFS('10_ref_fx_rate'!$B$2:$B$2000,'10_ref_fx_rate'!$A$2:$A$2000,AL492,'10_ref_fx_rate'!$B$2:$B$2000,"&lt;="&amp;L492))</f>
        <v/>
      </c>
      <c r="AN492" s="8">
        <f>IF(AM492="NOT FOUND","NOT FOUND",SUMIFS('10_ref_fx_rate'!$D$2:$D$2000,'10_ref_fx_rate'!$A$2:$A$2000,AL492,'10_ref_fx_rate'!$B$2:$B$2000,AM492))</f>
        <v/>
      </c>
      <c r="AO492" s="37">
        <f>IF(ISNUMBER(AN492),I492*AN492,"NOT FOUND")</f>
        <v/>
      </c>
      <c r="AP492" s="2">
        <f>UPPER(TRIM(J492))</f>
        <v/>
      </c>
      <c r="AQ492" s="2">
        <f>IF(AP492="","SELF-DIRECTED",IF(ISNUMBER(MATCH(AP492,'11_3nf_sales_person'!$A:$A,0)),IF(EXACT(AP492,J492),"OK","OK (auto-fixed)"),IF(ISNA(MATCH($A492,'12_sales_person_confirmation'!$A:$A,0)),"CONFIRM (not logged)",IF(INDEX('12_sales_person_confirmation'!$I:$I,MATCH($A492,'12_sales_person_confirmation'!$A:$A,0))="CONFIRMED","CONFIRMED ("&amp;LOWER(INDEX('12_sales_person_confirmation'!$E:$E,MATCH($A492,'12_sales_person_confirmation'!$A:$A,0)))&amp;")","PENDING CONFIRM"))))</f>
        <v/>
      </c>
      <c r="AR492" s="2">
        <f>IF(OR(AQ492="OK",AQ492="OK (auto-fixed)"),AP492,IF(LEFT(AQ492,9)="CONFIRMED",INDEX('12_sales_person_confirmation'!$F:$F,MATCH($A492,'12_sales_person_confirmation'!$A:$A,0)),""))</f>
        <v/>
      </c>
      <c r="AS492" s="2">
        <f>IF(AR492="","",INDEX('11_3nf_sales_person'!$B:$B,MATCH(AR492,'11_3nf_sales_person'!$A:$A,0)))</f>
        <v/>
      </c>
    </row>
    <row r="493">
      <c r="A493" s="2">
        <f>IF(ISBLANK('1_raw_log'!A493),"",'1_raw_log'!A493)</f>
        <v/>
      </c>
      <c r="B493" s="3">
        <f>IF(ISBLANK('1_raw_log'!B493),"",'1_raw_log'!B493)</f>
        <v/>
      </c>
      <c r="C493" s="2">
        <f>IF(ISBLANK('1_raw_log'!C493),"",'1_raw_log'!C493)</f>
        <v/>
      </c>
      <c r="D493" s="2">
        <f>IF(ISBLANK('1_raw_log'!D493),"",'1_raw_log'!D493)</f>
        <v/>
      </c>
      <c r="E493" s="4">
        <f>IF(ISBLANK('1_raw_log'!E493),"",'1_raw_log'!E493)</f>
        <v/>
      </c>
      <c r="F493" s="2">
        <f>IF(ISBLANK('1_raw_log'!F493),"",'1_raw_log'!F493)</f>
        <v/>
      </c>
      <c r="G493" s="2">
        <f>IF(ISBLANK('1_raw_log'!G493),"",'1_raw_log'!G493)</f>
        <v/>
      </c>
      <c r="H493" s="2">
        <f>IF(ISBLANK('1_raw_log'!H493),"",'1_raw_log'!H493)</f>
        <v/>
      </c>
      <c r="I493" s="7">
        <f>IF(ISBLANK('1_raw_log'!I493),"",'1_raw_log'!I493)</f>
        <v/>
      </c>
      <c r="J493" s="2">
        <f>IF(ISBLANK('1_raw_log'!J493),"",'1_raw_log'!J493)</f>
        <v/>
      </c>
      <c r="K493" s="2">
        <f>IF(ISBLANK('1_raw_log'!K493),"",'1_raw_log'!K493)</f>
        <v/>
      </c>
      <c r="L493" s="30">
        <f>INT(B493)</f>
        <v/>
      </c>
      <c r="M493" s="20">
        <f>ROUND(MOD(B493,1)*1440,0)/1440</f>
        <v/>
      </c>
      <c r="N493" s="4">
        <f>IFERROR(INDEX('3_ref_date'!$B:$B,MATCH(L493,'3_ref_date'!$A:$A,0)),"NOT FOUND")</f>
        <v/>
      </c>
      <c r="O493" s="2">
        <f>IFERROR(INDEX('3_ref_date'!$C:$C,MATCH(L493,'3_ref_date'!$A:$A,0)),"NOT FOUND")</f>
        <v/>
      </c>
      <c r="P493" s="4">
        <f>IFERROR(INDEX('3_ref_date'!$D:$D,MATCH(L493,'3_ref_date'!$A:$A,0)),"NOT FOUND")</f>
        <v/>
      </c>
      <c r="Q493" s="4">
        <f>IFERROR(INDEX('3_ref_date'!$E:$E,MATCH(L493,'3_ref_date'!$A:$A,0)),"NOT FOUND")</f>
        <v/>
      </c>
      <c r="R493" s="2">
        <f>IFERROR(INDEX('3_ref_date'!$F:$F,MATCH(L493,'3_ref_date'!$A:$A,0)),"NOT FOUND")</f>
        <v/>
      </c>
      <c r="S493" s="2">
        <f>IFERROR(INDEX('4_ref_time'!$D:$D,MATCH(ROUND(M493*1440,0),'4_ref_time'!$A:$A,0)),"NOT FOUND")</f>
        <v/>
      </c>
      <c r="T493" s="2">
        <f>UPPER(TRIM(C493))</f>
        <v/>
      </c>
      <c r="U493" s="30">
        <f>IF(_xlfn.MAXIFS('6_3nf_branch_history'!$B$2:$B$50,'6_3nf_branch_history'!$A$2:$A$50,T493,'6_3nf_branch_history'!$B$2:$B$50,"&lt;="&amp;L493)=0,"NOT FOUND",_xlfn.MAXIFS('6_3nf_branch_history'!$B$2:$B$50,'6_3nf_branch_history'!$A$2:$A$50,T493,'6_3nf_branch_history'!$B$2:$B$50,"&lt;="&amp;L493))</f>
        <v/>
      </c>
      <c r="V493" s="2">
        <f>IF(U493="NOT FOUND","NOT FOUND",INDEX('6_3nf_branch_history'!$C:$C,SUMPRODUCT(('6_3nf_branch_history'!$A$2:$A$50=T493)*('6_3nf_branch_history'!$B$2:$B$50=U493)*ROW('6_3nf_branch_history'!$A$2:$A$50))))</f>
        <v/>
      </c>
      <c r="W493" s="2">
        <f>IF(U493="NOT FOUND","NOT FOUND",INDEX('6_3nf_branch_history'!$D:$D,SUMPRODUCT(('6_3nf_branch_history'!$A$2:$A$50=T493)*('6_3nf_branch_history'!$B$2:$B$50=U493)*ROW('6_3nf_branch_history'!$A$2:$A$50))))</f>
        <v/>
      </c>
      <c r="X493" s="2">
        <f>IF(U493="NOT FOUND","NOT FOUND",INDEX('6_3nf_branch_history'!$E:$E,SUMPRODUCT(('6_3nf_branch_history'!$A$2:$A$50=T493)*('6_3nf_branch_history'!$B$2:$B$50=U493)*ROW('6_3nf_branch_history'!$A$2:$A$50))))</f>
        <v/>
      </c>
      <c r="Y493" s="2">
        <f>UPPER(TRIM(D493))</f>
        <v/>
      </c>
      <c r="Z493" s="2">
        <f>IFERROR(INDEX('7_3nf_product'!$B:$B,MATCH(Y493,'7_3nf_product'!$A:$A,0)),"NOT FOUND")</f>
        <v/>
      </c>
      <c r="AA493" s="2">
        <f>IFERROR(INDEX('7_3nf_product'!$C:$C,MATCH(Y493,'7_3nf_product'!$A:$A,0)),"NOT FOUND")</f>
        <v/>
      </c>
      <c r="AB493" s="2">
        <f>IFERROR(INDEX('7_3nf_product'!$D:$D,MATCH(Y493,'7_3nf_product'!$A:$A,0)),"NOT FOUND")</f>
        <v/>
      </c>
      <c r="AC493" s="6">
        <f>IFERROR(INDEX('7_3nf_product'!$E:$E,MATCH(Y493,'7_3nf_product'!$A:$A,0)),"NOT FOUND")</f>
        <v/>
      </c>
      <c r="AD493" s="33">
        <f>IF(LEN(TRIM(E493))=10,TRIM(E493),IF(LEN(TRIM(E493))=8,"00"&amp;TRIM(E493),"CHECK"))</f>
        <v/>
      </c>
      <c r="AE493" s="2">
        <f>IFERROR(INDEX('8_3nf_customer'!$C:$C,MATCH(AD493,'8_3nf_customer'!$B:$B,0)),"NOT FOUND")</f>
        <v/>
      </c>
      <c r="AF493" s="30">
        <f>IFERROR(INDEX('8_3nf_customer'!$D:$D,MATCH(AD493,'8_3nf_customer'!$B:$B,0)),"NOT FOUND")</f>
        <v/>
      </c>
      <c r="AG493" s="4">
        <f>IF(ISNUMBER(AF493),DATEDIF(AF493,L493,"y"),"NOT FOUND")</f>
        <v/>
      </c>
      <c r="AH493" s="2">
        <f>IFERROR(INDEX('8_3nf_customer'!$E:$E,MATCH(AD493,'8_3nf_customer'!$B:$B,0)),"NOT FOUND")</f>
        <v/>
      </c>
      <c r="AI493" s="30">
        <f>IF(_xlfn.MAXIFS('9_3nf_customer_history'!$B$2:$B$500,'9_3nf_customer_history'!$A$2:$A$500,AD493,'9_3nf_customer_history'!$B$2:$B$500,"&lt;="&amp;L493)=0,"NOT FOUND",_xlfn.MAXIFS('9_3nf_customer_history'!$B$2:$B$500,'9_3nf_customer_history'!$A$2:$A$500,AD493,'9_3nf_customer_history'!$B$2:$B$500,"&lt;="&amp;L493))</f>
        <v/>
      </c>
      <c r="AJ493" s="2">
        <f>IF(AI493="NOT FOUND","NOT FOUND",INDEX('9_3nf_customer_history'!$C:$C,SUMPRODUCT(('9_3nf_customer_history'!$A$2:$A$500=AD493)*('9_3nf_customer_history'!$B$2:$B$500=AI493)*ROW('9_3nf_customer_history'!$A$2:$A$500))))</f>
        <v/>
      </c>
      <c r="AK493" s="2">
        <f>IF(AI493="NOT FOUND","NOT FOUND",INDEX('9_3nf_customer_history'!$D:$D,SUMPRODUCT(('9_3nf_customer_history'!$A$2:$A$500=AD493)*('9_3nf_customer_history'!$B$2:$B$500=AI493)*ROW('9_3nf_customer_history'!$A$2:$A$500))))</f>
        <v/>
      </c>
      <c r="AL493" s="2">
        <f>UPPER(TRIM(H493))</f>
        <v/>
      </c>
      <c r="AM493" s="30">
        <f>IF(_xlfn.MAXIFS('10_ref_fx_rate'!$B$2:$B$2000,'10_ref_fx_rate'!$A$2:$A$2000,AL493,'10_ref_fx_rate'!$B$2:$B$2000,"&lt;="&amp;L493)=0,"NOT FOUND",_xlfn.MAXIFS('10_ref_fx_rate'!$B$2:$B$2000,'10_ref_fx_rate'!$A$2:$A$2000,AL493,'10_ref_fx_rate'!$B$2:$B$2000,"&lt;="&amp;L493))</f>
        <v/>
      </c>
      <c r="AN493" s="8">
        <f>IF(AM493="NOT FOUND","NOT FOUND",SUMIFS('10_ref_fx_rate'!$D$2:$D$2000,'10_ref_fx_rate'!$A$2:$A$2000,AL493,'10_ref_fx_rate'!$B$2:$B$2000,AM493))</f>
        <v/>
      </c>
      <c r="AO493" s="37">
        <f>IF(ISNUMBER(AN493),I493*AN493,"NOT FOUND")</f>
        <v/>
      </c>
      <c r="AP493" s="2">
        <f>UPPER(TRIM(J493))</f>
        <v/>
      </c>
      <c r="AQ493" s="2">
        <f>IF(AP493="","SELF-DIRECTED",IF(ISNUMBER(MATCH(AP493,'11_3nf_sales_person'!$A:$A,0)),IF(EXACT(AP493,J493),"OK","OK (auto-fixed)"),IF(ISNA(MATCH($A493,'12_sales_person_confirmation'!$A:$A,0)),"CONFIRM (not logged)",IF(INDEX('12_sales_person_confirmation'!$I:$I,MATCH($A493,'12_sales_person_confirmation'!$A:$A,0))="CONFIRMED","CONFIRMED ("&amp;LOWER(INDEX('12_sales_person_confirmation'!$E:$E,MATCH($A493,'12_sales_person_confirmation'!$A:$A,0)))&amp;")","PENDING CONFIRM"))))</f>
        <v/>
      </c>
      <c r="AR493" s="2">
        <f>IF(OR(AQ493="OK",AQ493="OK (auto-fixed)"),AP493,IF(LEFT(AQ493,9)="CONFIRMED",INDEX('12_sales_person_confirmation'!$F:$F,MATCH($A493,'12_sales_person_confirmation'!$A:$A,0)),""))</f>
        <v/>
      </c>
      <c r="AS493" s="2">
        <f>IF(AR493="","",INDEX('11_3nf_sales_person'!$B:$B,MATCH(AR493,'11_3nf_sales_person'!$A:$A,0)))</f>
        <v/>
      </c>
    </row>
    <row r="494">
      <c r="A494" s="2">
        <f>IF(ISBLANK('1_raw_log'!A494),"",'1_raw_log'!A494)</f>
        <v/>
      </c>
      <c r="B494" s="3">
        <f>IF(ISBLANK('1_raw_log'!B494),"",'1_raw_log'!B494)</f>
        <v/>
      </c>
      <c r="C494" s="2">
        <f>IF(ISBLANK('1_raw_log'!C494),"",'1_raw_log'!C494)</f>
        <v/>
      </c>
      <c r="D494" s="2">
        <f>IF(ISBLANK('1_raw_log'!D494),"",'1_raw_log'!D494)</f>
        <v/>
      </c>
      <c r="E494" s="4">
        <f>IF(ISBLANK('1_raw_log'!E494),"",'1_raw_log'!E494)</f>
        <v/>
      </c>
      <c r="F494" s="2">
        <f>IF(ISBLANK('1_raw_log'!F494),"",'1_raw_log'!F494)</f>
        <v/>
      </c>
      <c r="G494" s="2">
        <f>IF(ISBLANK('1_raw_log'!G494),"",'1_raw_log'!G494)</f>
        <v/>
      </c>
      <c r="H494" s="2">
        <f>IF(ISBLANK('1_raw_log'!H494),"",'1_raw_log'!H494)</f>
        <v/>
      </c>
      <c r="I494" s="7">
        <f>IF(ISBLANK('1_raw_log'!I494),"",'1_raw_log'!I494)</f>
        <v/>
      </c>
      <c r="J494" s="2">
        <f>IF(ISBLANK('1_raw_log'!J494),"",'1_raw_log'!J494)</f>
        <v/>
      </c>
      <c r="K494" s="2">
        <f>IF(ISBLANK('1_raw_log'!K494),"",'1_raw_log'!K494)</f>
        <v/>
      </c>
      <c r="L494" s="30">
        <f>INT(B494)</f>
        <v/>
      </c>
      <c r="M494" s="20">
        <f>ROUND(MOD(B494,1)*1440,0)/1440</f>
        <v/>
      </c>
      <c r="N494" s="4">
        <f>IFERROR(INDEX('3_ref_date'!$B:$B,MATCH(L494,'3_ref_date'!$A:$A,0)),"NOT FOUND")</f>
        <v/>
      </c>
      <c r="O494" s="2">
        <f>IFERROR(INDEX('3_ref_date'!$C:$C,MATCH(L494,'3_ref_date'!$A:$A,0)),"NOT FOUND")</f>
        <v/>
      </c>
      <c r="P494" s="4">
        <f>IFERROR(INDEX('3_ref_date'!$D:$D,MATCH(L494,'3_ref_date'!$A:$A,0)),"NOT FOUND")</f>
        <v/>
      </c>
      <c r="Q494" s="4">
        <f>IFERROR(INDEX('3_ref_date'!$E:$E,MATCH(L494,'3_ref_date'!$A:$A,0)),"NOT FOUND")</f>
        <v/>
      </c>
      <c r="R494" s="2">
        <f>IFERROR(INDEX('3_ref_date'!$F:$F,MATCH(L494,'3_ref_date'!$A:$A,0)),"NOT FOUND")</f>
        <v/>
      </c>
      <c r="S494" s="2">
        <f>IFERROR(INDEX('4_ref_time'!$D:$D,MATCH(ROUND(M494*1440,0),'4_ref_time'!$A:$A,0)),"NOT FOUND")</f>
        <v/>
      </c>
      <c r="T494" s="2">
        <f>UPPER(TRIM(C494))</f>
        <v/>
      </c>
      <c r="U494" s="30">
        <f>IF(_xlfn.MAXIFS('6_3nf_branch_history'!$B$2:$B$50,'6_3nf_branch_history'!$A$2:$A$50,T494,'6_3nf_branch_history'!$B$2:$B$50,"&lt;="&amp;L494)=0,"NOT FOUND",_xlfn.MAXIFS('6_3nf_branch_history'!$B$2:$B$50,'6_3nf_branch_history'!$A$2:$A$50,T494,'6_3nf_branch_history'!$B$2:$B$50,"&lt;="&amp;L494))</f>
        <v/>
      </c>
      <c r="V494" s="2">
        <f>IF(U494="NOT FOUND","NOT FOUND",INDEX('6_3nf_branch_history'!$C:$C,SUMPRODUCT(('6_3nf_branch_history'!$A$2:$A$50=T494)*('6_3nf_branch_history'!$B$2:$B$50=U494)*ROW('6_3nf_branch_history'!$A$2:$A$50))))</f>
        <v/>
      </c>
      <c r="W494" s="2">
        <f>IF(U494="NOT FOUND","NOT FOUND",INDEX('6_3nf_branch_history'!$D:$D,SUMPRODUCT(('6_3nf_branch_history'!$A$2:$A$50=T494)*('6_3nf_branch_history'!$B$2:$B$50=U494)*ROW('6_3nf_branch_history'!$A$2:$A$50))))</f>
        <v/>
      </c>
      <c r="X494" s="2">
        <f>IF(U494="NOT FOUND","NOT FOUND",INDEX('6_3nf_branch_history'!$E:$E,SUMPRODUCT(('6_3nf_branch_history'!$A$2:$A$50=T494)*('6_3nf_branch_history'!$B$2:$B$50=U494)*ROW('6_3nf_branch_history'!$A$2:$A$50))))</f>
        <v/>
      </c>
      <c r="Y494" s="2">
        <f>UPPER(TRIM(D494))</f>
        <v/>
      </c>
      <c r="Z494" s="2">
        <f>IFERROR(INDEX('7_3nf_product'!$B:$B,MATCH(Y494,'7_3nf_product'!$A:$A,0)),"NOT FOUND")</f>
        <v/>
      </c>
      <c r="AA494" s="2">
        <f>IFERROR(INDEX('7_3nf_product'!$C:$C,MATCH(Y494,'7_3nf_product'!$A:$A,0)),"NOT FOUND")</f>
        <v/>
      </c>
      <c r="AB494" s="2">
        <f>IFERROR(INDEX('7_3nf_product'!$D:$D,MATCH(Y494,'7_3nf_product'!$A:$A,0)),"NOT FOUND")</f>
        <v/>
      </c>
      <c r="AC494" s="6">
        <f>IFERROR(INDEX('7_3nf_product'!$E:$E,MATCH(Y494,'7_3nf_product'!$A:$A,0)),"NOT FOUND")</f>
        <v/>
      </c>
      <c r="AD494" s="33">
        <f>IF(LEN(TRIM(E494))=10,TRIM(E494),IF(LEN(TRIM(E494))=8,"00"&amp;TRIM(E494),"CHECK"))</f>
        <v/>
      </c>
      <c r="AE494" s="2">
        <f>IFERROR(INDEX('8_3nf_customer'!$C:$C,MATCH(AD494,'8_3nf_customer'!$B:$B,0)),"NOT FOUND")</f>
        <v/>
      </c>
      <c r="AF494" s="30">
        <f>IFERROR(INDEX('8_3nf_customer'!$D:$D,MATCH(AD494,'8_3nf_customer'!$B:$B,0)),"NOT FOUND")</f>
        <v/>
      </c>
      <c r="AG494" s="4">
        <f>IF(ISNUMBER(AF494),DATEDIF(AF494,L494,"y"),"NOT FOUND")</f>
        <v/>
      </c>
      <c r="AH494" s="2">
        <f>IFERROR(INDEX('8_3nf_customer'!$E:$E,MATCH(AD494,'8_3nf_customer'!$B:$B,0)),"NOT FOUND")</f>
        <v/>
      </c>
      <c r="AI494" s="30">
        <f>IF(_xlfn.MAXIFS('9_3nf_customer_history'!$B$2:$B$500,'9_3nf_customer_history'!$A$2:$A$500,AD494,'9_3nf_customer_history'!$B$2:$B$500,"&lt;="&amp;L494)=0,"NOT FOUND",_xlfn.MAXIFS('9_3nf_customer_history'!$B$2:$B$500,'9_3nf_customer_history'!$A$2:$A$500,AD494,'9_3nf_customer_history'!$B$2:$B$500,"&lt;="&amp;L494))</f>
        <v/>
      </c>
      <c r="AJ494" s="2">
        <f>IF(AI494="NOT FOUND","NOT FOUND",INDEX('9_3nf_customer_history'!$C:$C,SUMPRODUCT(('9_3nf_customer_history'!$A$2:$A$500=AD494)*('9_3nf_customer_history'!$B$2:$B$500=AI494)*ROW('9_3nf_customer_history'!$A$2:$A$500))))</f>
        <v/>
      </c>
      <c r="AK494" s="2">
        <f>IF(AI494="NOT FOUND","NOT FOUND",INDEX('9_3nf_customer_history'!$D:$D,SUMPRODUCT(('9_3nf_customer_history'!$A$2:$A$500=AD494)*('9_3nf_customer_history'!$B$2:$B$500=AI494)*ROW('9_3nf_customer_history'!$A$2:$A$500))))</f>
        <v/>
      </c>
      <c r="AL494" s="2">
        <f>UPPER(TRIM(H494))</f>
        <v/>
      </c>
      <c r="AM494" s="30">
        <f>IF(_xlfn.MAXIFS('10_ref_fx_rate'!$B$2:$B$2000,'10_ref_fx_rate'!$A$2:$A$2000,AL494,'10_ref_fx_rate'!$B$2:$B$2000,"&lt;="&amp;L494)=0,"NOT FOUND",_xlfn.MAXIFS('10_ref_fx_rate'!$B$2:$B$2000,'10_ref_fx_rate'!$A$2:$A$2000,AL494,'10_ref_fx_rate'!$B$2:$B$2000,"&lt;="&amp;L494))</f>
        <v/>
      </c>
      <c r="AN494" s="8">
        <f>IF(AM494="NOT FOUND","NOT FOUND",SUMIFS('10_ref_fx_rate'!$D$2:$D$2000,'10_ref_fx_rate'!$A$2:$A$2000,AL494,'10_ref_fx_rate'!$B$2:$B$2000,AM494))</f>
        <v/>
      </c>
      <c r="AO494" s="37">
        <f>IF(ISNUMBER(AN494),I494*AN494,"NOT FOUND")</f>
        <v/>
      </c>
      <c r="AP494" s="2">
        <f>UPPER(TRIM(J494))</f>
        <v/>
      </c>
      <c r="AQ494" s="2">
        <f>IF(AP494="","SELF-DIRECTED",IF(ISNUMBER(MATCH(AP494,'11_3nf_sales_person'!$A:$A,0)),IF(EXACT(AP494,J494),"OK","OK (auto-fixed)"),IF(ISNA(MATCH($A494,'12_sales_person_confirmation'!$A:$A,0)),"CONFIRM (not logged)",IF(INDEX('12_sales_person_confirmation'!$I:$I,MATCH($A494,'12_sales_person_confirmation'!$A:$A,0))="CONFIRMED","CONFIRMED ("&amp;LOWER(INDEX('12_sales_person_confirmation'!$E:$E,MATCH($A494,'12_sales_person_confirmation'!$A:$A,0)))&amp;")","PENDING CONFIRM"))))</f>
        <v/>
      </c>
      <c r="AR494" s="2">
        <f>IF(OR(AQ494="OK",AQ494="OK (auto-fixed)"),AP494,IF(LEFT(AQ494,9)="CONFIRMED",INDEX('12_sales_person_confirmation'!$F:$F,MATCH($A494,'12_sales_person_confirmation'!$A:$A,0)),""))</f>
        <v/>
      </c>
      <c r="AS494" s="2">
        <f>IF(AR494="","",INDEX('11_3nf_sales_person'!$B:$B,MATCH(AR494,'11_3nf_sales_person'!$A:$A,0)))</f>
        <v/>
      </c>
    </row>
    <row r="495">
      <c r="A495" s="2">
        <f>IF(ISBLANK('1_raw_log'!A495),"",'1_raw_log'!A495)</f>
        <v/>
      </c>
      <c r="B495" s="3">
        <f>IF(ISBLANK('1_raw_log'!B495),"",'1_raw_log'!B495)</f>
        <v/>
      </c>
      <c r="C495" s="2">
        <f>IF(ISBLANK('1_raw_log'!C495),"",'1_raw_log'!C495)</f>
        <v/>
      </c>
      <c r="D495" s="2">
        <f>IF(ISBLANK('1_raw_log'!D495),"",'1_raw_log'!D495)</f>
        <v/>
      </c>
      <c r="E495" s="4">
        <f>IF(ISBLANK('1_raw_log'!E495),"",'1_raw_log'!E495)</f>
        <v/>
      </c>
      <c r="F495" s="2">
        <f>IF(ISBLANK('1_raw_log'!F495),"",'1_raw_log'!F495)</f>
        <v/>
      </c>
      <c r="G495" s="2">
        <f>IF(ISBLANK('1_raw_log'!G495),"",'1_raw_log'!G495)</f>
        <v/>
      </c>
      <c r="H495" s="2">
        <f>IF(ISBLANK('1_raw_log'!H495),"",'1_raw_log'!H495)</f>
        <v/>
      </c>
      <c r="I495" s="7">
        <f>IF(ISBLANK('1_raw_log'!I495),"",'1_raw_log'!I495)</f>
        <v/>
      </c>
      <c r="J495" s="2">
        <f>IF(ISBLANK('1_raw_log'!J495),"",'1_raw_log'!J495)</f>
        <v/>
      </c>
      <c r="K495" s="2">
        <f>IF(ISBLANK('1_raw_log'!K495),"",'1_raw_log'!K495)</f>
        <v/>
      </c>
      <c r="L495" s="30">
        <f>INT(B495)</f>
        <v/>
      </c>
      <c r="M495" s="20">
        <f>ROUND(MOD(B495,1)*1440,0)/1440</f>
        <v/>
      </c>
      <c r="N495" s="4">
        <f>IFERROR(INDEX('3_ref_date'!$B:$B,MATCH(L495,'3_ref_date'!$A:$A,0)),"NOT FOUND")</f>
        <v/>
      </c>
      <c r="O495" s="2">
        <f>IFERROR(INDEX('3_ref_date'!$C:$C,MATCH(L495,'3_ref_date'!$A:$A,0)),"NOT FOUND")</f>
        <v/>
      </c>
      <c r="P495" s="4">
        <f>IFERROR(INDEX('3_ref_date'!$D:$D,MATCH(L495,'3_ref_date'!$A:$A,0)),"NOT FOUND")</f>
        <v/>
      </c>
      <c r="Q495" s="4">
        <f>IFERROR(INDEX('3_ref_date'!$E:$E,MATCH(L495,'3_ref_date'!$A:$A,0)),"NOT FOUND")</f>
        <v/>
      </c>
      <c r="R495" s="2">
        <f>IFERROR(INDEX('3_ref_date'!$F:$F,MATCH(L495,'3_ref_date'!$A:$A,0)),"NOT FOUND")</f>
        <v/>
      </c>
      <c r="S495" s="2">
        <f>IFERROR(INDEX('4_ref_time'!$D:$D,MATCH(ROUND(M495*1440,0),'4_ref_time'!$A:$A,0)),"NOT FOUND")</f>
        <v/>
      </c>
      <c r="T495" s="2">
        <f>UPPER(TRIM(C495))</f>
        <v/>
      </c>
      <c r="U495" s="30">
        <f>IF(_xlfn.MAXIFS('6_3nf_branch_history'!$B$2:$B$50,'6_3nf_branch_history'!$A$2:$A$50,T495,'6_3nf_branch_history'!$B$2:$B$50,"&lt;="&amp;L495)=0,"NOT FOUND",_xlfn.MAXIFS('6_3nf_branch_history'!$B$2:$B$50,'6_3nf_branch_history'!$A$2:$A$50,T495,'6_3nf_branch_history'!$B$2:$B$50,"&lt;="&amp;L495))</f>
        <v/>
      </c>
      <c r="V495" s="2">
        <f>IF(U495="NOT FOUND","NOT FOUND",INDEX('6_3nf_branch_history'!$C:$C,SUMPRODUCT(('6_3nf_branch_history'!$A$2:$A$50=T495)*('6_3nf_branch_history'!$B$2:$B$50=U495)*ROW('6_3nf_branch_history'!$A$2:$A$50))))</f>
        <v/>
      </c>
      <c r="W495" s="2">
        <f>IF(U495="NOT FOUND","NOT FOUND",INDEX('6_3nf_branch_history'!$D:$D,SUMPRODUCT(('6_3nf_branch_history'!$A$2:$A$50=T495)*('6_3nf_branch_history'!$B$2:$B$50=U495)*ROW('6_3nf_branch_history'!$A$2:$A$50))))</f>
        <v/>
      </c>
      <c r="X495" s="2">
        <f>IF(U495="NOT FOUND","NOT FOUND",INDEX('6_3nf_branch_history'!$E:$E,SUMPRODUCT(('6_3nf_branch_history'!$A$2:$A$50=T495)*('6_3nf_branch_history'!$B$2:$B$50=U495)*ROW('6_3nf_branch_history'!$A$2:$A$50))))</f>
        <v/>
      </c>
      <c r="Y495" s="2">
        <f>UPPER(TRIM(D495))</f>
        <v/>
      </c>
      <c r="Z495" s="2">
        <f>IFERROR(INDEX('7_3nf_product'!$B:$B,MATCH(Y495,'7_3nf_product'!$A:$A,0)),"NOT FOUND")</f>
        <v/>
      </c>
      <c r="AA495" s="2">
        <f>IFERROR(INDEX('7_3nf_product'!$C:$C,MATCH(Y495,'7_3nf_product'!$A:$A,0)),"NOT FOUND")</f>
        <v/>
      </c>
      <c r="AB495" s="2">
        <f>IFERROR(INDEX('7_3nf_product'!$D:$D,MATCH(Y495,'7_3nf_product'!$A:$A,0)),"NOT FOUND")</f>
        <v/>
      </c>
      <c r="AC495" s="6">
        <f>IFERROR(INDEX('7_3nf_product'!$E:$E,MATCH(Y495,'7_3nf_product'!$A:$A,0)),"NOT FOUND")</f>
        <v/>
      </c>
      <c r="AD495" s="33">
        <f>IF(LEN(TRIM(E495))=10,TRIM(E495),IF(LEN(TRIM(E495))=8,"00"&amp;TRIM(E495),"CHECK"))</f>
        <v/>
      </c>
      <c r="AE495" s="2">
        <f>IFERROR(INDEX('8_3nf_customer'!$C:$C,MATCH(AD495,'8_3nf_customer'!$B:$B,0)),"NOT FOUND")</f>
        <v/>
      </c>
      <c r="AF495" s="30">
        <f>IFERROR(INDEX('8_3nf_customer'!$D:$D,MATCH(AD495,'8_3nf_customer'!$B:$B,0)),"NOT FOUND")</f>
        <v/>
      </c>
      <c r="AG495" s="4">
        <f>IF(ISNUMBER(AF495),DATEDIF(AF495,L495,"y"),"NOT FOUND")</f>
        <v/>
      </c>
      <c r="AH495" s="2">
        <f>IFERROR(INDEX('8_3nf_customer'!$E:$E,MATCH(AD495,'8_3nf_customer'!$B:$B,0)),"NOT FOUND")</f>
        <v/>
      </c>
      <c r="AI495" s="30">
        <f>IF(_xlfn.MAXIFS('9_3nf_customer_history'!$B$2:$B$500,'9_3nf_customer_history'!$A$2:$A$500,AD495,'9_3nf_customer_history'!$B$2:$B$500,"&lt;="&amp;L495)=0,"NOT FOUND",_xlfn.MAXIFS('9_3nf_customer_history'!$B$2:$B$500,'9_3nf_customer_history'!$A$2:$A$500,AD495,'9_3nf_customer_history'!$B$2:$B$500,"&lt;="&amp;L495))</f>
        <v/>
      </c>
      <c r="AJ495" s="2">
        <f>IF(AI495="NOT FOUND","NOT FOUND",INDEX('9_3nf_customer_history'!$C:$C,SUMPRODUCT(('9_3nf_customer_history'!$A$2:$A$500=AD495)*('9_3nf_customer_history'!$B$2:$B$500=AI495)*ROW('9_3nf_customer_history'!$A$2:$A$500))))</f>
        <v/>
      </c>
      <c r="AK495" s="2">
        <f>IF(AI495="NOT FOUND","NOT FOUND",INDEX('9_3nf_customer_history'!$D:$D,SUMPRODUCT(('9_3nf_customer_history'!$A$2:$A$500=AD495)*('9_3nf_customer_history'!$B$2:$B$500=AI495)*ROW('9_3nf_customer_history'!$A$2:$A$500))))</f>
        <v/>
      </c>
      <c r="AL495" s="2">
        <f>UPPER(TRIM(H495))</f>
        <v/>
      </c>
      <c r="AM495" s="30">
        <f>IF(_xlfn.MAXIFS('10_ref_fx_rate'!$B$2:$B$2000,'10_ref_fx_rate'!$A$2:$A$2000,AL495,'10_ref_fx_rate'!$B$2:$B$2000,"&lt;="&amp;L495)=0,"NOT FOUND",_xlfn.MAXIFS('10_ref_fx_rate'!$B$2:$B$2000,'10_ref_fx_rate'!$A$2:$A$2000,AL495,'10_ref_fx_rate'!$B$2:$B$2000,"&lt;="&amp;L495))</f>
        <v/>
      </c>
      <c r="AN495" s="8">
        <f>IF(AM495="NOT FOUND","NOT FOUND",SUMIFS('10_ref_fx_rate'!$D$2:$D$2000,'10_ref_fx_rate'!$A$2:$A$2000,AL495,'10_ref_fx_rate'!$B$2:$B$2000,AM495))</f>
        <v/>
      </c>
      <c r="AO495" s="37">
        <f>IF(ISNUMBER(AN495),I495*AN495,"NOT FOUND")</f>
        <v/>
      </c>
      <c r="AP495" s="2">
        <f>UPPER(TRIM(J495))</f>
        <v/>
      </c>
      <c r="AQ495" s="2">
        <f>IF(AP495="","SELF-DIRECTED",IF(ISNUMBER(MATCH(AP495,'11_3nf_sales_person'!$A:$A,0)),IF(EXACT(AP495,J495),"OK","OK (auto-fixed)"),IF(ISNA(MATCH($A495,'12_sales_person_confirmation'!$A:$A,0)),"CONFIRM (not logged)",IF(INDEX('12_sales_person_confirmation'!$I:$I,MATCH($A495,'12_sales_person_confirmation'!$A:$A,0))="CONFIRMED","CONFIRMED ("&amp;LOWER(INDEX('12_sales_person_confirmation'!$E:$E,MATCH($A495,'12_sales_person_confirmation'!$A:$A,0)))&amp;")","PENDING CONFIRM"))))</f>
        <v/>
      </c>
      <c r="AR495" s="2">
        <f>IF(OR(AQ495="OK",AQ495="OK (auto-fixed)"),AP495,IF(LEFT(AQ495,9)="CONFIRMED",INDEX('12_sales_person_confirmation'!$F:$F,MATCH($A495,'12_sales_person_confirmation'!$A:$A,0)),""))</f>
        <v/>
      </c>
      <c r="AS495" s="2">
        <f>IF(AR495="","",INDEX('11_3nf_sales_person'!$B:$B,MATCH(AR495,'11_3nf_sales_person'!$A:$A,0)))</f>
        <v/>
      </c>
    </row>
    <row r="496">
      <c r="A496" s="2">
        <f>IF(ISBLANK('1_raw_log'!A496),"",'1_raw_log'!A496)</f>
        <v/>
      </c>
      <c r="B496" s="3">
        <f>IF(ISBLANK('1_raw_log'!B496),"",'1_raw_log'!B496)</f>
        <v/>
      </c>
      <c r="C496" s="2">
        <f>IF(ISBLANK('1_raw_log'!C496),"",'1_raw_log'!C496)</f>
        <v/>
      </c>
      <c r="D496" s="2">
        <f>IF(ISBLANK('1_raw_log'!D496),"",'1_raw_log'!D496)</f>
        <v/>
      </c>
      <c r="E496" s="4">
        <f>IF(ISBLANK('1_raw_log'!E496),"",'1_raw_log'!E496)</f>
        <v/>
      </c>
      <c r="F496" s="2">
        <f>IF(ISBLANK('1_raw_log'!F496),"",'1_raw_log'!F496)</f>
        <v/>
      </c>
      <c r="G496" s="2">
        <f>IF(ISBLANK('1_raw_log'!G496),"",'1_raw_log'!G496)</f>
        <v/>
      </c>
      <c r="H496" s="2">
        <f>IF(ISBLANK('1_raw_log'!H496),"",'1_raw_log'!H496)</f>
        <v/>
      </c>
      <c r="I496" s="7">
        <f>IF(ISBLANK('1_raw_log'!I496),"",'1_raw_log'!I496)</f>
        <v/>
      </c>
      <c r="J496" s="2">
        <f>IF(ISBLANK('1_raw_log'!J496),"",'1_raw_log'!J496)</f>
        <v/>
      </c>
      <c r="K496" s="2">
        <f>IF(ISBLANK('1_raw_log'!K496),"",'1_raw_log'!K496)</f>
        <v/>
      </c>
      <c r="L496" s="30">
        <f>INT(B496)</f>
        <v/>
      </c>
      <c r="M496" s="20">
        <f>ROUND(MOD(B496,1)*1440,0)/1440</f>
        <v/>
      </c>
      <c r="N496" s="4">
        <f>IFERROR(INDEX('3_ref_date'!$B:$B,MATCH(L496,'3_ref_date'!$A:$A,0)),"NOT FOUND")</f>
        <v/>
      </c>
      <c r="O496" s="2">
        <f>IFERROR(INDEX('3_ref_date'!$C:$C,MATCH(L496,'3_ref_date'!$A:$A,0)),"NOT FOUND")</f>
        <v/>
      </c>
      <c r="P496" s="4">
        <f>IFERROR(INDEX('3_ref_date'!$D:$D,MATCH(L496,'3_ref_date'!$A:$A,0)),"NOT FOUND")</f>
        <v/>
      </c>
      <c r="Q496" s="4">
        <f>IFERROR(INDEX('3_ref_date'!$E:$E,MATCH(L496,'3_ref_date'!$A:$A,0)),"NOT FOUND")</f>
        <v/>
      </c>
      <c r="R496" s="2">
        <f>IFERROR(INDEX('3_ref_date'!$F:$F,MATCH(L496,'3_ref_date'!$A:$A,0)),"NOT FOUND")</f>
        <v/>
      </c>
      <c r="S496" s="2">
        <f>IFERROR(INDEX('4_ref_time'!$D:$D,MATCH(ROUND(M496*1440,0),'4_ref_time'!$A:$A,0)),"NOT FOUND")</f>
        <v/>
      </c>
      <c r="T496" s="2">
        <f>UPPER(TRIM(C496))</f>
        <v/>
      </c>
      <c r="U496" s="30">
        <f>IF(_xlfn.MAXIFS('6_3nf_branch_history'!$B$2:$B$50,'6_3nf_branch_history'!$A$2:$A$50,T496,'6_3nf_branch_history'!$B$2:$B$50,"&lt;="&amp;L496)=0,"NOT FOUND",_xlfn.MAXIFS('6_3nf_branch_history'!$B$2:$B$50,'6_3nf_branch_history'!$A$2:$A$50,T496,'6_3nf_branch_history'!$B$2:$B$50,"&lt;="&amp;L496))</f>
        <v/>
      </c>
      <c r="V496" s="2">
        <f>IF(U496="NOT FOUND","NOT FOUND",INDEX('6_3nf_branch_history'!$C:$C,SUMPRODUCT(('6_3nf_branch_history'!$A$2:$A$50=T496)*('6_3nf_branch_history'!$B$2:$B$50=U496)*ROW('6_3nf_branch_history'!$A$2:$A$50))))</f>
        <v/>
      </c>
      <c r="W496" s="2">
        <f>IF(U496="NOT FOUND","NOT FOUND",INDEX('6_3nf_branch_history'!$D:$D,SUMPRODUCT(('6_3nf_branch_history'!$A$2:$A$50=T496)*('6_3nf_branch_history'!$B$2:$B$50=U496)*ROW('6_3nf_branch_history'!$A$2:$A$50))))</f>
        <v/>
      </c>
      <c r="X496" s="2">
        <f>IF(U496="NOT FOUND","NOT FOUND",INDEX('6_3nf_branch_history'!$E:$E,SUMPRODUCT(('6_3nf_branch_history'!$A$2:$A$50=T496)*('6_3nf_branch_history'!$B$2:$B$50=U496)*ROW('6_3nf_branch_history'!$A$2:$A$50))))</f>
        <v/>
      </c>
      <c r="Y496" s="2">
        <f>UPPER(TRIM(D496))</f>
        <v/>
      </c>
      <c r="Z496" s="2">
        <f>IFERROR(INDEX('7_3nf_product'!$B:$B,MATCH(Y496,'7_3nf_product'!$A:$A,0)),"NOT FOUND")</f>
        <v/>
      </c>
      <c r="AA496" s="2">
        <f>IFERROR(INDEX('7_3nf_product'!$C:$C,MATCH(Y496,'7_3nf_product'!$A:$A,0)),"NOT FOUND")</f>
        <v/>
      </c>
      <c r="AB496" s="2">
        <f>IFERROR(INDEX('7_3nf_product'!$D:$D,MATCH(Y496,'7_3nf_product'!$A:$A,0)),"NOT FOUND")</f>
        <v/>
      </c>
      <c r="AC496" s="6">
        <f>IFERROR(INDEX('7_3nf_product'!$E:$E,MATCH(Y496,'7_3nf_product'!$A:$A,0)),"NOT FOUND")</f>
        <v/>
      </c>
      <c r="AD496" s="33">
        <f>IF(LEN(TRIM(E496))=10,TRIM(E496),IF(LEN(TRIM(E496))=8,"00"&amp;TRIM(E496),"CHECK"))</f>
        <v/>
      </c>
      <c r="AE496" s="2">
        <f>IFERROR(INDEX('8_3nf_customer'!$C:$C,MATCH(AD496,'8_3nf_customer'!$B:$B,0)),"NOT FOUND")</f>
        <v/>
      </c>
      <c r="AF496" s="30">
        <f>IFERROR(INDEX('8_3nf_customer'!$D:$D,MATCH(AD496,'8_3nf_customer'!$B:$B,0)),"NOT FOUND")</f>
        <v/>
      </c>
      <c r="AG496" s="4">
        <f>IF(ISNUMBER(AF496),DATEDIF(AF496,L496,"y"),"NOT FOUND")</f>
        <v/>
      </c>
      <c r="AH496" s="2">
        <f>IFERROR(INDEX('8_3nf_customer'!$E:$E,MATCH(AD496,'8_3nf_customer'!$B:$B,0)),"NOT FOUND")</f>
        <v/>
      </c>
      <c r="AI496" s="30">
        <f>IF(_xlfn.MAXIFS('9_3nf_customer_history'!$B$2:$B$500,'9_3nf_customer_history'!$A$2:$A$500,AD496,'9_3nf_customer_history'!$B$2:$B$500,"&lt;="&amp;L496)=0,"NOT FOUND",_xlfn.MAXIFS('9_3nf_customer_history'!$B$2:$B$500,'9_3nf_customer_history'!$A$2:$A$500,AD496,'9_3nf_customer_history'!$B$2:$B$500,"&lt;="&amp;L496))</f>
        <v/>
      </c>
      <c r="AJ496" s="2">
        <f>IF(AI496="NOT FOUND","NOT FOUND",INDEX('9_3nf_customer_history'!$C:$C,SUMPRODUCT(('9_3nf_customer_history'!$A$2:$A$500=AD496)*('9_3nf_customer_history'!$B$2:$B$500=AI496)*ROW('9_3nf_customer_history'!$A$2:$A$500))))</f>
        <v/>
      </c>
      <c r="AK496" s="2">
        <f>IF(AI496="NOT FOUND","NOT FOUND",INDEX('9_3nf_customer_history'!$D:$D,SUMPRODUCT(('9_3nf_customer_history'!$A$2:$A$500=AD496)*('9_3nf_customer_history'!$B$2:$B$500=AI496)*ROW('9_3nf_customer_history'!$A$2:$A$500))))</f>
        <v/>
      </c>
      <c r="AL496" s="2">
        <f>UPPER(TRIM(H496))</f>
        <v/>
      </c>
      <c r="AM496" s="30">
        <f>IF(_xlfn.MAXIFS('10_ref_fx_rate'!$B$2:$B$2000,'10_ref_fx_rate'!$A$2:$A$2000,AL496,'10_ref_fx_rate'!$B$2:$B$2000,"&lt;="&amp;L496)=0,"NOT FOUND",_xlfn.MAXIFS('10_ref_fx_rate'!$B$2:$B$2000,'10_ref_fx_rate'!$A$2:$A$2000,AL496,'10_ref_fx_rate'!$B$2:$B$2000,"&lt;="&amp;L496))</f>
        <v/>
      </c>
      <c r="AN496" s="8">
        <f>IF(AM496="NOT FOUND","NOT FOUND",SUMIFS('10_ref_fx_rate'!$D$2:$D$2000,'10_ref_fx_rate'!$A$2:$A$2000,AL496,'10_ref_fx_rate'!$B$2:$B$2000,AM496))</f>
        <v/>
      </c>
      <c r="AO496" s="37">
        <f>IF(ISNUMBER(AN496),I496*AN496,"NOT FOUND")</f>
        <v/>
      </c>
      <c r="AP496" s="2">
        <f>UPPER(TRIM(J496))</f>
        <v/>
      </c>
      <c r="AQ496" s="2">
        <f>IF(AP496="","SELF-DIRECTED",IF(ISNUMBER(MATCH(AP496,'11_3nf_sales_person'!$A:$A,0)),IF(EXACT(AP496,J496),"OK","OK (auto-fixed)"),IF(ISNA(MATCH($A496,'12_sales_person_confirmation'!$A:$A,0)),"CONFIRM (not logged)",IF(INDEX('12_sales_person_confirmation'!$I:$I,MATCH($A496,'12_sales_person_confirmation'!$A:$A,0))="CONFIRMED","CONFIRMED ("&amp;LOWER(INDEX('12_sales_person_confirmation'!$E:$E,MATCH($A496,'12_sales_person_confirmation'!$A:$A,0)))&amp;")","PENDING CONFIRM"))))</f>
        <v/>
      </c>
      <c r="AR496" s="2">
        <f>IF(OR(AQ496="OK",AQ496="OK (auto-fixed)"),AP496,IF(LEFT(AQ496,9)="CONFIRMED",INDEX('12_sales_person_confirmation'!$F:$F,MATCH($A496,'12_sales_person_confirmation'!$A:$A,0)),""))</f>
        <v/>
      </c>
      <c r="AS496" s="2">
        <f>IF(AR496="","",INDEX('11_3nf_sales_person'!$B:$B,MATCH(AR496,'11_3nf_sales_person'!$A:$A,0)))</f>
        <v/>
      </c>
    </row>
    <row r="497">
      <c r="A497" s="2">
        <f>IF(ISBLANK('1_raw_log'!A497),"",'1_raw_log'!A497)</f>
        <v/>
      </c>
      <c r="B497" s="3">
        <f>IF(ISBLANK('1_raw_log'!B497),"",'1_raw_log'!B497)</f>
        <v/>
      </c>
      <c r="C497" s="2">
        <f>IF(ISBLANK('1_raw_log'!C497),"",'1_raw_log'!C497)</f>
        <v/>
      </c>
      <c r="D497" s="2">
        <f>IF(ISBLANK('1_raw_log'!D497),"",'1_raw_log'!D497)</f>
        <v/>
      </c>
      <c r="E497" s="4">
        <f>IF(ISBLANK('1_raw_log'!E497),"",'1_raw_log'!E497)</f>
        <v/>
      </c>
      <c r="F497" s="2">
        <f>IF(ISBLANK('1_raw_log'!F497),"",'1_raw_log'!F497)</f>
        <v/>
      </c>
      <c r="G497" s="2">
        <f>IF(ISBLANK('1_raw_log'!G497),"",'1_raw_log'!G497)</f>
        <v/>
      </c>
      <c r="H497" s="2">
        <f>IF(ISBLANK('1_raw_log'!H497),"",'1_raw_log'!H497)</f>
        <v/>
      </c>
      <c r="I497" s="7">
        <f>IF(ISBLANK('1_raw_log'!I497),"",'1_raw_log'!I497)</f>
        <v/>
      </c>
      <c r="J497" s="2">
        <f>IF(ISBLANK('1_raw_log'!J497),"",'1_raw_log'!J497)</f>
        <v/>
      </c>
      <c r="K497" s="2">
        <f>IF(ISBLANK('1_raw_log'!K497),"",'1_raw_log'!K497)</f>
        <v/>
      </c>
      <c r="L497" s="30">
        <f>INT(B497)</f>
        <v/>
      </c>
      <c r="M497" s="20">
        <f>ROUND(MOD(B497,1)*1440,0)/1440</f>
        <v/>
      </c>
      <c r="N497" s="4">
        <f>IFERROR(INDEX('3_ref_date'!$B:$B,MATCH(L497,'3_ref_date'!$A:$A,0)),"NOT FOUND")</f>
        <v/>
      </c>
      <c r="O497" s="2">
        <f>IFERROR(INDEX('3_ref_date'!$C:$C,MATCH(L497,'3_ref_date'!$A:$A,0)),"NOT FOUND")</f>
        <v/>
      </c>
      <c r="P497" s="4">
        <f>IFERROR(INDEX('3_ref_date'!$D:$D,MATCH(L497,'3_ref_date'!$A:$A,0)),"NOT FOUND")</f>
        <v/>
      </c>
      <c r="Q497" s="4">
        <f>IFERROR(INDEX('3_ref_date'!$E:$E,MATCH(L497,'3_ref_date'!$A:$A,0)),"NOT FOUND")</f>
        <v/>
      </c>
      <c r="R497" s="2">
        <f>IFERROR(INDEX('3_ref_date'!$F:$F,MATCH(L497,'3_ref_date'!$A:$A,0)),"NOT FOUND")</f>
        <v/>
      </c>
      <c r="S497" s="2">
        <f>IFERROR(INDEX('4_ref_time'!$D:$D,MATCH(ROUND(M497*1440,0),'4_ref_time'!$A:$A,0)),"NOT FOUND")</f>
        <v/>
      </c>
      <c r="T497" s="2">
        <f>UPPER(TRIM(C497))</f>
        <v/>
      </c>
      <c r="U497" s="30">
        <f>IF(_xlfn.MAXIFS('6_3nf_branch_history'!$B$2:$B$50,'6_3nf_branch_history'!$A$2:$A$50,T497,'6_3nf_branch_history'!$B$2:$B$50,"&lt;="&amp;L497)=0,"NOT FOUND",_xlfn.MAXIFS('6_3nf_branch_history'!$B$2:$B$50,'6_3nf_branch_history'!$A$2:$A$50,T497,'6_3nf_branch_history'!$B$2:$B$50,"&lt;="&amp;L497))</f>
        <v/>
      </c>
      <c r="V497" s="2">
        <f>IF(U497="NOT FOUND","NOT FOUND",INDEX('6_3nf_branch_history'!$C:$C,SUMPRODUCT(('6_3nf_branch_history'!$A$2:$A$50=T497)*('6_3nf_branch_history'!$B$2:$B$50=U497)*ROW('6_3nf_branch_history'!$A$2:$A$50))))</f>
        <v/>
      </c>
      <c r="W497" s="2">
        <f>IF(U497="NOT FOUND","NOT FOUND",INDEX('6_3nf_branch_history'!$D:$D,SUMPRODUCT(('6_3nf_branch_history'!$A$2:$A$50=T497)*('6_3nf_branch_history'!$B$2:$B$50=U497)*ROW('6_3nf_branch_history'!$A$2:$A$50))))</f>
        <v/>
      </c>
      <c r="X497" s="2">
        <f>IF(U497="NOT FOUND","NOT FOUND",INDEX('6_3nf_branch_history'!$E:$E,SUMPRODUCT(('6_3nf_branch_history'!$A$2:$A$50=T497)*('6_3nf_branch_history'!$B$2:$B$50=U497)*ROW('6_3nf_branch_history'!$A$2:$A$50))))</f>
        <v/>
      </c>
      <c r="Y497" s="2">
        <f>UPPER(TRIM(D497))</f>
        <v/>
      </c>
      <c r="Z497" s="2">
        <f>IFERROR(INDEX('7_3nf_product'!$B:$B,MATCH(Y497,'7_3nf_product'!$A:$A,0)),"NOT FOUND")</f>
        <v/>
      </c>
      <c r="AA497" s="2">
        <f>IFERROR(INDEX('7_3nf_product'!$C:$C,MATCH(Y497,'7_3nf_product'!$A:$A,0)),"NOT FOUND")</f>
        <v/>
      </c>
      <c r="AB497" s="2">
        <f>IFERROR(INDEX('7_3nf_product'!$D:$D,MATCH(Y497,'7_3nf_product'!$A:$A,0)),"NOT FOUND")</f>
        <v/>
      </c>
      <c r="AC497" s="6">
        <f>IFERROR(INDEX('7_3nf_product'!$E:$E,MATCH(Y497,'7_3nf_product'!$A:$A,0)),"NOT FOUND")</f>
        <v/>
      </c>
      <c r="AD497" s="33">
        <f>IF(LEN(TRIM(E497))=10,TRIM(E497),IF(LEN(TRIM(E497))=8,"00"&amp;TRIM(E497),"CHECK"))</f>
        <v/>
      </c>
      <c r="AE497" s="2">
        <f>IFERROR(INDEX('8_3nf_customer'!$C:$C,MATCH(AD497,'8_3nf_customer'!$B:$B,0)),"NOT FOUND")</f>
        <v/>
      </c>
      <c r="AF497" s="30">
        <f>IFERROR(INDEX('8_3nf_customer'!$D:$D,MATCH(AD497,'8_3nf_customer'!$B:$B,0)),"NOT FOUND")</f>
        <v/>
      </c>
      <c r="AG497" s="4">
        <f>IF(ISNUMBER(AF497),DATEDIF(AF497,L497,"y"),"NOT FOUND")</f>
        <v/>
      </c>
      <c r="AH497" s="2">
        <f>IFERROR(INDEX('8_3nf_customer'!$E:$E,MATCH(AD497,'8_3nf_customer'!$B:$B,0)),"NOT FOUND")</f>
        <v/>
      </c>
      <c r="AI497" s="30">
        <f>IF(_xlfn.MAXIFS('9_3nf_customer_history'!$B$2:$B$500,'9_3nf_customer_history'!$A$2:$A$500,AD497,'9_3nf_customer_history'!$B$2:$B$500,"&lt;="&amp;L497)=0,"NOT FOUND",_xlfn.MAXIFS('9_3nf_customer_history'!$B$2:$B$500,'9_3nf_customer_history'!$A$2:$A$500,AD497,'9_3nf_customer_history'!$B$2:$B$500,"&lt;="&amp;L497))</f>
        <v/>
      </c>
      <c r="AJ497" s="2">
        <f>IF(AI497="NOT FOUND","NOT FOUND",INDEX('9_3nf_customer_history'!$C:$C,SUMPRODUCT(('9_3nf_customer_history'!$A$2:$A$500=AD497)*('9_3nf_customer_history'!$B$2:$B$500=AI497)*ROW('9_3nf_customer_history'!$A$2:$A$500))))</f>
        <v/>
      </c>
      <c r="AK497" s="2">
        <f>IF(AI497="NOT FOUND","NOT FOUND",INDEX('9_3nf_customer_history'!$D:$D,SUMPRODUCT(('9_3nf_customer_history'!$A$2:$A$500=AD497)*('9_3nf_customer_history'!$B$2:$B$500=AI497)*ROW('9_3nf_customer_history'!$A$2:$A$500))))</f>
        <v/>
      </c>
      <c r="AL497" s="2">
        <f>UPPER(TRIM(H497))</f>
        <v/>
      </c>
      <c r="AM497" s="30">
        <f>IF(_xlfn.MAXIFS('10_ref_fx_rate'!$B$2:$B$2000,'10_ref_fx_rate'!$A$2:$A$2000,AL497,'10_ref_fx_rate'!$B$2:$B$2000,"&lt;="&amp;L497)=0,"NOT FOUND",_xlfn.MAXIFS('10_ref_fx_rate'!$B$2:$B$2000,'10_ref_fx_rate'!$A$2:$A$2000,AL497,'10_ref_fx_rate'!$B$2:$B$2000,"&lt;="&amp;L497))</f>
        <v/>
      </c>
      <c r="AN497" s="8">
        <f>IF(AM497="NOT FOUND","NOT FOUND",SUMIFS('10_ref_fx_rate'!$D$2:$D$2000,'10_ref_fx_rate'!$A$2:$A$2000,AL497,'10_ref_fx_rate'!$B$2:$B$2000,AM497))</f>
        <v/>
      </c>
      <c r="AO497" s="37">
        <f>IF(ISNUMBER(AN497),I497*AN497,"NOT FOUND")</f>
        <v/>
      </c>
      <c r="AP497" s="2">
        <f>UPPER(TRIM(J497))</f>
        <v/>
      </c>
      <c r="AQ497" s="2">
        <f>IF(AP497="","SELF-DIRECTED",IF(ISNUMBER(MATCH(AP497,'11_3nf_sales_person'!$A:$A,0)),IF(EXACT(AP497,J497),"OK","OK (auto-fixed)"),IF(ISNA(MATCH($A497,'12_sales_person_confirmation'!$A:$A,0)),"CONFIRM (not logged)",IF(INDEX('12_sales_person_confirmation'!$I:$I,MATCH($A497,'12_sales_person_confirmation'!$A:$A,0))="CONFIRMED","CONFIRMED ("&amp;LOWER(INDEX('12_sales_person_confirmation'!$E:$E,MATCH($A497,'12_sales_person_confirmation'!$A:$A,0)))&amp;")","PENDING CONFIRM"))))</f>
        <v/>
      </c>
      <c r="AR497" s="2">
        <f>IF(OR(AQ497="OK",AQ497="OK (auto-fixed)"),AP497,IF(LEFT(AQ497,9)="CONFIRMED",INDEX('12_sales_person_confirmation'!$F:$F,MATCH($A497,'12_sales_person_confirmation'!$A:$A,0)),""))</f>
        <v/>
      </c>
      <c r="AS497" s="2">
        <f>IF(AR497="","",INDEX('11_3nf_sales_person'!$B:$B,MATCH(AR497,'11_3nf_sales_person'!$A:$A,0)))</f>
        <v/>
      </c>
    </row>
    <row r="498">
      <c r="A498" s="2">
        <f>IF(ISBLANK('1_raw_log'!A498),"",'1_raw_log'!A498)</f>
        <v/>
      </c>
      <c r="B498" s="3">
        <f>IF(ISBLANK('1_raw_log'!B498),"",'1_raw_log'!B498)</f>
        <v/>
      </c>
      <c r="C498" s="2">
        <f>IF(ISBLANK('1_raw_log'!C498),"",'1_raw_log'!C498)</f>
        <v/>
      </c>
      <c r="D498" s="2">
        <f>IF(ISBLANK('1_raw_log'!D498),"",'1_raw_log'!D498)</f>
        <v/>
      </c>
      <c r="E498" s="4">
        <f>IF(ISBLANK('1_raw_log'!E498),"",'1_raw_log'!E498)</f>
        <v/>
      </c>
      <c r="F498" s="2">
        <f>IF(ISBLANK('1_raw_log'!F498),"",'1_raw_log'!F498)</f>
        <v/>
      </c>
      <c r="G498" s="2">
        <f>IF(ISBLANK('1_raw_log'!G498),"",'1_raw_log'!G498)</f>
        <v/>
      </c>
      <c r="H498" s="2">
        <f>IF(ISBLANK('1_raw_log'!H498),"",'1_raw_log'!H498)</f>
        <v/>
      </c>
      <c r="I498" s="7">
        <f>IF(ISBLANK('1_raw_log'!I498),"",'1_raw_log'!I498)</f>
        <v/>
      </c>
      <c r="J498" s="2">
        <f>IF(ISBLANK('1_raw_log'!J498),"",'1_raw_log'!J498)</f>
        <v/>
      </c>
      <c r="K498" s="2">
        <f>IF(ISBLANK('1_raw_log'!K498),"",'1_raw_log'!K498)</f>
        <v/>
      </c>
      <c r="L498" s="30">
        <f>INT(B498)</f>
        <v/>
      </c>
      <c r="M498" s="20">
        <f>ROUND(MOD(B498,1)*1440,0)/1440</f>
        <v/>
      </c>
      <c r="N498" s="4">
        <f>IFERROR(INDEX('3_ref_date'!$B:$B,MATCH(L498,'3_ref_date'!$A:$A,0)),"NOT FOUND")</f>
        <v/>
      </c>
      <c r="O498" s="2">
        <f>IFERROR(INDEX('3_ref_date'!$C:$C,MATCH(L498,'3_ref_date'!$A:$A,0)),"NOT FOUND")</f>
        <v/>
      </c>
      <c r="P498" s="4">
        <f>IFERROR(INDEX('3_ref_date'!$D:$D,MATCH(L498,'3_ref_date'!$A:$A,0)),"NOT FOUND")</f>
        <v/>
      </c>
      <c r="Q498" s="4">
        <f>IFERROR(INDEX('3_ref_date'!$E:$E,MATCH(L498,'3_ref_date'!$A:$A,0)),"NOT FOUND")</f>
        <v/>
      </c>
      <c r="R498" s="2">
        <f>IFERROR(INDEX('3_ref_date'!$F:$F,MATCH(L498,'3_ref_date'!$A:$A,0)),"NOT FOUND")</f>
        <v/>
      </c>
      <c r="S498" s="2">
        <f>IFERROR(INDEX('4_ref_time'!$D:$D,MATCH(ROUND(M498*1440,0),'4_ref_time'!$A:$A,0)),"NOT FOUND")</f>
        <v/>
      </c>
      <c r="T498" s="2">
        <f>UPPER(TRIM(C498))</f>
        <v/>
      </c>
      <c r="U498" s="30">
        <f>IF(_xlfn.MAXIFS('6_3nf_branch_history'!$B$2:$B$50,'6_3nf_branch_history'!$A$2:$A$50,T498,'6_3nf_branch_history'!$B$2:$B$50,"&lt;="&amp;L498)=0,"NOT FOUND",_xlfn.MAXIFS('6_3nf_branch_history'!$B$2:$B$50,'6_3nf_branch_history'!$A$2:$A$50,T498,'6_3nf_branch_history'!$B$2:$B$50,"&lt;="&amp;L498))</f>
        <v/>
      </c>
      <c r="V498" s="2">
        <f>IF(U498="NOT FOUND","NOT FOUND",INDEX('6_3nf_branch_history'!$C:$C,SUMPRODUCT(('6_3nf_branch_history'!$A$2:$A$50=T498)*('6_3nf_branch_history'!$B$2:$B$50=U498)*ROW('6_3nf_branch_history'!$A$2:$A$50))))</f>
        <v/>
      </c>
      <c r="W498" s="2">
        <f>IF(U498="NOT FOUND","NOT FOUND",INDEX('6_3nf_branch_history'!$D:$D,SUMPRODUCT(('6_3nf_branch_history'!$A$2:$A$50=T498)*('6_3nf_branch_history'!$B$2:$B$50=U498)*ROW('6_3nf_branch_history'!$A$2:$A$50))))</f>
        <v/>
      </c>
      <c r="X498" s="2">
        <f>IF(U498="NOT FOUND","NOT FOUND",INDEX('6_3nf_branch_history'!$E:$E,SUMPRODUCT(('6_3nf_branch_history'!$A$2:$A$50=T498)*('6_3nf_branch_history'!$B$2:$B$50=U498)*ROW('6_3nf_branch_history'!$A$2:$A$50))))</f>
        <v/>
      </c>
      <c r="Y498" s="2">
        <f>UPPER(TRIM(D498))</f>
        <v/>
      </c>
      <c r="Z498" s="2">
        <f>IFERROR(INDEX('7_3nf_product'!$B:$B,MATCH(Y498,'7_3nf_product'!$A:$A,0)),"NOT FOUND")</f>
        <v/>
      </c>
      <c r="AA498" s="2">
        <f>IFERROR(INDEX('7_3nf_product'!$C:$C,MATCH(Y498,'7_3nf_product'!$A:$A,0)),"NOT FOUND")</f>
        <v/>
      </c>
      <c r="AB498" s="2">
        <f>IFERROR(INDEX('7_3nf_product'!$D:$D,MATCH(Y498,'7_3nf_product'!$A:$A,0)),"NOT FOUND")</f>
        <v/>
      </c>
      <c r="AC498" s="6">
        <f>IFERROR(INDEX('7_3nf_product'!$E:$E,MATCH(Y498,'7_3nf_product'!$A:$A,0)),"NOT FOUND")</f>
        <v/>
      </c>
      <c r="AD498" s="33">
        <f>IF(LEN(TRIM(E498))=10,TRIM(E498),IF(LEN(TRIM(E498))=8,"00"&amp;TRIM(E498),"CHECK"))</f>
        <v/>
      </c>
      <c r="AE498" s="2">
        <f>IFERROR(INDEX('8_3nf_customer'!$C:$C,MATCH(AD498,'8_3nf_customer'!$B:$B,0)),"NOT FOUND")</f>
        <v/>
      </c>
      <c r="AF498" s="30">
        <f>IFERROR(INDEX('8_3nf_customer'!$D:$D,MATCH(AD498,'8_3nf_customer'!$B:$B,0)),"NOT FOUND")</f>
        <v/>
      </c>
      <c r="AG498" s="4">
        <f>IF(ISNUMBER(AF498),DATEDIF(AF498,L498,"y"),"NOT FOUND")</f>
        <v/>
      </c>
      <c r="AH498" s="2">
        <f>IFERROR(INDEX('8_3nf_customer'!$E:$E,MATCH(AD498,'8_3nf_customer'!$B:$B,0)),"NOT FOUND")</f>
        <v/>
      </c>
      <c r="AI498" s="30">
        <f>IF(_xlfn.MAXIFS('9_3nf_customer_history'!$B$2:$B$500,'9_3nf_customer_history'!$A$2:$A$500,AD498,'9_3nf_customer_history'!$B$2:$B$500,"&lt;="&amp;L498)=0,"NOT FOUND",_xlfn.MAXIFS('9_3nf_customer_history'!$B$2:$B$500,'9_3nf_customer_history'!$A$2:$A$500,AD498,'9_3nf_customer_history'!$B$2:$B$500,"&lt;="&amp;L498))</f>
        <v/>
      </c>
      <c r="AJ498" s="2">
        <f>IF(AI498="NOT FOUND","NOT FOUND",INDEX('9_3nf_customer_history'!$C:$C,SUMPRODUCT(('9_3nf_customer_history'!$A$2:$A$500=AD498)*('9_3nf_customer_history'!$B$2:$B$500=AI498)*ROW('9_3nf_customer_history'!$A$2:$A$500))))</f>
        <v/>
      </c>
      <c r="AK498" s="2">
        <f>IF(AI498="NOT FOUND","NOT FOUND",INDEX('9_3nf_customer_history'!$D:$D,SUMPRODUCT(('9_3nf_customer_history'!$A$2:$A$500=AD498)*('9_3nf_customer_history'!$B$2:$B$500=AI498)*ROW('9_3nf_customer_history'!$A$2:$A$500))))</f>
        <v/>
      </c>
      <c r="AL498" s="2">
        <f>UPPER(TRIM(H498))</f>
        <v/>
      </c>
      <c r="AM498" s="30">
        <f>IF(_xlfn.MAXIFS('10_ref_fx_rate'!$B$2:$B$2000,'10_ref_fx_rate'!$A$2:$A$2000,AL498,'10_ref_fx_rate'!$B$2:$B$2000,"&lt;="&amp;L498)=0,"NOT FOUND",_xlfn.MAXIFS('10_ref_fx_rate'!$B$2:$B$2000,'10_ref_fx_rate'!$A$2:$A$2000,AL498,'10_ref_fx_rate'!$B$2:$B$2000,"&lt;="&amp;L498))</f>
        <v/>
      </c>
      <c r="AN498" s="8">
        <f>IF(AM498="NOT FOUND","NOT FOUND",SUMIFS('10_ref_fx_rate'!$D$2:$D$2000,'10_ref_fx_rate'!$A$2:$A$2000,AL498,'10_ref_fx_rate'!$B$2:$B$2000,AM498))</f>
        <v/>
      </c>
      <c r="AO498" s="37">
        <f>IF(ISNUMBER(AN498),I498*AN498,"NOT FOUND")</f>
        <v/>
      </c>
      <c r="AP498" s="2">
        <f>UPPER(TRIM(J498))</f>
        <v/>
      </c>
      <c r="AQ498" s="2">
        <f>IF(AP498="","SELF-DIRECTED",IF(ISNUMBER(MATCH(AP498,'11_3nf_sales_person'!$A:$A,0)),IF(EXACT(AP498,J498),"OK","OK (auto-fixed)"),IF(ISNA(MATCH($A498,'12_sales_person_confirmation'!$A:$A,0)),"CONFIRM (not logged)",IF(INDEX('12_sales_person_confirmation'!$I:$I,MATCH($A498,'12_sales_person_confirmation'!$A:$A,0))="CONFIRMED","CONFIRMED ("&amp;LOWER(INDEX('12_sales_person_confirmation'!$E:$E,MATCH($A498,'12_sales_person_confirmation'!$A:$A,0)))&amp;")","PENDING CONFIRM"))))</f>
        <v/>
      </c>
      <c r="AR498" s="2">
        <f>IF(OR(AQ498="OK",AQ498="OK (auto-fixed)"),AP498,IF(LEFT(AQ498,9)="CONFIRMED",INDEX('12_sales_person_confirmation'!$F:$F,MATCH($A498,'12_sales_person_confirmation'!$A:$A,0)),""))</f>
        <v/>
      </c>
      <c r="AS498" s="2">
        <f>IF(AR498="","",INDEX('11_3nf_sales_person'!$B:$B,MATCH(AR498,'11_3nf_sales_person'!$A:$A,0)))</f>
        <v/>
      </c>
    </row>
    <row r="499">
      <c r="A499" s="2">
        <f>IF(ISBLANK('1_raw_log'!A499),"",'1_raw_log'!A499)</f>
        <v/>
      </c>
      <c r="B499" s="3">
        <f>IF(ISBLANK('1_raw_log'!B499),"",'1_raw_log'!B499)</f>
        <v/>
      </c>
      <c r="C499" s="2">
        <f>IF(ISBLANK('1_raw_log'!C499),"",'1_raw_log'!C499)</f>
        <v/>
      </c>
      <c r="D499" s="2">
        <f>IF(ISBLANK('1_raw_log'!D499),"",'1_raw_log'!D499)</f>
        <v/>
      </c>
      <c r="E499" s="4">
        <f>IF(ISBLANK('1_raw_log'!E499),"",'1_raw_log'!E499)</f>
        <v/>
      </c>
      <c r="F499" s="2">
        <f>IF(ISBLANK('1_raw_log'!F499),"",'1_raw_log'!F499)</f>
        <v/>
      </c>
      <c r="G499" s="2">
        <f>IF(ISBLANK('1_raw_log'!G499),"",'1_raw_log'!G499)</f>
        <v/>
      </c>
      <c r="H499" s="2">
        <f>IF(ISBLANK('1_raw_log'!H499),"",'1_raw_log'!H499)</f>
        <v/>
      </c>
      <c r="I499" s="7">
        <f>IF(ISBLANK('1_raw_log'!I499),"",'1_raw_log'!I499)</f>
        <v/>
      </c>
      <c r="J499" s="2">
        <f>IF(ISBLANK('1_raw_log'!J499),"",'1_raw_log'!J499)</f>
        <v/>
      </c>
      <c r="K499" s="2">
        <f>IF(ISBLANK('1_raw_log'!K499),"",'1_raw_log'!K499)</f>
        <v/>
      </c>
      <c r="L499" s="30">
        <f>INT(B499)</f>
        <v/>
      </c>
      <c r="M499" s="20">
        <f>ROUND(MOD(B499,1)*1440,0)/1440</f>
        <v/>
      </c>
      <c r="N499" s="4">
        <f>IFERROR(INDEX('3_ref_date'!$B:$B,MATCH(L499,'3_ref_date'!$A:$A,0)),"NOT FOUND")</f>
        <v/>
      </c>
      <c r="O499" s="2">
        <f>IFERROR(INDEX('3_ref_date'!$C:$C,MATCH(L499,'3_ref_date'!$A:$A,0)),"NOT FOUND")</f>
        <v/>
      </c>
      <c r="P499" s="4">
        <f>IFERROR(INDEX('3_ref_date'!$D:$D,MATCH(L499,'3_ref_date'!$A:$A,0)),"NOT FOUND")</f>
        <v/>
      </c>
      <c r="Q499" s="4">
        <f>IFERROR(INDEX('3_ref_date'!$E:$E,MATCH(L499,'3_ref_date'!$A:$A,0)),"NOT FOUND")</f>
        <v/>
      </c>
      <c r="R499" s="2">
        <f>IFERROR(INDEX('3_ref_date'!$F:$F,MATCH(L499,'3_ref_date'!$A:$A,0)),"NOT FOUND")</f>
        <v/>
      </c>
      <c r="S499" s="2">
        <f>IFERROR(INDEX('4_ref_time'!$D:$D,MATCH(ROUND(M499*1440,0),'4_ref_time'!$A:$A,0)),"NOT FOUND")</f>
        <v/>
      </c>
      <c r="T499" s="2">
        <f>UPPER(TRIM(C499))</f>
        <v/>
      </c>
      <c r="U499" s="30">
        <f>IF(_xlfn.MAXIFS('6_3nf_branch_history'!$B$2:$B$50,'6_3nf_branch_history'!$A$2:$A$50,T499,'6_3nf_branch_history'!$B$2:$B$50,"&lt;="&amp;L499)=0,"NOT FOUND",_xlfn.MAXIFS('6_3nf_branch_history'!$B$2:$B$50,'6_3nf_branch_history'!$A$2:$A$50,T499,'6_3nf_branch_history'!$B$2:$B$50,"&lt;="&amp;L499))</f>
        <v/>
      </c>
      <c r="V499" s="2">
        <f>IF(U499="NOT FOUND","NOT FOUND",INDEX('6_3nf_branch_history'!$C:$C,SUMPRODUCT(('6_3nf_branch_history'!$A$2:$A$50=T499)*('6_3nf_branch_history'!$B$2:$B$50=U499)*ROW('6_3nf_branch_history'!$A$2:$A$50))))</f>
        <v/>
      </c>
      <c r="W499" s="2">
        <f>IF(U499="NOT FOUND","NOT FOUND",INDEX('6_3nf_branch_history'!$D:$D,SUMPRODUCT(('6_3nf_branch_history'!$A$2:$A$50=T499)*('6_3nf_branch_history'!$B$2:$B$50=U499)*ROW('6_3nf_branch_history'!$A$2:$A$50))))</f>
        <v/>
      </c>
      <c r="X499" s="2">
        <f>IF(U499="NOT FOUND","NOT FOUND",INDEX('6_3nf_branch_history'!$E:$E,SUMPRODUCT(('6_3nf_branch_history'!$A$2:$A$50=T499)*('6_3nf_branch_history'!$B$2:$B$50=U499)*ROW('6_3nf_branch_history'!$A$2:$A$50))))</f>
        <v/>
      </c>
      <c r="Y499" s="2">
        <f>UPPER(TRIM(D499))</f>
        <v/>
      </c>
      <c r="Z499" s="2">
        <f>IFERROR(INDEX('7_3nf_product'!$B:$B,MATCH(Y499,'7_3nf_product'!$A:$A,0)),"NOT FOUND")</f>
        <v/>
      </c>
      <c r="AA499" s="2">
        <f>IFERROR(INDEX('7_3nf_product'!$C:$C,MATCH(Y499,'7_3nf_product'!$A:$A,0)),"NOT FOUND")</f>
        <v/>
      </c>
      <c r="AB499" s="2">
        <f>IFERROR(INDEX('7_3nf_product'!$D:$D,MATCH(Y499,'7_3nf_product'!$A:$A,0)),"NOT FOUND")</f>
        <v/>
      </c>
      <c r="AC499" s="6">
        <f>IFERROR(INDEX('7_3nf_product'!$E:$E,MATCH(Y499,'7_3nf_product'!$A:$A,0)),"NOT FOUND")</f>
        <v/>
      </c>
      <c r="AD499" s="33">
        <f>IF(LEN(TRIM(E499))=10,TRIM(E499),IF(LEN(TRIM(E499))=8,"00"&amp;TRIM(E499),"CHECK"))</f>
        <v/>
      </c>
      <c r="AE499" s="2">
        <f>IFERROR(INDEX('8_3nf_customer'!$C:$C,MATCH(AD499,'8_3nf_customer'!$B:$B,0)),"NOT FOUND")</f>
        <v/>
      </c>
      <c r="AF499" s="30">
        <f>IFERROR(INDEX('8_3nf_customer'!$D:$D,MATCH(AD499,'8_3nf_customer'!$B:$B,0)),"NOT FOUND")</f>
        <v/>
      </c>
      <c r="AG499" s="4">
        <f>IF(ISNUMBER(AF499),DATEDIF(AF499,L499,"y"),"NOT FOUND")</f>
        <v/>
      </c>
      <c r="AH499" s="2">
        <f>IFERROR(INDEX('8_3nf_customer'!$E:$E,MATCH(AD499,'8_3nf_customer'!$B:$B,0)),"NOT FOUND")</f>
        <v/>
      </c>
      <c r="AI499" s="30">
        <f>IF(_xlfn.MAXIFS('9_3nf_customer_history'!$B$2:$B$500,'9_3nf_customer_history'!$A$2:$A$500,AD499,'9_3nf_customer_history'!$B$2:$B$500,"&lt;="&amp;L499)=0,"NOT FOUND",_xlfn.MAXIFS('9_3nf_customer_history'!$B$2:$B$500,'9_3nf_customer_history'!$A$2:$A$500,AD499,'9_3nf_customer_history'!$B$2:$B$500,"&lt;="&amp;L499))</f>
        <v/>
      </c>
      <c r="AJ499" s="2">
        <f>IF(AI499="NOT FOUND","NOT FOUND",INDEX('9_3nf_customer_history'!$C:$C,SUMPRODUCT(('9_3nf_customer_history'!$A$2:$A$500=AD499)*('9_3nf_customer_history'!$B$2:$B$500=AI499)*ROW('9_3nf_customer_history'!$A$2:$A$500))))</f>
        <v/>
      </c>
      <c r="AK499" s="2">
        <f>IF(AI499="NOT FOUND","NOT FOUND",INDEX('9_3nf_customer_history'!$D:$D,SUMPRODUCT(('9_3nf_customer_history'!$A$2:$A$500=AD499)*('9_3nf_customer_history'!$B$2:$B$500=AI499)*ROW('9_3nf_customer_history'!$A$2:$A$500))))</f>
        <v/>
      </c>
      <c r="AL499" s="2">
        <f>UPPER(TRIM(H499))</f>
        <v/>
      </c>
      <c r="AM499" s="30">
        <f>IF(_xlfn.MAXIFS('10_ref_fx_rate'!$B$2:$B$2000,'10_ref_fx_rate'!$A$2:$A$2000,AL499,'10_ref_fx_rate'!$B$2:$B$2000,"&lt;="&amp;L499)=0,"NOT FOUND",_xlfn.MAXIFS('10_ref_fx_rate'!$B$2:$B$2000,'10_ref_fx_rate'!$A$2:$A$2000,AL499,'10_ref_fx_rate'!$B$2:$B$2000,"&lt;="&amp;L499))</f>
        <v/>
      </c>
      <c r="AN499" s="8">
        <f>IF(AM499="NOT FOUND","NOT FOUND",SUMIFS('10_ref_fx_rate'!$D$2:$D$2000,'10_ref_fx_rate'!$A$2:$A$2000,AL499,'10_ref_fx_rate'!$B$2:$B$2000,AM499))</f>
        <v/>
      </c>
      <c r="AO499" s="37">
        <f>IF(ISNUMBER(AN499),I499*AN499,"NOT FOUND")</f>
        <v/>
      </c>
      <c r="AP499" s="2">
        <f>UPPER(TRIM(J499))</f>
        <v/>
      </c>
      <c r="AQ499" s="2">
        <f>IF(AP499="","SELF-DIRECTED",IF(ISNUMBER(MATCH(AP499,'11_3nf_sales_person'!$A:$A,0)),IF(EXACT(AP499,J499),"OK","OK (auto-fixed)"),IF(ISNA(MATCH($A499,'12_sales_person_confirmation'!$A:$A,0)),"CONFIRM (not logged)",IF(INDEX('12_sales_person_confirmation'!$I:$I,MATCH($A499,'12_sales_person_confirmation'!$A:$A,0))="CONFIRMED","CONFIRMED ("&amp;LOWER(INDEX('12_sales_person_confirmation'!$E:$E,MATCH($A499,'12_sales_person_confirmation'!$A:$A,0)))&amp;")","PENDING CONFIRM"))))</f>
        <v/>
      </c>
      <c r="AR499" s="2">
        <f>IF(OR(AQ499="OK",AQ499="OK (auto-fixed)"),AP499,IF(LEFT(AQ499,9)="CONFIRMED",INDEX('12_sales_person_confirmation'!$F:$F,MATCH($A499,'12_sales_person_confirmation'!$A:$A,0)),""))</f>
        <v/>
      </c>
      <c r="AS499" s="2">
        <f>IF(AR499="","",INDEX('11_3nf_sales_person'!$B:$B,MATCH(AR499,'11_3nf_sales_person'!$A:$A,0)))</f>
        <v/>
      </c>
    </row>
    <row r="500">
      <c r="A500" s="2">
        <f>IF(ISBLANK('1_raw_log'!A500),"",'1_raw_log'!A500)</f>
        <v/>
      </c>
      <c r="B500" s="3">
        <f>IF(ISBLANK('1_raw_log'!B500),"",'1_raw_log'!B500)</f>
        <v/>
      </c>
      <c r="C500" s="2">
        <f>IF(ISBLANK('1_raw_log'!C500),"",'1_raw_log'!C500)</f>
        <v/>
      </c>
      <c r="D500" s="2">
        <f>IF(ISBLANK('1_raw_log'!D500),"",'1_raw_log'!D500)</f>
        <v/>
      </c>
      <c r="E500" s="4">
        <f>IF(ISBLANK('1_raw_log'!E500),"",'1_raw_log'!E500)</f>
        <v/>
      </c>
      <c r="F500" s="2">
        <f>IF(ISBLANK('1_raw_log'!F500),"",'1_raw_log'!F500)</f>
        <v/>
      </c>
      <c r="G500" s="2">
        <f>IF(ISBLANK('1_raw_log'!G500),"",'1_raw_log'!G500)</f>
        <v/>
      </c>
      <c r="H500" s="2">
        <f>IF(ISBLANK('1_raw_log'!H500),"",'1_raw_log'!H500)</f>
        <v/>
      </c>
      <c r="I500" s="7">
        <f>IF(ISBLANK('1_raw_log'!I500),"",'1_raw_log'!I500)</f>
        <v/>
      </c>
      <c r="J500" s="2">
        <f>IF(ISBLANK('1_raw_log'!J500),"",'1_raw_log'!J500)</f>
        <v/>
      </c>
      <c r="K500" s="2">
        <f>IF(ISBLANK('1_raw_log'!K500),"",'1_raw_log'!K500)</f>
        <v/>
      </c>
      <c r="L500" s="30">
        <f>INT(B500)</f>
        <v/>
      </c>
      <c r="M500" s="20">
        <f>ROUND(MOD(B500,1)*1440,0)/1440</f>
        <v/>
      </c>
      <c r="N500" s="4">
        <f>IFERROR(INDEX('3_ref_date'!$B:$B,MATCH(L500,'3_ref_date'!$A:$A,0)),"NOT FOUND")</f>
        <v/>
      </c>
      <c r="O500" s="2">
        <f>IFERROR(INDEX('3_ref_date'!$C:$C,MATCH(L500,'3_ref_date'!$A:$A,0)),"NOT FOUND")</f>
        <v/>
      </c>
      <c r="P500" s="4">
        <f>IFERROR(INDEX('3_ref_date'!$D:$D,MATCH(L500,'3_ref_date'!$A:$A,0)),"NOT FOUND")</f>
        <v/>
      </c>
      <c r="Q500" s="4">
        <f>IFERROR(INDEX('3_ref_date'!$E:$E,MATCH(L500,'3_ref_date'!$A:$A,0)),"NOT FOUND")</f>
        <v/>
      </c>
      <c r="R500" s="2">
        <f>IFERROR(INDEX('3_ref_date'!$F:$F,MATCH(L500,'3_ref_date'!$A:$A,0)),"NOT FOUND")</f>
        <v/>
      </c>
      <c r="S500" s="2">
        <f>IFERROR(INDEX('4_ref_time'!$D:$D,MATCH(ROUND(M500*1440,0),'4_ref_time'!$A:$A,0)),"NOT FOUND")</f>
        <v/>
      </c>
      <c r="T500" s="2">
        <f>UPPER(TRIM(C500))</f>
        <v/>
      </c>
      <c r="U500" s="30">
        <f>IF(_xlfn.MAXIFS('6_3nf_branch_history'!$B$2:$B$50,'6_3nf_branch_history'!$A$2:$A$50,T500,'6_3nf_branch_history'!$B$2:$B$50,"&lt;="&amp;L500)=0,"NOT FOUND",_xlfn.MAXIFS('6_3nf_branch_history'!$B$2:$B$50,'6_3nf_branch_history'!$A$2:$A$50,T500,'6_3nf_branch_history'!$B$2:$B$50,"&lt;="&amp;L500))</f>
        <v/>
      </c>
      <c r="V500" s="2">
        <f>IF(U500="NOT FOUND","NOT FOUND",INDEX('6_3nf_branch_history'!$C:$C,SUMPRODUCT(('6_3nf_branch_history'!$A$2:$A$50=T500)*('6_3nf_branch_history'!$B$2:$B$50=U500)*ROW('6_3nf_branch_history'!$A$2:$A$50))))</f>
        <v/>
      </c>
      <c r="W500" s="2">
        <f>IF(U500="NOT FOUND","NOT FOUND",INDEX('6_3nf_branch_history'!$D:$D,SUMPRODUCT(('6_3nf_branch_history'!$A$2:$A$50=T500)*('6_3nf_branch_history'!$B$2:$B$50=U500)*ROW('6_3nf_branch_history'!$A$2:$A$50))))</f>
        <v/>
      </c>
      <c r="X500" s="2">
        <f>IF(U500="NOT FOUND","NOT FOUND",INDEX('6_3nf_branch_history'!$E:$E,SUMPRODUCT(('6_3nf_branch_history'!$A$2:$A$50=T500)*('6_3nf_branch_history'!$B$2:$B$50=U500)*ROW('6_3nf_branch_history'!$A$2:$A$50))))</f>
        <v/>
      </c>
      <c r="Y500" s="2">
        <f>UPPER(TRIM(D500))</f>
        <v/>
      </c>
      <c r="Z500" s="2">
        <f>IFERROR(INDEX('7_3nf_product'!$B:$B,MATCH(Y500,'7_3nf_product'!$A:$A,0)),"NOT FOUND")</f>
        <v/>
      </c>
      <c r="AA500" s="2">
        <f>IFERROR(INDEX('7_3nf_product'!$C:$C,MATCH(Y500,'7_3nf_product'!$A:$A,0)),"NOT FOUND")</f>
        <v/>
      </c>
      <c r="AB500" s="2">
        <f>IFERROR(INDEX('7_3nf_product'!$D:$D,MATCH(Y500,'7_3nf_product'!$A:$A,0)),"NOT FOUND")</f>
        <v/>
      </c>
      <c r="AC500" s="6">
        <f>IFERROR(INDEX('7_3nf_product'!$E:$E,MATCH(Y500,'7_3nf_product'!$A:$A,0)),"NOT FOUND")</f>
        <v/>
      </c>
      <c r="AD500" s="33">
        <f>IF(LEN(TRIM(E500))=10,TRIM(E500),IF(LEN(TRIM(E500))=8,"00"&amp;TRIM(E500),"CHECK"))</f>
        <v/>
      </c>
      <c r="AE500" s="2">
        <f>IFERROR(INDEX('8_3nf_customer'!$C:$C,MATCH(AD500,'8_3nf_customer'!$B:$B,0)),"NOT FOUND")</f>
        <v/>
      </c>
      <c r="AF500" s="30">
        <f>IFERROR(INDEX('8_3nf_customer'!$D:$D,MATCH(AD500,'8_3nf_customer'!$B:$B,0)),"NOT FOUND")</f>
        <v/>
      </c>
      <c r="AG500" s="4">
        <f>IF(ISNUMBER(AF500),DATEDIF(AF500,L500,"y"),"NOT FOUND")</f>
        <v/>
      </c>
      <c r="AH500" s="2">
        <f>IFERROR(INDEX('8_3nf_customer'!$E:$E,MATCH(AD500,'8_3nf_customer'!$B:$B,0)),"NOT FOUND")</f>
        <v/>
      </c>
      <c r="AI500" s="30">
        <f>IF(_xlfn.MAXIFS('9_3nf_customer_history'!$B$2:$B$500,'9_3nf_customer_history'!$A$2:$A$500,AD500,'9_3nf_customer_history'!$B$2:$B$500,"&lt;="&amp;L500)=0,"NOT FOUND",_xlfn.MAXIFS('9_3nf_customer_history'!$B$2:$B$500,'9_3nf_customer_history'!$A$2:$A$500,AD500,'9_3nf_customer_history'!$B$2:$B$500,"&lt;="&amp;L500))</f>
        <v/>
      </c>
      <c r="AJ500" s="2">
        <f>IF(AI500="NOT FOUND","NOT FOUND",INDEX('9_3nf_customer_history'!$C:$C,SUMPRODUCT(('9_3nf_customer_history'!$A$2:$A$500=AD500)*('9_3nf_customer_history'!$B$2:$B$500=AI500)*ROW('9_3nf_customer_history'!$A$2:$A$500))))</f>
        <v/>
      </c>
      <c r="AK500" s="2">
        <f>IF(AI500="NOT FOUND","NOT FOUND",INDEX('9_3nf_customer_history'!$D:$D,SUMPRODUCT(('9_3nf_customer_history'!$A$2:$A$500=AD500)*('9_3nf_customer_history'!$B$2:$B$500=AI500)*ROW('9_3nf_customer_history'!$A$2:$A$500))))</f>
        <v/>
      </c>
      <c r="AL500" s="2">
        <f>UPPER(TRIM(H500))</f>
        <v/>
      </c>
      <c r="AM500" s="30">
        <f>IF(_xlfn.MAXIFS('10_ref_fx_rate'!$B$2:$B$2000,'10_ref_fx_rate'!$A$2:$A$2000,AL500,'10_ref_fx_rate'!$B$2:$B$2000,"&lt;="&amp;L500)=0,"NOT FOUND",_xlfn.MAXIFS('10_ref_fx_rate'!$B$2:$B$2000,'10_ref_fx_rate'!$A$2:$A$2000,AL500,'10_ref_fx_rate'!$B$2:$B$2000,"&lt;="&amp;L500))</f>
        <v/>
      </c>
      <c r="AN500" s="8">
        <f>IF(AM500="NOT FOUND","NOT FOUND",SUMIFS('10_ref_fx_rate'!$D$2:$D$2000,'10_ref_fx_rate'!$A$2:$A$2000,AL500,'10_ref_fx_rate'!$B$2:$B$2000,AM500))</f>
        <v/>
      </c>
      <c r="AO500" s="37">
        <f>IF(ISNUMBER(AN500),I500*AN500,"NOT FOUND")</f>
        <v/>
      </c>
      <c r="AP500" s="2">
        <f>UPPER(TRIM(J500))</f>
        <v/>
      </c>
      <c r="AQ500" s="2">
        <f>IF(AP500="","SELF-DIRECTED",IF(ISNUMBER(MATCH(AP500,'11_3nf_sales_person'!$A:$A,0)),IF(EXACT(AP500,J500),"OK","OK (auto-fixed)"),IF(ISNA(MATCH($A500,'12_sales_person_confirmation'!$A:$A,0)),"CONFIRM (not logged)",IF(INDEX('12_sales_person_confirmation'!$I:$I,MATCH($A500,'12_sales_person_confirmation'!$A:$A,0))="CONFIRMED","CONFIRMED ("&amp;LOWER(INDEX('12_sales_person_confirmation'!$E:$E,MATCH($A500,'12_sales_person_confirmation'!$A:$A,0)))&amp;")","PENDING CONFIRM"))))</f>
        <v/>
      </c>
      <c r="AR500" s="2">
        <f>IF(OR(AQ500="OK",AQ500="OK (auto-fixed)"),AP500,IF(LEFT(AQ500,9)="CONFIRMED",INDEX('12_sales_person_confirmation'!$F:$F,MATCH($A500,'12_sales_person_confirmation'!$A:$A,0)),""))</f>
        <v/>
      </c>
      <c r="AS500" s="2">
        <f>IF(AR500="","",INDEX('11_3nf_sales_person'!$B:$B,MATCH(AR500,'11_3nf_sales_person'!$A:$A,0)))</f>
        <v/>
      </c>
    </row>
    <row r="501">
      <c r="A501" s="2">
        <f>IF(ISBLANK('1_raw_log'!A501),"",'1_raw_log'!A501)</f>
        <v/>
      </c>
      <c r="B501" s="3">
        <f>IF(ISBLANK('1_raw_log'!B501),"",'1_raw_log'!B501)</f>
        <v/>
      </c>
      <c r="C501" s="2">
        <f>IF(ISBLANK('1_raw_log'!C501),"",'1_raw_log'!C501)</f>
        <v/>
      </c>
      <c r="D501" s="2">
        <f>IF(ISBLANK('1_raw_log'!D501),"",'1_raw_log'!D501)</f>
        <v/>
      </c>
      <c r="E501" s="4">
        <f>IF(ISBLANK('1_raw_log'!E501),"",'1_raw_log'!E501)</f>
        <v/>
      </c>
      <c r="F501" s="2">
        <f>IF(ISBLANK('1_raw_log'!F501),"",'1_raw_log'!F501)</f>
        <v/>
      </c>
      <c r="G501" s="2">
        <f>IF(ISBLANK('1_raw_log'!G501),"",'1_raw_log'!G501)</f>
        <v/>
      </c>
      <c r="H501" s="2">
        <f>IF(ISBLANK('1_raw_log'!H501),"",'1_raw_log'!H501)</f>
        <v/>
      </c>
      <c r="I501" s="7">
        <f>IF(ISBLANK('1_raw_log'!I501),"",'1_raw_log'!I501)</f>
        <v/>
      </c>
      <c r="J501" s="2">
        <f>IF(ISBLANK('1_raw_log'!J501),"",'1_raw_log'!J501)</f>
        <v/>
      </c>
      <c r="K501" s="2">
        <f>IF(ISBLANK('1_raw_log'!K501),"",'1_raw_log'!K501)</f>
        <v/>
      </c>
      <c r="L501" s="30">
        <f>INT(B501)</f>
        <v/>
      </c>
      <c r="M501" s="20">
        <f>ROUND(MOD(B501,1)*1440,0)/1440</f>
        <v/>
      </c>
      <c r="N501" s="4">
        <f>IFERROR(INDEX('3_ref_date'!$B:$B,MATCH(L501,'3_ref_date'!$A:$A,0)),"NOT FOUND")</f>
        <v/>
      </c>
      <c r="O501" s="2">
        <f>IFERROR(INDEX('3_ref_date'!$C:$C,MATCH(L501,'3_ref_date'!$A:$A,0)),"NOT FOUND")</f>
        <v/>
      </c>
      <c r="P501" s="4">
        <f>IFERROR(INDEX('3_ref_date'!$D:$D,MATCH(L501,'3_ref_date'!$A:$A,0)),"NOT FOUND")</f>
        <v/>
      </c>
      <c r="Q501" s="4">
        <f>IFERROR(INDEX('3_ref_date'!$E:$E,MATCH(L501,'3_ref_date'!$A:$A,0)),"NOT FOUND")</f>
        <v/>
      </c>
      <c r="R501" s="2">
        <f>IFERROR(INDEX('3_ref_date'!$F:$F,MATCH(L501,'3_ref_date'!$A:$A,0)),"NOT FOUND")</f>
        <v/>
      </c>
      <c r="S501" s="2">
        <f>IFERROR(INDEX('4_ref_time'!$D:$D,MATCH(ROUND(M501*1440,0),'4_ref_time'!$A:$A,0)),"NOT FOUND")</f>
        <v/>
      </c>
      <c r="T501" s="2">
        <f>UPPER(TRIM(C501))</f>
        <v/>
      </c>
      <c r="U501" s="30">
        <f>IF(_xlfn.MAXIFS('6_3nf_branch_history'!$B$2:$B$50,'6_3nf_branch_history'!$A$2:$A$50,T501,'6_3nf_branch_history'!$B$2:$B$50,"&lt;="&amp;L501)=0,"NOT FOUND",_xlfn.MAXIFS('6_3nf_branch_history'!$B$2:$B$50,'6_3nf_branch_history'!$A$2:$A$50,T501,'6_3nf_branch_history'!$B$2:$B$50,"&lt;="&amp;L501))</f>
        <v/>
      </c>
      <c r="V501" s="2">
        <f>IF(U501="NOT FOUND","NOT FOUND",INDEX('6_3nf_branch_history'!$C:$C,SUMPRODUCT(('6_3nf_branch_history'!$A$2:$A$50=T501)*('6_3nf_branch_history'!$B$2:$B$50=U501)*ROW('6_3nf_branch_history'!$A$2:$A$50))))</f>
        <v/>
      </c>
      <c r="W501" s="2">
        <f>IF(U501="NOT FOUND","NOT FOUND",INDEX('6_3nf_branch_history'!$D:$D,SUMPRODUCT(('6_3nf_branch_history'!$A$2:$A$50=T501)*('6_3nf_branch_history'!$B$2:$B$50=U501)*ROW('6_3nf_branch_history'!$A$2:$A$50))))</f>
        <v/>
      </c>
      <c r="X501" s="2">
        <f>IF(U501="NOT FOUND","NOT FOUND",INDEX('6_3nf_branch_history'!$E:$E,SUMPRODUCT(('6_3nf_branch_history'!$A$2:$A$50=T501)*('6_3nf_branch_history'!$B$2:$B$50=U501)*ROW('6_3nf_branch_history'!$A$2:$A$50))))</f>
        <v/>
      </c>
      <c r="Y501" s="2">
        <f>UPPER(TRIM(D501))</f>
        <v/>
      </c>
      <c r="Z501" s="2">
        <f>IFERROR(INDEX('7_3nf_product'!$B:$B,MATCH(Y501,'7_3nf_product'!$A:$A,0)),"NOT FOUND")</f>
        <v/>
      </c>
      <c r="AA501" s="2">
        <f>IFERROR(INDEX('7_3nf_product'!$C:$C,MATCH(Y501,'7_3nf_product'!$A:$A,0)),"NOT FOUND")</f>
        <v/>
      </c>
      <c r="AB501" s="2">
        <f>IFERROR(INDEX('7_3nf_product'!$D:$D,MATCH(Y501,'7_3nf_product'!$A:$A,0)),"NOT FOUND")</f>
        <v/>
      </c>
      <c r="AC501" s="6">
        <f>IFERROR(INDEX('7_3nf_product'!$E:$E,MATCH(Y501,'7_3nf_product'!$A:$A,0)),"NOT FOUND")</f>
        <v/>
      </c>
      <c r="AD501" s="33">
        <f>IF(LEN(TRIM(E501))=10,TRIM(E501),IF(LEN(TRIM(E501))=8,"00"&amp;TRIM(E501),"CHECK"))</f>
        <v/>
      </c>
      <c r="AE501" s="2">
        <f>IFERROR(INDEX('8_3nf_customer'!$C:$C,MATCH(AD501,'8_3nf_customer'!$B:$B,0)),"NOT FOUND")</f>
        <v/>
      </c>
      <c r="AF501" s="30">
        <f>IFERROR(INDEX('8_3nf_customer'!$D:$D,MATCH(AD501,'8_3nf_customer'!$B:$B,0)),"NOT FOUND")</f>
        <v/>
      </c>
      <c r="AG501" s="4">
        <f>IF(ISNUMBER(AF501),DATEDIF(AF501,L501,"y"),"NOT FOUND")</f>
        <v/>
      </c>
      <c r="AH501" s="2">
        <f>IFERROR(INDEX('8_3nf_customer'!$E:$E,MATCH(AD501,'8_3nf_customer'!$B:$B,0)),"NOT FOUND")</f>
        <v/>
      </c>
      <c r="AI501" s="30">
        <f>IF(_xlfn.MAXIFS('9_3nf_customer_history'!$B$2:$B$500,'9_3nf_customer_history'!$A$2:$A$500,AD501,'9_3nf_customer_history'!$B$2:$B$500,"&lt;="&amp;L501)=0,"NOT FOUND",_xlfn.MAXIFS('9_3nf_customer_history'!$B$2:$B$500,'9_3nf_customer_history'!$A$2:$A$500,AD501,'9_3nf_customer_history'!$B$2:$B$500,"&lt;="&amp;L501))</f>
        <v/>
      </c>
      <c r="AJ501" s="2">
        <f>IF(AI501="NOT FOUND","NOT FOUND",INDEX('9_3nf_customer_history'!$C:$C,SUMPRODUCT(('9_3nf_customer_history'!$A$2:$A$500=AD501)*('9_3nf_customer_history'!$B$2:$B$500=AI501)*ROW('9_3nf_customer_history'!$A$2:$A$500))))</f>
        <v/>
      </c>
      <c r="AK501" s="2">
        <f>IF(AI501="NOT FOUND","NOT FOUND",INDEX('9_3nf_customer_history'!$D:$D,SUMPRODUCT(('9_3nf_customer_history'!$A$2:$A$500=AD501)*('9_3nf_customer_history'!$B$2:$B$500=AI501)*ROW('9_3nf_customer_history'!$A$2:$A$500))))</f>
        <v/>
      </c>
      <c r="AL501" s="2">
        <f>UPPER(TRIM(H501))</f>
        <v/>
      </c>
      <c r="AM501" s="30">
        <f>IF(_xlfn.MAXIFS('10_ref_fx_rate'!$B$2:$B$2000,'10_ref_fx_rate'!$A$2:$A$2000,AL501,'10_ref_fx_rate'!$B$2:$B$2000,"&lt;="&amp;L501)=0,"NOT FOUND",_xlfn.MAXIFS('10_ref_fx_rate'!$B$2:$B$2000,'10_ref_fx_rate'!$A$2:$A$2000,AL501,'10_ref_fx_rate'!$B$2:$B$2000,"&lt;="&amp;L501))</f>
        <v/>
      </c>
      <c r="AN501" s="8">
        <f>IF(AM501="NOT FOUND","NOT FOUND",SUMIFS('10_ref_fx_rate'!$D$2:$D$2000,'10_ref_fx_rate'!$A$2:$A$2000,AL501,'10_ref_fx_rate'!$B$2:$B$2000,AM501))</f>
        <v/>
      </c>
      <c r="AO501" s="37">
        <f>IF(ISNUMBER(AN501),I501*AN501,"NOT FOUND")</f>
        <v/>
      </c>
      <c r="AP501" s="2">
        <f>UPPER(TRIM(J501))</f>
        <v/>
      </c>
      <c r="AQ501" s="2">
        <f>IF(AP501="","SELF-DIRECTED",IF(ISNUMBER(MATCH(AP501,'11_3nf_sales_person'!$A:$A,0)),IF(EXACT(AP501,J501),"OK","OK (auto-fixed)"),IF(ISNA(MATCH($A501,'12_sales_person_confirmation'!$A:$A,0)),"CONFIRM (not logged)",IF(INDEX('12_sales_person_confirmation'!$I:$I,MATCH($A501,'12_sales_person_confirmation'!$A:$A,0))="CONFIRMED","CONFIRMED ("&amp;LOWER(INDEX('12_sales_person_confirmation'!$E:$E,MATCH($A501,'12_sales_person_confirmation'!$A:$A,0)))&amp;")","PENDING CONFIRM"))))</f>
        <v/>
      </c>
      <c r="AR501" s="2">
        <f>IF(OR(AQ501="OK",AQ501="OK (auto-fixed)"),AP501,IF(LEFT(AQ501,9)="CONFIRMED",INDEX('12_sales_person_confirmation'!$F:$F,MATCH($A501,'12_sales_person_confirmation'!$A:$A,0)),""))</f>
        <v/>
      </c>
      <c r="AS501" s="2">
        <f>IF(AR501="","",INDEX('11_3nf_sales_person'!$B:$B,MATCH(AR501,'11_3nf_sales_person'!$A:$A,0)))</f>
        <v/>
      </c>
    </row>
  </sheetData>
  <autoFilter ref="A1:AS501"/>
  <conditionalFormatting sqref="N2:AS501">
    <cfRule type="expression" priority="1" dxfId="4">
      <formula>OR(N2="NOT FOUND",N2="CONFIRM")</formula>
    </cfRule>
  </conditionalFormatting>
  <conditionalFormatting sqref="AQ2:AQ501">
    <cfRule type="expression" priority="2" dxfId="5">
      <formula>AQ2="OK (auto-fixed)"</formula>
    </cfRule>
    <cfRule type="expression" priority="3" dxfId="4">
      <formula>OR(AQ2="PENDING CONFIRM",AQ2="CONFIRM (not logged)")</formula>
    </cfRule>
    <cfRule type="expression" priority="4" dxfId="7">
      <formula>LEFT(AQ2,9)="CONFIRMED"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B0F0"/>
    <outlinePr summaryBelow="1" summaryRight="1"/>
    <pageSetUpPr/>
  </sheetPr>
  <dimension ref="A1:I401"/>
  <sheetViews>
    <sheetView workbookViewId="0">
      <pane ySplit="1" topLeftCell="A2" activePane="bottomLeft" state="frozen"/>
      <selection pane="bottomLeft" activeCell="G2" sqref="G2"/>
    </sheetView>
  </sheetViews>
  <sheetFormatPr baseColWidth="8" defaultRowHeight="14.5"/>
  <cols>
    <col width="12" customWidth="1" min="1" max="1"/>
    <col width="8" customWidth="1" min="2" max="2"/>
    <col width="9" customWidth="1" min="3" max="3"/>
    <col width="8" customWidth="1" min="4" max="4"/>
    <col width="10" customWidth="1" min="5" max="6"/>
  </cols>
  <sheetData>
    <row r="1">
      <c r="A1" s="19" t="inlineStr">
        <is>
          <t>date (PK)</t>
        </is>
      </c>
      <c r="B1" s="19" t="inlineStr">
        <is>
          <t>year</t>
        </is>
      </c>
      <c r="C1" s="19" t="inlineStr">
        <is>
          <t>quarter</t>
        </is>
      </c>
      <c r="D1" s="19" t="inlineStr">
        <is>
          <t>month</t>
        </is>
      </c>
      <c r="E1" s="19" t="inlineStr">
        <is>
          <t>iso_week</t>
        </is>
      </c>
      <c r="F1" s="19" t="inlineStr">
        <is>
          <t>weekday</t>
        </is>
      </c>
    </row>
    <row r="2">
      <c r="A2" s="5">
        <f>INT(MIN('1_raw_log'!$B:$B))</f>
        <v/>
      </c>
      <c r="B2" s="2">
        <f>IF(A2="","",YEAR(A2))</f>
        <v/>
      </c>
      <c r="C2" s="2">
        <f>IF(A2="","","Q"&amp;ROUNDUP(MONTH(A2)/3,0))</f>
        <v/>
      </c>
      <c r="D2" s="2">
        <f>IF(A2="","",MONTH(A2))</f>
        <v/>
      </c>
      <c r="E2" s="2">
        <f>IF(A2="","",_xlfn.ISOWEEKNUM(A2))</f>
        <v/>
      </c>
      <c r="F2" s="2">
        <f>IF(A2="","",TEXT(A2,"ddd"))</f>
        <v/>
      </c>
      <c r="H2" s="29" t="inlineStr">
        <is>
          <t>Date reference: one row per calendar day. Every date attribute is calculated once, here, from the date.</t>
        </is>
      </c>
      <c r="I2" s="2" t="n"/>
    </row>
    <row r="3">
      <c r="A3" s="5">
        <f>IF(A2="","",IF(A2+1&gt;INT(MAX('1_raw_log'!$B:$B)),"",A2+1))</f>
        <v/>
      </c>
      <c r="B3" s="2">
        <f>IF(A3="","",YEAR(A3))</f>
        <v/>
      </c>
      <c r="C3" s="2">
        <f>IF(A3="","","Q"&amp;ROUNDUP(MONTH(A3)/3,0))</f>
        <v/>
      </c>
      <c r="D3" s="2">
        <f>IF(A3="","",MONTH(A3))</f>
        <v/>
      </c>
      <c r="E3" s="2">
        <f>IF(A3="","",_xlfn.ISOWEEKNUM(A3))</f>
        <v/>
      </c>
      <c r="F3" s="2">
        <f>IF(A3="","",TEXT(A3,"ddd"))</f>
        <v/>
      </c>
      <c r="H3" s="29" t="inlineStr">
        <is>
          <t>The first date is the earliest sale in 1_raw_log; each following row is the previous date + 1, until the latest sale.</t>
        </is>
      </c>
      <c r="I3" s="2" t="n"/>
    </row>
    <row r="4">
      <c r="A4" s="5">
        <f>IF(A3="","",IF(A3+1&gt;INT(MAX('1_raw_log'!$B:$B)),"",A3+1))</f>
        <v/>
      </c>
      <c r="B4" s="2">
        <f>IF(A4="","",YEAR(A4))</f>
        <v/>
      </c>
      <c r="C4" s="2">
        <f>IF(A4="","","Q"&amp;ROUNDUP(MONTH(A4)/3,0))</f>
        <v/>
      </c>
      <c r="D4" s="2">
        <f>IF(A4="","",MONTH(A4))</f>
        <v/>
      </c>
      <c r="E4" s="2">
        <f>IF(A4="","",_xlfn.ISOWEEKNUM(A4))</f>
        <v/>
      </c>
      <c r="F4" s="2">
        <f>IF(A4="","",TEXT(A4,"ddd"))</f>
        <v/>
      </c>
      <c r="H4" s="29" t="inlineStr">
        <is>
          <t>So the calendar grows with new data (rows prepared up to row 401 = 400 days; extend when needed).</t>
        </is>
      </c>
      <c r="I4" s="2" t="n"/>
    </row>
    <row r="5">
      <c r="A5" s="5">
        <f>IF(A4="","",IF(A4+1&gt;INT(MAX('1_raw_log'!$B:$B)),"",A4+1))</f>
        <v/>
      </c>
      <c r="B5" s="2">
        <f>IF(A5="","",YEAR(A5))</f>
        <v/>
      </c>
      <c r="C5" s="2">
        <f>IF(A5="","","Q"&amp;ROUNDUP(MONTH(A5)/3,0))</f>
        <v/>
      </c>
      <c r="D5" s="2">
        <f>IF(A5="","",MONTH(A5))</f>
        <v/>
      </c>
      <c r="E5" s="2">
        <f>IF(A5="","",_xlfn.ISOWEEKNUM(A5))</f>
        <v/>
      </c>
      <c r="F5" s="2">
        <f>IF(A5="","",TEXT(A5,"ddd"))</f>
        <v/>
      </c>
      <c r="H5" s="29" t="inlineStr">
        <is>
          <t>Other tables only find their date and look attributes up, so year/quarter/week are defined the same way everywhere.</t>
        </is>
      </c>
      <c r="I5" s="2" t="n"/>
    </row>
    <row r="6">
      <c r="A6" s="5">
        <f>IF(A5="","",IF(A5+1&gt;INT(MAX('1_raw_log'!$B:$B)),"",A5+1))</f>
        <v/>
      </c>
      <c r="B6" s="2">
        <f>IF(A6="","",YEAR(A6))</f>
        <v/>
      </c>
      <c r="C6" s="2">
        <f>IF(A6="","","Q"&amp;ROUNDUP(MONTH(A6)/3,0))</f>
        <v/>
      </c>
      <c r="D6" s="2">
        <f>IF(A6="","",MONTH(A6))</f>
        <v/>
      </c>
      <c r="E6" s="2">
        <f>IF(A6="","",_xlfn.ISOWEEKNUM(A6))</f>
        <v/>
      </c>
      <c r="F6" s="2">
        <f>IF(A6="","",TEXT(A6,"ddd"))</f>
        <v/>
      </c>
      <c r="H6" s="2" t="n"/>
      <c r="I6" s="2" t="n"/>
    </row>
    <row r="7">
      <c r="A7" s="5">
        <f>IF(A6="","",IF(A6+1&gt;INT(MAX('1_raw_log'!$B:$B)),"",A6+1))</f>
        <v/>
      </c>
      <c r="B7" s="2">
        <f>IF(A7="","",YEAR(A7))</f>
        <v/>
      </c>
      <c r="C7" s="2">
        <f>IF(A7="","","Q"&amp;ROUNDUP(MONTH(A7)/3,0))</f>
        <v/>
      </c>
      <c r="D7" s="2">
        <f>IF(A7="","",MONTH(A7))</f>
        <v/>
      </c>
      <c r="E7" s="2">
        <f>IF(A7="","",_xlfn.ISOWEEKNUM(A7))</f>
        <v/>
      </c>
      <c r="F7" s="2">
        <f>IF(A7="","",TEXT(A7,"ddd"))</f>
        <v/>
      </c>
      <c r="H7" s="2" t="n"/>
      <c r="I7" s="2" t="n"/>
    </row>
    <row r="8">
      <c r="A8" s="5">
        <f>IF(A7="","",IF(A7+1&gt;INT(MAX('1_raw_log'!$B:$B)),"",A7+1))</f>
        <v/>
      </c>
      <c r="B8" s="2">
        <f>IF(A8="","",YEAR(A8))</f>
        <v/>
      </c>
      <c r="C8" s="2">
        <f>IF(A8="","","Q"&amp;ROUNDUP(MONTH(A8)/3,0))</f>
        <v/>
      </c>
      <c r="D8" s="2">
        <f>IF(A8="","",MONTH(A8))</f>
        <v/>
      </c>
      <c r="E8" s="2">
        <f>IF(A8="","",_xlfn.ISOWEEKNUM(A8))</f>
        <v/>
      </c>
      <c r="F8" s="2">
        <f>IF(A8="","",TEXT(A8,"ddd"))</f>
        <v/>
      </c>
      <c r="H8" s="2" t="n"/>
      <c r="I8" s="2" t="n"/>
    </row>
    <row r="9">
      <c r="A9" s="5">
        <f>IF(A8="","",IF(A8+1&gt;INT(MAX('1_raw_log'!$B:$B)),"",A8+1))</f>
        <v/>
      </c>
      <c r="B9" s="2">
        <f>IF(A9="","",YEAR(A9))</f>
        <v/>
      </c>
      <c r="C9" s="2">
        <f>IF(A9="","","Q"&amp;ROUNDUP(MONTH(A9)/3,0))</f>
        <v/>
      </c>
      <c r="D9" s="2">
        <f>IF(A9="","",MONTH(A9))</f>
        <v/>
      </c>
      <c r="E9" s="2">
        <f>IF(A9="","",_xlfn.ISOWEEKNUM(A9))</f>
        <v/>
      </c>
      <c r="F9" s="2">
        <f>IF(A9="","",TEXT(A9,"ddd"))</f>
        <v/>
      </c>
    </row>
    <row r="10">
      <c r="A10" s="5">
        <f>IF(A9="","",IF(A9+1&gt;INT(MAX('1_raw_log'!$B:$B)),"",A9+1))</f>
        <v/>
      </c>
      <c r="B10" s="2">
        <f>IF(A10="","",YEAR(A10))</f>
        <v/>
      </c>
      <c r="C10" s="2">
        <f>IF(A10="","","Q"&amp;ROUNDUP(MONTH(A10)/3,0))</f>
        <v/>
      </c>
      <c r="D10" s="2">
        <f>IF(A10="","",MONTH(A10))</f>
        <v/>
      </c>
      <c r="E10" s="2">
        <f>IF(A10="","",_xlfn.ISOWEEKNUM(A10))</f>
        <v/>
      </c>
      <c r="F10" s="2">
        <f>IF(A10="","",TEXT(A10,"ddd"))</f>
        <v/>
      </c>
    </row>
    <row r="11">
      <c r="A11" s="5">
        <f>IF(A10="","",IF(A10+1&gt;INT(MAX('1_raw_log'!$B:$B)),"",A10+1))</f>
        <v/>
      </c>
      <c r="B11" s="2">
        <f>IF(A11="","",YEAR(A11))</f>
        <v/>
      </c>
      <c r="C11" s="2">
        <f>IF(A11="","","Q"&amp;ROUNDUP(MONTH(A11)/3,0))</f>
        <v/>
      </c>
      <c r="D11" s="2">
        <f>IF(A11="","",MONTH(A11))</f>
        <v/>
      </c>
      <c r="E11" s="2">
        <f>IF(A11="","",_xlfn.ISOWEEKNUM(A11))</f>
        <v/>
      </c>
      <c r="F11" s="2">
        <f>IF(A11="","",TEXT(A11,"ddd"))</f>
        <v/>
      </c>
    </row>
    <row r="12">
      <c r="A12" s="5">
        <f>IF(A11="","",IF(A11+1&gt;INT(MAX('1_raw_log'!$B:$B)),"",A11+1))</f>
        <v/>
      </c>
      <c r="B12" s="2">
        <f>IF(A12="","",YEAR(A12))</f>
        <v/>
      </c>
      <c r="C12" s="2">
        <f>IF(A12="","","Q"&amp;ROUNDUP(MONTH(A12)/3,0))</f>
        <v/>
      </c>
      <c r="D12" s="2">
        <f>IF(A12="","",MONTH(A12))</f>
        <v/>
      </c>
      <c r="E12" s="2">
        <f>IF(A12="","",_xlfn.ISOWEEKNUM(A12))</f>
        <v/>
      </c>
      <c r="F12" s="2">
        <f>IF(A12="","",TEXT(A12,"ddd"))</f>
        <v/>
      </c>
    </row>
    <row r="13">
      <c r="A13" s="5">
        <f>IF(A12="","",IF(A12+1&gt;INT(MAX('1_raw_log'!$B:$B)),"",A12+1))</f>
        <v/>
      </c>
      <c r="B13" s="2">
        <f>IF(A13="","",YEAR(A13))</f>
        <v/>
      </c>
      <c r="C13" s="2">
        <f>IF(A13="","","Q"&amp;ROUNDUP(MONTH(A13)/3,0))</f>
        <v/>
      </c>
      <c r="D13" s="2">
        <f>IF(A13="","",MONTH(A13))</f>
        <v/>
      </c>
      <c r="E13" s="2">
        <f>IF(A13="","",_xlfn.ISOWEEKNUM(A13))</f>
        <v/>
      </c>
      <c r="F13" s="2">
        <f>IF(A13="","",TEXT(A13,"ddd"))</f>
        <v/>
      </c>
    </row>
    <row r="14">
      <c r="A14" s="5">
        <f>IF(A13="","",IF(A13+1&gt;INT(MAX('1_raw_log'!$B:$B)),"",A13+1))</f>
        <v/>
      </c>
      <c r="B14" s="2">
        <f>IF(A14="","",YEAR(A14))</f>
        <v/>
      </c>
      <c r="C14" s="2">
        <f>IF(A14="","","Q"&amp;ROUNDUP(MONTH(A14)/3,0))</f>
        <v/>
      </c>
      <c r="D14" s="2">
        <f>IF(A14="","",MONTH(A14))</f>
        <v/>
      </c>
      <c r="E14" s="2">
        <f>IF(A14="","",_xlfn.ISOWEEKNUM(A14))</f>
        <v/>
      </c>
      <c r="F14" s="2">
        <f>IF(A14="","",TEXT(A14,"ddd"))</f>
        <v/>
      </c>
    </row>
    <row r="15">
      <c r="A15" s="5">
        <f>IF(A14="","",IF(A14+1&gt;INT(MAX('1_raw_log'!$B:$B)),"",A14+1))</f>
        <v/>
      </c>
      <c r="B15" s="2">
        <f>IF(A15="","",YEAR(A15))</f>
        <v/>
      </c>
      <c r="C15" s="2">
        <f>IF(A15="","","Q"&amp;ROUNDUP(MONTH(A15)/3,0))</f>
        <v/>
      </c>
      <c r="D15" s="2">
        <f>IF(A15="","",MONTH(A15))</f>
        <v/>
      </c>
      <c r="E15" s="2">
        <f>IF(A15="","",_xlfn.ISOWEEKNUM(A15))</f>
        <v/>
      </c>
      <c r="F15" s="2">
        <f>IF(A15="","",TEXT(A15,"ddd"))</f>
        <v/>
      </c>
    </row>
    <row r="16">
      <c r="A16" s="5">
        <f>IF(A15="","",IF(A15+1&gt;INT(MAX('1_raw_log'!$B:$B)),"",A15+1))</f>
        <v/>
      </c>
      <c r="B16" s="2">
        <f>IF(A16="","",YEAR(A16))</f>
        <v/>
      </c>
      <c r="C16" s="2">
        <f>IF(A16="","","Q"&amp;ROUNDUP(MONTH(A16)/3,0))</f>
        <v/>
      </c>
      <c r="D16" s="2">
        <f>IF(A16="","",MONTH(A16))</f>
        <v/>
      </c>
      <c r="E16" s="2">
        <f>IF(A16="","",_xlfn.ISOWEEKNUM(A16))</f>
        <v/>
      </c>
      <c r="F16" s="2">
        <f>IF(A16="","",TEXT(A16,"ddd"))</f>
        <v/>
      </c>
    </row>
    <row r="17">
      <c r="A17" s="5">
        <f>IF(A16="","",IF(A16+1&gt;INT(MAX('1_raw_log'!$B:$B)),"",A16+1))</f>
        <v/>
      </c>
      <c r="B17" s="2">
        <f>IF(A17="","",YEAR(A17))</f>
        <v/>
      </c>
      <c r="C17" s="2">
        <f>IF(A17="","","Q"&amp;ROUNDUP(MONTH(A17)/3,0))</f>
        <v/>
      </c>
      <c r="D17" s="2">
        <f>IF(A17="","",MONTH(A17))</f>
        <v/>
      </c>
      <c r="E17" s="2">
        <f>IF(A17="","",_xlfn.ISOWEEKNUM(A17))</f>
        <v/>
      </c>
      <c r="F17" s="2">
        <f>IF(A17="","",TEXT(A17,"ddd"))</f>
        <v/>
      </c>
    </row>
    <row r="18">
      <c r="A18" s="5">
        <f>IF(A17="","",IF(A17+1&gt;INT(MAX('1_raw_log'!$B:$B)),"",A17+1))</f>
        <v/>
      </c>
      <c r="B18" s="2">
        <f>IF(A18="","",YEAR(A18))</f>
        <v/>
      </c>
      <c r="C18" s="2">
        <f>IF(A18="","","Q"&amp;ROUNDUP(MONTH(A18)/3,0))</f>
        <v/>
      </c>
      <c r="D18" s="2">
        <f>IF(A18="","",MONTH(A18))</f>
        <v/>
      </c>
      <c r="E18" s="2">
        <f>IF(A18="","",_xlfn.ISOWEEKNUM(A18))</f>
        <v/>
      </c>
      <c r="F18" s="2">
        <f>IF(A18="","",TEXT(A18,"ddd"))</f>
        <v/>
      </c>
    </row>
    <row r="19">
      <c r="A19" s="5">
        <f>IF(A18="","",IF(A18+1&gt;INT(MAX('1_raw_log'!$B:$B)),"",A18+1))</f>
        <v/>
      </c>
      <c r="B19" s="2">
        <f>IF(A19="","",YEAR(A19))</f>
        <v/>
      </c>
      <c r="C19" s="2">
        <f>IF(A19="","","Q"&amp;ROUNDUP(MONTH(A19)/3,0))</f>
        <v/>
      </c>
      <c r="D19" s="2">
        <f>IF(A19="","",MONTH(A19))</f>
        <v/>
      </c>
      <c r="E19" s="2">
        <f>IF(A19="","",_xlfn.ISOWEEKNUM(A19))</f>
        <v/>
      </c>
      <c r="F19" s="2">
        <f>IF(A19="","",TEXT(A19,"ddd"))</f>
        <v/>
      </c>
    </row>
    <row r="20">
      <c r="A20" s="5">
        <f>IF(A19="","",IF(A19+1&gt;INT(MAX('1_raw_log'!$B:$B)),"",A19+1))</f>
        <v/>
      </c>
      <c r="B20" s="2">
        <f>IF(A20="","",YEAR(A20))</f>
        <v/>
      </c>
      <c r="C20" s="2">
        <f>IF(A20="","","Q"&amp;ROUNDUP(MONTH(A20)/3,0))</f>
        <v/>
      </c>
      <c r="D20" s="2">
        <f>IF(A20="","",MONTH(A20))</f>
        <v/>
      </c>
      <c r="E20" s="2">
        <f>IF(A20="","",_xlfn.ISOWEEKNUM(A20))</f>
        <v/>
      </c>
      <c r="F20" s="2">
        <f>IF(A20="","",TEXT(A20,"ddd"))</f>
        <v/>
      </c>
    </row>
    <row r="21">
      <c r="A21" s="5">
        <f>IF(A20="","",IF(A20+1&gt;INT(MAX('1_raw_log'!$B:$B)),"",A20+1))</f>
        <v/>
      </c>
      <c r="B21" s="2">
        <f>IF(A21="","",YEAR(A21))</f>
        <v/>
      </c>
      <c r="C21" s="2">
        <f>IF(A21="","","Q"&amp;ROUNDUP(MONTH(A21)/3,0))</f>
        <v/>
      </c>
      <c r="D21" s="2">
        <f>IF(A21="","",MONTH(A21))</f>
        <v/>
      </c>
      <c r="E21" s="2">
        <f>IF(A21="","",_xlfn.ISOWEEKNUM(A21))</f>
        <v/>
      </c>
      <c r="F21" s="2">
        <f>IF(A21="","",TEXT(A21,"ddd"))</f>
        <v/>
      </c>
    </row>
    <row r="22">
      <c r="A22" s="5">
        <f>IF(A21="","",IF(A21+1&gt;INT(MAX('1_raw_log'!$B:$B)),"",A21+1))</f>
        <v/>
      </c>
      <c r="B22" s="2">
        <f>IF(A22="","",YEAR(A22))</f>
        <v/>
      </c>
      <c r="C22" s="2">
        <f>IF(A22="","","Q"&amp;ROUNDUP(MONTH(A22)/3,0))</f>
        <v/>
      </c>
      <c r="D22" s="2">
        <f>IF(A22="","",MONTH(A22))</f>
        <v/>
      </c>
      <c r="E22" s="2">
        <f>IF(A22="","",_xlfn.ISOWEEKNUM(A22))</f>
        <v/>
      </c>
      <c r="F22" s="2">
        <f>IF(A22="","",TEXT(A22,"ddd"))</f>
        <v/>
      </c>
    </row>
    <row r="23">
      <c r="A23" s="5">
        <f>IF(A22="","",IF(A22+1&gt;INT(MAX('1_raw_log'!$B:$B)),"",A22+1))</f>
        <v/>
      </c>
      <c r="B23" s="2">
        <f>IF(A23="","",YEAR(A23))</f>
        <v/>
      </c>
      <c r="C23" s="2">
        <f>IF(A23="","","Q"&amp;ROUNDUP(MONTH(A23)/3,0))</f>
        <v/>
      </c>
      <c r="D23" s="2">
        <f>IF(A23="","",MONTH(A23))</f>
        <v/>
      </c>
      <c r="E23" s="2">
        <f>IF(A23="","",_xlfn.ISOWEEKNUM(A23))</f>
        <v/>
      </c>
      <c r="F23" s="2">
        <f>IF(A23="","",TEXT(A23,"ddd"))</f>
        <v/>
      </c>
    </row>
    <row r="24">
      <c r="A24" s="5">
        <f>IF(A23="","",IF(A23+1&gt;INT(MAX('1_raw_log'!$B:$B)),"",A23+1))</f>
        <v/>
      </c>
      <c r="B24" s="2">
        <f>IF(A24="","",YEAR(A24))</f>
        <v/>
      </c>
      <c r="C24" s="2">
        <f>IF(A24="","","Q"&amp;ROUNDUP(MONTH(A24)/3,0))</f>
        <v/>
      </c>
      <c r="D24" s="2">
        <f>IF(A24="","",MONTH(A24))</f>
        <v/>
      </c>
      <c r="E24" s="2">
        <f>IF(A24="","",_xlfn.ISOWEEKNUM(A24))</f>
        <v/>
      </c>
      <c r="F24" s="2">
        <f>IF(A24="","",TEXT(A24,"ddd"))</f>
        <v/>
      </c>
    </row>
    <row r="25">
      <c r="A25" s="5">
        <f>IF(A24="","",IF(A24+1&gt;INT(MAX('1_raw_log'!$B:$B)),"",A24+1))</f>
        <v/>
      </c>
      <c r="B25" s="2">
        <f>IF(A25="","",YEAR(A25))</f>
        <v/>
      </c>
      <c r="C25" s="2">
        <f>IF(A25="","","Q"&amp;ROUNDUP(MONTH(A25)/3,0))</f>
        <v/>
      </c>
      <c r="D25" s="2">
        <f>IF(A25="","",MONTH(A25))</f>
        <v/>
      </c>
      <c r="E25" s="2">
        <f>IF(A25="","",_xlfn.ISOWEEKNUM(A25))</f>
        <v/>
      </c>
      <c r="F25" s="2">
        <f>IF(A25="","",TEXT(A25,"ddd"))</f>
        <v/>
      </c>
    </row>
    <row r="26">
      <c r="A26" s="5">
        <f>IF(A25="","",IF(A25+1&gt;INT(MAX('1_raw_log'!$B:$B)),"",A25+1))</f>
        <v/>
      </c>
      <c r="B26" s="2">
        <f>IF(A26="","",YEAR(A26))</f>
        <v/>
      </c>
      <c r="C26" s="2">
        <f>IF(A26="","","Q"&amp;ROUNDUP(MONTH(A26)/3,0))</f>
        <v/>
      </c>
      <c r="D26" s="2">
        <f>IF(A26="","",MONTH(A26))</f>
        <v/>
      </c>
      <c r="E26" s="2">
        <f>IF(A26="","",_xlfn.ISOWEEKNUM(A26))</f>
        <v/>
      </c>
      <c r="F26" s="2">
        <f>IF(A26="","",TEXT(A26,"ddd"))</f>
        <v/>
      </c>
    </row>
    <row r="27">
      <c r="A27" s="5">
        <f>IF(A26="","",IF(A26+1&gt;INT(MAX('1_raw_log'!$B:$B)),"",A26+1))</f>
        <v/>
      </c>
      <c r="B27" s="2">
        <f>IF(A27="","",YEAR(A27))</f>
        <v/>
      </c>
      <c r="C27" s="2">
        <f>IF(A27="","","Q"&amp;ROUNDUP(MONTH(A27)/3,0))</f>
        <v/>
      </c>
      <c r="D27" s="2">
        <f>IF(A27="","",MONTH(A27))</f>
        <v/>
      </c>
      <c r="E27" s="2">
        <f>IF(A27="","",_xlfn.ISOWEEKNUM(A27))</f>
        <v/>
      </c>
      <c r="F27" s="2">
        <f>IF(A27="","",TEXT(A27,"ddd"))</f>
        <v/>
      </c>
    </row>
    <row r="28">
      <c r="A28" s="5">
        <f>IF(A27="","",IF(A27+1&gt;INT(MAX('1_raw_log'!$B:$B)),"",A27+1))</f>
        <v/>
      </c>
      <c r="B28" s="2">
        <f>IF(A28="","",YEAR(A28))</f>
        <v/>
      </c>
      <c r="C28" s="2">
        <f>IF(A28="","","Q"&amp;ROUNDUP(MONTH(A28)/3,0))</f>
        <v/>
      </c>
      <c r="D28" s="2">
        <f>IF(A28="","",MONTH(A28))</f>
        <v/>
      </c>
      <c r="E28" s="2">
        <f>IF(A28="","",_xlfn.ISOWEEKNUM(A28))</f>
        <v/>
      </c>
      <c r="F28" s="2">
        <f>IF(A28="","",TEXT(A28,"ddd"))</f>
        <v/>
      </c>
    </row>
    <row r="29">
      <c r="A29" s="5">
        <f>IF(A28="","",IF(A28+1&gt;INT(MAX('1_raw_log'!$B:$B)),"",A28+1))</f>
        <v/>
      </c>
      <c r="B29" s="2">
        <f>IF(A29="","",YEAR(A29))</f>
        <v/>
      </c>
      <c r="C29" s="2">
        <f>IF(A29="","","Q"&amp;ROUNDUP(MONTH(A29)/3,0))</f>
        <v/>
      </c>
      <c r="D29" s="2">
        <f>IF(A29="","",MONTH(A29))</f>
        <v/>
      </c>
      <c r="E29" s="2">
        <f>IF(A29="","",_xlfn.ISOWEEKNUM(A29))</f>
        <v/>
      </c>
      <c r="F29" s="2">
        <f>IF(A29="","",TEXT(A29,"ddd"))</f>
        <v/>
      </c>
    </row>
    <row r="30">
      <c r="A30" s="5">
        <f>IF(A29="","",IF(A29+1&gt;INT(MAX('1_raw_log'!$B:$B)),"",A29+1))</f>
        <v/>
      </c>
      <c r="B30" s="2">
        <f>IF(A30="","",YEAR(A30))</f>
        <v/>
      </c>
      <c r="C30" s="2">
        <f>IF(A30="","","Q"&amp;ROUNDUP(MONTH(A30)/3,0))</f>
        <v/>
      </c>
      <c r="D30" s="2">
        <f>IF(A30="","",MONTH(A30))</f>
        <v/>
      </c>
      <c r="E30" s="2">
        <f>IF(A30="","",_xlfn.ISOWEEKNUM(A30))</f>
        <v/>
      </c>
      <c r="F30" s="2">
        <f>IF(A30="","",TEXT(A30,"ddd"))</f>
        <v/>
      </c>
    </row>
    <row r="31">
      <c r="A31" s="5">
        <f>IF(A30="","",IF(A30+1&gt;INT(MAX('1_raw_log'!$B:$B)),"",A30+1))</f>
        <v/>
      </c>
      <c r="B31" s="2">
        <f>IF(A31="","",YEAR(A31))</f>
        <v/>
      </c>
      <c r="C31" s="2">
        <f>IF(A31="","","Q"&amp;ROUNDUP(MONTH(A31)/3,0))</f>
        <v/>
      </c>
      <c r="D31" s="2">
        <f>IF(A31="","",MONTH(A31))</f>
        <v/>
      </c>
      <c r="E31" s="2">
        <f>IF(A31="","",_xlfn.ISOWEEKNUM(A31))</f>
        <v/>
      </c>
      <c r="F31" s="2">
        <f>IF(A31="","",TEXT(A31,"ddd"))</f>
        <v/>
      </c>
    </row>
    <row r="32">
      <c r="A32" s="5">
        <f>IF(A31="","",IF(A31+1&gt;INT(MAX('1_raw_log'!$B:$B)),"",A31+1))</f>
        <v/>
      </c>
      <c r="B32" s="2">
        <f>IF(A32="","",YEAR(A32))</f>
        <v/>
      </c>
      <c r="C32" s="2">
        <f>IF(A32="","","Q"&amp;ROUNDUP(MONTH(A32)/3,0))</f>
        <v/>
      </c>
      <c r="D32" s="2">
        <f>IF(A32="","",MONTH(A32))</f>
        <v/>
      </c>
      <c r="E32" s="2">
        <f>IF(A32="","",_xlfn.ISOWEEKNUM(A32))</f>
        <v/>
      </c>
      <c r="F32" s="2">
        <f>IF(A32="","",TEXT(A32,"ddd"))</f>
        <v/>
      </c>
    </row>
    <row r="33">
      <c r="A33" s="5">
        <f>IF(A32="","",IF(A32+1&gt;INT(MAX('1_raw_log'!$B:$B)),"",A32+1))</f>
        <v/>
      </c>
      <c r="B33" s="2">
        <f>IF(A33="","",YEAR(A33))</f>
        <v/>
      </c>
      <c r="C33" s="2">
        <f>IF(A33="","","Q"&amp;ROUNDUP(MONTH(A33)/3,0))</f>
        <v/>
      </c>
      <c r="D33" s="2">
        <f>IF(A33="","",MONTH(A33))</f>
        <v/>
      </c>
      <c r="E33" s="2">
        <f>IF(A33="","",_xlfn.ISOWEEKNUM(A33))</f>
        <v/>
      </c>
      <c r="F33" s="2">
        <f>IF(A33="","",TEXT(A33,"ddd"))</f>
        <v/>
      </c>
    </row>
    <row r="34">
      <c r="A34" s="5">
        <f>IF(A33="","",IF(A33+1&gt;INT(MAX('1_raw_log'!$B:$B)),"",A33+1))</f>
        <v/>
      </c>
      <c r="B34" s="2">
        <f>IF(A34="","",YEAR(A34))</f>
        <v/>
      </c>
      <c r="C34" s="2">
        <f>IF(A34="","","Q"&amp;ROUNDUP(MONTH(A34)/3,0))</f>
        <v/>
      </c>
      <c r="D34" s="2">
        <f>IF(A34="","",MONTH(A34))</f>
        <v/>
      </c>
      <c r="E34" s="2">
        <f>IF(A34="","",_xlfn.ISOWEEKNUM(A34))</f>
        <v/>
      </c>
      <c r="F34" s="2">
        <f>IF(A34="","",TEXT(A34,"ddd"))</f>
        <v/>
      </c>
    </row>
    <row r="35">
      <c r="A35" s="5">
        <f>IF(A34="","",IF(A34+1&gt;INT(MAX('1_raw_log'!$B:$B)),"",A34+1))</f>
        <v/>
      </c>
      <c r="B35" s="2">
        <f>IF(A35="","",YEAR(A35))</f>
        <v/>
      </c>
      <c r="C35" s="2">
        <f>IF(A35="","","Q"&amp;ROUNDUP(MONTH(A35)/3,0))</f>
        <v/>
      </c>
      <c r="D35" s="2">
        <f>IF(A35="","",MONTH(A35))</f>
        <v/>
      </c>
      <c r="E35" s="2">
        <f>IF(A35="","",_xlfn.ISOWEEKNUM(A35))</f>
        <v/>
      </c>
      <c r="F35" s="2">
        <f>IF(A35="","",TEXT(A35,"ddd"))</f>
        <v/>
      </c>
    </row>
    <row r="36">
      <c r="A36" s="5">
        <f>IF(A35="","",IF(A35+1&gt;INT(MAX('1_raw_log'!$B:$B)),"",A35+1))</f>
        <v/>
      </c>
      <c r="B36" s="2">
        <f>IF(A36="","",YEAR(A36))</f>
        <v/>
      </c>
      <c r="C36" s="2">
        <f>IF(A36="","","Q"&amp;ROUNDUP(MONTH(A36)/3,0))</f>
        <v/>
      </c>
      <c r="D36" s="2">
        <f>IF(A36="","",MONTH(A36))</f>
        <v/>
      </c>
      <c r="E36" s="2">
        <f>IF(A36="","",_xlfn.ISOWEEKNUM(A36))</f>
        <v/>
      </c>
      <c r="F36" s="2">
        <f>IF(A36="","",TEXT(A36,"ddd"))</f>
        <v/>
      </c>
    </row>
    <row r="37">
      <c r="A37" s="5">
        <f>IF(A36="","",IF(A36+1&gt;INT(MAX('1_raw_log'!$B:$B)),"",A36+1))</f>
        <v/>
      </c>
      <c r="B37" s="2">
        <f>IF(A37="","",YEAR(A37))</f>
        <v/>
      </c>
      <c r="C37" s="2">
        <f>IF(A37="","","Q"&amp;ROUNDUP(MONTH(A37)/3,0))</f>
        <v/>
      </c>
      <c r="D37" s="2">
        <f>IF(A37="","",MONTH(A37))</f>
        <v/>
      </c>
      <c r="E37" s="2">
        <f>IF(A37="","",_xlfn.ISOWEEKNUM(A37))</f>
        <v/>
      </c>
      <c r="F37" s="2">
        <f>IF(A37="","",TEXT(A37,"ddd"))</f>
        <v/>
      </c>
    </row>
    <row r="38">
      <c r="A38" s="5">
        <f>IF(A37="","",IF(A37+1&gt;INT(MAX('1_raw_log'!$B:$B)),"",A37+1))</f>
        <v/>
      </c>
      <c r="B38" s="2">
        <f>IF(A38="","",YEAR(A38))</f>
        <v/>
      </c>
      <c r="C38" s="2">
        <f>IF(A38="","","Q"&amp;ROUNDUP(MONTH(A38)/3,0))</f>
        <v/>
      </c>
      <c r="D38" s="2">
        <f>IF(A38="","",MONTH(A38))</f>
        <v/>
      </c>
      <c r="E38" s="2">
        <f>IF(A38="","",_xlfn.ISOWEEKNUM(A38))</f>
        <v/>
      </c>
      <c r="F38" s="2">
        <f>IF(A38="","",TEXT(A38,"ddd"))</f>
        <v/>
      </c>
    </row>
    <row r="39">
      <c r="A39" s="5">
        <f>IF(A38="","",IF(A38+1&gt;INT(MAX('1_raw_log'!$B:$B)),"",A38+1))</f>
        <v/>
      </c>
      <c r="B39" s="2">
        <f>IF(A39="","",YEAR(A39))</f>
        <v/>
      </c>
      <c r="C39" s="2">
        <f>IF(A39="","","Q"&amp;ROUNDUP(MONTH(A39)/3,0))</f>
        <v/>
      </c>
      <c r="D39" s="2">
        <f>IF(A39="","",MONTH(A39))</f>
        <v/>
      </c>
      <c r="E39" s="2">
        <f>IF(A39="","",_xlfn.ISOWEEKNUM(A39))</f>
        <v/>
      </c>
      <c r="F39" s="2">
        <f>IF(A39="","",TEXT(A39,"ddd"))</f>
        <v/>
      </c>
    </row>
    <row r="40">
      <c r="A40" s="5">
        <f>IF(A39="","",IF(A39+1&gt;INT(MAX('1_raw_log'!$B:$B)),"",A39+1))</f>
        <v/>
      </c>
      <c r="B40" s="2">
        <f>IF(A40="","",YEAR(A40))</f>
        <v/>
      </c>
      <c r="C40" s="2">
        <f>IF(A40="","","Q"&amp;ROUNDUP(MONTH(A40)/3,0))</f>
        <v/>
      </c>
      <c r="D40" s="2">
        <f>IF(A40="","",MONTH(A40))</f>
        <v/>
      </c>
      <c r="E40" s="2">
        <f>IF(A40="","",_xlfn.ISOWEEKNUM(A40))</f>
        <v/>
      </c>
      <c r="F40" s="2">
        <f>IF(A40="","",TEXT(A40,"ddd"))</f>
        <v/>
      </c>
    </row>
    <row r="41">
      <c r="A41" s="5">
        <f>IF(A40="","",IF(A40+1&gt;INT(MAX('1_raw_log'!$B:$B)),"",A40+1))</f>
        <v/>
      </c>
      <c r="B41" s="2">
        <f>IF(A41="","",YEAR(A41))</f>
        <v/>
      </c>
      <c r="C41" s="2">
        <f>IF(A41="","","Q"&amp;ROUNDUP(MONTH(A41)/3,0))</f>
        <v/>
      </c>
      <c r="D41" s="2">
        <f>IF(A41="","",MONTH(A41))</f>
        <v/>
      </c>
      <c r="E41" s="2">
        <f>IF(A41="","",_xlfn.ISOWEEKNUM(A41))</f>
        <v/>
      </c>
      <c r="F41" s="2">
        <f>IF(A41="","",TEXT(A41,"ddd"))</f>
        <v/>
      </c>
    </row>
    <row r="42">
      <c r="A42" s="5">
        <f>IF(A41="","",IF(A41+1&gt;INT(MAX('1_raw_log'!$B:$B)),"",A41+1))</f>
        <v/>
      </c>
      <c r="B42" s="2">
        <f>IF(A42="","",YEAR(A42))</f>
        <v/>
      </c>
      <c r="C42" s="2">
        <f>IF(A42="","","Q"&amp;ROUNDUP(MONTH(A42)/3,0))</f>
        <v/>
      </c>
      <c r="D42" s="2">
        <f>IF(A42="","",MONTH(A42))</f>
        <v/>
      </c>
      <c r="E42" s="2">
        <f>IF(A42="","",_xlfn.ISOWEEKNUM(A42))</f>
        <v/>
      </c>
      <c r="F42" s="2">
        <f>IF(A42="","",TEXT(A42,"ddd"))</f>
        <v/>
      </c>
    </row>
    <row r="43">
      <c r="A43" s="5">
        <f>IF(A42="","",IF(A42+1&gt;INT(MAX('1_raw_log'!$B:$B)),"",A42+1))</f>
        <v/>
      </c>
      <c r="B43" s="2">
        <f>IF(A43="","",YEAR(A43))</f>
        <v/>
      </c>
      <c r="C43" s="2">
        <f>IF(A43="","","Q"&amp;ROUNDUP(MONTH(A43)/3,0))</f>
        <v/>
      </c>
      <c r="D43" s="2">
        <f>IF(A43="","",MONTH(A43))</f>
        <v/>
      </c>
      <c r="E43" s="2">
        <f>IF(A43="","",_xlfn.ISOWEEKNUM(A43))</f>
        <v/>
      </c>
      <c r="F43" s="2">
        <f>IF(A43="","",TEXT(A43,"ddd"))</f>
        <v/>
      </c>
    </row>
    <row r="44">
      <c r="A44" s="5">
        <f>IF(A43="","",IF(A43+1&gt;INT(MAX('1_raw_log'!$B:$B)),"",A43+1))</f>
        <v/>
      </c>
      <c r="B44" s="2">
        <f>IF(A44="","",YEAR(A44))</f>
        <v/>
      </c>
      <c r="C44" s="2">
        <f>IF(A44="","","Q"&amp;ROUNDUP(MONTH(A44)/3,0))</f>
        <v/>
      </c>
      <c r="D44" s="2">
        <f>IF(A44="","",MONTH(A44))</f>
        <v/>
      </c>
      <c r="E44" s="2">
        <f>IF(A44="","",_xlfn.ISOWEEKNUM(A44))</f>
        <v/>
      </c>
      <c r="F44" s="2">
        <f>IF(A44="","",TEXT(A44,"ddd"))</f>
        <v/>
      </c>
    </row>
    <row r="45">
      <c r="A45" s="5">
        <f>IF(A44="","",IF(A44+1&gt;INT(MAX('1_raw_log'!$B:$B)),"",A44+1))</f>
        <v/>
      </c>
      <c r="B45" s="2">
        <f>IF(A45="","",YEAR(A45))</f>
        <v/>
      </c>
      <c r="C45" s="2">
        <f>IF(A45="","","Q"&amp;ROUNDUP(MONTH(A45)/3,0))</f>
        <v/>
      </c>
      <c r="D45" s="2">
        <f>IF(A45="","",MONTH(A45))</f>
        <v/>
      </c>
      <c r="E45" s="2">
        <f>IF(A45="","",_xlfn.ISOWEEKNUM(A45))</f>
        <v/>
      </c>
      <c r="F45" s="2">
        <f>IF(A45="","",TEXT(A45,"ddd"))</f>
        <v/>
      </c>
    </row>
    <row r="46">
      <c r="A46" s="5">
        <f>IF(A45="","",IF(A45+1&gt;INT(MAX('1_raw_log'!$B:$B)),"",A45+1))</f>
        <v/>
      </c>
      <c r="B46" s="2">
        <f>IF(A46="","",YEAR(A46))</f>
        <v/>
      </c>
      <c r="C46" s="2">
        <f>IF(A46="","","Q"&amp;ROUNDUP(MONTH(A46)/3,0))</f>
        <v/>
      </c>
      <c r="D46" s="2">
        <f>IF(A46="","",MONTH(A46))</f>
        <v/>
      </c>
      <c r="E46" s="2">
        <f>IF(A46="","",_xlfn.ISOWEEKNUM(A46))</f>
        <v/>
      </c>
      <c r="F46" s="2">
        <f>IF(A46="","",TEXT(A46,"ddd"))</f>
        <v/>
      </c>
    </row>
    <row r="47">
      <c r="A47" s="5">
        <f>IF(A46="","",IF(A46+1&gt;INT(MAX('1_raw_log'!$B:$B)),"",A46+1))</f>
        <v/>
      </c>
      <c r="B47" s="2">
        <f>IF(A47="","",YEAR(A47))</f>
        <v/>
      </c>
      <c r="C47" s="2">
        <f>IF(A47="","","Q"&amp;ROUNDUP(MONTH(A47)/3,0))</f>
        <v/>
      </c>
      <c r="D47" s="2">
        <f>IF(A47="","",MONTH(A47))</f>
        <v/>
      </c>
      <c r="E47" s="2">
        <f>IF(A47="","",_xlfn.ISOWEEKNUM(A47))</f>
        <v/>
      </c>
      <c r="F47" s="2">
        <f>IF(A47="","",TEXT(A47,"ddd"))</f>
        <v/>
      </c>
    </row>
    <row r="48">
      <c r="A48" s="5">
        <f>IF(A47="","",IF(A47+1&gt;INT(MAX('1_raw_log'!$B:$B)),"",A47+1))</f>
        <v/>
      </c>
      <c r="B48" s="2">
        <f>IF(A48="","",YEAR(A48))</f>
        <v/>
      </c>
      <c r="C48" s="2">
        <f>IF(A48="","","Q"&amp;ROUNDUP(MONTH(A48)/3,0))</f>
        <v/>
      </c>
      <c r="D48" s="2">
        <f>IF(A48="","",MONTH(A48))</f>
        <v/>
      </c>
      <c r="E48" s="2">
        <f>IF(A48="","",_xlfn.ISOWEEKNUM(A48))</f>
        <v/>
      </c>
      <c r="F48" s="2">
        <f>IF(A48="","",TEXT(A48,"ddd"))</f>
        <v/>
      </c>
    </row>
    <row r="49">
      <c r="A49" s="5">
        <f>IF(A48="","",IF(A48+1&gt;INT(MAX('1_raw_log'!$B:$B)),"",A48+1))</f>
        <v/>
      </c>
      <c r="B49" s="2">
        <f>IF(A49="","",YEAR(A49))</f>
        <v/>
      </c>
      <c r="C49" s="2">
        <f>IF(A49="","","Q"&amp;ROUNDUP(MONTH(A49)/3,0))</f>
        <v/>
      </c>
      <c r="D49" s="2">
        <f>IF(A49="","",MONTH(A49))</f>
        <v/>
      </c>
      <c r="E49" s="2">
        <f>IF(A49="","",_xlfn.ISOWEEKNUM(A49))</f>
        <v/>
      </c>
      <c r="F49" s="2">
        <f>IF(A49="","",TEXT(A49,"ddd"))</f>
        <v/>
      </c>
    </row>
    <row r="50">
      <c r="A50" s="5">
        <f>IF(A49="","",IF(A49+1&gt;INT(MAX('1_raw_log'!$B:$B)),"",A49+1))</f>
        <v/>
      </c>
      <c r="B50" s="2">
        <f>IF(A50="","",YEAR(A50))</f>
        <v/>
      </c>
      <c r="C50" s="2">
        <f>IF(A50="","","Q"&amp;ROUNDUP(MONTH(A50)/3,0))</f>
        <v/>
      </c>
      <c r="D50" s="2">
        <f>IF(A50="","",MONTH(A50))</f>
        <v/>
      </c>
      <c r="E50" s="2">
        <f>IF(A50="","",_xlfn.ISOWEEKNUM(A50))</f>
        <v/>
      </c>
      <c r="F50" s="2">
        <f>IF(A50="","",TEXT(A50,"ddd"))</f>
        <v/>
      </c>
    </row>
    <row r="51">
      <c r="A51" s="5">
        <f>IF(A50="","",IF(A50+1&gt;INT(MAX('1_raw_log'!$B:$B)),"",A50+1))</f>
        <v/>
      </c>
      <c r="B51" s="2">
        <f>IF(A51="","",YEAR(A51))</f>
        <v/>
      </c>
      <c r="C51" s="2">
        <f>IF(A51="","","Q"&amp;ROUNDUP(MONTH(A51)/3,0))</f>
        <v/>
      </c>
      <c r="D51" s="2">
        <f>IF(A51="","",MONTH(A51))</f>
        <v/>
      </c>
      <c r="E51" s="2">
        <f>IF(A51="","",_xlfn.ISOWEEKNUM(A51))</f>
        <v/>
      </c>
      <c r="F51" s="2">
        <f>IF(A51="","",TEXT(A51,"ddd"))</f>
        <v/>
      </c>
    </row>
    <row r="52">
      <c r="A52" s="5">
        <f>IF(A51="","",IF(A51+1&gt;INT(MAX('1_raw_log'!$B:$B)),"",A51+1))</f>
        <v/>
      </c>
      <c r="B52" s="2">
        <f>IF(A52="","",YEAR(A52))</f>
        <v/>
      </c>
      <c r="C52" s="2">
        <f>IF(A52="","","Q"&amp;ROUNDUP(MONTH(A52)/3,0))</f>
        <v/>
      </c>
      <c r="D52" s="2">
        <f>IF(A52="","",MONTH(A52))</f>
        <v/>
      </c>
      <c r="E52" s="2">
        <f>IF(A52="","",_xlfn.ISOWEEKNUM(A52))</f>
        <v/>
      </c>
      <c r="F52" s="2">
        <f>IF(A52="","",TEXT(A52,"ddd"))</f>
        <v/>
      </c>
    </row>
    <row r="53">
      <c r="A53" s="5">
        <f>IF(A52="","",IF(A52+1&gt;INT(MAX('1_raw_log'!$B:$B)),"",A52+1))</f>
        <v/>
      </c>
      <c r="B53" s="2">
        <f>IF(A53="","",YEAR(A53))</f>
        <v/>
      </c>
      <c r="C53" s="2">
        <f>IF(A53="","","Q"&amp;ROUNDUP(MONTH(A53)/3,0))</f>
        <v/>
      </c>
      <c r="D53" s="2">
        <f>IF(A53="","",MONTH(A53))</f>
        <v/>
      </c>
      <c r="E53" s="2">
        <f>IF(A53="","",_xlfn.ISOWEEKNUM(A53))</f>
        <v/>
      </c>
      <c r="F53" s="2">
        <f>IF(A53="","",TEXT(A53,"ddd"))</f>
        <v/>
      </c>
    </row>
    <row r="54">
      <c r="A54" s="5">
        <f>IF(A53="","",IF(A53+1&gt;INT(MAX('1_raw_log'!$B:$B)),"",A53+1))</f>
        <v/>
      </c>
      <c r="B54" s="2">
        <f>IF(A54="","",YEAR(A54))</f>
        <v/>
      </c>
      <c r="C54" s="2">
        <f>IF(A54="","","Q"&amp;ROUNDUP(MONTH(A54)/3,0))</f>
        <v/>
      </c>
      <c r="D54" s="2">
        <f>IF(A54="","",MONTH(A54))</f>
        <v/>
      </c>
      <c r="E54" s="2">
        <f>IF(A54="","",_xlfn.ISOWEEKNUM(A54))</f>
        <v/>
      </c>
      <c r="F54" s="2">
        <f>IF(A54="","",TEXT(A54,"ddd"))</f>
        <v/>
      </c>
    </row>
    <row r="55">
      <c r="A55" s="5">
        <f>IF(A54="","",IF(A54+1&gt;INT(MAX('1_raw_log'!$B:$B)),"",A54+1))</f>
        <v/>
      </c>
      <c r="B55" s="2">
        <f>IF(A55="","",YEAR(A55))</f>
        <v/>
      </c>
      <c r="C55" s="2">
        <f>IF(A55="","","Q"&amp;ROUNDUP(MONTH(A55)/3,0))</f>
        <v/>
      </c>
      <c r="D55" s="2">
        <f>IF(A55="","",MONTH(A55))</f>
        <v/>
      </c>
      <c r="E55" s="2">
        <f>IF(A55="","",_xlfn.ISOWEEKNUM(A55))</f>
        <v/>
      </c>
      <c r="F55" s="2">
        <f>IF(A55="","",TEXT(A55,"ddd"))</f>
        <v/>
      </c>
    </row>
    <row r="56">
      <c r="A56" s="5">
        <f>IF(A55="","",IF(A55+1&gt;INT(MAX('1_raw_log'!$B:$B)),"",A55+1))</f>
        <v/>
      </c>
      <c r="B56" s="2">
        <f>IF(A56="","",YEAR(A56))</f>
        <v/>
      </c>
      <c r="C56" s="2">
        <f>IF(A56="","","Q"&amp;ROUNDUP(MONTH(A56)/3,0))</f>
        <v/>
      </c>
      <c r="D56" s="2">
        <f>IF(A56="","",MONTH(A56))</f>
        <v/>
      </c>
      <c r="E56" s="2">
        <f>IF(A56="","",_xlfn.ISOWEEKNUM(A56))</f>
        <v/>
      </c>
      <c r="F56" s="2">
        <f>IF(A56="","",TEXT(A56,"ddd"))</f>
        <v/>
      </c>
    </row>
    <row r="57">
      <c r="A57" s="5">
        <f>IF(A56="","",IF(A56+1&gt;INT(MAX('1_raw_log'!$B:$B)),"",A56+1))</f>
        <v/>
      </c>
      <c r="B57" s="2">
        <f>IF(A57="","",YEAR(A57))</f>
        <v/>
      </c>
      <c r="C57" s="2">
        <f>IF(A57="","","Q"&amp;ROUNDUP(MONTH(A57)/3,0))</f>
        <v/>
      </c>
      <c r="D57" s="2">
        <f>IF(A57="","",MONTH(A57))</f>
        <v/>
      </c>
      <c r="E57" s="2">
        <f>IF(A57="","",_xlfn.ISOWEEKNUM(A57))</f>
        <v/>
      </c>
      <c r="F57" s="2">
        <f>IF(A57="","",TEXT(A57,"ddd"))</f>
        <v/>
      </c>
    </row>
    <row r="58">
      <c r="A58" s="5">
        <f>IF(A57="","",IF(A57+1&gt;INT(MAX('1_raw_log'!$B:$B)),"",A57+1))</f>
        <v/>
      </c>
      <c r="B58" s="2">
        <f>IF(A58="","",YEAR(A58))</f>
        <v/>
      </c>
      <c r="C58" s="2">
        <f>IF(A58="","","Q"&amp;ROUNDUP(MONTH(A58)/3,0))</f>
        <v/>
      </c>
      <c r="D58" s="2">
        <f>IF(A58="","",MONTH(A58))</f>
        <v/>
      </c>
      <c r="E58" s="2">
        <f>IF(A58="","",_xlfn.ISOWEEKNUM(A58))</f>
        <v/>
      </c>
      <c r="F58" s="2">
        <f>IF(A58="","",TEXT(A58,"ddd"))</f>
        <v/>
      </c>
    </row>
    <row r="59">
      <c r="A59" s="5">
        <f>IF(A58="","",IF(A58+1&gt;INT(MAX('1_raw_log'!$B:$B)),"",A58+1))</f>
        <v/>
      </c>
      <c r="B59" s="2">
        <f>IF(A59="","",YEAR(A59))</f>
        <v/>
      </c>
      <c r="C59" s="2">
        <f>IF(A59="","","Q"&amp;ROUNDUP(MONTH(A59)/3,0))</f>
        <v/>
      </c>
      <c r="D59" s="2">
        <f>IF(A59="","",MONTH(A59))</f>
        <v/>
      </c>
      <c r="E59" s="2">
        <f>IF(A59="","",_xlfn.ISOWEEKNUM(A59))</f>
        <v/>
      </c>
      <c r="F59" s="2">
        <f>IF(A59="","",TEXT(A59,"ddd"))</f>
        <v/>
      </c>
    </row>
    <row r="60">
      <c r="A60" s="5">
        <f>IF(A59="","",IF(A59+1&gt;INT(MAX('1_raw_log'!$B:$B)),"",A59+1))</f>
        <v/>
      </c>
      <c r="B60" s="2">
        <f>IF(A60="","",YEAR(A60))</f>
        <v/>
      </c>
      <c r="C60" s="2">
        <f>IF(A60="","","Q"&amp;ROUNDUP(MONTH(A60)/3,0))</f>
        <v/>
      </c>
      <c r="D60" s="2">
        <f>IF(A60="","",MONTH(A60))</f>
        <v/>
      </c>
      <c r="E60" s="2">
        <f>IF(A60="","",_xlfn.ISOWEEKNUM(A60))</f>
        <v/>
      </c>
      <c r="F60" s="2">
        <f>IF(A60="","",TEXT(A60,"ddd"))</f>
        <v/>
      </c>
    </row>
    <row r="61">
      <c r="A61" s="5">
        <f>IF(A60="","",IF(A60+1&gt;INT(MAX('1_raw_log'!$B:$B)),"",A60+1))</f>
        <v/>
      </c>
      <c r="B61" s="2">
        <f>IF(A61="","",YEAR(A61))</f>
        <v/>
      </c>
      <c r="C61" s="2">
        <f>IF(A61="","","Q"&amp;ROUNDUP(MONTH(A61)/3,0))</f>
        <v/>
      </c>
      <c r="D61" s="2">
        <f>IF(A61="","",MONTH(A61))</f>
        <v/>
      </c>
      <c r="E61" s="2">
        <f>IF(A61="","",_xlfn.ISOWEEKNUM(A61))</f>
        <v/>
      </c>
      <c r="F61" s="2">
        <f>IF(A61="","",TEXT(A61,"ddd"))</f>
        <v/>
      </c>
    </row>
    <row r="62">
      <c r="A62" s="5">
        <f>IF(A61="","",IF(A61+1&gt;INT(MAX('1_raw_log'!$B:$B)),"",A61+1))</f>
        <v/>
      </c>
      <c r="B62" s="2">
        <f>IF(A62="","",YEAR(A62))</f>
        <v/>
      </c>
      <c r="C62" s="2">
        <f>IF(A62="","","Q"&amp;ROUNDUP(MONTH(A62)/3,0))</f>
        <v/>
      </c>
      <c r="D62" s="2">
        <f>IF(A62="","",MONTH(A62))</f>
        <v/>
      </c>
      <c r="E62" s="2">
        <f>IF(A62="","",_xlfn.ISOWEEKNUM(A62))</f>
        <v/>
      </c>
      <c r="F62" s="2">
        <f>IF(A62="","",TEXT(A62,"ddd"))</f>
        <v/>
      </c>
    </row>
    <row r="63">
      <c r="A63" s="5">
        <f>IF(A62="","",IF(A62+1&gt;INT(MAX('1_raw_log'!$B:$B)),"",A62+1))</f>
        <v/>
      </c>
      <c r="B63" s="2">
        <f>IF(A63="","",YEAR(A63))</f>
        <v/>
      </c>
      <c r="C63" s="2">
        <f>IF(A63="","","Q"&amp;ROUNDUP(MONTH(A63)/3,0))</f>
        <v/>
      </c>
      <c r="D63" s="2">
        <f>IF(A63="","",MONTH(A63))</f>
        <v/>
      </c>
      <c r="E63" s="2">
        <f>IF(A63="","",_xlfn.ISOWEEKNUM(A63))</f>
        <v/>
      </c>
      <c r="F63" s="2">
        <f>IF(A63="","",TEXT(A63,"ddd"))</f>
        <v/>
      </c>
    </row>
    <row r="64">
      <c r="A64" s="5">
        <f>IF(A63="","",IF(A63+1&gt;INT(MAX('1_raw_log'!$B:$B)),"",A63+1))</f>
        <v/>
      </c>
      <c r="B64" s="2">
        <f>IF(A64="","",YEAR(A64))</f>
        <v/>
      </c>
      <c r="C64" s="2">
        <f>IF(A64="","","Q"&amp;ROUNDUP(MONTH(A64)/3,0))</f>
        <v/>
      </c>
      <c r="D64" s="2">
        <f>IF(A64="","",MONTH(A64))</f>
        <v/>
      </c>
      <c r="E64" s="2">
        <f>IF(A64="","",_xlfn.ISOWEEKNUM(A64))</f>
        <v/>
      </c>
      <c r="F64" s="2">
        <f>IF(A64="","",TEXT(A64,"ddd"))</f>
        <v/>
      </c>
    </row>
    <row r="65">
      <c r="A65" s="5">
        <f>IF(A64="","",IF(A64+1&gt;INT(MAX('1_raw_log'!$B:$B)),"",A64+1))</f>
        <v/>
      </c>
      <c r="B65" s="2">
        <f>IF(A65="","",YEAR(A65))</f>
        <v/>
      </c>
      <c r="C65" s="2">
        <f>IF(A65="","","Q"&amp;ROUNDUP(MONTH(A65)/3,0))</f>
        <v/>
      </c>
      <c r="D65" s="2">
        <f>IF(A65="","",MONTH(A65))</f>
        <v/>
      </c>
      <c r="E65" s="2">
        <f>IF(A65="","",_xlfn.ISOWEEKNUM(A65))</f>
        <v/>
      </c>
      <c r="F65" s="2">
        <f>IF(A65="","",TEXT(A65,"ddd"))</f>
        <v/>
      </c>
    </row>
    <row r="66">
      <c r="A66" s="5">
        <f>IF(A65="","",IF(A65+1&gt;INT(MAX('1_raw_log'!$B:$B)),"",A65+1))</f>
        <v/>
      </c>
      <c r="B66" s="2">
        <f>IF(A66="","",YEAR(A66))</f>
        <v/>
      </c>
      <c r="C66" s="2">
        <f>IF(A66="","","Q"&amp;ROUNDUP(MONTH(A66)/3,0))</f>
        <v/>
      </c>
      <c r="D66" s="2">
        <f>IF(A66="","",MONTH(A66))</f>
        <v/>
      </c>
      <c r="E66" s="2">
        <f>IF(A66="","",_xlfn.ISOWEEKNUM(A66))</f>
        <v/>
      </c>
      <c r="F66" s="2">
        <f>IF(A66="","",TEXT(A66,"ddd"))</f>
        <v/>
      </c>
    </row>
    <row r="67">
      <c r="A67" s="5">
        <f>IF(A66="","",IF(A66+1&gt;INT(MAX('1_raw_log'!$B:$B)),"",A66+1))</f>
        <v/>
      </c>
      <c r="B67" s="2">
        <f>IF(A67="","",YEAR(A67))</f>
        <v/>
      </c>
      <c r="C67" s="2">
        <f>IF(A67="","","Q"&amp;ROUNDUP(MONTH(A67)/3,0))</f>
        <v/>
      </c>
      <c r="D67" s="2">
        <f>IF(A67="","",MONTH(A67))</f>
        <v/>
      </c>
      <c r="E67" s="2">
        <f>IF(A67="","",_xlfn.ISOWEEKNUM(A67))</f>
        <v/>
      </c>
      <c r="F67" s="2">
        <f>IF(A67="","",TEXT(A67,"ddd"))</f>
        <v/>
      </c>
    </row>
    <row r="68">
      <c r="A68" s="5">
        <f>IF(A67="","",IF(A67+1&gt;INT(MAX('1_raw_log'!$B:$B)),"",A67+1))</f>
        <v/>
      </c>
      <c r="B68" s="2">
        <f>IF(A68="","",YEAR(A68))</f>
        <v/>
      </c>
      <c r="C68" s="2">
        <f>IF(A68="","","Q"&amp;ROUNDUP(MONTH(A68)/3,0))</f>
        <v/>
      </c>
      <c r="D68" s="2">
        <f>IF(A68="","",MONTH(A68))</f>
        <v/>
      </c>
      <c r="E68" s="2">
        <f>IF(A68="","",_xlfn.ISOWEEKNUM(A68))</f>
        <v/>
      </c>
      <c r="F68" s="2">
        <f>IF(A68="","",TEXT(A68,"ddd"))</f>
        <v/>
      </c>
    </row>
    <row r="69">
      <c r="A69" s="5">
        <f>IF(A68="","",IF(A68+1&gt;INT(MAX('1_raw_log'!$B:$B)),"",A68+1))</f>
        <v/>
      </c>
      <c r="B69" s="2">
        <f>IF(A69="","",YEAR(A69))</f>
        <v/>
      </c>
      <c r="C69" s="2">
        <f>IF(A69="","","Q"&amp;ROUNDUP(MONTH(A69)/3,0))</f>
        <v/>
      </c>
      <c r="D69" s="2">
        <f>IF(A69="","",MONTH(A69))</f>
        <v/>
      </c>
      <c r="E69" s="2">
        <f>IF(A69="","",_xlfn.ISOWEEKNUM(A69))</f>
        <v/>
      </c>
      <c r="F69" s="2">
        <f>IF(A69="","",TEXT(A69,"ddd"))</f>
        <v/>
      </c>
    </row>
    <row r="70">
      <c r="A70" s="5">
        <f>IF(A69="","",IF(A69+1&gt;INT(MAX('1_raw_log'!$B:$B)),"",A69+1))</f>
        <v/>
      </c>
      <c r="B70" s="2">
        <f>IF(A70="","",YEAR(A70))</f>
        <v/>
      </c>
      <c r="C70" s="2">
        <f>IF(A70="","","Q"&amp;ROUNDUP(MONTH(A70)/3,0))</f>
        <v/>
      </c>
      <c r="D70" s="2">
        <f>IF(A70="","",MONTH(A70))</f>
        <v/>
      </c>
      <c r="E70" s="2">
        <f>IF(A70="","",_xlfn.ISOWEEKNUM(A70))</f>
        <v/>
      </c>
      <c r="F70" s="2">
        <f>IF(A70="","",TEXT(A70,"ddd"))</f>
        <v/>
      </c>
    </row>
    <row r="71">
      <c r="A71" s="5">
        <f>IF(A70="","",IF(A70+1&gt;INT(MAX('1_raw_log'!$B:$B)),"",A70+1))</f>
        <v/>
      </c>
      <c r="B71" s="2">
        <f>IF(A71="","",YEAR(A71))</f>
        <v/>
      </c>
      <c r="C71" s="2">
        <f>IF(A71="","","Q"&amp;ROUNDUP(MONTH(A71)/3,0))</f>
        <v/>
      </c>
      <c r="D71" s="2">
        <f>IF(A71="","",MONTH(A71))</f>
        <v/>
      </c>
      <c r="E71" s="2">
        <f>IF(A71="","",_xlfn.ISOWEEKNUM(A71))</f>
        <v/>
      </c>
      <c r="F71" s="2">
        <f>IF(A71="","",TEXT(A71,"ddd"))</f>
        <v/>
      </c>
    </row>
    <row r="72">
      <c r="A72" s="5">
        <f>IF(A71="","",IF(A71+1&gt;INT(MAX('1_raw_log'!$B:$B)),"",A71+1))</f>
        <v/>
      </c>
      <c r="B72" s="2">
        <f>IF(A72="","",YEAR(A72))</f>
        <v/>
      </c>
      <c r="C72" s="2">
        <f>IF(A72="","","Q"&amp;ROUNDUP(MONTH(A72)/3,0))</f>
        <v/>
      </c>
      <c r="D72" s="2">
        <f>IF(A72="","",MONTH(A72))</f>
        <v/>
      </c>
      <c r="E72" s="2">
        <f>IF(A72="","",_xlfn.ISOWEEKNUM(A72))</f>
        <v/>
      </c>
      <c r="F72" s="2">
        <f>IF(A72="","",TEXT(A72,"ddd"))</f>
        <v/>
      </c>
    </row>
    <row r="73">
      <c r="A73" s="5">
        <f>IF(A72="","",IF(A72+1&gt;INT(MAX('1_raw_log'!$B:$B)),"",A72+1))</f>
        <v/>
      </c>
      <c r="B73" s="2">
        <f>IF(A73="","",YEAR(A73))</f>
        <v/>
      </c>
      <c r="C73" s="2">
        <f>IF(A73="","","Q"&amp;ROUNDUP(MONTH(A73)/3,0))</f>
        <v/>
      </c>
      <c r="D73" s="2">
        <f>IF(A73="","",MONTH(A73))</f>
        <v/>
      </c>
      <c r="E73" s="2">
        <f>IF(A73="","",_xlfn.ISOWEEKNUM(A73))</f>
        <v/>
      </c>
      <c r="F73" s="2">
        <f>IF(A73="","",TEXT(A73,"ddd"))</f>
        <v/>
      </c>
    </row>
    <row r="74">
      <c r="A74" s="5">
        <f>IF(A73="","",IF(A73+1&gt;INT(MAX('1_raw_log'!$B:$B)),"",A73+1))</f>
        <v/>
      </c>
      <c r="B74" s="2">
        <f>IF(A74="","",YEAR(A74))</f>
        <v/>
      </c>
      <c r="C74" s="2">
        <f>IF(A74="","","Q"&amp;ROUNDUP(MONTH(A74)/3,0))</f>
        <v/>
      </c>
      <c r="D74" s="2">
        <f>IF(A74="","",MONTH(A74))</f>
        <v/>
      </c>
      <c r="E74" s="2">
        <f>IF(A74="","",_xlfn.ISOWEEKNUM(A74))</f>
        <v/>
      </c>
      <c r="F74" s="2">
        <f>IF(A74="","",TEXT(A74,"ddd"))</f>
        <v/>
      </c>
    </row>
    <row r="75">
      <c r="A75" s="5">
        <f>IF(A74="","",IF(A74+1&gt;INT(MAX('1_raw_log'!$B:$B)),"",A74+1))</f>
        <v/>
      </c>
      <c r="B75" s="2">
        <f>IF(A75="","",YEAR(A75))</f>
        <v/>
      </c>
      <c r="C75" s="2">
        <f>IF(A75="","","Q"&amp;ROUNDUP(MONTH(A75)/3,0))</f>
        <v/>
      </c>
      <c r="D75" s="2">
        <f>IF(A75="","",MONTH(A75))</f>
        <v/>
      </c>
      <c r="E75" s="2">
        <f>IF(A75="","",_xlfn.ISOWEEKNUM(A75))</f>
        <v/>
      </c>
      <c r="F75" s="2">
        <f>IF(A75="","",TEXT(A75,"ddd"))</f>
        <v/>
      </c>
    </row>
    <row r="76">
      <c r="A76" s="5">
        <f>IF(A75="","",IF(A75+1&gt;INT(MAX('1_raw_log'!$B:$B)),"",A75+1))</f>
        <v/>
      </c>
      <c r="B76" s="2">
        <f>IF(A76="","",YEAR(A76))</f>
        <v/>
      </c>
      <c r="C76" s="2">
        <f>IF(A76="","","Q"&amp;ROUNDUP(MONTH(A76)/3,0))</f>
        <v/>
      </c>
      <c r="D76" s="2">
        <f>IF(A76="","",MONTH(A76))</f>
        <v/>
      </c>
      <c r="E76" s="2">
        <f>IF(A76="","",_xlfn.ISOWEEKNUM(A76))</f>
        <v/>
      </c>
      <c r="F76" s="2">
        <f>IF(A76="","",TEXT(A76,"ddd"))</f>
        <v/>
      </c>
    </row>
    <row r="77">
      <c r="A77" s="5">
        <f>IF(A76="","",IF(A76+1&gt;INT(MAX('1_raw_log'!$B:$B)),"",A76+1))</f>
        <v/>
      </c>
      <c r="B77" s="2">
        <f>IF(A77="","",YEAR(A77))</f>
        <v/>
      </c>
      <c r="C77" s="2">
        <f>IF(A77="","","Q"&amp;ROUNDUP(MONTH(A77)/3,0))</f>
        <v/>
      </c>
      <c r="D77" s="2">
        <f>IF(A77="","",MONTH(A77))</f>
        <v/>
      </c>
      <c r="E77" s="2">
        <f>IF(A77="","",_xlfn.ISOWEEKNUM(A77))</f>
        <v/>
      </c>
      <c r="F77" s="2">
        <f>IF(A77="","",TEXT(A77,"ddd"))</f>
        <v/>
      </c>
    </row>
    <row r="78">
      <c r="A78" s="5">
        <f>IF(A77="","",IF(A77+1&gt;INT(MAX('1_raw_log'!$B:$B)),"",A77+1))</f>
        <v/>
      </c>
      <c r="B78" s="2">
        <f>IF(A78="","",YEAR(A78))</f>
        <v/>
      </c>
      <c r="C78" s="2">
        <f>IF(A78="","","Q"&amp;ROUNDUP(MONTH(A78)/3,0))</f>
        <v/>
      </c>
      <c r="D78" s="2">
        <f>IF(A78="","",MONTH(A78))</f>
        <v/>
      </c>
      <c r="E78" s="2">
        <f>IF(A78="","",_xlfn.ISOWEEKNUM(A78))</f>
        <v/>
      </c>
      <c r="F78" s="2">
        <f>IF(A78="","",TEXT(A78,"ddd"))</f>
        <v/>
      </c>
    </row>
    <row r="79">
      <c r="A79" s="5">
        <f>IF(A78="","",IF(A78+1&gt;INT(MAX('1_raw_log'!$B:$B)),"",A78+1))</f>
        <v/>
      </c>
      <c r="B79" s="2">
        <f>IF(A79="","",YEAR(A79))</f>
        <v/>
      </c>
      <c r="C79" s="2">
        <f>IF(A79="","","Q"&amp;ROUNDUP(MONTH(A79)/3,0))</f>
        <v/>
      </c>
      <c r="D79" s="2">
        <f>IF(A79="","",MONTH(A79))</f>
        <v/>
      </c>
      <c r="E79" s="2">
        <f>IF(A79="","",_xlfn.ISOWEEKNUM(A79))</f>
        <v/>
      </c>
      <c r="F79" s="2">
        <f>IF(A79="","",TEXT(A79,"ddd"))</f>
        <v/>
      </c>
    </row>
    <row r="80">
      <c r="A80" s="5">
        <f>IF(A79="","",IF(A79+1&gt;INT(MAX('1_raw_log'!$B:$B)),"",A79+1))</f>
        <v/>
      </c>
      <c r="B80" s="2">
        <f>IF(A80="","",YEAR(A80))</f>
        <v/>
      </c>
      <c r="C80" s="2">
        <f>IF(A80="","","Q"&amp;ROUNDUP(MONTH(A80)/3,0))</f>
        <v/>
      </c>
      <c r="D80" s="2">
        <f>IF(A80="","",MONTH(A80))</f>
        <v/>
      </c>
      <c r="E80" s="2">
        <f>IF(A80="","",_xlfn.ISOWEEKNUM(A80))</f>
        <v/>
      </c>
      <c r="F80" s="2">
        <f>IF(A80="","",TEXT(A80,"ddd"))</f>
        <v/>
      </c>
    </row>
    <row r="81">
      <c r="A81" s="5">
        <f>IF(A80="","",IF(A80+1&gt;INT(MAX('1_raw_log'!$B:$B)),"",A80+1))</f>
        <v/>
      </c>
      <c r="B81" s="2">
        <f>IF(A81="","",YEAR(A81))</f>
        <v/>
      </c>
      <c r="C81" s="2">
        <f>IF(A81="","","Q"&amp;ROUNDUP(MONTH(A81)/3,0))</f>
        <v/>
      </c>
      <c r="D81" s="2">
        <f>IF(A81="","",MONTH(A81))</f>
        <v/>
      </c>
      <c r="E81" s="2">
        <f>IF(A81="","",_xlfn.ISOWEEKNUM(A81))</f>
        <v/>
      </c>
      <c r="F81" s="2">
        <f>IF(A81="","",TEXT(A81,"ddd"))</f>
        <v/>
      </c>
    </row>
    <row r="82">
      <c r="A82" s="5">
        <f>IF(A81="","",IF(A81+1&gt;INT(MAX('1_raw_log'!$B:$B)),"",A81+1))</f>
        <v/>
      </c>
      <c r="B82" s="2">
        <f>IF(A82="","",YEAR(A82))</f>
        <v/>
      </c>
      <c r="C82" s="2">
        <f>IF(A82="","","Q"&amp;ROUNDUP(MONTH(A82)/3,0))</f>
        <v/>
      </c>
      <c r="D82" s="2">
        <f>IF(A82="","",MONTH(A82))</f>
        <v/>
      </c>
      <c r="E82" s="2">
        <f>IF(A82="","",_xlfn.ISOWEEKNUM(A82))</f>
        <v/>
      </c>
      <c r="F82" s="2">
        <f>IF(A82="","",TEXT(A82,"ddd"))</f>
        <v/>
      </c>
    </row>
    <row r="83">
      <c r="A83" s="5">
        <f>IF(A82="","",IF(A82+1&gt;INT(MAX('1_raw_log'!$B:$B)),"",A82+1))</f>
        <v/>
      </c>
      <c r="B83" s="2">
        <f>IF(A83="","",YEAR(A83))</f>
        <v/>
      </c>
      <c r="C83" s="2">
        <f>IF(A83="","","Q"&amp;ROUNDUP(MONTH(A83)/3,0))</f>
        <v/>
      </c>
      <c r="D83" s="2">
        <f>IF(A83="","",MONTH(A83))</f>
        <v/>
      </c>
      <c r="E83" s="2">
        <f>IF(A83="","",_xlfn.ISOWEEKNUM(A83))</f>
        <v/>
      </c>
      <c r="F83" s="2">
        <f>IF(A83="","",TEXT(A83,"ddd"))</f>
        <v/>
      </c>
    </row>
    <row r="84">
      <c r="A84" s="5">
        <f>IF(A83="","",IF(A83+1&gt;INT(MAX('1_raw_log'!$B:$B)),"",A83+1))</f>
        <v/>
      </c>
      <c r="B84" s="2">
        <f>IF(A84="","",YEAR(A84))</f>
        <v/>
      </c>
      <c r="C84" s="2">
        <f>IF(A84="","","Q"&amp;ROUNDUP(MONTH(A84)/3,0))</f>
        <v/>
      </c>
      <c r="D84" s="2">
        <f>IF(A84="","",MONTH(A84))</f>
        <v/>
      </c>
      <c r="E84" s="2">
        <f>IF(A84="","",_xlfn.ISOWEEKNUM(A84))</f>
        <v/>
      </c>
      <c r="F84" s="2">
        <f>IF(A84="","",TEXT(A84,"ddd"))</f>
        <v/>
      </c>
    </row>
    <row r="85">
      <c r="A85" s="5">
        <f>IF(A84="","",IF(A84+1&gt;INT(MAX('1_raw_log'!$B:$B)),"",A84+1))</f>
        <v/>
      </c>
      <c r="B85" s="2">
        <f>IF(A85="","",YEAR(A85))</f>
        <v/>
      </c>
      <c r="C85" s="2">
        <f>IF(A85="","","Q"&amp;ROUNDUP(MONTH(A85)/3,0))</f>
        <v/>
      </c>
      <c r="D85" s="2">
        <f>IF(A85="","",MONTH(A85))</f>
        <v/>
      </c>
      <c r="E85" s="2">
        <f>IF(A85="","",_xlfn.ISOWEEKNUM(A85))</f>
        <v/>
      </c>
      <c r="F85" s="2">
        <f>IF(A85="","",TEXT(A85,"ddd"))</f>
        <v/>
      </c>
    </row>
    <row r="86">
      <c r="A86" s="5">
        <f>IF(A85="","",IF(A85+1&gt;INT(MAX('1_raw_log'!$B:$B)),"",A85+1))</f>
        <v/>
      </c>
      <c r="B86" s="2">
        <f>IF(A86="","",YEAR(A86))</f>
        <v/>
      </c>
      <c r="C86" s="2">
        <f>IF(A86="","","Q"&amp;ROUNDUP(MONTH(A86)/3,0))</f>
        <v/>
      </c>
      <c r="D86" s="2">
        <f>IF(A86="","",MONTH(A86))</f>
        <v/>
      </c>
      <c r="E86" s="2">
        <f>IF(A86="","",_xlfn.ISOWEEKNUM(A86))</f>
        <v/>
      </c>
      <c r="F86" s="2">
        <f>IF(A86="","",TEXT(A86,"ddd"))</f>
        <v/>
      </c>
    </row>
    <row r="87">
      <c r="A87" s="5">
        <f>IF(A86="","",IF(A86+1&gt;INT(MAX('1_raw_log'!$B:$B)),"",A86+1))</f>
        <v/>
      </c>
      <c r="B87" s="2">
        <f>IF(A87="","",YEAR(A87))</f>
        <v/>
      </c>
      <c r="C87" s="2">
        <f>IF(A87="","","Q"&amp;ROUNDUP(MONTH(A87)/3,0))</f>
        <v/>
      </c>
      <c r="D87" s="2">
        <f>IF(A87="","",MONTH(A87))</f>
        <v/>
      </c>
      <c r="E87" s="2">
        <f>IF(A87="","",_xlfn.ISOWEEKNUM(A87))</f>
        <v/>
      </c>
      <c r="F87" s="2">
        <f>IF(A87="","",TEXT(A87,"ddd"))</f>
        <v/>
      </c>
    </row>
    <row r="88">
      <c r="A88" s="5">
        <f>IF(A87="","",IF(A87+1&gt;INT(MAX('1_raw_log'!$B:$B)),"",A87+1))</f>
        <v/>
      </c>
      <c r="B88" s="2">
        <f>IF(A88="","",YEAR(A88))</f>
        <v/>
      </c>
      <c r="C88" s="2">
        <f>IF(A88="","","Q"&amp;ROUNDUP(MONTH(A88)/3,0))</f>
        <v/>
      </c>
      <c r="D88" s="2">
        <f>IF(A88="","",MONTH(A88))</f>
        <v/>
      </c>
      <c r="E88" s="2">
        <f>IF(A88="","",_xlfn.ISOWEEKNUM(A88))</f>
        <v/>
      </c>
      <c r="F88" s="2">
        <f>IF(A88="","",TEXT(A88,"ddd"))</f>
        <v/>
      </c>
    </row>
    <row r="89">
      <c r="A89" s="5">
        <f>IF(A88="","",IF(A88+1&gt;INT(MAX('1_raw_log'!$B:$B)),"",A88+1))</f>
        <v/>
      </c>
      <c r="B89" s="2">
        <f>IF(A89="","",YEAR(A89))</f>
        <v/>
      </c>
      <c r="C89" s="2">
        <f>IF(A89="","","Q"&amp;ROUNDUP(MONTH(A89)/3,0))</f>
        <v/>
      </c>
      <c r="D89" s="2">
        <f>IF(A89="","",MONTH(A89))</f>
        <v/>
      </c>
      <c r="E89" s="2">
        <f>IF(A89="","",_xlfn.ISOWEEKNUM(A89))</f>
        <v/>
      </c>
      <c r="F89" s="2">
        <f>IF(A89="","",TEXT(A89,"ddd"))</f>
        <v/>
      </c>
    </row>
    <row r="90">
      <c r="A90" s="5">
        <f>IF(A89="","",IF(A89+1&gt;INT(MAX('1_raw_log'!$B:$B)),"",A89+1))</f>
        <v/>
      </c>
      <c r="B90" s="2">
        <f>IF(A90="","",YEAR(A90))</f>
        <v/>
      </c>
      <c r="C90" s="2">
        <f>IF(A90="","","Q"&amp;ROUNDUP(MONTH(A90)/3,0))</f>
        <v/>
      </c>
      <c r="D90" s="2">
        <f>IF(A90="","",MONTH(A90))</f>
        <v/>
      </c>
      <c r="E90" s="2">
        <f>IF(A90="","",_xlfn.ISOWEEKNUM(A90))</f>
        <v/>
      </c>
      <c r="F90" s="2">
        <f>IF(A90="","",TEXT(A90,"ddd"))</f>
        <v/>
      </c>
    </row>
    <row r="91">
      <c r="A91" s="5">
        <f>IF(A90="","",IF(A90+1&gt;INT(MAX('1_raw_log'!$B:$B)),"",A90+1))</f>
        <v/>
      </c>
      <c r="B91" s="2">
        <f>IF(A91="","",YEAR(A91))</f>
        <v/>
      </c>
      <c r="C91" s="2">
        <f>IF(A91="","","Q"&amp;ROUNDUP(MONTH(A91)/3,0))</f>
        <v/>
      </c>
      <c r="D91" s="2">
        <f>IF(A91="","",MONTH(A91))</f>
        <v/>
      </c>
      <c r="E91" s="2">
        <f>IF(A91="","",_xlfn.ISOWEEKNUM(A91))</f>
        <v/>
      </c>
      <c r="F91" s="2">
        <f>IF(A91="","",TEXT(A91,"ddd"))</f>
        <v/>
      </c>
    </row>
    <row r="92">
      <c r="A92" s="5">
        <f>IF(A91="","",IF(A91+1&gt;INT(MAX('1_raw_log'!$B:$B)),"",A91+1))</f>
        <v/>
      </c>
      <c r="B92" s="2">
        <f>IF(A92="","",YEAR(A92))</f>
        <v/>
      </c>
      <c r="C92" s="2">
        <f>IF(A92="","","Q"&amp;ROUNDUP(MONTH(A92)/3,0))</f>
        <v/>
      </c>
      <c r="D92" s="2">
        <f>IF(A92="","",MONTH(A92))</f>
        <v/>
      </c>
      <c r="E92" s="2">
        <f>IF(A92="","",_xlfn.ISOWEEKNUM(A92))</f>
        <v/>
      </c>
      <c r="F92" s="2">
        <f>IF(A92="","",TEXT(A92,"ddd"))</f>
        <v/>
      </c>
    </row>
    <row r="93">
      <c r="A93" s="5">
        <f>IF(A92="","",IF(A92+1&gt;INT(MAX('1_raw_log'!$B:$B)),"",A92+1))</f>
        <v/>
      </c>
      <c r="B93" s="2">
        <f>IF(A93="","",YEAR(A93))</f>
        <v/>
      </c>
      <c r="C93" s="2">
        <f>IF(A93="","","Q"&amp;ROUNDUP(MONTH(A93)/3,0))</f>
        <v/>
      </c>
      <c r="D93" s="2">
        <f>IF(A93="","",MONTH(A93))</f>
        <v/>
      </c>
      <c r="E93" s="2">
        <f>IF(A93="","",_xlfn.ISOWEEKNUM(A93))</f>
        <v/>
      </c>
      <c r="F93" s="2">
        <f>IF(A93="","",TEXT(A93,"ddd"))</f>
        <v/>
      </c>
    </row>
    <row r="94">
      <c r="A94" s="5">
        <f>IF(A93="","",IF(A93+1&gt;INT(MAX('1_raw_log'!$B:$B)),"",A93+1))</f>
        <v/>
      </c>
      <c r="B94" s="2">
        <f>IF(A94="","",YEAR(A94))</f>
        <v/>
      </c>
      <c r="C94" s="2">
        <f>IF(A94="","","Q"&amp;ROUNDUP(MONTH(A94)/3,0))</f>
        <v/>
      </c>
      <c r="D94" s="2">
        <f>IF(A94="","",MONTH(A94))</f>
        <v/>
      </c>
      <c r="E94" s="2">
        <f>IF(A94="","",_xlfn.ISOWEEKNUM(A94))</f>
        <v/>
      </c>
      <c r="F94" s="2">
        <f>IF(A94="","",TEXT(A94,"ddd"))</f>
        <v/>
      </c>
    </row>
    <row r="95">
      <c r="A95" s="5">
        <f>IF(A94="","",IF(A94+1&gt;INT(MAX('1_raw_log'!$B:$B)),"",A94+1))</f>
        <v/>
      </c>
      <c r="B95" s="2">
        <f>IF(A95="","",YEAR(A95))</f>
        <v/>
      </c>
      <c r="C95" s="2">
        <f>IF(A95="","","Q"&amp;ROUNDUP(MONTH(A95)/3,0))</f>
        <v/>
      </c>
      <c r="D95" s="2">
        <f>IF(A95="","",MONTH(A95))</f>
        <v/>
      </c>
      <c r="E95" s="2">
        <f>IF(A95="","",_xlfn.ISOWEEKNUM(A95))</f>
        <v/>
      </c>
      <c r="F95" s="2">
        <f>IF(A95="","",TEXT(A95,"ddd"))</f>
        <v/>
      </c>
    </row>
    <row r="96">
      <c r="A96" s="5">
        <f>IF(A95="","",IF(A95+1&gt;INT(MAX('1_raw_log'!$B:$B)),"",A95+1))</f>
        <v/>
      </c>
      <c r="B96" s="2">
        <f>IF(A96="","",YEAR(A96))</f>
        <v/>
      </c>
      <c r="C96" s="2">
        <f>IF(A96="","","Q"&amp;ROUNDUP(MONTH(A96)/3,0))</f>
        <v/>
      </c>
      <c r="D96" s="2">
        <f>IF(A96="","",MONTH(A96))</f>
        <v/>
      </c>
      <c r="E96" s="2">
        <f>IF(A96="","",_xlfn.ISOWEEKNUM(A96))</f>
        <v/>
      </c>
      <c r="F96" s="2">
        <f>IF(A96="","",TEXT(A96,"ddd"))</f>
        <v/>
      </c>
    </row>
    <row r="97">
      <c r="A97" s="5">
        <f>IF(A96="","",IF(A96+1&gt;INT(MAX('1_raw_log'!$B:$B)),"",A96+1))</f>
        <v/>
      </c>
      <c r="B97" s="2">
        <f>IF(A97="","",YEAR(A97))</f>
        <v/>
      </c>
      <c r="C97" s="2">
        <f>IF(A97="","","Q"&amp;ROUNDUP(MONTH(A97)/3,0))</f>
        <v/>
      </c>
      <c r="D97" s="2">
        <f>IF(A97="","",MONTH(A97))</f>
        <v/>
      </c>
      <c r="E97" s="2">
        <f>IF(A97="","",_xlfn.ISOWEEKNUM(A97))</f>
        <v/>
      </c>
      <c r="F97" s="2">
        <f>IF(A97="","",TEXT(A97,"ddd"))</f>
        <v/>
      </c>
    </row>
    <row r="98">
      <c r="A98" s="5">
        <f>IF(A97="","",IF(A97+1&gt;INT(MAX('1_raw_log'!$B:$B)),"",A97+1))</f>
        <v/>
      </c>
      <c r="B98" s="2">
        <f>IF(A98="","",YEAR(A98))</f>
        <v/>
      </c>
      <c r="C98" s="2">
        <f>IF(A98="","","Q"&amp;ROUNDUP(MONTH(A98)/3,0))</f>
        <v/>
      </c>
      <c r="D98" s="2">
        <f>IF(A98="","",MONTH(A98))</f>
        <v/>
      </c>
      <c r="E98" s="2">
        <f>IF(A98="","",_xlfn.ISOWEEKNUM(A98))</f>
        <v/>
      </c>
      <c r="F98" s="2">
        <f>IF(A98="","",TEXT(A98,"ddd"))</f>
        <v/>
      </c>
    </row>
    <row r="99">
      <c r="A99" s="5">
        <f>IF(A98="","",IF(A98+1&gt;INT(MAX('1_raw_log'!$B:$B)),"",A98+1))</f>
        <v/>
      </c>
      <c r="B99" s="2">
        <f>IF(A99="","",YEAR(A99))</f>
        <v/>
      </c>
      <c r="C99" s="2">
        <f>IF(A99="","","Q"&amp;ROUNDUP(MONTH(A99)/3,0))</f>
        <v/>
      </c>
      <c r="D99" s="2">
        <f>IF(A99="","",MONTH(A99))</f>
        <v/>
      </c>
      <c r="E99" s="2">
        <f>IF(A99="","",_xlfn.ISOWEEKNUM(A99))</f>
        <v/>
      </c>
      <c r="F99" s="2">
        <f>IF(A99="","",TEXT(A99,"ddd"))</f>
        <v/>
      </c>
    </row>
    <row r="100">
      <c r="A100" s="5">
        <f>IF(A99="","",IF(A99+1&gt;INT(MAX('1_raw_log'!$B:$B)),"",A99+1))</f>
        <v/>
      </c>
      <c r="B100" s="2">
        <f>IF(A100="","",YEAR(A100))</f>
        <v/>
      </c>
      <c r="C100" s="2">
        <f>IF(A100="","","Q"&amp;ROUNDUP(MONTH(A100)/3,0))</f>
        <v/>
      </c>
      <c r="D100" s="2">
        <f>IF(A100="","",MONTH(A100))</f>
        <v/>
      </c>
      <c r="E100" s="2">
        <f>IF(A100="","",_xlfn.ISOWEEKNUM(A100))</f>
        <v/>
      </c>
      <c r="F100" s="2">
        <f>IF(A100="","",TEXT(A100,"ddd"))</f>
        <v/>
      </c>
    </row>
    <row r="101">
      <c r="A101" s="5">
        <f>IF(A100="","",IF(A100+1&gt;INT(MAX('1_raw_log'!$B:$B)),"",A100+1))</f>
        <v/>
      </c>
      <c r="B101" s="2">
        <f>IF(A101="","",YEAR(A101))</f>
        <v/>
      </c>
      <c r="C101" s="2">
        <f>IF(A101="","","Q"&amp;ROUNDUP(MONTH(A101)/3,0))</f>
        <v/>
      </c>
      <c r="D101" s="2">
        <f>IF(A101="","",MONTH(A101))</f>
        <v/>
      </c>
      <c r="E101" s="2">
        <f>IF(A101="","",_xlfn.ISOWEEKNUM(A101))</f>
        <v/>
      </c>
      <c r="F101" s="2">
        <f>IF(A101="","",TEXT(A101,"ddd"))</f>
        <v/>
      </c>
    </row>
    <row r="102">
      <c r="A102" s="5">
        <f>IF(A101="","",IF(A101+1&gt;INT(MAX('1_raw_log'!$B:$B)),"",A101+1))</f>
        <v/>
      </c>
      <c r="B102" s="2">
        <f>IF(A102="","",YEAR(A102))</f>
        <v/>
      </c>
      <c r="C102" s="2">
        <f>IF(A102="","","Q"&amp;ROUNDUP(MONTH(A102)/3,0))</f>
        <v/>
      </c>
      <c r="D102" s="2">
        <f>IF(A102="","",MONTH(A102))</f>
        <v/>
      </c>
      <c r="E102" s="2">
        <f>IF(A102="","",_xlfn.ISOWEEKNUM(A102))</f>
        <v/>
      </c>
      <c r="F102" s="2">
        <f>IF(A102="","",TEXT(A102,"ddd"))</f>
        <v/>
      </c>
    </row>
    <row r="103">
      <c r="A103" s="5">
        <f>IF(A102="","",IF(A102+1&gt;INT(MAX('1_raw_log'!$B:$B)),"",A102+1))</f>
        <v/>
      </c>
      <c r="B103" s="2">
        <f>IF(A103="","",YEAR(A103))</f>
        <v/>
      </c>
      <c r="C103" s="2">
        <f>IF(A103="","","Q"&amp;ROUNDUP(MONTH(A103)/3,0))</f>
        <v/>
      </c>
      <c r="D103" s="2">
        <f>IF(A103="","",MONTH(A103))</f>
        <v/>
      </c>
      <c r="E103" s="2">
        <f>IF(A103="","",_xlfn.ISOWEEKNUM(A103))</f>
        <v/>
      </c>
      <c r="F103" s="2">
        <f>IF(A103="","",TEXT(A103,"ddd"))</f>
        <v/>
      </c>
    </row>
    <row r="104">
      <c r="A104" s="5">
        <f>IF(A103="","",IF(A103+1&gt;INT(MAX('1_raw_log'!$B:$B)),"",A103+1))</f>
        <v/>
      </c>
      <c r="B104" s="2">
        <f>IF(A104="","",YEAR(A104))</f>
        <v/>
      </c>
      <c r="C104" s="2">
        <f>IF(A104="","","Q"&amp;ROUNDUP(MONTH(A104)/3,0))</f>
        <v/>
      </c>
      <c r="D104" s="2">
        <f>IF(A104="","",MONTH(A104))</f>
        <v/>
      </c>
      <c r="E104" s="2">
        <f>IF(A104="","",_xlfn.ISOWEEKNUM(A104))</f>
        <v/>
      </c>
      <c r="F104" s="2">
        <f>IF(A104="","",TEXT(A104,"ddd"))</f>
        <v/>
      </c>
    </row>
    <row r="105">
      <c r="A105" s="5">
        <f>IF(A104="","",IF(A104+1&gt;INT(MAX('1_raw_log'!$B:$B)),"",A104+1))</f>
        <v/>
      </c>
      <c r="B105" s="2">
        <f>IF(A105="","",YEAR(A105))</f>
        <v/>
      </c>
      <c r="C105" s="2">
        <f>IF(A105="","","Q"&amp;ROUNDUP(MONTH(A105)/3,0))</f>
        <v/>
      </c>
      <c r="D105" s="2">
        <f>IF(A105="","",MONTH(A105))</f>
        <v/>
      </c>
      <c r="E105" s="2">
        <f>IF(A105="","",_xlfn.ISOWEEKNUM(A105))</f>
        <v/>
      </c>
      <c r="F105" s="2">
        <f>IF(A105="","",TEXT(A105,"ddd"))</f>
        <v/>
      </c>
    </row>
    <row r="106">
      <c r="A106" s="5">
        <f>IF(A105="","",IF(A105+1&gt;INT(MAX('1_raw_log'!$B:$B)),"",A105+1))</f>
        <v/>
      </c>
      <c r="B106" s="2">
        <f>IF(A106="","",YEAR(A106))</f>
        <v/>
      </c>
      <c r="C106" s="2">
        <f>IF(A106="","","Q"&amp;ROUNDUP(MONTH(A106)/3,0))</f>
        <v/>
      </c>
      <c r="D106" s="2">
        <f>IF(A106="","",MONTH(A106))</f>
        <v/>
      </c>
      <c r="E106" s="2">
        <f>IF(A106="","",_xlfn.ISOWEEKNUM(A106))</f>
        <v/>
      </c>
      <c r="F106" s="2">
        <f>IF(A106="","",TEXT(A106,"ddd"))</f>
        <v/>
      </c>
    </row>
    <row r="107">
      <c r="A107" s="5">
        <f>IF(A106="","",IF(A106+1&gt;INT(MAX('1_raw_log'!$B:$B)),"",A106+1))</f>
        <v/>
      </c>
      <c r="B107" s="2">
        <f>IF(A107="","",YEAR(A107))</f>
        <v/>
      </c>
      <c r="C107" s="2">
        <f>IF(A107="","","Q"&amp;ROUNDUP(MONTH(A107)/3,0))</f>
        <v/>
      </c>
      <c r="D107" s="2">
        <f>IF(A107="","",MONTH(A107))</f>
        <v/>
      </c>
      <c r="E107" s="2">
        <f>IF(A107="","",_xlfn.ISOWEEKNUM(A107))</f>
        <v/>
      </c>
      <c r="F107" s="2">
        <f>IF(A107="","",TEXT(A107,"ddd"))</f>
        <v/>
      </c>
    </row>
    <row r="108">
      <c r="A108" s="5">
        <f>IF(A107="","",IF(A107+1&gt;INT(MAX('1_raw_log'!$B:$B)),"",A107+1))</f>
        <v/>
      </c>
      <c r="B108" s="2">
        <f>IF(A108="","",YEAR(A108))</f>
        <v/>
      </c>
      <c r="C108" s="2">
        <f>IF(A108="","","Q"&amp;ROUNDUP(MONTH(A108)/3,0))</f>
        <v/>
      </c>
      <c r="D108" s="2">
        <f>IF(A108="","",MONTH(A108))</f>
        <v/>
      </c>
      <c r="E108" s="2">
        <f>IF(A108="","",_xlfn.ISOWEEKNUM(A108))</f>
        <v/>
      </c>
      <c r="F108" s="2">
        <f>IF(A108="","",TEXT(A108,"ddd"))</f>
        <v/>
      </c>
    </row>
    <row r="109">
      <c r="A109" s="5">
        <f>IF(A108="","",IF(A108+1&gt;INT(MAX('1_raw_log'!$B:$B)),"",A108+1))</f>
        <v/>
      </c>
      <c r="B109" s="2">
        <f>IF(A109="","",YEAR(A109))</f>
        <v/>
      </c>
      <c r="C109" s="2">
        <f>IF(A109="","","Q"&amp;ROUNDUP(MONTH(A109)/3,0))</f>
        <v/>
      </c>
      <c r="D109" s="2">
        <f>IF(A109="","",MONTH(A109))</f>
        <v/>
      </c>
      <c r="E109" s="2">
        <f>IF(A109="","",_xlfn.ISOWEEKNUM(A109))</f>
        <v/>
      </c>
      <c r="F109" s="2">
        <f>IF(A109="","",TEXT(A109,"ddd"))</f>
        <v/>
      </c>
    </row>
    <row r="110">
      <c r="A110" s="5">
        <f>IF(A109="","",IF(A109+1&gt;INT(MAX('1_raw_log'!$B:$B)),"",A109+1))</f>
        <v/>
      </c>
      <c r="B110" s="2">
        <f>IF(A110="","",YEAR(A110))</f>
        <v/>
      </c>
      <c r="C110" s="2">
        <f>IF(A110="","","Q"&amp;ROUNDUP(MONTH(A110)/3,0))</f>
        <v/>
      </c>
      <c r="D110" s="2">
        <f>IF(A110="","",MONTH(A110))</f>
        <v/>
      </c>
      <c r="E110" s="2">
        <f>IF(A110="","",_xlfn.ISOWEEKNUM(A110))</f>
        <v/>
      </c>
      <c r="F110" s="2">
        <f>IF(A110="","",TEXT(A110,"ddd"))</f>
        <v/>
      </c>
    </row>
    <row r="111">
      <c r="A111" s="5">
        <f>IF(A110="","",IF(A110+1&gt;INT(MAX('1_raw_log'!$B:$B)),"",A110+1))</f>
        <v/>
      </c>
      <c r="B111" s="2">
        <f>IF(A111="","",YEAR(A111))</f>
        <v/>
      </c>
      <c r="C111" s="2">
        <f>IF(A111="","","Q"&amp;ROUNDUP(MONTH(A111)/3,0))</f>
        <v/>
      </c>
      <c r="D111" s="2">
        <f>IF(A111="","",MONTH(A111))</f>
        <v/>
      </c>
      <c r="E111" s="2">
        <f>IF(A111="","",_xlfn.ISOWEEKNUM(A111))</f>
        <v/>
      </c>
      <c r="F111" s="2">
        <f>IF(A111="","",TEXT(A111,"ddd"))</f>
        <v/>
      </c>
    </row>
    <row r="112">
      <c r="A112" s="5">
        <f>IF(A111="","",IF(A111+1&gt;INT(MAX('1_raw_log'!$B:$B)),"",A111+1))</f>
        <v/>
      </c>
      <c r="B112" s="2">
        <f>IF(A112="","",YEAR(A112))</f>
        <v/>
      </c>
      <c r="C112" s="2">
        <f>IF(A112="","","Q"&amp;ROUNDUP(MONTH(A112)/3,0))</f>
        <v/>
      </c>
      <c r="D112" s="2">
        <f>IF(A112="","",MONTH(A112))</f>
        <v/>
      </c>
      <c r="E112" s="2">
        <f>IF(A112="","",_xlfn.ISOWEEKNUM(A112))</f>
        <v/>
      </c>
      <c r="F112" s="2">
        <f>IF(A112="","",TEXT(A112,"ddd"))</f>
        <v/>
      </c>
    </row>
    <row r="113">
      <c r="A113" s="5">
        <f>IF(A112="","",IF(A112+1&gt;INT(MAX('1_raw_log'!$B:$B)),"",A112+1))</f>
        <v/>
      </c>
      <c r="B113" s="2">
        <f>IF(A113="","",YEAR(A113))</f>
        <v/>
      </c>
      <c r="C113" s="2">
        <f>IF(A113="","","Q"&amp;ROUNDUP(MONTH(A113)/3,0))</f>
        <v/>
      </c>
      <c r="D113" s="2">
        <f>IF(A113="","",MONTH(A113))</f>
        <v/>
      </c>
      <c r="E113" s="2">
        <f>IF(A113="","",_xlfn.ISOWEEKNUM(A113))</f>
        <v/>
      </c>
      <c r="F113" s="2">
        <f>IF(A113="","",TEXT(A113,"ddd"))</f>
        <v/>
      </c>
    </row>
    <row r="114">
      <c r="A114" s="5">
        <f>IF(A113="","",IF(A113+1&gt;INT(MAX('1_raw_log'!$B:$B)),"",A113+1))</f>
        <v/>
      </c>
      <c r="B114" s="2">
        <f>IF(A114="","",YEAR(A114))</f>
        <v/>
      </c>
      <c r="C114" s="2">
        <f>IF(A114="","","Q"&amp;ROUNDUP(MONTH(A114)/3,0))</f>
        <v/>
      </c>
      <c r="D114" s="2">
        <f>IF(A114="","",MONTH(A114))</f>
        <v/>
      </c>
      <c r="E114" s="2">
        <f>IF(A114="","",_xlfn.ISOWEEKNUM(A114))</f>
        <v/>
      </c>
      <c r="F114" s="2">
        <f>IF(A114="","",TEXT(A114,"ddd"))</f>
        <v/>
      </c>
    </row>
    <row r="115">
      <c r="A115" s="5">
        <f>IF(A114="","",IF(A114+1&gt;INT(MAX('1_raw_log'!$B:$B)),"",A114+1))</f>
        <v/>
      </c>
      <c r="B115" s="2">
        <f>IF(A115="","",YEAR(A115))</f>
        <v/>
      </c>
      <c r="C115" s="2">
        <f>IF(A115="","","Q"&amp;ROUNDUP(MONTH(A115)/3,0))</f>
        <v/>
      </c>
      <c r="D115" s="2">
        <f>IF(A115="","",MONTH(A115))</f>
        <v/>
      </c>
      <c r="E115" s="2">
        <f>IF(A115="","",_xlfn.ISOWEEKNUM(A115))</f>
        <v/>
      </c>
      <c r="F115" s="2">
        <f>IF(A115="","",TEXT(A115,"ddd"))</f>
        <v/>
      </c>
    </row>
    <row r="116">
      <c r="A116" s="5">
        <f>IF(A115="","",IF(A115+1&gt;INT(MAX('1_raw_log'!$B:$B)),"",A115+1))</f>
        <v/>
      </c>
      <c r="B116" s="2">
        <f>IF(A116="","",YEAR(A116))</f>
        <v/>
      </c>
      <c r="C116" s="2">
        <f>IF(A116="","","Q"&amp;ROUNDUP(MONTH(A116)/3,0))</f>
        <v/>
      </c>
      <c r="D116" s="2">
        <f>IF(A116="","",MONTH(A116))</f>
        <v/>
      </c>
      <c r="E116" s="2">
        <f>IF(A116="","",_xlfn.ISOWEEKNUM(A116))</f>
        <v/>
      </c>
      <c r="F116" s="2">
        <f>IF(A116="","",TEXT(A116,"ddd"))</f>
        <v/>
      </c>
    </row>
    <row r="117">
      <c r="A117" s="5">
        <f>IF(A116="","",IF(A116+1&gt;INT(MAX('1_raw_log'!$B:$B)),"",A116+1))</f>
        <v/>
      </c>
      <c r="B117" s="2">
        <f>IF(A117="","",YEAR(A117))</f>
        <v/>
      </c>
      <c r="C117" s="2">
        <f>IF(A117="","","Q"&amp;ROUNDUP(MONTH(A117)/3,0))</f>
        <v/>
      </c>
      <c r="D117" s="2">
        <f>IF(A117="","",MONTH(A117))</f>
        <v/>
      </c>
      <c r="E117" s="2">
        <f>IF(A117="","",_xlfn.ISOWEEKNUM(A117))</f>
        <v/>
      </c>
      <c r="F117" s="2">
        <f>IF(A117="","",TEXT(A117,"ddd"))</f>
        <v/>
      </c>
    </row>
    <row r="118">
      <c r="A118" s="5">
        <f>IF(A117="","",IF(A117+1&gt;INT(MAX('1_raw_log'!$B:$B)),"",A117+1))</f>
        <v/>
      </c>
      <c r="B118" s="2">
        <f>IF(A118="","",YEAR(A118))</f>
        <v/>
      </c>
      <c r="C118" s="2">
        <f>IF(A118="","","Q"&amp;ROUNDUP(MONTH(A118)/3,0))</f>
        <v/>
      </c>
      <c r="D118" s="2">
        <f>IF(A118="","",MONTH(A118))</f>
        <v/>
      </c>
      <c r="E118" s="2">
        <f>IF(A118="","",_xlfn.ISOWEEKNUM(A118))</f>
        <v/>
      </c>
      <c r="F118" s="2">
        <f>IF(A118="","",TEXT(A118,"ddd"))</f>
        <v/>
      </c>
    </row>
    <row r="119">
      <c r="A119" s="5">
        <f>IF(A118="","",IF(A118+1&gt;INT(MAX('1_raw_log'!$B:$B)),"",A118+1))</f>
        <v/>
      </c>
      <c r="B119" s="2">
        <f>IF(A119="","",YEAR(A119))</f>
        <v/>
      </c>
      <c r="C119" s="2">
        <f>IF(A119="","","Q"&amp;ROUNDUP(MONTH(A119)/3,0))</f>
        <v/>
      </c>
      <c r="D119" s="2">
        <f>IF(A119="","",MONTH(A119))</f>
        <v/>
      </c>
      <c r="E119" s="2">
        <f>IF(A119="","",_xlfn.ISOWEEKNUM(A119))</f>
        <v/>
      </c>
      <c r="F119" s="2">
        <f>IF(A119="","",TEXT(A119,"ddd"))</f>
        <v/>
      </c>
    </row>
    <row r="120">
      <c r="A120" s="5">
        <f>IF(A119="","",IF(A119+1&gt;INT(MAX('1_raw_log'!$B:$B)),"",A119+1))</f>
        <v/>
      </c>
      <c r="B120" s="2">
        <f>IF(A120="","",YEAR(A120))</f>
        <v/>
      </c>
      <c r="C120" s="2">
        <f>IF(A120="","","Q"&amp;ROUNDUP(MONTH(A120)/3,0))</f>
        <v/>
      </c>
      <c r="D120" s="2">
        <f>IF(A120="","",MONTH(A120))</f>
        <v/>
      </c>
      <c r="E120" s="2">
        <f>IF(A120="","",_xlfn.ISOWEEKNUM(A120))</f>
        <v/>
      </c>
      <c r="F120" s="2">
        <f>IF(A120="","",TEXT(A120,"ddd"))</f>
        <v/>
      </c>
    </row>
    <row r="121">
      <c r="A121" s="5">
        <f>IF(A120="","",IF(A120+1&gt;INT(MAX('1_raw_log'!$B:$B)),"",A120+1))</f>
        <v/>
      </c>
      <c r="B121" s="2">
        <f>IF(A121="","",YEAR(A121))</f>
        <v/>
      </c>
      <c r="C121" s="2">
        <f>IF(A121="","","Q"&amp;ROUNDUP(MONTH(A121)/3,0))</f>
        <v/>
      </c>
      <c r="D121" s="2">
        <f>IF(A121="","",MONTH(A121))</f>
        <v/>
      </c>
      <c r="E121" s="2">
        <f>IF(A121="","",_xlfn.ISOWEEKNUM(A121))</f>
        <v/>
      </c>
      <c r="F121" s="2">
        <f>IF(A121="","",TEXT(A121,"ddd"))</f>
        <v/>
      </c>
    </row>
    <row r="122">
      <c r="A122" s="5">
        <f>IF(A121="","",IF(A121+1&gt;INT(MAX('1_raw_log'!$B:$B)),"",A121+1))</f>
        <v/>
      </c>
      <c r="B122" s="2">
        <f>IF(A122="","",YEAR(A122))</f>
        <v/>
      </c>
      <c r="C122" s="2">
        <f>IF(A122="","","Q"&amp;ROUNDUP(MONTH(A122)/3,0))</f>
        <v/>
      </c>
      <c r="D122" s="2">
        <f>IF(A122="","",MONTH(A122))</f>
        <v/>
      </c>
      <c r="E122" s="2">
        <f>IF(A122="","",_xlfn.ISOWEEKNUM(A122))</f>
        <v/>
      </c>
      <c r="F122" s="2">
        <f>IF(A122="","",TEXT(A122,"ddd"))</f>
        <v/>
      </c>
    </row>
    <row r="123">
      <c r="A123" s="5">
        <f>IF(A122="","",IF(A122+1&gt;INT(MAX('1_raw_log'!$B:$B)),"",A122+1))</f>
        <v/>
      </c>
      <c r="B123" s="2">
        <f>IF(A123="","",YEAR(A123))</f>
        <v/>
      </c>
      <c r="C123" s="2">
        <f>IF(A123="","","Q"&amp;ROUNDUP(MONTH(A123)/3,0))</f>
        <v/>
      </c>
      <c r="D123" s="2">
        <f>IF(A123="","",MONTH(A123))</f>
        <v/>
      </c>
      <c r="E123" s="2">
        <f>IF(A123="","",_xlfn.ISOWEEKNUM(A123))</f>
        <v/>
      </c>
      <c r="F123" s="2">
        <f>IF(A123="","",TEXT(A123,"ddd"))</f>
        <v/>
      </c>
    </row>
    <row r="124">
      <c r="A124" s="5">
        <f>IF(A123="","",IF(A123+1&gt;INT(MAX('1_raw_log'!$B:$B)),"",A123+1))</f>
        <v/>
      </c>
      <c r="B124" s="2">
        <f>IF(A124="","",YEAR(A124))</f>
        <v/>
      </c>
      <c r="C124" s="2">
        <f>IF(A124="","","Q"&amp;ROUNDUP(MONTH(A124)/3,0))</f>
        <v/>
      </c>
      <c r="D124" s="2">
        <f>IF(A124="","",MONTH(A124))</f>
        <v/>
      </c>
      <c r="E124" s="2">
        <f>IF(A124="","",_xlfn.ISOWEEKNUM(A124))</f>
        <v/>
      </c>
      <c r="F124" s="2">
        <f>IF(A124="","",TEXT(A124,"ddd"))</f>
        <v/>
      </c>
    </row>
    <row r="125">
      <c r="A125" s="5">
        <f>IF(A124="","",IF(A124+1&gt;INT(MAX('1_raw_log'!$B:$B)),"",A124+1))</f>
        <v/>
      </c>
      <c r="B125" s="2">
        <f>IF(A125="","",YEAR(A125))</f>
        <v/>
      </c>
      <c r="C125" s="2">
        <f>IF(A125="","","Q"&amp;ROUNDUP(MONTH(A125)/3,0))</f>
        <v/>
      </c>
      <c r="D125" s="2">
        <f>IF(A125="","",MONTH(A125))</f>
        <v/>
      </c>
      <c r="E125" s="2">
        <f>IF(A125="","",_xlfn.ISOWEEKNUM(A125))</f>
        <v/>
      </c>
      <c r="F125" s="2">
        <f>IF(A125="","",TEXT(A125,"ddd"))</f>
        <v/>
      </c>
    </row>
    <row r="126">
      <c r="A126" s="5">
        <f>IF(A125="","",IF(A125+1&gt;INT(MAX('1_raw_log'!$B:$B)),"",A125+1))</f>
        <v/>
      </c>
      <c r="B126" s="2">
        <f>IF(A126="","",YEAR(A126))</f>
        <v/>
      </c>
      <c r="C126" s="2">
        <f>IF(A126="","","Q"&amp;ROUNDUP(MONTH(A126)/3,0))</f>
        <v/>
      </c>
      <c r="D126" s="2">
        <f>IF(A126="","",MONTH(A126))</f>
        <v/>
      </c>
      <c r="E126" s="2">
        <f>IF(A126="","",_xlfn.ISOWEEKNUM(A126))</f>
        <v/>
      </c>
      <c r="F126" s="2">
        <f>IF(A126="","",TEXT(A126,"ddd"))</f>
        <v/>
      </c>
    </row>
    <row r="127">
      <c r="A127" s="5">
        <f>IF(A126="","",IF(A126+1&gt;INT(MAX('1_raw_log'!$B:$B)),"",A126+1))</f>
        <v/>
      </c>
      <c r="B127" s="2">
        <f>IF(A127="","",YEAR(A127))</f>
        <v/>
      </c>
      <c r="C127" s="2">
        <f>IF(A127="","","Q"&amp;ROUNDUP(MONTH(A127)/3,0))</f>
        <v/>
      </c>
      <c r="D127" s="2">
        <f>IF(A127="","",MONTH(A127))</f>
        <v/>
      </c>
      <c r="E127" s="2">
        <f>IF(A127="","",_xlfn.ISOWEEKNUM(A127))</f>
        <v/>
      </c>
      <c r="F127" s="2">
        <f>IF(A127="","",TEXT(A127,"ddd"))</f>
        <v/>
      </c>
    </row>
    <row r="128">
      <c r="A128" s="5">
        <f>IF(A127="","",IF(A127+1&gt;INT(MAX('1_raw_log'!$B:$B)),"",A127+1))</f>
        <v/>
      </c>
      <c r="B128" s="2">
        <f>IF(A128="","",YEAR(A128))</f>
        <v/>
      </c>
      <c r="C128" s="2">
        <f>IF(A128="","","Q"&amp;ROUNDUP(MONTH(A128)/3,0))</f>
        <v/>
      </c>
      <c r="D128" s="2">
        <f>IF(A128="","",MONTH(A128))</f>
        <v/>
      </c>
      <c r="E128" s="2">
        <f>IF(A128="","",_xlfn.ISOWEEKNUM(A128))</f>
        <v/>
      </c>
      <c r="F128" s="2">
        <f>IF(A128="","",TEXT(A128,"ddd"))</f>
        <v/>
      </c>
    </row>
    <row r="129">
      <c r="A129" s="5">
        <f>IF(A128="","",IF(A128+1&gt;INT(MAX('1_raw_log'!$B:$B)),"",A128+1))</f>
        <v/>
      </c>
      <c r="B129" s="2">
        <f>IF(A129="","",YEAR(A129))</f>
        <v/>
      </c>
      <c r="C129" s="2">
        <f>IF(A129="","","Q"&amp;ROUNDUP(MONTH(A129)/3,0))</f>
        <v/>
      </c>
      <c r="D129" s="2">
        <f>IF(A129="","",MONTH(A129))</f>
        <v/>
      </c>
      <c r="E129" s="2">
        <f>IF(A129="","",_xlfn.ISOWEEKNUM(A129))</f>
        <v/>
      </c>
      <c r="F129" s="2">
        <f>IF(A129="","",TEXT(A129,"ddd"))</f>
        <v/>
      </c>
    </row>
    <row r="130">
      <c r="A130" s="5">
        <f>IF(A129="","",IF(A129+1&gt;INT(MAX('1_raw_log'!$B:$B)),"",A129+1))</f>
        <v/>
      </c>
      <c r="B130" s="2">
        <f>IF(A130="","",YEAR(A130))</f>
        <v/>
      </c>
      <c r="C130" s="2">
        <f>IF(A130="","","Q"&amp;ROUNDUP(MONTH(A130)/3,0))</f>
        <v/>
      </c>
      <c r="D130" s="2">
        <f>IF(A130="","",MONTH(A130))</f>
        <v/>
      </c>
      <c r="E130" s="2">
        <f>IF(A130="","",_xlfn.ISOWEEKNUM(A130))</f>
        <v/>
      </c>
      <c r="F130" s="2">
        <f>IF(A130="","",TEXT(A130,"ddd"))</f>
        <v/>
      </c>
    </row>
    <row r="131">
      <c r="A131" s="5">
        <f>IF(A130="","",IF(A130+1&gt;INT(MAX('1_raw_log'!$B:$B)),"",A130+1))</f>
        <v/>
      </c>
      <c r="B131" s="2">
        <f>IF(A131="","",YEAR(A131))</f>
        <v/>
      </c>
      <c r="C131" s="2">
        <f>IF(A131="","","Q"&amp;ROUNDUP(MONTH(A131)/3,0))</f>
        <v/>
      </c>
      <c r="D131" s="2">
        <f>IF(A131="","",MONTH(A131))</f>
        <v/>
      </c>
      <c r="E131" s="2">
        <f>IF(A131="","",_xlfn.ISOWEEKNUM(A131))</f>
        <v/>
      </c>
      <c r="F131" s="2">
        <f>IF(A131="","",TEXT(A131,"ddd"))</f>
        <v/>
      </c>
    </row>
    <row r="132">
      <c r="A132" s="5">
        <f>IF(A131="","",IF(A131+1&gt;INT(MAX('1_raw_log'!$B:$B)),"",A131+1))</f>
        <v/>
      </c>
      <c r="B132" s="2">
        <f>IF(A132="","",YEAR(A132))</f>
        <v/>
      </c>
      <c r="C132" s="2">
        <f>IF(A132="","","Q"&amp;ROUNDUP(MONTH(A132)/3,0))</f>
        <v/>
      </c>
      <c r="D132" s="2">
        <f>IF(A132="","",MONTH(A132))</f>
        <v/>
      </c>
      <c r="E132" s="2">
        <f>IF(A132="","",_xlfn.ISOWEEKNUM(A132))</f>
        <v/>
      </c>
      <c r="F132" s="2">
        <f>IF(A132="","",TEXT(A132,"ddd"))</f>
        <v/>
      </c>
    </row>
    <row r="133">
      <c r="A133" s="5">
        <f>IF(A132="","",IF(A132+1&gt;INT(MAX('1_raw_log'!$B:$B)),"",A132+1))</f>
        <v/>
      </c>
      <c r="B133" s="2">
        <f>IF(A133="","",YEAR(A133))</f>
        <v/>
      </c>
      <c r="C133" s="2">
        <f>IF(A133="","","Q"&amp;ROUNDUP(MONTH(A133)/3,0))</f>
        <v/>
      </c>
      <c r="D133" s="2">
        <f>IF(A133="","",MONTH(A133))</f>
        <v/>
      </c>
      <c r="E133" s="2">
        <f>IF(A133="","",_xlfn.ISOWEEKNUM(A133))</f>
        <v/>
      </c>
      <c r="F133" s="2">
        <f>IF(A133="","",TEXT(A133,"ddd"))</f>
        <v/>
      </c>
    </row>
    <row r="134">
      <c r="A134" s="5">
        <f>IF(A133="","",IF(A133+1&gt;INT(MAX('1_raw_log'!$B:$B)),"",A133+1))</f>
        <v/>
      </c>
      <c r="B134" s="2">
        <f>IF(A134="","",YEAR(A134))</f>
        <v/>
      </c>
      <c r="C134" s="2">
        <f>IF(A134="","","Q"&amp;ROUNDUP(MONTH(A134)/3,0))</f>
        <v/>
      </c>
      <c r="D134" s="2">
        <f>IF(A134="","",MONTH(A134))</f>
        <v/>
      </c>
      <c r="E134" s="2">
        <f>IF(A134="","",_xlfn.ISOWEEKNUM(A134))</f>
        <v/>
      </c>
      <c r="F134" s="2">
        <f>IF(A134="","",TEXT(A134,"ddd"))</f>
        <v/>
      </c>
    </row>
    <row r="135">
      <c r="A135" s="5">
        <f>IF(A134="","",IF(A134+1&gt;INT(MAX('1_raw_log'!$B:$B)),"",A134+1))</f>
        <v/>
      </c>
      <c r="B135" s="2">
        <f>IF(A135="","",YEAR(A135))</f>
        <v/>
      </c>
      <c r="C135" s="2">
        <f>IF(A135="","","Q"&amp;ROUNDUP(MONTH(A135)/3,0))</f>
        <v/>
      </c>
      <c r="D135" s="2">
        <f>IF(A135="","",MONTH(A135))</f>
        <v/>
      </c>
      <c r="E135" s="2">
        <f>IF(A135="","",_xlfn.ISOWEEKNUM(A135))</f>
        <v/>
      </c>
      <c r="F135" s="2">
        <f>IF(A135="","",TEXT(A135,"ddd"))</f>
        <v/>
      </c>
    </row>
    <row r="136">
      <c r="A136" s="5">
        <f>IF(A135="","",IF(A135+1&gt;INT(MAX('1_raw_log'!$B:$B)),"",A135+1))</f>
        <v/>
      </c>
      <c r="B136" s="2">
        <f>IF(A136="","",YEAR(A136))</f>
        <v/>
      </c>
      <c r="C136" s="2">
        <f>IF(A136="","","Q"&amp;ROUNDUP(MONTH(A136)/3,0))</f>
        <v/>
      </c>
      <c r="D136" s="2">
        <f>IF(A136="","",MONTH(A136))</f>
        <v/>
      </c>
      <c r="E136" s="2">
        <f>IF(A136="","",_xlfn.ISOWEEKNUM(A136))</f>
        <v/>
      </c>
      <c r="F136" s="2">
        <f>IF(A136="","",TEXT(A136,"ddd"))</f>
        <v/>
      </c>
    </row>
    <row r="137">
      <c r="A137" s="5">
        <f>IF(A136="","",IF(A136+1&gt;INT(MAX('1_raw_log'!$B:$B)),"",A136+1))</f>
        <v/>
      </c>
      <c r="B137" s="2">
        <f>IF(A137="","",YEAR(A137))</f>
        <v/>
      </c>
      <c r="C137" s="2">
        <f>IF(A137="","","Q"&amp;ROUNDUP(MONTH(A137)/3,0))</f>
        <v/>
      </c>
      <c r="D137" s="2">
        <f>IF(A137="","",MONTH(A137))</f>
        <v/>
      </c>
      <c r="E137" s="2">
        <f>IF(A137="","",_xlfn.ISOWEEKNUM(A137))</f>
        <v/>
      </c>
      <c r="F137" s="2">
        <f>IF(A137="","",TEXT(A137,"ddd"))</f>
        <v/>
      </c>
    </row>
    <row r="138">
      <c r="A138" s="5">
        <f>IF(A137="","",IF(A137+1&gt;INT(MAX('1_raw_log'!$B:$B)),"",A137+1))</f>
        <v/>
      </c>
      <c r="B138" s="2">
        <f>IF(A138="","",YEAR(A138))</f>
        <v/>
      </c>
      <c r="C138" s="2">
        <f>IF(A138="","","Q"&amp;ROUNDUP(MONTH(A138)/3,0))</f>
        <v/>
      </c>
      <c r="D138" s="2">
        <f>IF(A138="","",MONTH(A138))</f>
        <v/>
      </c>
      <c r="E138" s="2">
        <f>IF(A138="","",_xlfn.ISOWEEKNUM(A138))</f>
        <v/>
      </c>
      <c r="F138" s="2">
        <f>IF(A138="","",TEXT(A138,"ddd"))</f>
        <v/>
      </c>
    </row>
    <row r="139">
      <c r="A139" s="5">
        <f>IF(A138="","",IF(A138+1&gt;INT(MAX('1_raw_log'!$B:$B)),"",A138+1))</f>
        <v/>
      </c>
      <c r="B139" s="2">
        <f>IF(A139="","",YEAR(A139))</f>
        <v/>
      </c>
      <c r="C139" s="2">
        <f>IF(A139="","","Q"&amp;ROUNDUP(MONTH(A139)/3,0))</f>
        <v/>
      </c>
      <c r="D139" s="2">
        <f>IF(A139="","",MONTH(A139))</f>
        <v/>
      </c>
      <c r="E139" s="2">
        <f>IF(A139="","",_xlfn.ISOWEEKNUM(A139))</f>
        <v/>
      </c>
      <c r="F139" s="2">
        <f>IF(A139="","",TEXT(A139,"ddd"))</f>
        <v/>
      </c>
    </row>
    <row r="140">
      <c r="A140" s="5">
        <f>IF(A139="","",IF(A139+1&gt;INT(MAX('1_raw_log'!$B:$B)),"",A139+1))</f>
        <v/>
      </c>
      <c r="B140" s="2">
        <f>IF(A140="","",YEAR(A140))</f>
        <v/>
      </c>
      <c r="C140" s="2">
        <f>IF(A140="","","Q"&amp;ROUNDUP(MONTH(A140)/3,0))</f>
        <v/>
      </c>
      <c r="D140" s="2">
        <f>IF(A140="","",MONTH(A140))</f>
        <v/>
      </c>
      <c r="E140" s="2">
        <f>IF(A140="","",_xlfn.ISOWEEKNUM(A140))</f>
        <v/>
      </c>
      <c r="F140" s="2">
        <f>IF(A140="","",TEXT(A140,"ddd"))</f>
        <v/>
      </c>
    </row>
    <row r="141">
      <c r="A141" s="5">
        <f>IF(A140="","",IF(A140+1&gt;INT(MAX('1_raw_log'!$B:$B)),"",A140+1))</f>
        <v/>
      </c>
      <c r="B141" s="2">
        <f>IF(A141="","",YEAR(A141))</f>
        <v/>
      </c>
      <c r="C141" s="2">
        <f>IF(A141="","","Q"&amp;ROUNDUP(MONTH(A141)/3,0))</f>
        <v/>
      </c>
      <c r="D141" s="2">
        <f>IF(A141="","",MONTH(A141))</f>
        <v/>
      </c>
      <c r="E141" s="2">
        <f>IF(A141="","",_xlfn.ISOWEEKNUM(A141))</f>
        <v/>
      </c>
      <c r="F141" s="2">
        <f>IF(A141="","",TEXT(A141,"ddd"))</f>
        <v/>
      </c>
    </row>
    <row r="142">
      <c r="A142" s="5">
        <f>IF(A141="","",IF(A141+1&gt;INT(MAX('1_raw_log'!$B:$B)),"",A141+1))</f>
        <v/>
      </c>
      <c r="B142" s="2">
        <f>IF(A142="","",YEAR(A142))</f>
        <v/>
      </c>
      <c r="C142" s="2">
        <f>IF(A142="","","Q"&amp;ROUNDUP(MONTH(A142)/3,0))</f>
        <v/>
      </c>
      <c r="D142" s="2">
        <f>IF(A142="","",MONTH(A142))</f>
        <v/>
      </c>
      <c r="E142" s="2">
        <f>IF(A142="","",_xlfn.ISOWEEKNUM(A142))</f>
        <v/>
      </c>
      <c r="F142" s="2">
        <f>IF(A142="","",TEXT(A142,"ddd"))</f>
        <v/>
      </c>
    </row>
    <row r="143">
      <c r="A143" s="5">
        <f>IF(A142="","",IF(A142+1&gt;INT(MAX('1_raw_log'!$B:$B)),"",A142+1))</f>
        <v/>
      </c>
      <c r="B143" s="2">
        <f>IF(A143="","",YEAR(A143))</f>
        <v/>
      </c>
      <c r="C143" s="2">
        <f>IF(A143="","","Q"&amp;ROUNDUP(MONTH(A143)/3,0))</f>
        <v/>
      </c>
      <c r="D143" s="2">
        <f>IF(A143="","",MONTH(A143))</f>
        <v/>
      </c>
      <c r="E143" s="2">
        <f>IF(A143="","",_xlfn.ISOWEEKNUM(A143))</f>
        <v/>
      </c>
      <c r="F143" s="2">
        <f>IF(A143="","",TEXT(A143,"ddd"))</f>
        <v/>
      </c>
    </row>
    <row r="144">
      <c r="A144" s="5">
        <f>IF(A143="","",IF(A143+1&gt;INT(MAX('1_raw_log'!$B:$B)),"",A143+1))</f>
        <v/>
      </c>
      <c r="B144" s="2">
        <f>IF(A144="","",YEAR(A144))</f>
        <v/>
      </c>
      <c r="C144" s="2">
        <f>IF(A144="","","Q"&amp;ROUNDUP(MONTH(A144)/3,0))</f>
        <v/>
      </c>
      <c r="D144" s="2">
        <f>IF(A144="","",MONTH(A144))</f>
        <v/>
      </c>
      <c r="E144" s="2">
        <f>IF(A144="","",_xlfn.ISOWEEKNUM(A144))</f>
        <v/>
      </c>
      <c r="F144" s="2">
        <f>IF(A144="","",TEXT(A144,"ddd"))</f>
        <v/>
      </c>
    </row>
    <row r="145">
      <c r="A145" s="5">
        <f>IF(A144="","",IF(A144+1&gt;INT(MAX('1_raw_log'!$B:$B)),"",A144+1))</f>
        <v/>
      </c>
      <c r="B145" s="2">
        <f>IF(A145="","",YEAR(A145))</f>
        <v/>
      </c>
      <c r="C145" s="2">
        <f>IF(A145="","","Q"&amp;ROUNDUP(MONTH(A145)/3,0))</f>
        <v/>
      </c>
      <c r="D145" s="2">
        <f>IF(A145="","",MONTH(A145))</f>
        <v/>
      </c>
      <c r="E145" s="2">
        <f>IF(A145="","",_xlfn.ISOWEEKNUM(A145))</f>
        <v/>
      </c>
      <c r="F145" s="2">
        <f>IF(A145="","",TEXT(A145,"ddd"))</f>
        <v/>
      </c>
    </row>
    <row r="146">
      <c r="A146" s="5">
        <f>IF(A145="","",IF(A145+1&gt;INT(MAX('1_raw_log'!$B:$B)),"",A145+1))</f>
        <v/>
      </c>
      <c r="B146" s="2">
        <f>IF(A146="","",YEAR(A146))</f>
        <v/>
      </c>
      <c r="C146" s="2">
        <f>IF(A146="","","Q"&amp;ROUNDUP(MONTH(A146)/3,0))</f>
        <v/>
      </c>
      <c r="D146" s="2">
        <f>IF(A146="","",MONTH(A146))</f>
        <v/>
      </c>
      <c r="E146" s="2">
        <f>IF(A146="","",_xlfn.ISOWEEKNUM(A146))</f>
        <v/>
      </c>
      <c r="F146" s="2">
        <f>IF(A146="","",TEXT(A146,"ddd"))</f>
        <v/>
      </c>
    </row>
    <row r="147">
      <c r="A147" s="5">
        <f>IF(A146="","",IF(A146+1&gt;INT(MAX('1_raw_log'!$B:$B)),"",A146+1))</f>
        <v/>
      </c>
      <c r="B147" s="2">
        <f>IF(A147="","",YEAR(A147))</f>
        <v/>
      </c>
      <c r="C147" s="2">
        <f>IF(A147="","","Q"&amp;ROUNDUP(MONTH(A147)/3,0))</f>
        <v/>
      </c>
      <c r="D147" s="2">
        <f>IF(A147="","",MONTH(A147))</f>
        <v/>
      </c>
      <c r="E147" s="2">
        <f>IF(A147="","",_xlfn.ISOWEEKNUM(A147))</f>
        <v/>
      </c>
      <c r="F147" s="2">
        <f>IF(A147="","",TEXT(A147,"ddd"))</f>
        <v/>
      </c>
    </row>
    <row r="148">
      <c r="A148" s="5">
        <f>IF(A147="","",IF(A147+1&gt;INT(MAX('1_raw_log'!$B:$B)),"",A147+1))</f>
        <v/>
      </c>
      <c r="B148" s="2">
        <f>IF(A148="","",YEAR(A148))</f>
        <v/>
      </c>
      <c r="C148" s="2">
        <f>IF(A148="","","Q"&amp;ROUNDUP(MONTH(A148)/3,0))</f>
        <v/>
      </c>
      <c r="D148" s="2">
        <f>IF(A148="","",MONTH(A148))</f>
        <v/>
      </c>
      <c r="E148" s="2">
        <f>IF(A148="","",_xlfn.ISOWEEKNUM(A148))</f>
        <v/>
      </c>
      <c r="F148" s="2">
        <f>IF(A148="","",TEXT(A148,"ddd"))</f>
        <v/>
      </c>
    </row>
    <row r="149">
      <c r="A149" s="5">
        <f>IF(A148="","",IF(A148+1&gt;INT(MAX('1_raw_log'!$B:$B)),"",A148+1))</f>
        <v/>
      </c>
      <c r="B149" s="2">
        <f>IF(A149="","",YEAR(A149))</f>
        <v/>
      </c>
      <c r="C149" s="2">
        <f>IF(A149="","","Q"&amp;ROUNDUP(MONTH(A149)/3,0))</f>
        <v/>
      </c>
      <c r="D149" s="2">
        <f>IF(A149="","",MONTH(A149))</f>
        <v/>
      </c>
      <c r="E149" s="2">
        <f>IF(A149="","",_xlfn.ISOWEEKNUM(A149))</f>
        <v/>
      </c>
      <c r="F149" s="2">
        <f>IF(A149="","",TEXT(A149,"ddd"))</f>
        <v/>
      </c>
    </row>
    <row r="150">
      <c r="A150" s="5">
        <f>IF(A149="","",IF(A149+1&gt;INT(MAX('1_raw_log'!$B:$B)),"",A149+1))</f>
        <v/>
      </c>
      <c r="B150" s="2">
        <f>IF(A150="","",YEAR(A150))</f>
        <v/>
      </c>
      <c r="C150" s="2">
        <f>IF(A150="","","Q"&amp;ROUNDUP(MONTH(A150)/3,0))</f>
        <v/>
      </c>
      <c r="D150" s="2">
        <f>IF(A150="","",MONTH(A150))</f>
        <v/>
      </c>
      <c r="E150" s="2">
        <f>IF(A150="","",_xlfn.ISOWEEKNUM(A150))</f>
        <v/>
      </c>
      <c r="F150" s="2">
        <f>IF(A150="","",TEXT(A150,"ddd"))</f>
        <v/>
      </c>
    </row>
    <row r="151">
      <c r="A151" s="5">
        <f>IF(A150="","",IF(A150+1&gt;INT(MAX('1_raw_log'!$B:$B)),"",A150+1))</f>
        <v/>
      </c>
      <c r="B151" s="2">
        <f>IF(A151="","",YEAR(A151))</f>
        <v/>
      </c>
      <c r="C151" s="2">
        <f>IF(A151="","","Q"&amp;ROUNDUP(MONTH(A151)/3,0))</f>
        <v/>
      </c>
      <c r="D151" s="2">
        <f>IF(A151="","",MONTH(A151))</f>
        <v/>
      </c>
      <c r="E151" s="2">
        <f>IF(A151="","",_xlfn.ISOWEEKNUM(A151))</f>
        <v/>
      </c>
      <c r="F151" s="2">
        <f>IF(A151="","",TEXT(A151,"ddd"))</f>
        <v/>
      </c>
    </row>
    <row r="152">
      <c r="A152" s="5">
        <f>IF(A151="","",IF(A151+1&gt;INT(MAX('1_raw_log'!$B:$B)),"",A151+1))</f>
        <v/>
      </c>
      <c r="B152" s="2">
        <f>IF(A152="","",YEAR(A152))</f>
        <v/>
      </c>
      <c r="C152" s="2">
        <f>IF(A152="","","Q"&amp;ROUNDUP(MONTH(A152)/3,0))</f>
        <v/>
      </c>
      <c r="D152" s="2">
        <f>IF(A152="","",MONTH(A152))</f>
        <v/>
      </c>
      <c r="E152" s="2">
        <f>IF(A152="","",_xlfn.ISOWEEKNUM(A152))</f>
        <v/>
      </c>
      <c r="F152" s="2">
        <f>IF(A152="","",TEXT(A152,"ddd"))</f>
        <v/>
      </c>
    </row>
    <row r="153">
      <c r="A153" s="5">
        <f>IF(A152="","",IF(A152+1&gt;INT(MAX('1_raw_log'!$B:$B)),"",A152+1))</f>
        <v/>
      </c>
      <c r="B153" s="2">
        <f>IF(A153="","",YEAR(A153))</f>
        <v/>
      </c>
      <c r="C153" s="2">
        <f>IF(A153="","","Q"&amp;ROUNDUP(MONTH(A153)/3,0))</f>
        <v/>
      </c>
      <c r="D153" s="2">
        <f>IF(A153="","",MONTH(A153))</f>
        <v/>
      </c>
      <c r="E153" s="2">
        <f>IF(A153="","",_xlfn.ISOWEEKNUM(A153))</f>
        <v/>
      </c>
      <c r="F153" s="2">
        <f>IF(A153="","",TEXT(A153,"ddd"))</f>
        <v/>
      </c>
    </row>
    <row r="154">
      <c r="A154" s="5">
        <f>IF(A153="","",IF(A153+1&gt;INT(MAX('1_raw_log'!$B:$B)),"",A153+1))</f>
        <v/>
      </c>
      <c r="B154" s="2">
        <f>IF(A154="","",YEAR(A154))</f>
        <v/>
      </c>
      <c r="C154" s="2">
        <f>IF(A154="","","Q"&amp;ROUNDUP(MONTH(A154)/3,0))</f>
        <v/>
      </c>
      <c r="D154" s="2">
        <f>IF(A154="","",MONTH(A154))</f>
        <v/>
      </c>
      <c r="E154" s="2">
        <f>IF(A154="","",_xlfn.ISOWEEKNUM(A154))</f>
        <v/>
      </c>
      <c r="F154" s="2">
        <f>IF(A154="","",TEXT(A154,"ddd"))</f>
        <v/>
      </c>
    </row>
    <row r="155">
      <c r="A155" s="5">
        <f>IF(A154="","",IF(A154+1&gt;INT(MAX('1_raw_log'!$B:$B)),"",A154+1))</f>
        <v/>
      </c>
      <c r="B155" s="2">
        <f>IF(A155="","",YEAR(A155))</f>
        <v/>
      </c>
      <c r="C155" s="2">
        <f>IF(A155="","","Q"&amp;ROUNDUP(MONTH(A155)/3,0))</f>
        <v/>
      </c>
      <c r="D155" s="2">
        <f>IF(A155="","",MONTH(A155))</f>
        <v/>
      </c>
      <c r="E155" s="2">
        <f>IF(A155="","",_xlfn.ISOWEEKNUM(A155))</f>
        <v/>
      </c>
      <c r="F155" s="2">
        <f>IF(A155="","",TEXT(A155,"ddd"))</f>
        <v/>
      </c>
    </row>
    <row r="156">
      <c r="A156" s="5">
        <f>IF(A155="","",IF(A155+1&gt;INT(MAX('1_raw_log'!$B:$B)),"",A155+1))</f>
        <v/>
      </c>
      <c r="B156" s="2">
        <f>IF(A156="","",YEAR(A156))</f>
        <v/>
      </c>
      <c r="C156" s="2">
        <f>IF(A156="","","Q"&amp;ROUNDUP(MONTH(A156)/3,0))</f>
        <v/>
      </c>
      <c r="D156" s="2">
        <f>IF(A156="","",MONTH(A156))</f>
        <v/>
      </c>
      <c r="E156" s="2">
        <f>IF(A156="","",_xlfn.ISOWEEKNUM(A156))</f>
        <v/>
      </c>
      <c r="F156" s="2">
        <f>IF(A156="","",TEXT(A156,"ddd"))</f>
        <v/>
      </c>
    </row>
    <row r="157">
      <c r="A157" s="5">
        <f>IF(A156="","",IF(A156+1&gt;INT(MAX('1_raw_log'!$B:$B)),"",A156+1))</f>
        <v/>
      </c>
      <c r="B157" s="2">
        <f>IF(A157="","",YEAR(A157))</f>
        <v/>
      </c>
      <c r="C157" s="2">
        <f>IF(A157="","","Q"&amp;ROUNDUP(MONTH(A157)/3,0))</f>
        <v/>
      </c>
      <c r="D157" s="2">
        <f>IF(A157="","",MONTH(A157))</f>
        <v/>
      </c>
      <c r="E157" s="2">
        <f>IF(A157="","",_xlfn.ISOWEEKNUM(A157))</f>
        <v/>
      </c>
      <c r="F157" s="2">
        <f>IF(A157="","",TEXT(A157,"ddd"))</f>
        <v/>
      </c>
    </row>
    <row r="158">
      <c r="A158" s="5">
        <f>IF(A157="","",IF(A157+1&gt;INT(MAX('1_raw_log'!$B:$B)),"",A157+1))</f>
        <v/>
      </c>
      <c r="B158" s="2">
        <f>IF(A158="","",YEAR(A158))</f>
        <v/>
      </c>
      <c r="C158" s="2">
        <f>IF(A158="","","Q"&amp;ROUNDUP(MONTH(A158)/3,0))</f>
        <v/>
      </c>
      <c r="D158" s="2">
        <f>IF(A158="","",MONTH(A158))</f>
        <v/>
      </c>
      <c r="E158" s="2">
        <f>IF(A158="","",_xlfn.ISOWEEKNUM(A158))</f>
        <v/>
      </c>
      <c r="F158" s="2">
        <f>IF(A158="","",TEXT(A158,"ddd"))</f>
        <v/>
      </c>
    </row>
    <row r="159">
      <c r="A159" s="5">
        <f>IF(A158="","",IF(A158+1&gt;INT(MAX('1_raw_log'!$B:$B)),"",A158+1))</f>
        <v/>
      </c>
      <c r="B159" s="2">
        <f>IF(A159="","",YEAR(A159))</f>
        <v/>
      </c>
      <c r="C159" s="2">
        <f>IF(A159="","","Q"&amp;ROUNDUP(MONTH(A159)/3,0))</f>
        <v/>
      </c>
      <c r="D159" s="2">
        <f>IF(A159="","",MONTH(A159))</f>
        <v/>
      </c>
      <c r="E159" s="2">
        <f>IF(A159="","",_xlfn.ISOWEEKNUM(A159))</f>
        <v/>
      </c>
      <c r="F159" s="2">
        <f>IF(A159="","",TEXT(A159,"ddd"))</f>
        <v/>
      </c>
    </row>
    <row r="160">
      <c r="A160" s="5">
        <f>IF(A159="","",IF(A159+1&gt;INT(MAX('1_raw_log'!$B:$B)),"",A159+1))</f>
        <v/>
      </c>
      <c r="B160" s="2">
        <f>IF(A160="","",YEAR(A160))</f>
        <v/>
      </c>
      <c r="C160" s="2">
        <f>IF(A160="","","Q"&amp;ROUNDUP(MONTH(A160)/3,0))</f>
        <v/>
      </c>
      <c r="D160" s="2">
        <f>IF(A160="","",MONTH(A160))</f>
        <v/>
      </c>
      <c r="E160" s="2">
        <f>IF(A160="","",_xlfn.ISOWEEKNUM(A160))</f>
        <v/>
      </c>
      <c r="F160" s="2">
        <f>IF(A160="","",TEXT(A160,"ddd"))</f>
        <v/>
      </c>
    </row>
    <row r="161">
      <c r="A161" s="5">
        <f>IF(A160="","",IF(A160+1&gt;INT(MAX('1_raw_log'!$B:$B)),"",A160+1))</f>
        <v/>
      </c>
      <c r="B161" s="2">
        <f>IF(A161="","",YEAR(A161))</f>
        <v/>
      </c>
      <c r="C161" s="2">
        <f>IF(A161="","","Q"&amp;ROUNDUP(MONTH(A161)/3,0))</f>
        <v/>
      </c>
      <c r="D161" s="2">
        <f>IF(A161="","",MONTH(A161))</f>
        <v/>
      </c>
      <c r="E161" s="2">
        <f>IF(A161="","",_xlfn.ISOWEEKNUM(A161))</f>
        <v/>
      </c>
      <c r="F161" s="2">
        <f>IF(A161="","",TEXT(A161,"ddd"))</f>
        <v/>
      </c>
    </row>
    <row r="162">
      <c r="A162" s="5">
        <f>IF(A161="","",IF(A161+1&gt;INT(MAX('1_raw_log'!$B:$B)),"",A161+1))</f>
        <v/>
      </c>
      <c r="B162" s="2">
        <f>IF(A162="","",YEAR(A162))</f>
        <v/>
      </c>
      <c r="C162" s="2">
        <f>IF(A162="","","Q"&amp;ROUNDUP(MONTH(A162)/3,0))</f>
        <v/>
      </c>
      <c r="D162" s="2">
        <f>IF(A162="","",MONTH(A162))</f>
        <v/>
      </c>
      <c r="E162" s="2">
        <f>IF(A162="","",_xlfn.ISOWEEKNUM(A162))</f>
        <v/>
      </c>
      <c r="F162" s="2">
        <f>IF(A162="","",TEXT(A162,"ddd"))</f>
        <v/>
      </c>
    </row>
    <row r="163">
      <c r="A163" s="5">
        <f>IF(A162="","",IF(A162+1&gt;INT(MAX('1_raw_log'!$B:$B)),"",A162+1))</f>
        <v/>
      </c>
      <c r="B163" s="2">
        <f>IF(A163="","",YEAR(A163))</f>
        <v/>
      </c>
      <c r="C163" s="2">
        <f>IF(A163="","","Q"&amp;ROUNDUP(MONTH(A163)/3,0))</f>
        <v/>
      </c>
      <c r="D163" s="2">
        <f>IF(A163="","",MONTH(A163))</f>
        <v/>
      </c>
      <c r="E163" s="2">
        <f>IF(A163="","",_xlfn.ISOWEEKNUM(A163))</f>
        <v/>
      </c>
      <c r="F163" s="2">
        <f>IF(A163="","",TEXT(A163,"ddd"))</f>
        <v/>
      </c>
    </row>
    <row r="164">
      <c r="A164" s="5">
        <f>IF(A163="","",IF(A163+1&gt;INT(MAX('1_raw_log'!$B:$B)),"",A163+1))</f>
        <v/>
      </c>
      <c r="B164" s="2">
        <f>IF(A164="","",YEAR(A164))</f>
        <v/>
      </c>
      <c r="C164" s="2">
        <f>IF(A164="","","Q"&amp;ROUNDUP(MONTH(A164)/3,0))</f>
        <v/>
      </c>
      <c r="D164" s="2">
        <f>IF(A164="","",MONTH(A164))</f>
        <v/>
      </c>
      <c r="E164" s="2">
        <f>IF(A164="","",_xlfn.ISOWEEKNUM(A164))</f>
        <v/>
      </c>
      <c r="F164" s="2">
        <f>IF(A164="","",TEXT(A164,"ddd"))</f>
        <v/>
      </c>
    </row>
    <row r="165">
      <c r="A165" s="5">
        <f>IF(A164="","",IF(A164+1&gt;INT(MAX('1_raw_log'!$B:$B)),"",A164+1))</f>
        <v/>
      </c>
      <c r="B165" s="2">
        <f>IF(A165="","",YEAR(A165))</f>
        <v/>
      </c>
      <c r="C165" s="2">
        <f>IF(A165="","","Q"&amp;ROUNDUP(MONTH(A165)/3,0))</f>
        <v/>
      </c>
      <c r="D165" s="2">
        <f>IF(A165="","",MONTH(A165))</f>
        <v/>
      </c>
      <c r="E165" s="2">
        <f>IF(A165="","",_xlfn.ISOWEEKNUM(A165))</f>
        <v/>
      </c>
      <c r="F165" s="2">
        <f>IF(A165="","",TEXT(A165,"ddd"))</f>
        <v/>
      </c>
    </row>
    <row r="166">
      <c r="A166" s="5">
        <f>IF(A165="","",IF(A165+1&gt;INT(MAX('1_raw_log'!$B:$B)),"",A165+1))</f>
        <v/>
      </c>
      <c r="B166" s="2">
        <f>IF(A166="","",YEAR(A166))</f>
        <v/>
      </c>
      <c r="C166" s="2">
        <f>IF(A166="","","Q"&amp;ROUNDUP(MONTH(A166)/3,0))</f>
        <v/>
      </c>
      <c r="D166" s="2">
        <f>IF(A166="","",MONTH(A166))</f>
        <v/>
      </c>
      <c r="E166" s="2">
        <f>IF(A166="","",_xlfn.ISOWEEKNUM(A166))</f>
        <v/>
      </c>
      <c r="F166" s="2">
        <f>IF(A166="","",TEXT(A166,"ddd"))</f>
        <v/>
      </c>
    </row>
    <row r="167">
      <c r="A167" s="5">
        <f>IF(A166="","",IF(A166+1&gt;INT(MAX('1_raw_log'!$B:$B)),"",A166+1))</f>
        <v/>
      </c>
      <c r="B167" s="2">
        <f>IF(A167="","",YEAR(A167))</f>
        <v/>
      </c>
      <c r="C167" s="2">
        <f>IF(A167="","","Q"&amp;ROUNDUP(MONTH(A167)/3,0))</f>
        <v/>
      </c>
      <c r="D167" s="2">
        <f>IF(A167="","",MONTH(A167))</f>
        <v/>
      </c>
      <c r="E167" s="2">
        <f>IF(A167="","",_xlfn.ISOWEEKNUM(A167))</f>
        <v/>
      </c>
      <c r="F167" s="2">
        <f>IF(A167="","",TEXT(A167,"ddd"))</f>
        <v/>
      </c>
    </row>
    <row r="168">
      <c r="A168" s="5">
        <f>IF(A167="","",IF(A167+1&gt;INT(MAX('1_raw_log'!$B:$B)),"",A167+1))</f>
        <v/>
      </c>
      <c r="B168" s="2">
        <f>IF(A168="","",YEAR(A168))</f>
        <v/>
      </c>
      <c r="C168" s="2">
        <f>IF(A168="","","Q"&amp;ROUNDUP(MONTH(A168)/3,0))</f>
        <v/>
      </c>
      <c r="D168" s="2">
        <f>IF(A168="","",MONTH(A168))</f>
        <v/>
      </c>
      <c r="E168" s="2">
        <f>IF(A168="","",_xlfn.ISOWEEKNUM(A168))</f>
        <v/>
      </c>
      <c r="F168" s="2">
        <f>IF(A168="","",TEXT(A168,"ddd"))</f>
        <v/>
      </c>
    </row>
    <row r="169">
      <c r="A169" s="5">
        <f>IF(A168="","",IF(A168+1&gt;INT(MAX('1_raw_log'!$B:$B)),"",A168+1))</f>
        <v/>
      </c>
      <c r="B169" s="2">
        <f>IF(A169="","",YEAR(A169))</f>
        <v/>
      </c>
      <c r="C169" s="2">
        <f>IF(A169="","","Q"&amp;ROUNDUP(MONTH(A169)/3,0))</f>
        <v/>
      </c>
      <c r="D169" s="2">
        <f>IF(A169="","",MONTH(A169))</f>
        <v/>
      </c>
      <c r="E169" s="2">
        <f>IF(A169="","",_xlfn.ISOWEEKNUM(A169))</f>
        <v/>
      </c>
      <c r="F169" s="2">
        <f>IF(A169="","",TEXT(A169,"ddd"))</f>
        <v/>
      </c>
    </row>
    <row r="170">
      <c r="A170" s="5">
        <f>IF(A169="","",IF(A169+1&gt;INT(MAX('1_raw_log'!$B:$B)),"",A169+1))</f>
        <v/>
      </c>
      <c r="B170" s="2">
        <f>IF(A170="","",YEAR(A170))</f>
        <v/>
      </c>
      <c r="C170" s="2">
        <f>IF(A170="","","Q"&amp;ROUNDUP(MONTH(A170)/3,0))</f>
        <v/>
      </c>
      <c r="D170" s="2">
        <f>IF(A170="","",MONTH(A170))</f>
        <v/>
      </c>
      <c r="E170" s="2">
        <f>IF(A170="","",_xlfn.ISOWEEKNUM(A170))</f>
        <v/>
      </c>
      <c r="F170" s="2">
        <f>IF(A170="","",TEXT(A170,"ddd"))</f>
        <v/>
      </c>
    </row>
    <row r="171">
      <c r="A171" s="5">
        <f>IF(A170="","",IF(A170+1&gt;INT(MAX('1_raw_log'!$B:$B)),"",A170+1))</f>
        <v/>
      </c>
      <c r="B171" s="2">
        <f>IF(A171="","",YEAR(A171))</f>
        <v/>
      </c>
      <c r="C171" s="2">
        <f>IF(A171="","","Q"&amp;ROUNDUP(MONTH(A171)/3,0))</f>
        <v/>
      </c>
      <c r="D171" s="2">
        <f>IF(A171="","",MONTH(A171))</f>
        <v/>
      </c>
      <c r="E171" s="2">
        <f>IF(A171="","",_xlfn.ISOWEEKNUM(A171))</f>
        <v/>
      </c>
      <c r="F171" s="2">
        <f>IF(A171="","",TEXT(A171,"ddd"))</f>
        <v/>
      </c>
    </row>
    <row r="172">
      <c r="A172" s="5">
        <f>IF(A171="","",IF(A171+1&gt;INT(MAX('1_raw_log'!$B:$B)),"",A171+1))</f>
        <v/>
      </c>
      <c r="B172" s="2">
        <f>IF(A172="","",YEAR(A172))</f>
        <v/>
      </c>
      <c r="C172" s="2">
        <f>IF(A172="","","Q"&amp;ROUNDUP(MONTH(A172)/3,0))</f>
        <v/>
      </c>
      <c r="D172" s="2">
        <f>IF(A172="","",MONTH(A172))</f>
        <v/>
      </c>
      <c r="E172" s="2">
        <f>IF(A172="","",_xlfn.ISOWEEKNUM(A172))</f>
        <v/>
      </c>
      <c r="F172" s="2">
        <f>IF(A172="","",TEXT(A172,"ddd"))</f>
        <v/>
      </c>
    </row>
    <row r="173">
      <c r="A173" s="5">
        <f>IF(A172="","",IF(A172+1&gt;INT(MAX('1_raw_log'!$B:$B)),"",A172+1))</f>
        <v/>
      </c>
      <c r="B173" s="2">
        <f>IF(A173="","",YEAR(A173))</f>
        <v/>
      </c>
      <c r="C173" s="2">
        <f>IF(A173="","","Q"&amp;ROUNDUP(MONTH(A173)/3,0))</f>
        <v/>
      </c>
      <c r="D173" s="2">
        <f>IF(A173="","",MONTH(A173))</f>
        <v/>
      </c>
      <c r="E173" s="2">
        <f>IF(A173="","",_xlfn.ISOWEEKNUM(A173))</f>
        <v/>
      </c>
      <c r="F173" s="2">
        <f>IF(A173="","",TEXT(A173,"ddd"))</f>
        <v/>
      </c>
    </row>
    <row r="174">
      <c r="A174" s="5">
        <f>IF(A173="","",IF(A173+1&gt;INT(MAX('1_raw_log'!$B:$B)),"",A173+1))</f>
        <v/>
      </c>
      <c r="B174" s="2">
        <f>IF(A174="","",YEAR(A174))</f>
        <v/>
      </c>
      <c r="C174" s="2">
        <f>IF(A174="","","Q"&amp;ROUNDUP(MONTH(A174)/3,0))</f>
        <v/>
      </c>
      <c r="D174" s="2">
        <f>IF(A174="","",MONTH(A174))</f>
        <v/>
      </c>
      <c r="E174" s="2">
        <f>IF(A174="","",_xlfn.ISOWEEKNUM(A174))</f>
        <v/>
      </c>
      <c r="F174" s="2">
        <f>IF(A174="","",TEXT(A174,"ddd"))</f>
        <v/>
      </c>
    </row>
    <row r="175">
      <c r="A175" s="5">
        <f>IF(A174="","",IF(A174+1&gt;INT(MAX('1_raw_log'!$B:$B)),"",A174+1))</f>
        <v/>
      </c>
      <c r="B175" s="2">
        <f>IF(A175="","",YEAR(A175))</f>
        <v/>
      </c>
      <c r="C175" s="2">
        <f>IF(A175="","","Q"&amp;ROUNDUP(MONTH(A175)/3,0))</f>
        <v/>
      </c>
      <c r="D175" s="2">
        <f>IF(A175="","",MONTH(A175))</f>
        <v/>
      </c>
      <c r="E175" s="2">
        <f>IF(A175="","",_xlfn.ISOWEEKNUM(A175))</f>
        <v/>
      </c>
      <c r="F175" s="2">
        <f>IF(A175="","",TEXT(A175,"ddd"))</f>
        <v/>
      </c>
    </row>
    <row r="176">
      <c r="A176" s="5">
        <f>IF(A175="","",IF(A175+1&gt;INT(MAX('1_raw_log'!$B:$B)),"",A175+1))</f>
        <v/>
      </c>
      <c r="B176" s="2">
        <f>IF(A176="","",YEAR(A176))</f>
        <v/>
      </c>
      <c r="C176" s="2">
        <f>IF(A176="","","Q"&amp;ROUNDUP(MONTH(A176)/3,0))</f>
        <v/>
      </c>
      <c r="D176" s="2">
        <f>IF(A176="","",MONTH(A176))</f>
        <v/>
      </c>
      <c r="E176" s="2">
        <f>IF(A176="","",_xlfn.ISOWEEKNUM(A176))</f>
        <v/>
      </c>
      <c r="F176" s="2">
        <f>IF(A176="","",TEXT(A176,"ddd"))</f>
        <v/>
      </c>
    </row>
    <row r="177">
      <c r="A177" s="5">
        <f>IF(A176="","",IF(A176+1&gt;INT(MAX('1_raw_log'!$B:$B)),"",A176+1))</f>
        <v/>
      </c>
      <c r="B177" s="2">
        <f>IF(A177="","",YEAR(A177))</f>
        <v/>
      </c>
      <c r="C177" s="2">
        <f>IF(A177="","","Q"&amp;ROUNDUP(MONTH(A177)/3,0))</f>
        <v/>
      </c>
      <c r="D177" s="2">
        <f>IF(A177="","",MONTH(A177))</f>
        <v/>
      </c>
      <c r="E177" s="2">
        <f>IF(A177="","",_xlfn.ISOWEEKNUM(A177))</f>
        <v/>
      </c>
      <c r="F177" s="2">
        <f>IF(A177="","",TEXT(A177,"ddd"))</f>
        <v/>
      </c>
    </row>
    <row r="178">
      <c r="A178" s="5">
        <f>IF(A177="","",IF(A177+1&gt;INT(MAX('1_raw_log'!$B:$B)),"",A177+1))</f>
        <v/>
      </c>
      <c r="B178" s="2">
        <f>IF(A178="","",YEAR(A178))</f>
        <v/>
      </c>
      <c r="C178" s="2">
        <f>IF(A178="","","Q"&amp;ROUNDUP(MONTH(A178)/3,0))</f>
        <v/>
      </c>
      <c r="D178" s="2">
        <f>IF(A178="","",MONTH(A178))</f>
        <v/>
      </c>
      <c r="E178" s="2">
        <f>IF(A178="","",_xlfn.ISOWEEKNUM(A178))</f>
        <v/>
      </c>
      <c r="F178" s="2">
        <f>IF(A178="","",TEXT(A178,"ddd"))</f>
        <v/>
      </c>
    </row>
    <row r="179">
      <c r="A179" s="5">
        <f>IF(A178="","",IF(A178+1&gt;INT(MAX('1_raw_log'!$B:$B)),"",A178+1))</f>
        <v/>
      </c>
      <c r="B179" s="2">
        <f>IF(A179="","",YEAR(A179))</f>
        <v/>
      </c>
      <c r="C179" s="2">
        <f>IF(A179="","","Q"&amp;ROUNDUP(MONTH(A179)/3,0))</f>
        <v/>
      </c>
      <c r="D179" s="2">
        <f>IF(A179="","",MONTH(A179))</f>
        <v/>
      </c>
      <c r="E179" s="2">
        <f>IF(A179="","",_xlfn.ISOWEEKNUM(A179))</f>
        <v/>
      </c>
      <c r="F179" s="2">
        <f>IF(A179="","",TEXT(A179,"ddd"))</f>
        <v/>
      </c>
    </row>
    <row r="180">
      <c r="A180" s="5">
        <f>IF(A179="","",IF(A179+1&gt;INT(MAX('1_raw_log'!$B:$B)),"",A179+1))</f>
        <v/>
      </c>
      <c r="B180" s="2">
        <f>IF(A180="","",YEAR(A180))</f>
        <v/>
      </c>
      <c r="C180" s="2">
        <f>IF(A180="","","Q"&amp;ROUNDUP(MONTH(A180)/3,0))</f>
        <v/>
      </c>
      <c r="D180" s="2">
        <f>IF(A180="","",MONTH(A180))</f>
        <v/>
      </c>
      <c r="E180" s="2">
        <f>IF(A180="","",_xlfn.ISOWEEKNUM(A180))</f>
        <v/>
      </c>
      <c r="F180" s="2">
        <f>IF(A180="","",TEXT(A180,"ddd"))</f>
        <v/>
      </c>
    </row>
    <row r="181">
      <c r="A181" s="5">
        <f>IF(A180="","",IF(A180+1&gt;INT(MAX('1_raw_log'!$B:$B)),"",A180+1))</f>
        <v/>
      </c>
      <c r="B181" s="2">
        <f>IF(A181="","",YEAR(A181))</f>
        <v/>
      </c>
      <c r="C181" s="2">
        <f>IF(A181="","","Q"&amp;ROUNDUP(MONTH(A181)/3,0))</f>
        <v/>
      </c>
      <c r="D181" s="2">
        <f>IF(A181="","",MONTH(A181))</f>
        <v/>
      </c>
      <c r="E181" s="2">
        <f>IF(A181="","",_xlfn.ISOWEEKNUM(A181))</f>
        <v/>
      </c>
      <c r="F181" s="2">
        <f>IF(A181="","",TEXT(A181,"ddd"))</f>
        <v/>
      </c>
    </row>
    <row r="182">
      <c r="A182" s="5">
        <f>IF(A181="","",IF(A181+1&gt;INT(MAX('1_raw_log'!$B:$B)),"",A181+1))</f>
        <v/>
      </c>
      <c r="B182" s="2">
        <f>IF(A182="","",YEAR(A182))</f>
        <v/>
      </c>
      <c r="C182" s="2">
        <f>IF(A182="","","Q"&amp;ROUNDUP(MONTH(A182)/3,0))</f>
        <v/>
      </c>
      <c r="D182" s="2">
        <f>IF(A182="","",MONTH(A182))</f>
        <v/>
      </c>
      <c r="E182" s="2">
        <f>IF(A182="","",_xlfn.ISOWEEKNUM(A182))</f>
        <v/>
      </c>
      <c r="F182" s="2">
        <f>IF(A182="","",TEXT(A182,"ddd"))</f>
        <v/>
      </c>
    </row>
    <row r="183">
      <c r="A183" s="5">
        <f>IF(A182="","",IF(A182+1&gt;INT(MAX('1_raw_log'!$B:$B)),"",A182+1))</f>
        <v/>
      </c>
      <c r="B183" s="2">
        <f>IF(A183="","",YEAR(A183))</f>
        <v/>
      </c>
      <c r="C183" s="2">
        <f>IF(A183="","","Q"&amp;ROUNDUP(MONTH(A183)/3,0))</f>
        <v/>
      </c>
      <c r="D183" s="2">
        <f>IF(A183="","",MONTH(A183))</f>
        <v/>
      </c>
      <c r="E183" s="2">
        <f>IF(A183="","",_xlfn.ISOWEEKNUM(A183))</f>
        <v/>
      </c>
      <c r="F183" s="2">
        <f>IF(A183="","",TEXT(A183,"ddd"))</f>
        <v/>
      </c>
    </row>
    <row r="184">
      <c r="A184" s="5">
        <f>IF(A183="","",IF(A183+1&gt;INT(MAX('1_raw_log'!$B:$B)),"",A183+1))</f>
        <v/>
      </c>
      <c r="B184" s="2">
        <f>IF(A184="","",YEAR(A184))</f>
        <v/>
      </c>
      <c r="C184" s="2">
        <f>IF(A184="","","Q"&amp;ROUNDUP(MONTH(A184)/3,0))</f>
        <v/>
      </c>
      <c r="D184" s="2">
        <f>IF(A184="","",MONTH(A184))</f>
        <v/>
      </c>
      <c r="E184" s="2">
        <f>IF(A184="","",_xlfn.ISOWEEKNUM(A184))</f>
        <v/>
      </c>
      <c r="F184" s="2">
        <f>IF(A184="","",TEXT(A184,"ddd"))</f>
        <v/>
      </c>
    </row>
    <row r="185">
      <c r="A185" s="5">
        <f>IF(A184="","",IF(A184+1&gt;INT(MAX('1_raw_log'!$B:$B)),"",A184+1))</f>
        <v/>
      </c>
      <c r="B185" s="2">
        <f>IF(A185="","",YEAR(A185))</f>
        <v/>
      </c>
      <c r="C185" s="2">
        <f>IF(A185="","","Q"&amp;ROUNDUP(MONTH(A185)/3,0))</f>
        <v/>
      </c>
      <c r="D185" s="2">
        <f>IF(A185="","",MONTH(A185))</f>
        <v/>
      </c>
      <c r="E185" s="2">
        <f>IF(A185="","",_xlfn.ISOWEEKNUM(A185))</f>
        <v/>
      </c>
      <c r="F185" s="2">
        <f>IF(A185="","",TEXT(A185,"ddd"))</f>
        <v/>
      </c>
    </row>
    <row r="186">
      <c r="A186" s="5">
        <f>IF(A185="","",IF(A185+1&gt;INT(MAX('1_raw_log'!$B:$B)),"",A185+1))</f>
        <v/>
      </c>
      <c r="B186" s="2">
        <f>IF(A186="","",YEAR(A186))</f>
        <v/>
      </c>
      <c r="C186" s="2">
        <f>IF(A186="","","Q"&amp;ROUNDUP(MONTH(A186)/3,0))</f>
        <v/>
      </c>
      <c r="D186" s="2">
        <f>IF(A186="","",MONTH(A186))</f>
        <v/>
      </c>
      <c r="E186" s="2">
        <f>IF(A186="","",_xlfn.ISOWEEKNUM(A186))</f>
        <v/>
      </c>
      <c r="F186" s="2">
        <f>IF(A186="","",TEXT(A186,"ddd"))</f>
        <v/>
      </c>
    </row>
    <row r="187">
      <c r="A187" s="5">
        <f>IF(A186="","",IF(A186+1&gt;INT(MAX('1_raw_log'!$B:$B)),"",A186+1))</f>
        <v/>
      </c>
      <c r="B187" s="2">
        <f>IF(A187="","",YEAR(A187))</f>
        <v/>
      </c>
      <c r="C187" s="2">
        <f>IF(A187="","","Q"&amp;ROUNDUP(MONTH(A187)/3,0))</f>
        <v/>
      </c>
      <c r="D187" s="2">
        <f>IF(A187="","",MONTH(A187))</f>
        <v/>
      </c>
      <c r="E187" s="2">
        <f>IF(A187="","",_xlfn.ISOWEEKNUM(A187))</f>
        <v/>
      </c>
      <c r="F187" s="2">
        <f>IF(A187="","",TEXT(A187,"ddd"))</f>
        <v/>
      </c>
    </row>
    <row r="188">
      <c r="A188" s="5">
        <f>IF(A187="","",IF(A187+1&gt;INT(MAX('1_raw_log'!$B:$B)),"",A187+1))</f>
        <v/>
      </c>
      <c r="B188" s="2">
        <f>IF(A188="","",YEAR(A188))</f>
        <v/>
      </c>
      <c r="C188" s="2">
        <f>IF(A188="","","Q"&amp;ROUNDUP(MONTH(A188)/3,0))</f>
        <v/>
      </c>
      <c r="D188" s="2">
        <f>IF(A188="","",MONTH(A188))</f>
        <v/>
      </c>
      <c r="E188" s="2">
        <f>IF(A188="","",_xlfn.ISOWEEKNUM(A188))</f>
        <v/>
      </c>
      <c r="F188" s="2">
        <f>IF(A188="","",TEXT(A188,"ddd"))</f>
        <v/>
      </c>
    </row>
    <row r="189">
      <c r="A189" s="5">
        <f>IF(A188="","",IF(A188+1&gt;INT(MAX('1_raw_log'!$B:$B)),"",A188+1))</f>
        <v/>
      </c>
      <c r="B189" s="2">
        <f>IF(A189="","",YEAR(A189))</f>
        <v/>
      </c>
      <c r="C189" s="2">
        <f>IF(A189="","","Q"&amp;ROUNDUP(MONTH(A189)/3,0))</f>
        <v/>
      </c>
      <c r="D189" s="2">
        <f>IF(A189="","",MONTH(A189))</f>
        <v/>
      </c>
      <c r="E189" s="2">
        <f>IF(A189="","",_xlfn.ISOWEEKNUM(A189))</f>
        <v/>
      </c>
      <c r="F189" s="2">
        <f>IF(A189="","",TEXT(A189,"ddd"))</f>
        <v/>
      </c>
    </row>
    <row r="190">
      <c r="A190" s="5">
        <f>IF(A189="","",IF(A189+1&gt;INT(MAX('1_raw_log'!$B:$B)),"",A189+1))</f>
        <v/>
      </c>
      <c r="B190" s="2">
        <f>IF(A190="","",YEAR(A190))</f>
        <v/>
      </c>
      <c r="C190" s="2">
        <f>IF(A190="","","Q"&amp;ROUNDUP(MONTH(A190)/3,0))</f>
        <v/>
      </c>
      <c r="D190" s="2">
        <f>IF(A190="","",MONTH(A190))</f>
        <v/>
      </c>
      <c r="E190" s="2">
        <f>IF(A190="","",_xlfn.ISOWEEKNUM(A190))</f>
        <v/>
      </c>
      <c r="F190" s="2">
        <f>IF(A190="","",TEXT(A190,"ddd"))</f>
        <v/>
      </c>
    </row>
    <row r="191">
      <c r="A191" s="5">
        <f>IF(A190="","",IF(A190+1&gt;INT(MAX('1_raw_log'!$B:$B)),"",A190+1))</f>
        <v/>
      </c>
      <c r="B191" s="2">
        <f>IF(A191="","",YEAR(A191))</f>
        <v/>
      </c>
      <c r="C191" s="2">
        <f>IF(A191="","","Q"&amp;ROUNDUP(MONTH(A191)/3,0))</f>
        <v/>
      </c>
      <c r="D191" s="2">
        <f>IF(A191="","",MONTH(A191))</f>
        <v/>
      </c>
      <c r="E191" s="2">
        <f>IF(A191="","",_xlfn.ISOWEEKNUM(A191))</f>
        <v/>
      </c>
      <c r="F191" s="2">
        <f>IF(A191="","",TEXT(A191,"ddd"))</f>
        <v/>
      </c>
    </row>
    <row r="192">
      <c r="A192" s="5">
        <f>IF(A191="","",IF(A191+1&gt;INT(MAX('1_raw_log'!$B:$B)),"",A191+1))</f>
        <v/>
      </c>
      <c r="B192" s="2">
        <f>IF(A192="","",YEAR(A192))</f>
        <v/>
      </c>
      <c r="C192" s="2">
        <f>IF(A192="","","Q"&amp;ROUNDUP(MONTH(A192)/3,0))</f>
        <v/>
      </c>
      <c r="D192" s="2">
        <f>IF(A192="","",MONTH(A192))</f>
        <v/>
      </c>
      <c r="E192" s="2">
        <f>IF(A192="","",_xlfn.ISOWEEKNUM(A192))</f>
        <v/>
      </c>
      <c r="F192" s="2">
        <f>IF(A192="","",TEXT(A192,"ddd"))</f>
        <v/>
      </c>
    </row>
    <row r="193">
      <c r="A193" s="5">
        <f>IF(A192="","",IF(A192+1&gt;INT(MAX('1_raw_log'!$B:$B)),"",A192+1))</f>
        <v/>
      </c>
      <c r="B193" s="2">
        <f>IF(A193="","",YEAR(A193))</f>
        <v/>
      </c>
      <c r="C193" s="2">
        <f>IF(A193="","","Q"&amp;ROUNDUP(MONTH(A193)/3,0))</f>
        <v/>
      </c>
      <c r="D193" s="2">
        <f>IF(A193="","",MONTH(A193))</f>
        <v/>
      </c>
      <c r="E193" s="2">
        <f>IF(A193="","",_xlfn.ISOWEEKNUM(A193))</f>
        <v/>
      </c>
      <c r="F193" s="2">
        <f>IF(A193="","",TEXT(A193,"ddd"))</f>
        <v/>
      </c>
    </row>
    <row r="194">
      <c r="A194" s="5">
        <f>IF(A193="","",IF(A193+1&gt;INT(MAX('1_raw_log'!$B:$B)),"",A193+1))</f>
        <v/>
      </c>
      <c r="B194" s="2">
        <f>IF(A194="","",YEAR(A194))</f>
        <v/>
      </c>
      <c r="C194" s="2">
        <f>IF(A194="","","Q"&amp;ROUNDUP(MONTH(A194)/3,0))</f>
        <v/>
      </c>
      <c r="D194" s="2">
        <f>IF(A194="","",MONTH(A194))</f>
        <v/>
      </c>
      <c r="E194" s="2">
        <f>IF(A194="","",_xlfn.ISOWEEKNUM(A194))</f>
        <v/>
      </c>
      <c r="F194" s="2">
        <f>IF(A194="","",TEXT(A194,"ddd"))</f>
        <v/>
      </c>
    </row>
    <row r="195">
      <c r="A195" s="5">
        <f>IF(A194="","",IF(A194+1&gt;INT(MAX('1_raw_log'!$B:$B)),"",A194+1))</f>
        <v/>
      </c>
      <c r="B195" s="2">
        <f>IF(A195="","",YEAR(A195))</f>
        <v/>
      </c>
      <c r="C195" s="2">
        <f>IF(A195="","","Q"&amp;ROUNDUP(MONTH(A195)/3,0))</f>
        <v/>
      </c>
      <c r="D195" s="2">
        <f>IF(A195="","",MONTH(A195))</f>
        <v/>
      </c>
      <c r="E195" s="2">
        <f>IF(A195="","",_xlfn.ISOWEEKNUM(A195))</f>
        <v/>
      </c>
      <c r="F195" s="2">
        <f>IF(A195="","",TEXT(A195,"ddd"))</f>
        <v/>
      </c>
    </row>
    <row r="196">
      <c r="A196" s="5">
        <f>IF(A195="","",IF(A195+1&gt;INT(MAX('1_raw_log'!$B:$B)),"",A195+1))</f>
        <v/>
      </c>
      <c r="B196" s="2">
        <f>IF(A196="","",YEAR(A196))</f>
        <v/>
      </c>
      <c r="C196" s="2">
        <f>IF(A196="","","Q"&amp;ROUNDUP(MONTH(A196)/3,0))</f>
        <v/>
      </c>
      <c r="D196" s="2">
        <f>IF(A196="","",MONTH(A196))</f>
        <v/>
      </c>
      <c r="E196" s="2">
        <f>IF(A196="","",_xlfn.ISOWEEKNUM(A196))</f>
        <v/>
      </c>
      <c r="F196" s="2">
        <f>IF(A196="","",TEXT(A196,"ddd"))</f>
        <v/>
      </c>
    </row>
    <row r="197">
      <c r="A197" s="5">
        <f>IF(A196="","",IF(A196+1&gt;INT(MAX('1_raw_log'!$B:$B)),"",A196+1))</f>
        <v/>
      </c>
      <c r="B197" s="2">
        <f>IF(A197="","",YEAR(A197))</f>
        <v/>
      </c>
      <c r="C197" s="2">
        <f>IF(A197="","","Q"&amp;ROUNDUP(MONTH(A197)/3,0))</f>
        <v/>
      </c>
      <c r="D197" s="2">
        <f>IF(A197="","",MONTH(A197))</f>
        <v/>
      </c>
      <c r="E197" s="2">
        <f>IF(A197="","",_xlfn.ISOWEEKNUM(A197))</f>
        <v/>
      </c>
      <c r="F197" s="2">
        <f>IF(A197="","",TEXT(A197,"ddd"))</f>
        <v/>
      </c>
    </row>
    <row r="198">
      <c r="A198" s="5">
        <f>IF(A197="","",IF(A197+1&gt;INT(MAX('1_raw_log'!$B:$B)),"",A197+1))</f>
        <v/>
      </c>
      <c r="B198" s="2">
        <f>IF(A198="","",YEAR(A198))</f>
        <v/>
      </c>
      <c r="C198" s="2">
        <f>IF(A198="","","Q"&amp;ROUNDUP(MONTH(A198)/3,0))</f>
        <v/>
      </c>
      <c r="D198" s="2">
        <f>IF(A198="","",MONTH(A198))</f>
        <v/>
      </c>
      <c r="E198" s="2">
        <f>IF(A198="","",_xlfn.ISOWEEKNUM(A198))</f>
        <v/>
      </c>
      <c r="F198" s="2">
        <f>IF(A198="","",TEXT(A198,"ddd"))</f>
        <v/>
      </c>
    </row>
    <row r="199">
      <c r="A199" s="5">
        <f>IF(A198="","",IF(A198+1&gt;INT(MAX('1_raw_log'!$B:$B)),"",A198+1))</f>
        <v/>
      </c>
      <c r="B199" s="2">
        <f>IF(A199="","",YEAR(A199))</f>
        <v/>
      </c>
      <c r="C199" s="2">
        <f>IF(A199="","","Q"&amp;ROUNDUP(MONTH(A199)/3,0))</f>
        <v/>
      </c>
      <c r="D199" s="2">
        <f>IF(A199="","",MONTH(A199))</f>
        <v/>
      </c>
      <c r="E199" s="2">
        <f>IF(A199="","",_xlfn.ISOWEEKNUM(A199))</f>
        <v/>
      </c>
      <c r="F199" s="2">
        <f>IF(A199="","",TEXT(A199,"ddd"))</f>
        <v/>
      </c>
    </row>
    <row r="200">
      <c r="A200" s="5">
        <f>IF(A199="","",IF(A199+1&gt;INT(MAX('1_raw_log'!$B:$B)),"",A199+1))</f>
        <v/>
      </c>
      <c r="B200" s="2">
        <f>IF(A200="","",YEAR(A200))</f>
        <v/>
      </c>
      <c r="C200" s="2">
        <f>IF(A200="","","Q"&amp;ROUNDUP(MONTH(A200)/3,0))</f>
        <v/>
      </c>
      <c r="D200" s="2">
        <f>IF(A200="","",MONTH(A200))</f>
        <v/>
      </c>
      <c r="E200" s="2">
        <f>IF(A200="","",_xlfn.ISOWEEKNUM(A200))</f>
        <v/>
      </c>
      <c r="F200" s="2">
        <f>IF(A200="","",TEXT(A200,"ddd"))</f>
        <v/>
      </c>
    </row>
    <row r="201">
      <c r="A201" s="5">
        <f>IF(A200="","",IF(A200+1&gt;INT(MAX('1_raw_log'!$B:$B)),"",A200+1))</f>
        <v/>
      </c>
      <c r="B201" s="2">
        <f>IF(A201="","",YEAR(A201))</f>
        <v/>
      </c>
      <c r="C201" s="2">
        <f>IF(A201="","","Q"&amp;ROUNDUP(MONTH(A201)/3,0))</f>
        <v/>
      </c>
      <c r="D201" s="2">
        <f>IF(A201="","",MONTH(A201))</f>
        <v/>
      </c>
      <c r="E201" s="2">
        <f>IF(A201="","",_xlfn.ISOWEEKNUM(A201))</f>
        <v/>
      </c>
      <c r="F201" s="2">
        <f>IF(A201="","",TEXT(A201,"ddd"))</f>
        <v/>
      </c>
    </row>
    <row r="202">
      <c r="A202" s="5">
        <f>IF(A201="","",IF(A201+1&gt;INT(MAX('1_raw_log'!$B:$B)),"",A201+1))</f>
        <v/>
      </c>
      <c r="B202" s="2">
        <f>IF(A202="","",YEAR(A202))</f>
        <v/>
      </c>
      <c r="C202" s="2">
        <f>IF(A202="","","Q"&amp;ROUNDUP(MONTH(A202)/3,0))</f>
        <v/>
      </c>
      <c r="D202" s="2">
        <f>IF(A202="","",MONTH(A202))</f>
        <v/>
      </c>
      <c r="E202" s="2">
        <f>IF(A202="","",_xlfn.ISOWEEKNUM(A202))</f>
        <v/>
      </c>
      <c r="F202" s="2">
        <f>IF(A202="","",TEXT(A202,"ddd"))</f>
        <v/>
      </c>
    </row>
    <row r="203">
      <c r="A203" s="5">
        <f>IF(A202="","",IF(A202+1&gt;INT(MAX('1_raw_log'!$B:$B)),"",A202+1))</f>
        <v/>
      </c>
      <c r="B203" s="2">
        <f>IF(A203="","",YEAR(A203))</f>
        <v/>
      </c>
      <c r="C203" s="2">
        <f>IF(A203="","","Q"&amp;ROUNDUP(MONTH(A203)/3,0))</f>
        <v/>
      </c>
      <c r="D203" s="2">
        <f>IF(A203="","",MONTH(A203))</f>
        <v/>
      </c>
      <c r="E203" s="2">
        <f>IF(A203="","",_xlfn.ISOWEEKNUM(A203))</f>
        <v/>
      </c>
      <c r="F203" s="2">
        <f>IF(A203="","",TEXT(A203,"ddd"))</f>
        <v/>
      </c>
    </row>
    <row r="204">
      <c r="A204" s="5">
        <f>IF(A203="","",IF(A203+1&gt;INT(MAX('1_raw_log'!$B:$B)),"",A203+1))</f>
        <v/>
      </c>
      <c r="B204" s="2">
        <f>IF(A204="","",YEAR(A204))</f>
        <v/>
      </c>
      <c r="C204" s="2">
        <f>IF(A204="","","Q"&amp;ROUNDUP(MONTH(A204)/3,0))</f>
        <v/>
      </c>
      <c r="D204" s="2">
        <f>IF(A204="","",MONTH(A204))</f>
        <v/>
      </c>
      <c r="E204" s="2">
        <f>IF(A204="","",_xlfn.ISOWEEKNUM(A204))</f>
        <v/>
      </c>
      <c r="F204" s="2">
        <f>IF(A204="","",TEXT(A204,"ddd"))</f>
        <v/>
      </c>
    </row>
    <row r="205">
      <c r="A205" s="5">
        <f>IF(A204="","",IF(A204+1&gt;INT(MAX('1_raw_log'!$B:$B)),"",A204+1))</f>
        <v/>
      </c>
      <c r="B205" s="2">
        <f>IF(A205="","",YEAR(A205))</f>
        <v/>
      </c>
      <c r="C205" s="2">
        <f>IF(A205="","","Q"&amp;ROUNDUP(MONTH(A205)/3,0))</f>
        <v/>
      </c>
      <c r="D205" s="2">
        <f>IF(A205="","",MONTH(A205))</f>
        <v/>
      </c>
      <c r="E205" s="2">
        <f>IF(A205="","",_xlfn.ISOWEEKNUM(A205))</f>
        <v/>
      </c>
      <c r="F205" s="2">
        <f>IF(A205="","",TEXT(A205,"ddd"))</f>
        <v/>
      </c>
    </row>
    <row r="206">
      <c r="A206" s="5">
        <f>IF(A205="","",IF(A205+1&gt;INT(MAX('1_raw_log'!$B:$B)),"",A205+1))</f>
        <v/>
      </c>
      <c r="B206" s="2">
        <f>IF(A206="","",YEAR(A206))</f>
        <v/>
      </c>
      <c r="C206" s="2">
        <f>IF(A206="","","Q"&amp;ROUNDUP(MONTH(A206)/3,0))</f>
        <v/>
      </c>
      <c r="D206" s="2">
        <f>IF(A206="","",MONTH(A206))</f>
        <v/>
      </c>
      <c r="E206" s="2">
        <f>IF(A206="","",_xlfn.ISOWEEKNUM(A206))</f>
        <v/>
      </c>
      <c r="F206" s="2">
        <f>IF(A206="","",TEXT(A206,"ddd"))</f>
        <v/>
      </c>
    </row>
    <row r="207">
      <c r="A207" s="5">
        <f>IF(A206="","",IF(A206+1&gt;INT(MAX('1_raw_log'!$B:$B)),"",A206+1))</f>
        <v/>
      </c>
      <c r="B207" s="2">
        <f>IF(A207="","",YEAR(A207))</f>
        <v/>
      </c>
      <c r="C207" s="2">
        <f>IF(A207="","","Q"&amp;ROUNDUP(MONTH(A207)/3,0))</f>
        <v/>
      </c>
      <c r="D207" s="2">
        <f>IF(A207="","",MONTH(A207))</f>
        <v/>
      </c>
      <c r="E207" s="2">
        <f>IF(A207="","",_xlfn.ISOWEEKNUM(A207))</f>
        <v/>
      </c>
      <c r="F207" s="2">
        <f>IF(A207="","",TEXT(A207,"ddd"))</f>
        <v/>
      </c>
    </row>
    <row r="208">
      <c r="A208" s="5">
        <f>IF(A207="","",IF(A207+1&gt;INT(MAX('1_raw_log'!$B:$B)),"",A207+1))</f>
        <v/>
      </c>
      <c r="B208" s="2">
        <f>IF(A208="","",YEAR(A208))</f>
        <v/>
      </c>
      <c r="C208" s="2">
        <f>IF(A208="","","Q"&amp;ROUNDUP(MONTH(A208)/3,0))</f>
        <v/>
      </c>
      <c r="D208" s="2">
        <f>IF(A208="","",MONTH(A208))</f>
        <v/>
      </c>
      <c r="E208" s="2">
        <f>IF(A208="","",_xlfn.ISOWEEKNUM(A208))</f>
        <v/>
      </c>
      <c r="F208" s="2">
        <f>IF(A208="","",TEXT(A208,"ddd"))</f>
        <v/>
      </c>
    </row>
    <row r="209">
      <c r="A209" s="5">
        <f>IF(A208="","",IF(A208+1&gt;INT(MAX('1_raw_log'!$B:$B)),"",A208+1))</f>
        <v/>
      </c>
      <c r="B209" s="2">
        <f>IF(A209="","",YEAR(A209))</f>
        <v/>
      </c>
      <c r="C209" s="2">
        <f>IF(A209="","","Q"&amp;ROUNDUP(MONTH(A209)/3,0))</f>
        <v/>
      </c>
      <c r="D209" s="2">
        <f>IF(A209="","",MONTH(A209))</f>
        <v/>
      </c>
      <c r="E209" s="2">
        <f>IF(A209="","",_xlfn.ISOWEEKNUM(A209))</f>
        <v/>
      </c>
      <c r="F209" s="2">
        <f>IF(A209="","",TEXT(A209,"ddd"))</f>
        <v/>
      </c>
    </row>
    <row r="210">
      <c r="A210" s="5">
        <f>IF(A209="","",IF(A209+1&gt;INT(MAX('1_raw_log'!$B:$B)),"",A209+1))</f>
        <v/>
      </c>
      <c r="B210" s="2">
        <f>IF(A210="","",YEAR(A210))</f>
        <v/>
      </c>
      <c r="C210" s="2">
        <f>IF(A210="","","Q"&amp;ROUNDUP(MONTH(A210)/3,0))</f>
        <v/>
      </c>
      <c r="D210" s="2">
        <f>IF(A210="","",MONTH(A210))</f>
        <v/>
      </c>
      <c r="E210" s="2">
        <f>IF(A210="","",_xlfn.ISOWEEKNUM(A210))</f>
        <v/>
      </c>
      <c r="F210" s="2">
        <f>IF(A210="","",TEXT(A210,"ddd"))</f>
        <v/>
      </c>
    </row>
    <row r="211">
      <c r="A211" s="5">
        <f>IF(A210="","",IF(A210+1&gt;INT(MAX('1_raw_log'!$B:$B)),"",A210+1))</f>
        <v/>
      </c>
      <c r="B211" s="2">
        <f>IF(A211="","",YEAR(A211))</f>
        <v/>
      </c>
      <c r="C211" s="2">
        <f>IF(A211="","","Q"&amp;ROUNDUP(MONTH(A211)/3,0))</f>
        <v/>
      </c>
      <c r="D211" s="2">
        <f>IF(A211="","",MONTH(A211))</f>
        <v/>
      </c>
      <c r="E211" s="2">
        <f>IF(A211="","",_xlfn.ISOWEEKNUM(A211))</f>
        <v/>
      </c>
      <c r="F211" s="2">
        <f>IF(A211="","",TEXT(A211,"ddd"))</f>
        <v/>
      </c>
    </row>
    <row r="212">
      <c r="A212" s="5">
        <f>IF(A211="","",IF(A211+1&gt;INT(MAX('1_raw_log'!$B:$B)),"",A211+1))</f>
        <v/>
      </c>
      <c r="B212" s="2">
        <f>IF(A212="","",YEAR(A212))</f>
        <v/>
      </c>
      <c r="C212" s="2">
        <f>IF(A212="","","Q"&amp;ROUNDUP(MONTH(A212)/3,0))</f>
        <v/>
      </c>
      <c r="D212" s="2">
        <f>IF(A212="","",MONTH(A212))</f>
        <v/>
      </c>
      <c r="E212" s="2">
        <f>IF(A212="","",_xlfn.ISOWEEKNUM(A212))</f>
        <v/>
      </c>
      <c r="F212" s="2">
        <f>IF(A212="","",TEXT(A212,"ddd"))</f>
        <v/>
      </c>
    </row>
    <row r="213">
      <c r="A213" s="5">
        <f>IF(A212="","",IF(A212+1&gt;INT(MAX('1_raw_log'!$B:$B)),"",A212+1))</f>
        <v/>
      </c>
      <c r="B213" s="2">
        <f>IF(A213="","",YEAR(A213))</f>
        <v/>
      </c>
      <c r="C213" s="2">
        <f>IF(A213="","","Q"&amp;ROUNDUP(MONTH(A213)/3,0))</f>
        <v/>
      </c>
      <c r="D213" s="2">
        <f>IF(A213="","",MONTH(A213))</f>
        <v/>
      </c>
      <c r="E213" s="2">
        <f>IF(A213="","",_xlfn.ISOWEEKNUM(A213))</f>
        <v/>
      </c>
      <c r="F213" s="2">
        <f>IF(A213="","",TEXT(A213,"ddd"))</f>
        <v/>
      </c>
    </row>
    <row r="214">
      <c r="A214" s="5">
        <f>IF(A213="","",IF(A213+1&gt;INT(MAX('1_raw_log'!$B:$B)),"",A213+1))</f>
        <v/>
      </c>
      <c r="B214" s="2">
        <f>IF(A214="","",YEAR(A214))</f>
        <v/>
      </c>
      <c r="C214" s="2">
        <f>IF(A214="","","Q"&amp;ROUNDUP(MONTH(A214)/3,0))</f>
        <v/>
      </c>
      <c r="D214" s="2">
        <f>IF(A214="","",MONTH(A214))</f>
        <v/>
      </c>
      <c r="E214" s="2">
        <f>IF(A214="","",_xlfn.ISOWEEKNUM(A214))</f>
        <v/>
      </c>
      <c r="F214" s="2">
        <f>IF(A214="","",TEXT(A214,"ddd"))</f>
        <v/>
      </c>
    </row>
    <row r="215">
      <c r="A215" s="5">
        <f>IF(A214="","",IF(A214+1&gt;INT(MAX('1_raw_log'!$B:$B)),"",A214+1))</f>
        <v/>
      </c>
      <c r="B215" s="2">
        <f>IF(A215="","",YEAR(A215))</f>
        <v/>
      </c>
      <c r="C215" s="2">
        <f>IF(A215="","","Q"&amp;ROUNDUP(MONTH(A215)/3,0))</f>
        <v/>
      </c>
      <c r="D215" s="2">
        <f>IF(A215="","",MONTH(A215))</f>
        <v/>
      </c>
      <c r="E215" s="2">
        <f>IF(A215="","",_xlfn.ISOWEEKNUM(A215))</f>
        <v/>
      </c>
      <c r="F215" s="2">
        <f>IF(A215="","",TEXT(A215,"ddd"))</f>
        <v/>
      </c>
    </row>
    <row r="216">
      <c r="A216" s="5">
        <f>IF(A215="","",IF(A215+1&gt;INT(MAX('1_raw_log'!$B:$B)),"",A215+1))</f>
        <v/>
      </c>
      <c r="B216" s="2">
        <f>IF(A216="","",YEAR(A216))</f>
        <v/>
      </c>
      <c r="C216" s="2">
        <f>IF(A216="","","Q"&amp;ROUNDUP(MONTH(A216)/3,0))</f>
        <v/>
      </c>
      <c r="D216" s="2">
        <f>IF(A216="","",MONTH(A216))</f>
        <v/>
      </c>
      <c r="E216" s="2">
        <f>IF(A216="","",_xlfn.ISOWEEKNUM(A216))</f>
        <v/>
      </c>
      <c r="F216" s="2">
        <f>IF(A216="","",TEXT(A216,"ddd"))</f>
        <v/>
      </c>
    </row>
    <row r="217">
      <c r="A217" s="5">
        <f>IF(A216="","",IF(A216+1&gt;INT(MAX('1_raw_log'!$B:$B)),"",A216+1))</f>
        <v/>
      </c>
      <c r="B217" s="2">
        <f>IF(A217="","",YEAR(A217))</f>
        <v/>
      </c>
      <c r="C217" s="2">
        <f>IF(A217="","","Q"&amp;ROUNDUP(MONTH(A217)/3,0))</f>
        <v/>
      </c>
      <c r="D217" s="2">
        <f>IF(A217="","",MONTH(A217))</f>
        <v/>
      </c>
      <c r="E217" s="2">
        <f>IF(A217="","",_xlfn.ISOWEEKNUM(A217))</f>
        <v/>
      </c>
      <c r="F217" s="2">
        <f>IF(A217="","",TEXT(A217,"ddd"))</f>
        <v/>
      </c>
    </row>
    <row r="218">
      <c r="A218" s="5">
        <f>IF(A217="","",IF(A217+1&gt;INT(MAX('1_raw_log'!$B:$B)),"",A217+1))</f>
        <v/>
      </c>
      <c r="B218" s="2">
        <f>IF(A218="","",YEAR(A218))</f>
        <v/>
      </c>
      <c r="C218" s="2">
        <f>IF(A218="","","Q"&amp;ROUNDUP(MONTH(A218)/3,0))</f>
        <v/>
      </c>
      <c r="D218" s="2">
        <f>IF(A218="","",MONTH(A218))</f>
        <v/>
      </c>
      <c r="E218" s="2">
        <f>IF(A218="","",_xlfn.ISOWEEKNUM(A218))</f>
        <v/>
      </c>
      <c r="F218" s="2">
        <f>IF(A218="","",TEXT(A218,"ddd"))</f>
        <v/>
      </c>
    </row>
    <row r="219">
      <c r="A219" s="5">
        <f>IF(A218="","",IF(A218+1&gt;INT(MAX('1_raw_log'!$B:$B)),"",A218+1))</f>
        <v/>
      </c>
      <c r="B219" s="2">
        <f>IF(A219="","",YEAR(A219))</f>
        <v/>
      </c>
      <c r="C219" s="2">
        <f>IF(A219="","","Q"&amp;ROUNDUP(MONTH(A219)/3,0))</f>
        <v/>
      </c>
      <c r="D219" s="2">
        <f>IF(A219="","",MONTH(A219))</f>
        <v/>
      </c>
      <c r="E219" s="2">
        <f>IF(A219="","",_xlfn.ISOWEEKNUM(A219))</f>
        <v/>
      </c>
      <c r="F219" s="2">
        <f>IF(A219="","",TEXT(A219,"ddd"))</f>
        <v/>
      </c>
    </row>
    <row r="220">
      <c r="A220" s="5">
        <f>IF(A219="","",IF(A219+1&gt;INT(MAX('1_raw_log'!$B:$B)),"",A219+1))</f>
        <v/>
      </c>
      <c r="B220" s="2">
        <f>IF(A220="","",YEAR(A220))</f>
        <v/>
      </c>
      <c r="C220" s="2">
        <f>IF(A220="","","Q"&amp;ROUNDUP(MONTH(A220)/3,0))</f>
        <v/>
      </c>
      <c r="D220" s="2">
        <f>IF(A220="","",MONTH(A220))</f>
        <v/>
      </c>
      <c r="E220" s="2">
        <f>IF(A220="","",_xlfn.ISOWEEKNUM(A220))</f>
        <v/>
      </c>
      <c r="F220" s="2">
        <f>IF(A220="","",TEXT(A220,"ddd"))</f>
        <v/>
      </c>
    </row>
    <row r="221">
      <c r="A221" s="5">
        <f>IF(A220="","",IF(A220+1&gt;INT(MAX('1_raw_log'!$B:$B)),"",A220+1))</f>
        <v/>
      </c>
      <c r="B221" s="2">
        <f>IF(A221="","",YEAR(A221))</f>
        <v/>
      </c>
      <c r="C221" s="2">
        <f>IF(A221="","","Q"&amp;ROUNDUP(MONTH(A221)/3,0))</f>
        <v/>
      </c>
      <c r="D221" s="2">
        <f>IF(A221="","",MONTH(A221))</f>
        <v/>
      </c>
      <c r="E221" s="2">
        <f>IF(A221="","",_xlfn.ISOWEEKNUM(A221))</f>
        <v/>
      </c>
      <c r="F221" s="2">
        <f>IF(A221="","",TEXT(A221,"ddd"))</f>
        <v/>
      </c>
    </row>
    <row r="222">
      <c r="A222" s="5">
        <f>IF(A221="","",IF(A221+1&gt;INT(MAX('1_raw_log'!$B:$B)),"",A221+1))</f>
        <v/>
      </c>
      <c r="B222" s="2">
        <f>IF(A222="","",YEAR(A222))</f>
        <v/>
      </c>
      <c r="C222" s="2">
        <f>IF(A222="","","Q"&amp;ROUNDUP(MONTH(A222)/3,0))</f>
        <v/>
      </c>
      <c r="D222" s="2">
        <f>IF(A222="","",MONTH(A222))</f>
        <v/>
      </c>
      <c r="E222" s="2">
        <f>IF(A222="","",_xlfn.ISOWEEKNUM(A222))</f>
        <v/>
      </c>
      <c r="F222" s="2">
        <f>IF(A222="","",TEXT(A222,"ddd"))</f>
        <v/>
      </c>
    </row>
    <row r="223">
      <c r="A223" s="5">
        <f>IF(A222="","",IF(A222+1&gt;INT(MAX('1_raw_log'!$B:$B)),"",A222+1))</f>
        <v/>
      </c>
      <c r="B223" s="2">
        <f>IF(A223="","",YEAR(A223))</f>
        <v/>
      </c>
      <c r="C223" s="2">
        <f>IF(A223="","","Q"&amp;ROUNDUP(MONTH(A223)/3,0))</f>
        <v/>
      </c>
      <c r="D223" s="2">
        <f>IF(A223="","",MONTH(A223))</f>
        <v/>
      </c>
      <c r="E223" s="2">
        <f>IF(A223="","",_xlfn.ISOWEEKNUM(A223))</f>
        <v/>
      </c>
      <c r="F223" s="2">
        <f>IF(A223="","",TEXT(A223,"ddd"))</f>
        <v/>
      </c>
    </row>
    <row r="224">
      <c r="A224" s="5">
        <f>IF(A223="","",IF(A223+1&gt;INT(MAX('1_raw_log'!$B:$B)),"",A223+1))</f>
        <v/>
      </c>
      <c r="B224" s="2">
        <f>IF(A224="","",YEAR(A224))</f>
        <v/>
      </c>
      <c r="C224" s="2">
        <f>IF(A224="","","Q"&amp;ROUNDUP(MONTH(A224)/3,0))</f>
        <v/>
      </c>
      <c r="D224" s="2">
        <f>IF(A224="","",MONTH(A224))</f>
        <v/>
      </c>
      <c r="E224" s="2">
        <f>IF(A224="","",_xlfn.ISOWEEKNUM(A224))</f>
        <v/>
      </c>
      <c r="F224" s="2">
        <f>IF(A224="","",TEXT(A224,"ddd"))</f>
        <v/>
      </c>
    </row>
    <row r="225">
      <c r="A225" s="5">
        <f>IF(A224="","",IF(A224+1&gt;INT(MAX('1_raw_log'!$B:$B)),"",A224+1))</f>
        <v/>
      </c>
      <c r="B225" s="2">
        <f>IF(A225="","",YEAR(A225))</f>
        <v/>
      </c>
      <c r="C225" s="2">
        <f>IF(A225="","","Q"&amp;ROUNDUP(MONTH(A225)/3,0))</f>
        <v/>
      </c>
      <c r="D225" s="2">
        <f>IF(A225="","",MONTH(A225))</f>
        <v/>
      </c>
      <c r="E225" s="2">
        <f>IF(A225="","",_xlfn.ISOWEEKNUM(A225))</f>
        <v/>
      </c>
      <c r="F225" s="2">
        <f>IF(A225="","",TEXT(A225,"ddd"))</f>
        <v/>
      </c>
    </row>
    <row r="226">
      <c r="A226" s="5">
        <f>IF(A225="","",IF(A225+1&gt;INT(MAX('1_raw_log'!$B:$B)),"",A225+1))</f>
        <v/>
      </c>
      <c r="B226" s="2">
        <f>IF(A226="","",YEAR(A226))</f>
        <v/>
      </c>
      <c r="C226" s="2">
        <f>IF(A226="","","Q"&amp;ROUNDUP(MONTH(A226)/3,0))</f>
        <v/>
      </c>
      <c r="D226" s="2">
        <f>IF(A226="","",MONTH(A226))</f>
        <v/>
      </c>
      <c r="E226" s="2">
        <f>IF(A226="","",_xlfn.ISOWEEKNUM(A226))</f>
        <v/>
      </c>
      <c r="F226" s="2">
        <f>IF(A226="","",TEXT(A226,"ddd"))</f>
        <v/>
      </c>
    </row>
    <row r="227">
      <c r="A227" s="5">
        <f>IF(A226="","",IF(A226+1&gt;INT(MAX('1_raw_log'!$B:$B)),"",A226+1))</f>
        <v/>
      </c>
      <c r="B227" s="2">
        <f>IF(A227="","",YEAR(A227))</f>
        <v/>
      </c>
      <c r="C227" s="2">
        <f>IF(A227="","","Q"&amp;ROUNDUP(MONTH(A227)/3,0))</f>
        <v/>
      </c>
      <c r="D227" s="2">
        <f>IF(A227="","",MONTH(A227))</f>
        <v/>
      </c>
      <c r="E227" s="2">
        <f>IF(A227="","",_xlfn.ISOWEEKNUM(A227))</f>
        <v/>
      </c>
      <c r="F227" s="2">
        <f>IF(A227="","",TEXT(A227,"ddd"))</f>
        <v/>
      </c>
    </row>
    <row r="228">
      <c r="A228" s="5">
        <f>IF(A227="","",IF(A227+1&gt;INT(MAX('1_raw_log'!$B:$B)),"",A227+1))</f>
        <v/>
      </c>
      <c r="B228" s="2">
        <f>IF(A228="","",YEAR(A228))</f>
        <v/>
      </c>
      <c r="C228" s="2">
        <f>IF(A228="","","Q"&amp;ROUNDUP(MONTH(A228)/3,0))</f>
        <v/>
      </c>
      <c r="D228" s="2">
        <f>IF(A228="","",MONTH(A228))</f>
        <v/>
      </c>
      <c r="E228" s="2">
        <f>IF(A228="","",_xlfn.ISOWEEKNUM(A228))</f>
        <v/>
      </c>
      <c r="F228" s="2">
        <f>IF(A228="","",TEXT(A228,"ddd"))</f>
        <v/>
      </c>
    </row>
    <row r="229">
      <c r="A229" s="5">
        <f>IF(A228="","",IF(A228+1&gt;INT(MAX('1_raw_log'!$B:$B)),"",A228+1))</f>
        <v/>
      </c>
      <c r="B229" s="2">
        <f>IF(A229="","",YEAR(A229))</f>
        <v/>
      </c>
      <c r="C229" s="2">
        <f>IF(A229="","","Q"&amp;ROUNDUP(MONTH(A229)/3,0))</f>
        <v/>
      </c>
      <c r="D229" s="2">
        <f>IF(A229="","",MONTH(A229))</f>
        <v/>
      </c>
      <c r="E229" s="2">
        <f>IF(A229="","",_xlfn.ISOWEEKNUM(A229))</f>
        <v/>
      </c>
      <c r="F229" s="2">
        <f>IF(A229="","",TEXT(A229,"ddd"))</f>
        <v/>
      </c>
    </row>
    <row r="230">
      <c r="A230" s="5">
        <f>IF(A229="","",IF(A229+1&gt;INT(MAX('1_raw_log'!$B:$B)),"",A229+1))</f>
        <v/>
      </c>
      <c r="B230" s="2">
        <f>IF(A230="","",YEAR(A230))</f>
        <v/>
      </c>
      <c r="C230" s="2">
        <f>IF(A230="","","Q"&amp;ROUNDUP(MONTH(A230)/3,0))</f>
        <v/>
      </c>
      <c r="D230" s="2">
        <f>IF(A230="","",MONTH(A230))</f>
        <v/>
      </c>
      <c r="E230" s="2">
        <f>IF(A230="","",_xlfn.ISOWEEKNUM(A230))</f>
        <v/>
      </c>
      <c r="F230" s="2">
        <f>IF(A230="","",TEXT(A230,"ddd"))</f>
        <v/>
      </c>
    </row>
    <row r="231">
      <c r="A231" s="5">
        <f>IF(A230="","",IF(A230+1&gt;INT(MAX('1_raw_log'!$B:$B)),"",A230+1))</f>
        <v/>
      </c>
      <c r="B231" s="2">
        <f>IF(A231="","",YEAR(A231))</f>
        <v/>
      </c>
      <c r="C231" s="2">
        <f>IF(A231="","","Q"&amp;ROUNDUP(MONTH(A231)/3,0))</f>
        <v/>
      </c>
      <c r="D231" s="2">
        <f>IF(A231="","",MONTH(A231))</f>
        <v/>
      </c>
      <c r="E231" s="2">
        <f>IF(A231="","",_xlfn.ISOWEEKNUM(A231))</f>
        <v/>
      </c>
      <c r="F231" s="2">
        <f>IF(A231="","",TEXT(A231,"ddd"))</f>
        <v/>
      </c>
    </row>
    <row r="232">
      <c r="A232" s="5">
        <f>IF(A231="","",IF(A231+1&gt;INT(MAX('1_raw_log'!$B:$B)),"",A231+1))</f>
        <v/>
      </c>
      <c r="B232" s="2">
        <f>IF(A232="","",YEAR(A232))</f>
        <v/>
      </c>
      <c r="C232" s="2">
        <f>IF(A232="","","Q"&amp;ROUNDUP(MONTH(A232)/3,0))</f>
        <v/>
      </c>
      <c r="D232" s="2">
        <f>IF(A232="","",MONTH(A232))</f>
        <v/>
      </c>
      <c r="E232" s="2">
        <f>IF(A232="","",_xlfn.ISOWEEKNUM(A232))</f>
        <v/>
      </c>
      <c r="F232" s="2">
        <f>IF(A232="","",TEXT(A232,"ddd"))</f>
        <v/>
      </c>
    </row>
    <row r="233">
      <c r="A233" s="5">
        <f>IF(A232="","",IF(A232+1&gt;INT(MAX('1_raw_log'!$B:$B)),"",A232+1))</f>
        <v/>
      </c>
      <c r="B233" s="2">
        <f>IF(A233="","",YEAR(A233))</f>
        <v/>
      </c>
      <c r="C233" s="2">
        <f>IF(A233="","","Q"&amp;ROUNDUP(MONTH(A233)/3,0))</f>
        <v/>
      </c>
      <c r="D233" s="2">
        <f>IF(A233="","",MONTH(A233))</f>
        <v/>
      </c>
      <c r="E233" s="2">
        <f>IF(A233="","",_xlfn.ISOWEEKNUM(A233))</f>
        <v/>
      </c>
      <c r="F233" s="2">
        <f>IF(A233="","",TEXT(A233,"ddd"))</f>
        <v/>
      </c>
    </row>
    <row r="234">
      <c r="A234" s="5">
        <f>IF(A233="","",IF(A233+1&gt;INT(MAX('1_raw_log'!$B:$B)),"",A233+1))</f>
        <v/>
      </c>
      <c r="B234" s="2">
        <f>IF(A234="","",YEAR(A234))</f>
        <v/>
      </c>
      <c r="C234" s="2">
        <f>IF(A234="","","Q"&amp;ROUNDUP(MONTH(A234)/3,0))</f>
        <v/>
      </c>
      <c r="D234" s="2">
        <f>IF(A234="","",MONTH(A234))</f>
        <v/>
      </c>
      <c r="E234" s="2">
        <f>IF(A234="","",_xlfn.ISOWEEKNUM(A234))</f>
        <v/>
      </c>
      <c r="F234" s="2">
        <f>IF(A234="","",TEXT(A234,"ddd"))</f>
        <v/>
      </c>
    </row>
    <row r="235">
      <c r="A235" s="5">
        <f>IF(A234="","",IF(A234+1&gt;INT(MAX('1_raw_log'!$B:$B)),"",A234+1))</f>
        <v/>
      </c>
      <c r="B235" s="2">
        <f>IF(A235="","",YEAR(A235))</f>
        <v/>
      </c>
      <c r="C235" s="2">
        <f>IF(A235="","","Q"&amp;ROUNDUP(MONTH(A235)/3,0))</f>
        <v/>
      </c>
      <c r="D235" s="2">
        <f>IF(A235="","",MONTH(A235))</f>
        <v/>
      </c>
      <c r="E235" s="2">
        <f>IF(A235="","",_xlfn.ISOWEEKNUM(A235))</f>
        <v/>
      </c>
      <c r="F235" s="2">
        <f>IF(A235="","",TEXT(A235,"ddd"))</f>
        <v/>
      </c>
    </row>
    <row r="236">
      <c r="A236" s="5">
        <f>IF(A235="","",IF(A235+1&gt;INT(MAX('1_raw_log'!$B:$B)),"",A235+1))</f>
        <v/>
      </c>
      <c r="B236" s="2">
        <f>IF(A236="","",YEAR(A236))</f>
        <v/>
      </c>
      <c r="C236" s="2">
        <f>IF(A236="","","Q"&amp;ROUNDUP(MONTH(A236)/3,0))</f>
        <v/>
      </c>
      <c r="D236" s="2">
        <f>IF(A236="","",MONTH(A236))</f>
        <v/>
      </c>
      <c r="E236" s="2">
        <f>IF(A236="","",_xlfn.ISOWEEKNUM(A236))</f>
        <v/>
      </c>
      <c r="F236" s="2">
        <f>IF(A236="","",TEXT(A236,"ddd"))</f>
        <v/>
      </c>
    </row>
    <row r="237">
      <c r="A237" s="5">
        <f>IF(A236="","",IF(A236+1&gt;INT(MAX('1_raw_log'!$B:$B)),"",A236+1))</f>
        <v/>
      </c>
      <c r="B237" s="2">
        <f>IF(A237="","",YEAR(A237))</f>
        <v/>
      </c>
      <c r="C237" s="2">
        <f>IF(A237="","","Q"&amp;ROUNDUP(MONTH(A237)/3,0))</f>
        <v/>
      </c>
      <c r="D237" s="2">
        <f>IF(A237="","",MONTH(A237))</f>
        <v/>
      </c>
      <c r="E237" s="2">
        <f>IF(A237="","",_xlfn.ISOWEEKNUM(A237))</f>
        <v/>
      </c>
      <c r="F237" s="2">
        <f>IF(A237="","",TEXT(A237,"ddd"))</f>
        <v/>
      </c>
    </row>
    <row r="238">
      <c r="A238" s="5">
        <f>IF(A237="","",IF(A237+1&gt;INT(MAX('1_raw_log'!$B:$B)),"",A237+1))</f>
        <v/>
      </c>
      <c r="B238" s="2">
        <f>IF(A238="","",YEAR(A238))</f>
        <v/>
      </c>
      <c r="C238" s="2">
        <f>IF(A238="","","Q"&amp;ROUNDUP(MONTH(A238)/3,0))</f>
        <v/>
      </c>
      <c r="D238" s="2">
        <f>IF(A238="","",MONTH(A238))</f>
        <v/>
      </c>
      <c r="E238" s="2">
        <f>IF(A238="","",_xlfn.ISOWEEKNUM(A238))</f>
        <v/>
      </c>
      <c r="F238" s="2">
        <f>IF(A238="","",TEXT(A238,"ddd"))</f>
        <v/>
      </c>
    </row>
    <row r="239">
      <c r="A239" s="5">
        <f>IF(A238="","",IF(A238+1&gt;INT(MAX('1_raw_log'!$B:$B)),"",A238+1))</f>
        <v/>
      </c>
      <c r="B239" s="2">
        <f>IF(A239="","",YEAR(A239))</f>
        <v/>
      </c>
      <c r="C239" s="2">
        <f>IF(A239="","","Q"&amp;ROUNDUP(MONTH(A239)/3,0))</f>
        <v/>
      </c>
      <c r="D239" s="2">
        <f>IF(A239="","",MONTH(A239))</f>
        <v/>
      </c>
      <c r="E239" s="2">
        <f>IF(A239="","",_xlfn.ISOWEEKNUM(A239))</f>
        <v/>
      </c>
      <c r="F239" s="2">
        <f>IF(A239="","",TEXT(A239,"ddd"))</f>
        <v/>
      </c>
    </row>
    <row r="240">
      <c r="A240" s="5">
        <f>IF(A239="","",IF(A239+1&gt;INT(MAX('1_raw_log'!$B:$B)),"",A239+1))</f>
        <v/>
      </c>
      <c r="B240" s="2">
        <f>IF(A240="","",YEAR(A240))</f>
        <v/>
      </c>
      <c r="C240" s="2">
        <f>IF(A240="","","Q"&amp;ROUNDUP(MONTH(A240)/3,0))</f>
        <v/>
      </c>
      <c r="D240" s="2">
        <f>IF(A240="","",MONTH(A240))</f>
        <v/>
      </c>
      <c r="E240" s="2">
        <f>IF(A240="","",_xlfn.ISOWEEKNUM(A240))</f>
        <v/>
      </c>
      <c r="F240" s="2">
        <f>IF(A240="","",TEXT(A240,"ddd"))</f>
        <v/>
      </c>
    </row>
    <row r="241">
      <c r="A241" s="5">
        <f>IF(A240="","",IF(A240+1&gt;INT(MAX('1_raw_log'!$B:$B)),"",A240+1))</f>
        <v/>
      </c>
      <c r="B241" s="2">
        <f>IF(A241="","",YEAR(A241))</f>
        <v/>
      </c>
      <c r="C241" s="2">
        <f>IF(A241="","","Q"&amp;ROUNDUP(MONTH(A241)/3,0))</f>
        <v/>
      </c>
      <c r="D241" s="2">
        <f>IF(A241="","",MONTH(A241))</f>
        <v/>
      </c>
      <c r="E241" s="2">
        <f>IF(A241="","",_xlfn.ISOWEEKNUM(A241))</f>
        <v/>
      </c>
      <c r="F241" s="2">
        <f>IF(A241="","",TEXT(A241,"ddd"))</f>
        <v/>
      </c>
    </row>
    <row r="242">
      <c r="A242" s="5">
        <f>IF(A241="","",IF(A241+1&gt;INT(MAX('1_raw_log'!$B:$B)),"",A241+1))</f>
        <v/>
      </c>
      <c r="B242" s="2">
        <f>IF(A242="","",YEAR(A242))</f>
        <v/>
      </c>
      <c r="C242" s="2">
        <f>IF(A242="","","Q"&amp;ROUNDUP(MONTH(A242)/3,0))</f>
        <v/>
      </c>
      <c r="D242" s="2">
        <f>IF(A242="","",MONTH(A242))</f>
        <v/>
      </c>
      <c r="E242" s="2">
        <f>IF(A242="","",_xlfn.ISOWEEKNUM(A242))</f>
        <v/>
      </c>
      <c r="F242" s="2">
        <f>IF(A242="","",TEXT(A242,"ddd"))</f>
        <v/>
      </c>
    </row>
    <row r="243">
      <c r="A243" s="5">
        <f>IF(A242="","",IF(A242+1&gt;INT(MAX('1_raw_log'!$B:$B)),"",A242+1))</f>
        <v/>
      </c>
      <c r="B243" s="2">
        <f>IF(A243="","",YEAR(A243))</f>
        <v/>
      </c>
      <c r="C243" s="2">
        <f>IF(A243="","","Q"&amp;ROUNDUP(MONTH(A243)/3,0))</f>
        <v/>
      </c>
      <c r="D243" s="2">
        <f>IF(A243="","",MONTH(A243))</f>
        <v/>
      </c>
      <c r="E243" s="2">
        <f>IF(A243="","",_xlfn.ISOWEEKNUM(A243))</f>
        <v/>
      </c>
      <c r="F243" s="2">
        <f>IF(A243="","",TEXT(A243,"ddd"))</f>
        <v/>
      </c>
    </row>
    <row r="244">
      <c r="A244" s="5">
        <f>IF(A243="","",IF(A243+1&gt;INT(MAX('1_raw_log'!$B:$B)),"",A243+1))</f>
        <v/>
      </c>
      <c r="B244" s="2">
        <f>IF(A244="","",YEAR(A244))</f>
        <v/>
      </c>
      <c r="C244" s="2">
        <f>IF(A244="","","Q"&amp;ROUNDUP(MONTH(A244)/3,0))</f>
        <v/>
      </c>
      <c r="D244" s="2">
        <f>IF(A244="","",MONTH(A244))</f>
        <v/>
      </c>
      <c r="E244" s="2">
        <f>IF(A244="","",_xlfn.ISOWEEKNUM(A244))</f>
        <v/>
      </c>
      <c r="F244" s="2">
        <f>IF(A244="","",TEXT(A244,"ddd"))</f>
        <v/>
      </c>
    </row>
    <row r="245">
      <c r="A245" s="5">
        <f>IF(A244="","",IF(A244+1&gt;INT(MAX('1_raw_log'!$B:$B)),"",A244+1))</f>
        <v/>
      </c>
      <c r="B245" s="2">
        <f>IF(A245="","",YEAR(A245))</f>
        <v/>
      </c>
      <c r="C245" s="2">
        <f>IF(A245="","","Q"&amp;ROUNDUP(MONTH(A245)/3,0))</f>
        <v/>
      </c>
      <c r="D245" s="2">
        <f>IF(A245="","",MONTH(A245))</f>
        <v/>
      </c>
      <c r="E245" s="2">
        <f>IF(A245="","",_xlfn.ISOWEEKNUM(A245))</f>
        <v/>
      </c>
      <c r="F245" s="2">
        <f>IF(A245="","",TEXT(A245,"ddd"))</f>
        <v/>
      </c>
    </row>
    <row r="246">
      <c r="A246" s="5">
        <f>IF(A245="","",IF(A245+1&gt;INT(MAX('1_raw_log'!$B:$B)),"",A245+1))</f>
        <v/>
      </c>
      <c r="B246" s="2">
        <f>IF(A246="","",YEAR(A246))</f>
        <v/>
      </c>
      <c r="C246" s="2">
        <f>IF(A246="","","Q"&amp;ROUNDUP(MONTH(A246)/3,0))</f>
        <v/>
      </c>
      <c r="D246" s="2">
        <f>IF(A246="","",MONTH(A246))</f>
        <v/>
      </c>
      <c r="E246" s="2">
        <f>IF(A246="","",_xlfn.ISOWEEKNUM(A246))</f>
        <v/>
      </c>
      <c r="F246" s="2">
        <f>IF(A246="","",TEXT(A246,"ddd"))</f>
        <v/>
      </c>
    </row>
    <row r="247">
      <c r="A247" s="5">
        <f>IF(A246="","",IF(A246+1&gt;INT(MAX('1_raw_log'!$B:$B)),"",A246+1))</f>
        <v/>
      </c>
      <c r="B247" s="2">
        <f>IF(A247="","",YEAR(A247))</f>
        <v/>
      </c>
      <c r="C247" s="2">
        <f>IF(A247="","","Q"&amp;ROUNDUP(MONTH(A247)/3,0))</f>
        <v/>
      </c>
      <c r="D247" s="2">
        <f>IF(A247="","",MONTH(A247))</f>
        <v/>
      </c>
      <c r="E247" s="2">
        <f>IF(A247="","",_xlfn.ISOWEEKNUM(A247))</f>
        <v/>
      </c>
      <c r="F247" s="2">
        <f>IF(A247="","",TEXT(A247,"ddd"))</f>
        <v/>
      </c>
    </row>
    <row r="248">
      <c r="A248" s="5">
        <f>IF(A247="","",IF(A247+1&gt;INT(MAX('1_raw_log'!$B:$B)),"",A247+1))</f>
        <v/>
      </c>
      <c r="B248" s="2">
        <f>IF(A248="","",YEAR(A248))</f>
        <v/>
      </c>
      <c r="C248" s="2">
        <f>IF(A248="","","Q"&amp;ROUNDUP(MONTH(A248)/3,0))</f>
        <v/>
      </c>
      <c r="D248" s="2">
        <f>IF(A248="","",MONTH(A248))</f>
        <v/>
      </c>
      <c r="E248" s="2">
        <f>IF(A248="","",_xlfn.ISOWEEKNUM(A248))</f>
        <v/>
      </c>
      <c r="F248" s="2">
        <f>IF(A248="","",TEXT(A248,"ddd"))</f>
        <v/>
      </c>
    </row>
    <row r="249">
      <c r="A249" s="5">
        <f>IF(A248="","",IF(A248+1&gt;INT(MAX('1_raw_log'!$B:$B)),"",A248+1))</f>
        <v/>
      </c>
      <c r="B249" s="2">
        <f>IF(A249="","",YEAR(A249))</f>
        <v/>
      </c>
      <c r="C249" s="2">
        <f>IF(A249="","","Q"&amp;ROUNDUP(MONTH(A249)/3,0))</f>
        <v/>
      </c>
      <c r="D249" s="2">
        <f>IF(A249="","",MONTH(A249))</f>
        <v/>
      </c>
      <c r="E249" s="2">
        <f>IF(A249="","",_xlfn.ISOWEEKNUM(A249))</f>
        <v/>
      </c>
      <c r="F249" s="2">
        <f>IF(A249="","",TEXT(A249,"ddd"))</f>
        <v/>
      </c>
    </row>
    <row r="250">
      <c r="A250" s="5">
        <f>IF(A249="","",IF(A249+1&gt;INT(MAX('1_raw_log'!$B:$B)),"",A249+1))</f>
        <v/>
      </c>
      <c r="B250" s="2">
        <f>IF(A250="","",YEAR(A250))</f>
        <v/>
      </c>
      <c r="C250" s="2">
        <f>IF(A250="","","Q"&amp;ROUNDUP(MONTH(A250)/3,0))</f>
        <v/>
      </c>
      <c r="D250" s="2">
        <f>IF(A250="","",MONTH(A250))</f>
        <v/>
      </c>
      <c r="E250" s="2">
        <f>IF(A250="","",_xlfn.ISOWEEKNUM(A250))</f>
        <v/>
      </c>
      <c r="F250" s="2">
        <f>IF(A250="","",TEXT(A250,"ddd"))</f>
        <v/>
      </c>
    </row>
    <row r="251">
      <c r="A251" s="5">
        <f>IF(A250="","",IF(A250+1&gt;INT(MAX('1_raw_log'!$B:$B)),"",A250+1))</f>
        <v/>
      </c>
      <c r="B251" s="2">
        <f>IF(A251="","",YEAR(A251))</f>
        <v/>
      </c>
      <c r="C251" s="2">
        <f>IF(A251="","","Q"&amp;ROUNDUP(MONTH(A251)/3,0))</f>
        <v/>
      </c>
      <c r="D251" s="2">
        <f>IF(A251="","",MONTH(A251))</f>
        <v/>
      </c>
      <c r="E251" s="2">
        <f>IF(A251="","",_xlfn.ISOWEEKNUM(A251))</f>
        <v/>
      </c>
      <c r="F251" s="2">
        <f>IF(A251="","",TEXT(A251,"ddd"))</f>
        <v/>
      </c>
    </row>
    <row r="252">
      <c r="A252" s="5">
        <f>IF(A251="","",IF(A251+1&gt;INT(MAX('1_raw_log'!$B:$B)),"",A251+1))</f>
        <v/>
      </c>
      <c r="B252" s="2">
        <f>IF(A252="","",YEAR(A252))</f>
        <v/>
      </c>
      <c r="C252" s="2">
        <f>IF(A252="","","Q"&amp;ROUNDUP(MONTH(A252)/3,0))</f>
        <v/>
      </c>
      <c r="D252" s="2">
        <f>IF(A252="","",MONTH(A252))</f>
        <v/>
      </c>
      <c r="E252" s="2">
        <f>IF(A252="","",_xlfn.ISOWEEKNUM(A252))</f>
        <v/>
      </c>
      <c r="F252" s="2">
        <f>IF(A252="","",TEXT(A252,"ddd"))</f>
        <v/>
      </c>
    </row>
    <row r="253">
      <c r="A253" s="5">
        <f>IF(A252="","",IF(A252+1&gt;INT(MAX('1_raw_log'!$B:$B)),"",A252+1))</f>
        <v/>
      </c>
      <c r="B253" s="2">
        <f>IF(A253="","",YEAR(A253))</f>
        <v/>
      </c>
      <c r="C253" s="2">
        <f>IF(A253="","","Q"&amp;ROUNDUP(MONTH(A253)/3,0))</f>
        <v/>
      </c>
      <c r="D253" s="2">
        <f>IF(A253="","",MONTH(A253))</f>
        <v/>
      </c>
      <c r="E253" s="2">
        <f>IF(A253="","",_xlfn.ISOWEEKNUM(A253))</f>
        <v/>
      </c>
      <c r="F253" s="2">
        <f>IF(A253="","",TEXT(A253,"ddd"))</f>
        <v/>
      </c>
    </row>
    <row r="254">
      <c r="A254" s="5">
        <f>IF(A253="","",IF(A253+1&gt;INT(MAX('1_raw_log'!$B:$B)),"",A253+1))</f>
        <v/>
      </c>
      <c r="B254" s="2">
        <f>IF(A254="","",YEAR(A254))</f>
        <v/>
      </c>
      <c r="C254" s="2">
        <f>IF(A254="","","Q"&amp;ROUNDUP(MONTH(A254)/3,0))</f>
        <v/>
      </c>
      <c r="D254" s="2">
        <f>IF(A254="","",MONTH(A254))</f>
        <v/>
      </c>
      <c r="E254" s="2">
        <f>IF(A254="","",_xlfn.ISOWEEKNUM(A254))</f>
        <v/>
      </c>
      <c r="F254" s="2">
        <f>IF(A254="","",TEXT(A254,"ddd"))</f>
        <v/>
      </c>
    </row>
    <row r="255">
      <c r="A255" s="5">
        <f>IF(A254="","",IF(A254+1&gt;INT(MAX('1_raw_log'!$B:$B)),"",A254+1))</f>
        <v/>
      </c>
      <c r="B255" s="2">
        <f>IF(A255="","",YEAR(A255))</f>
        <v/>
      </c>
      <c r="C255" s="2">
        <f>IF(A255="","","Q"&amp;ROUNDUP(MONTH(A255)/3,0))</f>
        <v/>
      </c>
      <c r="D255" s="2">
        <f>IF(A255="","",MONTH(A255))</f>
        <v/>
      </c>
      <c r="E255" s="2">
        <f>IF(A255="","",_xlfn.ISOWEEKNUM(A255))</f>
        <v/>
      </c>
      <c r="F255" s="2">
        <f>IF(A255="","",TEXT(A255,"ddd"))</f>
        <v/>
      </c>
    </row>
    <row r="256">
      <c r="A256" s="5">
        <f>IF(A255="","",IF(A255+1&gt;INT(MAX('1_raw_log'!$B:$B)),"",A255+1))</f>
        <v/>
      </c>
      <c r="B256" s="2">
        <f>IF(A256="","",YEAR(A256))</f>
        <v/>
      </c>
      <c r="C256" s="2">
        <f>IF(A256="","","Q"&amp;ROUNDUP(MONTH(A256)/3,0))</f>
        <v/>
      </c>
      <c r="D256" s="2">
        <f>IF(A256="","",MONTH(A256))</f>
        <v/>
      </c>
      <c r="E256" s="2">
        <f>IF(A256="","",_xlfn.ISOWEEKNUM(A256))</f>
        <v/>
      </c>
      <c r="F256" s="2">
        <f>IF(A256="","",TEXT(A256,"ddd"))</f>
        <v/>
      </c>
    </row>
    <row r="257">
      <c r="A257" s="5">
        <f>IF(A256="","",IF(A256+1&gt;INT(MAX('1_raw_log'!$B:$B)),"",A256+1))</f>
        <v/>
      </c>
      <c r="B257" s="2">
        <f>IF(A257="","",YEAR(A257))</f>
        <v/>
      </c>
      <c r="C257" s="2">
        <f>IF(A257="","","Q"&amp;ROUNDUP(MONTH(A257)/3,0))</f>
        <v/>
      </c>
      <c r="D257" s="2">
        <f>IF(A257="","",MONTH(A257))</f>
        <v/>
      </c>
      <c r="E257" s="2">
        <f>IF(A257="","",_xlfn.ISOWEEKNUM(A257))</f>
        <v/>
      </c>
      <c r="F257" s="2">
        <f>IF(A257="","",TEXT(A257,"ddd"))</f>
        <v/>
      </c>
    </row>
    <row r="258">
      <c r="A258" s="5">
        <f>IF(A257="","",IF(A257+1&gt;INT(MAX('1_raw_log'!$B:$B)),"",A257+1))</f>
        <v/>
      </c>
      <c r="B258" s="2">
        <f>IF(A258="","",YEAR(A258))</f>
        <v/>
      </c>
      <c r="C258" s="2">
        <f>IF(A258="","","Q"&amp;ROUNDUP(MONTH(A258)/3,0))</f>
        <v/>
      </c>
      <c r="D258" s="2">
        <f>IF(A258="","",MONTH(A258))</f>
        <v/>
      </c>
      <c r="E258" s="2">
        <f>IF(A258="","",_xlfn.ISOWEEKNUM(A258))</f>
        <v/>
      </c>
      <c r="F258" s="2">
        <f>IF(A258="","",TEXT(A258,"ddd"))</f>
        <v/>
      </c>
    </row>
    <row r="259">
      <c r="A259" s="5">
        <f>IF(A258="","",IF(A258+1&gt;INT(MAX('1_raw_log'!$B:$B)),"",A258+1))</f>
        <v/>
      </c>
      <c r="B259" s="2">
        <f>IF(A259="","",YEAR(A259))</f>
        <v/>
      </c>
      <c r="C259" s="2">
        <f>IF(A259="","","Q"&amp;ROUNDUP(MONTH(A259)/3,0))</f>
        <v/>
      </c>
      <c r="D259" s="2">
        <f>IF(A259="","",MONTH(A259))</f>
        <v/>
      </c>
      <c r="E259" s="2">
        <f>IF(A259="","",_xlfn.ISOWEEKNUM(A259))</f>
        <v/>
      </c>
      <c r="F259" s="2">
        <f>IF(A259="","",TEXT(A259,"ddd"))</f>
        <v/>
      </c>
    </row>
    <row r="260">
      <c r="A260" s="5">
        <f>IF(A259="","",IF(A259+1&gt;INT(MAX('1_raw_log'!$B:$B)),"",A259+1))</f>
        <v/>
      </c>
      <c r="B260" s="2">
        <f>IF(A260="","",YEAR(A260))</f>
        <v/>
      </c>
      <c r="C260" s="2">
        <f>IF(A260="","","Q"&amp;ROUNDUP(MONTH(A260)/3,0))</f>
        <v/>
      </c>
      <c r="D260" s="2">
        <f>IF(A260="","",MONTH(A260))</f>
        <v/>
      </c>
      <c r="E260" s="2">
        <f>IF(A260="","",_xlfn.ISOWEEKNUM(A260))</f>
        <v/>
      </c>
      <c r="F260" s="2">
        <f>IF(A260="","",TEXT(A260,"ddd"))</f>
        <v/>
      </c>
    </row>
    <row r="261">
      <c r="A261" s="5">
        <f>IF(A260="","",IF(A260+1&gt;INT(MAX('1_raw_log'!$B:$B)),"",A260+1))</f>
        <v/>
      </c>
      <c r="B261" s="2">
        <f>IF(A261="","",YEAR(A261))</f>
        <v/>
      </c>
      <c r="C261" s="2">
        <f>IF(A261="","","Q"&amp;ROUNDUP(MONTH(A261)/3,0))</f>
        <v/>
      </c>
      <c r="D261" s="2">
        <f>IF(A261="","",MONTH(A261))</f>
        <v/>
      </c>
      <c r="E261" s="2">
        <f>IF(A261="","",_xlfn.ISOWEEKNUM(A261))</f>
        <v/>
      </c>
      <c r="F261" s="2">
        <f>IF(A261="","",TEXT(A261,"ddd"))</f>
        <v/>
      </c>
    </row>
    <row r="262">
      <c r="A262" s="5">
        <f>IF(A261="","",IF(A261+1&gt;INT(MAX('1_raw_log'!$B:$B)),"",A261+1))</f>
        <v/>
      </c>
      <c r="B262" s="2">
        <f>IF(A262="","",YEAR(A262))</f>
        <v/>
      </c>
      <c r="C262" s="2">
        <f>IF(A262="","","Q"&amp;ROUNDUP(MONTH(A262)/3,0))</f>
        <v/>
      </c>
      <c r="D262" s="2">
        <f>IF(A262="","",MONTH(A262))</f>
        <v/>
      </c>
      <c r="E262" s="2">
        <f>IF(A262="","",_xlfn.ISOWEEKNUM(A262))</f>
        <v/>
      </c>
      <c r="F262" s="2">
        <f>IF(A262="","",TEXT(A262,"ddd"))</f>
        <v/>
      </c>
    </row>
    <row r="263">
      <c r="A263" s="5">
        <f>IF(A262="","",IF(A262+1&gt;INT(MAX('1_raw_log'!$B:$B)),"",A262+1))</f>
        <v/>
      </c>
      <c r="B263" s="2">
        <f>IF(A263="","",YEAR(A263))</f>
        <v/>
      </c>
      <c r="C263" s="2">
        <f>IF(A263="","","Q"&amp;ROUNDUP(MONTH(A263)/3,0))</f>
        <v/>
      </c>
      <c r="D263" s="2">
        <f>IF(A263="","",MONTH(A263))</f>
        <v/>
      </c>
      <c r="E263" s="2">
        <f>IF(A263="","",_xlfn.ISOWEEKNUM(A263))</f>
        <v/>
      </c>
      <c r="F263" s="2">
        <f>IF(A263="","",TEXT(A263,"ddd"))</f>
        <v/>
      </c>
    </row>
    <row r="264">
      <c r="A264" s="5">
        <f>IF(A263="","",IF(A263+1&gt;INT(MAX('1_raw_log'!$B:$B)),"",A263+1))</f>
        <v/>
      </c>
      <c r="B264" s="2">
        <f>IF(A264="","",YEAR(A264))</f>
        <v/>
      </c>
      <c r="C264" s="2">
        <f>IF(A264="","","Q"&amp;ROUNDUP(MONTH(A264)/3,0))</f>
        <v/>
      </c>
      <c r="D264" s="2">
        <f>IF(A264="","",MONTH(A264))</f>
        <v/>
      </c>
      <c r="E264" s="2">
        <f>IF(A264="","",_xlfn.ISOWEEKNUM(A264))</f>
        <v/>
      </c>
      <c r="F264" s="2">
        <f>IF(A264="","",TEXT(A264,"ddd"))</f>
        <v/>
      </c>
    </row>
    <row r="265">
      <c r="A265" s="5">
        <f>IF(A264="","",IF(A264+1&gt;INT(MAX('1_raw_log'!$B:$B)),"",A264+1))</f>
        <v/>
      </c>
      <c r="B265" s="2">
        <f>IF(A265="","",YEAR(A265))</f>
        <v/>
      </c>
      <c r="C265" s="2">
        <f>IF(A265="","","Q"&amp;ROUNDUP(MONTH(A265)/3,0))</f>
        <v/>
      </c>
      <c r="D265" s="2">
        <f>IF(A265="","",MONTH(A265))</f>
        <v/>
      </c>
      <c r="E265" s="2">
        <f>IF(A265="","",_xlfn.ISOWEEKNUM(A265))</f>
        <v/>
      </c>
      <c r="F265" s="2">
        <f>IF(A265="","",TEXT(A265,"ddd"))</f>
        <v/>
      </c>
    </row>
    <row r="266">
      <c r="A266" s="5">
        <f>IF(A265="","",IF(A265+1&gt;INT(MAX('1_raw_log'!$B:$B)),"",A265+1))</f>
        <v/>
      </c>
      <c r="B266" s="2">
        <f>IF(A266="","",YEAR(A266))</f>
        <v/>
      </c>
      <c r="C266" s="2">
        <f>IF(A266="","","Q"&amp;ROUNDUP(MONTH(A266)/3,0))</f>
        <v/>
      </c>
      <c r="D266" s="2">
        <f>IF(A266="","",MONTH(A266))</f>
        <v/>
      </c>
      <c r="E266" s="2">
        <f>IF(A266="","",_xlfn.ISOWEEKNUM(A266))</f>
        <v/>
      </c>
      <c r="F266" s="2">
        <f>IF(A266="","",TEXT(A266,"ddd"))</f>
        <v/>
      </c>
    </row>
    <row r="267">
      <c r="A267" s="5">
        <f>IF(A266="","",IF(A266+1&gt;INT(MAX('1_raw_log'!$B:$B)),"",A266+1))</f>
        <v/>
      </c>
      <c r="B267" s="2">
        <f>IF(A267="","",YEAR(A267))</f>
        <v/>
      </c>
      <c r="C267" s="2">
        <f>IF(A267="","","Q"&amp;ROUNDUP(MONTH(A267)/3,0))</f>
        <v/>
      </c>
      <c r="D267" s="2">
        <f>IF(A267="","",MONTH(A267))</f>
        <v/>
      </c>
      <c r="E267" s="2">
        <f>IF(A267="","",_xlfn.ISOWEEKNUM(A267))</f>
        <v/>
      </c>
      <c r="F267" s="2">
        <f>IF(A267="","",TEXT(A267,"ddd"))</f>
        <v/>
      </c>
    </row>
    <row r="268">
      <c r="A268" s="5">
        <f>IF(A267="","",IF(A267+1&gt;INT(MAX('1_raw_log'!$B:$B)),"",A267+1))</f>
        <v/>
      </c>
      <c r="B268" s="2">
        <f>IF(A268="","",YEAR(A268))</f>
        <v/>
      </c>
      <c r="C268" s="2">
        <f>IF(A268="","","Q"&amp;ROUNDUP(MONTH(A268)/3,0))</f>
        <v/>
      </c>
      <c r="D268" s="2">
        <f>IF(A268="","",MONTH(A268))</f>
        <v/>
      </c>
      <c r="E268" s="2">
        <f>IF(A268="","",_xlfn.ISOWEEKNUM(A268))</f>
        <v/>
      </c>
      <c r="F268" s="2">
        <f>IF(A268="","",TEXT(A268,"ddd"))</f>
        <v/>
      </c>
    </row>
    <row r="269">
      <c r="A269" s="5">
        <f>IF(A268="","",IF(A268+1&gt;INT(MAX('1_raw_log'!$B:$B)),"",A268+1))</f>
        <v/>
      </c>
      <c r="B269" s="2">
        <f>IF(A269="","",YEAR(A269))</f>
        <v/>
      </c>
      <c r="C269" s="2">
        <f>IF(A269="","","Q"&amp;ROUNDUP(MONTH(A269)/3,0))</f>
        <v/>
      </c>
      <c r="D269" s="2">
        <f>IF(A269="","",MONTH(A269))</f>
        <v/>
      </c>
      <c r="E269" s="2">
        <f>IF(A269="","",_xlfn.ISOWEEKNUM(A269))</f>
        <v/>
      </c>
      <c r="F269" s="2">
        <f>IF(A269="","",TEXT(A269,"ddd"))</f>
        <v/>
      </c>
    </row>
    <row r="270">
      <c r="A270" s="5">
        <f>IF(A269="","",IF(A269+1&gt;INT(MAX('1_raw_log'!$B:$B)),"",A269+1))</f>
        <v/>
      </c>
      <c r="B270" s="2">
        <f>IF(A270="","",YEAR(A270))</f>
        <v/>
      </c>
      <c r="C270" s="2">
        <f>IF(A270="","","Q"&amp;ROUNDUP(MONTH(A270)/3,0))</f>
        <v/>
      </c>
      <c r="D270" s="2">
        <f>IF(A270="","",MONTH(A270))</f>
        <v/>
      </c>
      <c r="E270" s="2">
        <f>IF(A270="","",_xlfn.ISOWEEKNUM(A270))</f>
        <v/>
      </c>
      <c r="F270" s="2">
        <f>IF(A270="","",TEXT(A270,"ddd"))</f>
        <v/>
      </c>
    </row>
    <row r="271">
      <c r="A271" s="5">
        <f>IF(A270="","",IF(A270+1&gt;INT(MAX('1_raw_log'!$B:$B)),"",A270+1))</f>
        <v/>
      </c>
      <c r="B271" s="2">
        <f>IF(A271="","",YEAR(A271))</f>
        <v/>
      </c>
      <c r="C271" s="2">
        <f>IF(A271="","","Q"&amp;ROUNDUP(MONTH(A271)/3,0))</f>
        <v/>
      </c>
      <c r="D271" s="2">
        <f>IF(A271="","",MONTH(A271))</f>
        <v/>
      </c>
      <c r="E271" s="2">
        <f>IF(A271="","",_xlfn.ISOWEEKNUM(A271))</f>
        <v/>
      </c>
      <c r="F271" s="2">
        <f>IF(A271="","",TEXT(A271,"ddd"))</f>
        <v/>
      </c>
    </row>
    <row r="272">
      <c r="A272" s="5">
        <f>IF(A271="","",IF(A271+1&gt;INT(MAX('1_raw_log'!$B:$B)),"",A271+1))</f>
        <v/>
      </c>
      <c r="B272" s="2">
        <f>IF(A272="","",YEAR(A272))</f>
        <v/>
      </c>
      <c r="C272" s="2">
        <f>IF(A272="","","Q"&amp;ROUNDUP(MONTH(A272)/3,0))</f>
        <v/>
      </c>
      <c r="D272" s="2">
        <f>IF(A272="","",MONTH(A272))</f>
        <v/>
      </c>
      <c r="E272" s="2">
        <f>IF(A272="","",_xlfn.ISOWEEKNUM(A272))</f>
        <v/>
      </c>
      <c r="F272" s="2">
        <f>IF(A272="","",TEXT(A272,"ddd"))</f>
        <v/>
      </c>
    </row>
    <row r="273">
      <c r="A273" s="5">
        <f>IF(A272="","",IF(A272+1&gt;INT(MAX('1_raw_log'!$B:$B)),"",A272+1))</f>
        <v/>
      </c>
      <c r="B273" s="2">
        <f>IF(A273="","",YEAR(A273))</f>
        <v/>
      </c>
      <c r="C273" s="2">
        <f>IF(A273="","","Q"&amp;ROUNDUP(MONTH(A273)/3,0))</f>
        <v/>
      </c>
      <c r="D273" s="2">
        <f>IF(A273="","",MONTH(A273))</f>
        <v/>
      </c>
      <c r="E273" s="2">
        <f>IF(A273="","",_xlfn.ISOWEEKNUM(A273))</f>
        <v/>
      </c>
      <c r="F273" s="2">
        <f>IF(A273="","",TEXT(A273,"ddd"))</f>
        <v/>
      </c>
    </row>
    <row r="274">
      <c r="A274" s="5">
        <f>IF(A273="","",IF(A273+1&gt;INT(MAX('1_raw_log'!$B:$B)),"",A273+1))</f>
        <v/>
      </c>
      <c r="B274" s="2">
        <f>IF(A274="","",YEAR(A274))</f>
        <v/>
      </c>
      <c r="C274" s="2">
        <f>IF(A274="","","Q"&amp;ROUNDUP(MONTH(A274)/3,0))</f>
        <v/>
      </c>
      <c r="D274" s="2">
        <f>IF(A274="","",MONTH(A274))</f>
        <v/>
      </c>
      <c r="E274" s="2">
        <f>IF(A274="","",_xlfn.ISOWEEKNUM(A274))</f>
        <v/>
      </c>
      <c r="F274" s="2">
        <f>IF(A274="","",TEXT(A274,"ddd"))</f>
        <v/>
      </c>
    </row>
    <row r="275">
      <c r="A275" s="5">
        <f>IF(A274="","",IF(A274+1&gt;INT(MAX('1_raw_log'!$B:$B)),"",A274+1))</f>
        <v/>
      </c>
      <c r="B275" s="2">
        <f>IF(A275="","",YEAR(A275))</f>
        <v/>
      </c>
      <c r="C275" s="2">
        <f>IF(A275="","","Q"&amp;ROUNDUP(MONTH(A275)/3,0))</f>
        <v/>
      </c>
      <c r="D275" s="2">
        <f>IF(A275="","",MONTH(A275))</f>
        <v/>
      </c>
      <c r="E275" s="2">
        <f>IF(A275="","",_xlfn.ISOWEEKNUM(A275))</f>
        <v/>
      </c>
      <c r="F275" s="2">
        <f>IF(A275="","",TEXT(A275,"ddd"))</f>
        <v/>
      </c>
    </row>
    <row r="276">
      <c r="A276" s="5">
        <f>IF(A275="","",IF(A275+1&gt;INT(MAX('1_raw_log'!$B:$B)),"",A275+1))</f>
        <v/>
      </c>
      <c r="B276" s="2">
        <f>IF(A276="","",YEAR(A276))</f>
        <v/>
      </c>
      <c r="C276" s="2">
        <f>IF(A276="","","Q"&amp;ROUNDUP(MONTH(A276)/3,0))</f>
        <v/>
      </c>
      <c r="D276" s="2">
        <f>IF(A276="","",MONTH(A276))</f>
        <v/>
      </c>
      <c r="E276" s="2">
        <f>IF(A276="","",_xlfn.ISOWEEKNUM(A276))</f>
        <v/>
      </c>
      <c r="F276" s="2">
        <f>IF(A276="","",TEXT(A276,"ddd"))</f>
        <v/>
      </c>
    </row>
    <row r="277">
      <c r="A277" s="5">
        <f>IF(A276="","",IF(A276+1&gt;INT(MAX('1_raw_log'!$B:$B)),"",A276+1))</f>
        <v/>
      </c>
      <c r="B277" s="2">
        <f>IF(A277="","",YEAR(A277))</f>
        <v/>
      </c>
      <c r="C277" s="2">
        <f>IF(A277="","","Q"&amp;ROUNDUP(MONTH(A277)/3,0))</f>
        <v/>
      </c>
      <c r="D277" s="2">
        <f>IF(A277="","",MONTH(A277))</f>
        <v/>
      </c>
      <c r="E277" s="2">
        <f>IF(A277="","",_xlfn.ISOWEEKNUM(A277))</f>
        <v/>
      </c>
      <c r="F277" s="2">
        <f>IF(A277="","",TEXT(A277,"ddd"))</f>
        <v/>
      </c>
    </row>
    <row r="278">
      <c r="A278" s="5">
        <f>IF(A277="","",IF(A277+1&gt;INT(MAX('1_raw_log'!$B:$B)),"",A277+1))</f>
        <v/>
      </c>
      <c r="B278" s="2">
        <f>IF(A278="","",YEAR(A278))</f>
        <v/>
      </c>
      <c r="C278" s="2">
        <f>IF(A278="","","Q"&amp;ROUNDUP(MONTH(A278)/3,0))</f>
        <v/>
      </c>
      <c r="D278" s="2">
        <f>IF(A278="","",MONTH(A278))</f>
        <v/>
      </c>
      <c r="E278" s="2">
        <f>IF(A278="","",_xlfn.ISOWEEKNUM(A278))</f>
        <v/>
      </c>
      <c r="F278" s="2">
        <f>IF(A278="","",TEXT(A278,"ddd"))</f>
        <v/>
      </c>
    </row>
    <row r="279">
      <c r="A279" s="5">
        <f>IF(A278="","",IF(A278+1&gt;INT(MAX('1_raw_log'!$B:$B)),"",A278+1))</f>
        <v/>
      </c>
      <c r="B279" s="2">
        <f>IF(A279="","",YEAR(A279))</f>
        <v/>
      </c>
      <c r="C279" s="2">
        <f>IF(A279="","","Q"&amp;ROUNDUP(MONTH(A279)/3,0))</f>
        <v/>
      </c>
      <c r="D279" s="2">
        <f>IF(A279="","",MONTH(A279))</f>
        <v/>
      </c>
      <c r="E279" s="2">
        <f>IF(A279="","",_xlfn.ISOWEEKNUM(A279))</f>
        <v/>
      </c>
      <c r="F279" s="2">
        <f>IF(A279="","",TEXT(A279,"ddd"))</f>
        <v/>
      </c>
    </row>
    <row r="280">
      <c r="A280" s="5">
        <f>IF(A279="","",IF(A279+1&gt;INT(MAX('1_raw_log'!$B:$B)),"",A279+1))</f>
        <v/>
      </c>
      <c r="B280" s="2">
        <f>IF(A280="","",YEAR(A280))</f>
        <v/>
      </c>
      <c r="C280" s="2">
        <f>IF(A280="","","Q"&amp;ROUNDUP(MONTH(A280)/3,0))</f>
        <v/>
      </c>
      <c r="D280" s="2">
        <f>IF(A280="","",MONTH(A280))</f>
        <v/>
      </c>
      <c r="E280" s="2">
        <f>IF(A280="","",_xlfn.ISOWEEKNUM(A280))</f>
        <v/>
      </c>
      <c r="F280" s="2">
        <f>IF(A280="","",TEXT(A280,"ddd"))</f>
        <v/>
      </c>
    </row>
    <row r="281">
      <c r="A281" s="5">
        <f>IF(A280="","",IF(A280+1&gt;INT(MAX('1_raw_log'!$B:$B)),"",A280+1))</f>
        <v/>
      </c>
      <c r="B281" s="2">
        <f>IF(A281="","",YEAR(A281))</f>
        <v/>
      </c>
      <c r="C281" s="2">
        <f>IF(A281="","","Q"&amp;ROUNDUP(MONTH(A281)/3,0))</f>
        <v/>
      </c>
      <c r="D281" s="2">
        <f>IF(A281="","",MONTH(A281))</f>
        <v/>
      </c>
      <c r="E281" s="2">
        <f>IF(A281="","",_xlfn.ISOWEEKNUM(A281))</f>
        <v/>
      </c>
      <c r="F281" s="2">
        <f>IF(A281="","",TEXT(A281,"ddd"))</f>
        <v/>
      </c>
    </row>
    <row r="282">
      <c r="A282" s="5">
        <f>IF(A281="","",IF(A281+1&gt;INT(MAX('1_raw_log'!$B:$B)),"",A281+1))</f>
        <v/>
      </c>
      <c r="B282" s="2">
        <f>IF(A282="","",YEAR(A282))</f>
        <v/>
      </c>
      <c r="C282" s="2">
        <f>IF(A282="","","Q"&amp;ROUNDUP(MONTH(A282)/3,0))</f>
        <v/>
      </c>
      <c r="D282" s="2">
        <f>IF(A282="","",MONTH(A282))</f>
        <v/>
      </c>
      <c r="E282" s="2">
        <f>IF(A282="","",_xlfn.ISOWEEKNUM(A282))</f>
        <v/>
      </c>
      <c r="F282" s="2">
        <f>IF(A282="","",TEXT(A282,"ddd"))</f>
        <v/>
      </c>
    </row>
    <row r="283">
      <c r="A283" s="5">
        <f>IF(A282="","",IF(A282+1&gt;INT(MAX('1_raw_log'!$B:$B)),"",A282+1))</f>
        <v/>
      </c>
      <c r="B283" s="2">
        <f>IF(A283="","",YEAR(A283))</f>
        <v/>
      </c>
      <c r="C283" s="2">
        <f>IF(A283="","","Q"&amp;ROUNDUP(MONTH(A283)/3,0))</f>
        <v/>
      </c>
      <c r="D283" s="2">
        <f>IF(A283="","",MONTH(A283))</f>
        <v/>
      </c>
      <c r="E283" s="2">
        <f>IF(A283="","",_xlfn.ISOWEEKNUM(A283))</f>
        <v/>
      </c>
      <c r="F283" s="2">
        <f>IF(A283="","",TEXT(A283,"ddd"))</f>
        <v/>
      </c>
    </row>
    <row r="284">
      <c r="A284" s="5">
        <f>IF(A283="","",IF(A283+1&gt;INT(MAX('1_raw_log'!$B:$B)),"",A283+1))</f>
        <v/>
      </c>
      <c r="B284" s="2">
        <f>IF(A284="","",YEAR(A284))</f>
        <v/>
      </c>
      <c r="C284" s="2">
        <f>IF(A284="","","Q"&amp;ROUNDUP(MONTH(A284)/3,0))</f>
        <v/>
      </c>
      <c r="D284" s="2">
        <f>IF(A284="","",MONTH(A284))</f>
        <v/>
      </c>
      <c r="E284" s="2">
        <f>IF(A284="","",_xlfn.ISOWEEKNUM(A284))</f>
        <v/>
      </c>
      <c r="F284" s="2">
        <f>IF(A284="","",TEXT(A284,"ddd"))</f>
        <v/>
      </c>
    </row>
    <row r="285">
      <c r="A285" s="5">
        <f>IF(A284="","",IF(A284+1&gt;INT(MAX('1_raw_log'!$B:$B)),"",A284+1))</f>
        <v/>
      </c>
      <c r="B285" s="2">
        <f>IF(A285="","",YEAR(A285))</f>
        <v/>
      </c>
      <c r="C285" s="2">
        <f>IF(A285="","","Q"&amp;ROUNDUP(MONTH(A285)/3,0))</f>
        <v/>
      </c>
      <c r="D285" s="2">
        <f>IF(A285="","",MONTH(A285))</f>
        <v/>
      </c>
      <c r="E285" s="2">
        <f>IF(A285="","",_xlfn.ISOWEEKNUM(A285))</f>
        <v/>
      </c>
      <c r="F285" s="2">
        <f>IF(A285="","",TEXT(A285,"ddd"))</f>
        <v/>
      </c>
    </row>
    <row r="286">
      <c r="A286" s="5">
        <f>IF(A285="","",IF(A285+1&gt;INT(MAX('1_raw_log'!$B:$B)),"",A285+1))</f>
        <v/>
      </c>
      <c r="B286" s="2">
        <f>IF(A286="","",YEAR(A286))</f>
        <v/>
      </c>
      <c r="C286" s="2">
        <f>IF(A286="","","Q"&amp;ROUNDUP(MONTH(A286)/3,0))</f>
        <v/>
      </c>
      <c r="D286" s="2">
        <f>IF(A286="","",MONTH(A286))</f>
        <v/>
      </c>
      <c r="E286" s="2">
        <f>IF(A286="","",_xlfn.ISOWEEKNUM(A286))</f>
        <v/>
      </c>
      <c r="F286" s="2">
        <f>IF(A286="","",TEXT(A286,"ddd"))</f>
        <v/>
      </c>
    </row>
    <row r="287">
      <c r="A287" s="5">
        <f>IF(A286="","",IF(A286+1&gt;INT(MAX('1_raw_log'!$B:$B)),"",A286+1))</f>
        <v/>
      </c>
      <c r="B287" s="2">
        <f>IF(A287="","",YEAR(A287))</f>
        <v/>
      </c>
      <c r="C287" s="2">
        <f>IF(A287="","","Q"&amp;ROUNDUP(MONTH(A287)/3,0))</f>
        <v/>
      </c>
      <c r="D287" s="2">
        <f>IF(A287="","",MONTH(A287))</f>
        <v/>
      </c>
      <c r="E287" s="2">
        <f>IF(A287="","",_xlfn.ISOWEEKNUM(A287))</f>
        <v/>
      </c>
      <c r="F287" s="2">
        <f>IF(A287="","",TEXT(A287,"ddd"))</f>
        <v/>
      </c>
    </row>
    <row r="288">
      <c r="A288" s="5">
        <f>IF(A287="","",IF(A287+1&gt;INT(MAX('1_raw_log'!$B:$B)),"",A287+1))</f>
        <v/>
      </c>
      <c r="B288" s="2">
        <f>IF(A288="","",YEAR(A288))</f>
        <v/>
      </c>
      <c r="C288" s="2">
        <f>IF(A288="","","Q"&amp;ROUNDUP(MONTH(A288)/3,0))</f>
        <v/>
      </c>
      <c r="D288" s="2">
        <f>IF(A288="","",MONTH(A288))</f>
        <v/>
      </c>
      <c r="E288" s="2">
        <f>IF(A288="","",_xlfn.ISOWEEKNUM(A288))</f>
        <v/>
      </c>
      <c r="F288" s="2">
        <f>IF(A288="","",TEXT(A288,"ddd"))</f>
        <v/>
      </c>
    </row>
    <row r="289">
      <c r="A289" s="5">
        <f>IF(A288="","",IF(A288+1&gt;INT(MAX('1_raw_log'!$B:$B)),"",A288+1))</f>
        <v/>
      </c>
      <c r="B289" s="2">
        <f>IF(A289="","",YEAR(A289))</f>
        <v/>
      </c>
      <c r="C289" s="2">
        <f>IF(A289="","","Q"&amp;ROUNDUP(MONTH(A289)/3,0))</f>
        <v/>
      </c>
      <c r="D289" s="2">
        <f>IF(A289="","",MONTH(A289))</f>
        <v/>
      </c>
      <c r="E289" s="2">
        <f>IF(A289="","",_xlfn.ISOWEEKNUM(A289))</f>
        <v/>
      </c>
      <c r="F289" s="2">
        <f>IF(A289="","",TEXT(A289,"ddd"))</f>
        <v/>
      </c>
    </row>
    <row r="290">
      <c r="A290" s="5">
        <f>IF(A289="","",IF(A289+1&gt;INT(MAX('1_raw_log'!$B:$B)),"",A289+1))</f>
        <v/>
      </c>
      <c r="B290" s="2">
        <f>IF(A290="","",YEAR(A290))</f>
        <v/>
      </c>
      <c r="C290" s="2">
        <f>IF(A290="","","Q"&amp;ROUNDUP(MONTH(A290)/3,0))</f>
        <v/>
      </c>
      <c r="D290" s="2">
        <f>IF(A290="","",MONTH(A290))</f>
        <v/>
      </c>
      <c r="E290" s="2">
        <f>IF(A290="","",_xlfn.ISOWEEKNUM(A290))</f>
        <v/>
      </c>
      <c r="F290" s="2">
        <f>IF(A290="","",TEXT(A290,"ddd"))</f>
        <v/>
      </c>
    </row>
    <row r="291">
      <c r="A291" s="5">
        <f>IF(A290="","",IF(A290+1&gt;INT(MAX('1_raw_log'!$B:$B)),"",A290+1))</f>
        <v/>
      </c>
      <c r="B291" s="2">
        <f>IF(A291="","",YEAR(A291))</f>
        <v/>
      </c>
      <c r="C291" s="2">
        <f>IF(A291="","","Q"&amp;ROUNDUP(MONTH(A291)/3,0))</f>
        <v/>
      </c>
      <c r="D291" s="2">
        <f>IF(A291="","",MONTH(A291))</f>
        <v/>
      </c>
      <c r="E291" s="2">
        <f>IF(A291="","",_xlfn.ISOWEEKNUM(A291))</f>
        <v/>
      </c>
      <c r="F291" s="2">
        <f>IF(A291="","",TEXT(A291,"ddd"))</f>
        <v/>
      </c>
    </row>
    <row r="292">
      <c r="A292" s="5">
        <f>IF(A291="","",IF(A291+1&gt;INT(MAX('1_raw_log'!$B:$B)),"",A291+1))</f>
        <v/>
      </c>
      <c r="B292" s="2">
        <f>IF(A292="","",YEAR(A292))</f>
        <v/>
      </c>
      <c r="C292" s="2">
        <f>IF(A292="","","Q"&amp;ROUNDUP(MONTH(A292)/3,0))</f>
        <v/>
      </c>
      <c r="D292" s="2">
        <f>IF(A292="","",MONTH(A292))</f>
        <v/>
      </c>
      <c r="E292" s="2">
        <f>IF(A292="","",_xlfn.ISOWEEKNUM(A292))</f>
        <v/>
      </c>
      <c r="F292" s="2">
        <f>IF(A292="","",TEXT(A292,"ddd"))</f>
        <v/>
      </c>
    </row>
    <row r="293">
      <c r="A293" s="5">
        <f>IF(A292="","",IF(A292+1&gt;INT(MAX('1_raw_log'!$B:$B)),"",A292+1))</f>
        <v/>
      </c>
      <c r="B293" s="2">
        <f>IF(A293="","",YEAR(A293))</f>
        <v/>
      </c>
      <c r="C293" s="2">
        <f>IF(A293="","","Q"&amp;ROUNDUP(MONTH(A293)/3,0))</f>
        <v/>
      </c>
      <c r="D293" s="2">
        <f>IF(A293="","",MONTH(A293))</f>
        <v/>
      </c>
      <c r="E293" s="2">
        <f>IF(A293="","",_xlfn.ISOWEEKNUM(A293))</f>
        <v/>
      </c>
      <c r="F293" s="2">
        <f>IF(A293="","",TEXT(A293,"ddd"))</f>
        <v/>
      </c>
    </row>
    <row r="294">
      <c r="A294" s="5">
        <f>IF(A293="","",IF(A293+1&gt;INT(MAX('1_raw_log'!$B:$B)),"",A293+1))</f>
        <v/>
      </c>
      <c r="B294" s="2">
        <f>IF(A294="","",YEAR(A294))</f>
        <v/>
      </c>
      <c r="C294" s="2">
        <f>IF(A294="","","Q"&amp;ROUNDUP(MONTH(A294)/3,0))</f>
        <v/>
      </c>
      <c r="D294" s="2">
        <f>IF(A294="","",MONTH(A294))</f>
        <v/>
      </c>
      <c r="E294" s="2">
        <f>IF(A294="","",_xlfn.ISOWEEKNUM(A294))</f>
        <v/>
      </c>
      <c r="F294" s="2">
        <f>IF(A294="","",TEXT(A294,"ddd"))</f>
        <v/>
      </c>
    </row>
    <row r="295">
      <c r="A295" s="5">
        <f>IF(A294="","",IF(A294+1&gt;INT(MAX('1_raw_log'!$B:$B)),"",A294+1))</f>
        <v/>
      </c>
      <c r="B295" s="2">
        <f>IF(A295="","",YEAR(A295))</f>
        <v/>
      </c>
      <c r="C295" s="2">
        <f>IF(A295="","","Q"&amp;ROUNDUP(MONTH(A295)/3,0))</f>
        <v/>
      </c>
      <c r="D295" s="2">
        <f>IF(A295="","",MONTH(A295))</f>
        <v/>
      </c>
      <c r="E295" s="2">
        <f>IF(A295="","",_xlfn.ISOWEEKNUM(A295))</f>
        <v/>
      </c>
      <c r="F295" s="2">
        <f>IF(A295="","",TEXT(A295,"ddd"))</f>
        <v/>
      </c>
    </row>
    <row r="296">
      <c r="A296" s="5">
        <f>IF(A295="","",IF(A295+1&gt;INT(MAX('1_raw_log'!$B:$B)),"",A295+1))</f>
        <v/>
      </c>
      <c r="B296" s="2">
        <f>IF(A296="","",YEAR(A296))</f>
        <v/>
      </c>
      <c r="C296" s="2">
        <f>IF(A296="","","Q"&amp;ROUNDUP(MONTH(A296)/3,0))</f>
        <v/>
      </c>
      <c r="D296" s="2">
        <f>IF(A296="","",MONTH(A296))</f>
        <v/>
      </c>
      <c r="E296" s="2">
        <f>IF(A296="","",_xlfn.ISOWEEKNUM(A296))</f>
        <v/>
      </c>
      <c r="F296" s="2">
        <f>IF(A296="","",TEXT(A296,"ddd"))</f>
        <v/>
      </c>
    </row>
    <row r="297">
      <c r="A297" s="5">
        <f>IF(A296="","",IF(A296+1&gt;INT(MAX('1_raw_log'!$B:$B)),"",A296+1))</f>
        <v/>
      </c>
      <c r="B297" s="2">
        <f>IF(A297="","",YEAR(A297))</f>
        <v/>
      </c>
      <c r="C297" s="2">
        <f>IF(A297="","","Q"&amp;ROUNDUP(MONTH(A297)/3,0))</f>
        <v/>
      </c>
      <c r="D297" s="2">
        <f>IF(A297="","",MONTH(A297))</f>
        <v/>
      </c>
      <c r="E297" s="2">
        <f>IF(A297="","",_xlfn.ISOWEEKNUM(A297))</f>
        <v/>
      </c>
      <c r="F297" s="2">
        <f>IF(A297="","",TEXT(A297,"ddd"))</f>
        <v/>
      </c>
    </row>
    <row r="298">
      <c r="A298" s="5">
        <f>IF(A297="","",IF(A297+1&gt;INT(MAX('1_raw_log'!$B:$B)),"",A297+1))</f>
        <v/>
      </c>
      <c r="B298" s="2">
        <f>IF(A298="","",YEAR(A298))</f>
        <v/>
      </c>
      <c r="C298" s="2">
        <f>IF(A298="","","Q"&amp;ROUNDUP(MONTH(A298)/3,0))</f>
        <v/>
      </c>
      <c r="D298" s="2">
        <f>IF(A298="","",MONTH(A298))</f>
        <v/>
      </c>
      <c r="E298" s="2">
        <f>IF(A298="","",_xlfn.ISOWEEKNUM(A298))</f>
        <v/>
      </c>
      <c r="F298" s="2">
        <f>IF(A298="","",TEXT(A298,"ddd"))</f>
        <v/>
      </c>
    </row>
    <row r="299">
      <c r="A299" s="5">
        <f>IF(A298="","",IF(A298+1&gt;INT(MAX('1_raw_log'!$B:$B)),"",A298+1))</f>
        <v/>
      </c>
      <c r="B299" s="2">
        <f>IF(A299="","",YEAR(A299))</f>
        <v/>
      </c>
      <c r="C299" s="2">
        <f>IF(A299="","","Q"&amp;ROUNDUP(MONTH(A299)/3,0))</f>
        <v/>
      </c>
      <c r="D299" s="2">
        <f>IF(A299="","",MONTH(A299))</f>
        <v/>
      </c>
      <c r="E299" s="2">
        <f>IF(A299="","",_xlfn.ISOWEEKNUM(A299))</f>
        <v/>
      </c>
      <c r="F299" s="2">
        <f>IF(A299="","",TEXT(A299,"ddd"))</f>
        <v/>
      </c>
    </row>
    <row r="300">
      <c r="A300" s="5">
        <f>IF(A299="","",IF(A299+1&gt;INT(MAX('1_raw_log'!$B:$B)),"",A299+1))</f>
        <v/>
      </c>
      <c r="B300" s="2">
        <f>IF(A300="","",YEAR(A300))</f>
        <v/>
      </c>
      <c r="C300" s="2">
        <f>IF(A300="","","Q"&amp;ROUNDUP(MONTH(A300)/3,0))</f>
        <v/>
      </c>
      <c r="D300" s="2">
        <f>IF(A300="","",MONTH(A300))</f>
        <v/>
      </c>
      <c r="E300" s="2">
        <f>IF(A300="","",_xlfn.ISOWEEKNUM(A300))</f>
        <v/>
      </c>
      <c r="F300" s="2">
        <f>IF(A300="","",TEXT(A300,"ddd"))</f>
        <v/>
      </c>
    </row>
    <row r="301">
      <c r="A301" s="5">
        <f>IF(A300="","",IF(A300+1&gt;INT(MAX('1_raw_log'!$B:$B)),"",A300+1))</f>
        <v/>
      </c>
      <c r="B301" s="2">
        <f>IF(A301="","",YEAR(A301))</f>
        <v/>
      </c>
      <c r="C301" s="2">
        <f>IF(A301="","","Q"&amp;ROUNDUP(MONTH(A301)/3,0))</f>
        <v/>
      </c>
      <c r="D301" s="2">
        <f>IF(A301="","",MONTH(A301))</f>
        <v/>
      </c>
      <c r="E301" s="2">
        <f>IF(A301="","",_xlfn.ISOWEEKNUM(A301))</f>
        <v/>
      </c>
      <c r="F301" s="2">
        <f>IF(A301="","",TEXT(A301,"ddd"))</f>
        <v/>
      </c>
    </row>
    <row r="302">
      <c r="A302" s="5">
        <f>IF(A301="","",IF(A301+1&gt;INT(MAX('1_raw_log'!$B:$B)),"",A301+1))</f>
        <v/>
      </c>
      <c r="B302" s="2">
        <f>IF(A302="","",YEAR(A302))</f>
        <v/>
      </c>
      <c r="C302" s="2">
        <f>IF(A302="","","Q"&amp;ROUNDUP(MONTH(A302)/3,0))</f>
        <v/>
      </c>
      <c r="D302" s="2">
        <f>IF(A302="","",MONTH(A302))</f>
        <v/>
      </c>
      <c r="E302" s="2">
        <f>IF(A302="","",_xlfn.ISOWEEKNUM(A302))</f>
        <v/>
      </c>
      <c r="F302" s="2">
        <f>IF(A302="","",TEXT(A302,"ddd"))</f>
        <v/>
      </c>
    </row>
    <row r="303">
      <c r="A303" s="5">
        <f>IF(A302="","",IF(A302+1&gt;INT(MAX('1_raw_log'!$B:$B)),"",A302+1))</f>
        <v/>
      </c>
      <c r="B303" s="2">
        <f>IF(A303="","",YEAR(A303))</f>
        <v/>
      </c>
      <c r="C303" s="2">
        <f>IF(A303="","","Q"&amp;ROUNDUP(MONTH(A303)/3,0))</f>
        <v/>
      </c>
      <c r="D303" s="2">
        <f>IF(A303="","",MONTH(A303))</f>
        <v/>
      </c>
      <c r="E303" s="2">
        <f>IF(A303="","",_xlfn.ISOWEEKNUM(A303))</f>
        <v/>
      </c>
      <c r="F303" s="2">
        <f>IF(A303="","",TEXT(A303,"ddd"))</f>
        <v/>
      </c>
    </row>
    <row r="304">
      <c r="A304" s="5">
        <f>IF(A303="","",IF(A303+1&gt;INT(MAX('1_raw_log'!$B:$B)),"",A303+1))</f>
        <v/>
      </c>
      <c r="B304" s="2">
        <f>IF(A304="","",YEAR(A304))</f>
        <v/>
      </c>
      <c r="C304" s="2">
        <f>IF(A304="","","Q"&amp;ROUNDUP(MONTH(A304)/3,0))</f>
        <v/>
      </c>
      <c r="D304" s="2">
        <f>IF(A304="","",MONTH(A304))</f>
        <v/>
      </c>
      <c r="E304" s="2">
        <f>IF(A304="","",_xlfn.ISOWEEKNUM(A304))</f>
        <v/>
      </c>
      <c r="F304" s="2">
        <f>IF(A304="","",TEXT(A304,"ddd"))</f>
        <v/>
      </c>
    </row>
    <row r="305">
      <c r="A305" s="5">
        <f>IF(A304="","",IF(A304+1&gt;INT(MAX('1_raw_log'!$B:$B)),"",A304+1))</f>
        <v/>
      </c>
      <c r="B305" s="2">
        <f>IF(A305="","",YEAR(A305))</f>
        <v/>
      </c>
      <c r="C305" s="2">
        <f>IF(A305="","","Q"&amp;ROUNDUP(MONTH(A305)/3,0))</f>
        <v/>
      </c>
      <c r="D305" s="2">
        <f>IF(A305="","",MONTH(A305))</f>
        <v/>
      </c>
      <c r="E305" s="2">
        <f>IF(A305="","",_xlfn.ISOWEEKNUM(A305))</f>
        <v/>
      </c>
      <c r="F305" s="2">
        <f>IF(A305="","",TEXT(A305,"ddd"))</f>
        <v/>
      </c>
    </row>
    <row r="306">
      <c r="A306" s="5">
        <f>IF(A305="","",IF(A305+1&gt;INT(MAX('1_raw_log'!$B:$B)),"",A305+1))</f>
        <v/>
      </c>
      <c r="B306" s="2">
        <f>IF(A306="","",YEAR(A306))</f>
        <v/>
      </c>
      <c r="C306" s="2">
        <f>IF(A306="","","Q"&amp;ROUNDUP(MONTH(A306)/3,0))</f>
        <v/>
      </c>
      <c r="D306" s="2">
        <f>IF(A306="","",MONTH(A306))</f>
        <v/>
      </c>
      <c r="E306" s="2">
        <f>IF(A306="","",_xlfn.ISOWEEKNUM(A306))</f>
        <v/>
      </c>
      <c r="F306" s="2">
        <f>IF(A306="","",TEXT(A306,"ddd"))</f>
        <v/>
      </c>
    </row>
    <row r="307">
      <c r="A307" s="5">
        <f>IF(A306="","",IF(A306+1&gt;INT(MAX('1_raw_log'!$B:$B)),"",A306+1))</f>
        <v/>
      </c>
      <c r="B307" s="2">
        <f>IF(A307="","",YEAR(A307))</f>
        <v/>
      </c>
      <c r="C307" s="2">
        <f>IF(A307="","","Q"&amp;ROUNDUP(MONTH(A307)/3,0))</f>
        <v/>
      </c>
      <c r="D307" s="2">
        <f>IF(A307="","",MONTH(A307))</f>
        <v/>
      </c>
      <c r="E307" s="2">
        <f>IF(A307="","",_xlfn.ISOWEEKNUM(A307))</f>
        <v/>
      </c>
      <c r="F307" s="2">
        <f>IF(A307="","",TEXT(A307,"ddd"))</f>
        <v/>
      </c>
    </row>
    <row r="308">
      <c r="A308" s="5">
        <f>IF(A307="","",IF(A307+1&gt;INT(MAX('1_raw_log'!$B:$B)),"",A307+1))</f>
        <v/>
      </c>
      <c r="B308" s="2">
        <f>IF(A308="","",YEAR(A308))</f>
        <v/>
      </c>
      <c r="C308" s="2">
        <f>IF(A308="","","Q"&amp;ROUNDUP(MONTH(A308)/3,0))</f>
        <v/>
      </c>
      <c r="D308" s="2">
        <f>IF(A308="","",MONTH(A308))</f>
        <v/>
      </c>
      <c r="E308" s="2">
        <f>IF(A308="","",_xlfn.ISOWEEKNUM(A308))</f>
        <v/>
      </c>
      <c r="F308" s="2">
        <f>IF(A308="","",TEXT(A308,"ddd"))</f>
        <v/>
      </c>
    </row>
    <row r="309">
      <c r="A309" s="5">
        <f>IF(A308="","",IF(A308+1&gt;INT(MAX('1_raw_log'!$B:$B)),"",A308+1))</f>
        <v/>
      </c>
      <c r="B309" s="2">
        <f>IF(A309="","",YEAR(A309))</f>
        <v/>
      </c>
      <c r="C309" s="2">
        <f>IF(A309="","","Q"&amp;ROUNDUP(MONTH(A309)/3,0))</f>
        <v/>
      </c>
      <c r="D309" s="2">
        <f>IF(A309="","",MONTH(A309))</f>
        <v/>
      </c>
      <c r="E309" s="2">
        <f>IF(A309="","",_xlfn.ISOWEEKNUM(A309))</f>
        <v/>
      </c>
      <c r="F309" s="2">
        <f>IF(A309="","",TEXT(A309,"ddd"))</f>
        <v/>
      </c>
    </row>
    <row r="310">
      <c r="A310" s="5">
        <f>IF(A309="","",IF(A309+1&gt;INT(MAX('1_raw_log'!$B:$B)),"",A309+1))</f>
        <v/>
      </c>
      <c r="B310" s="2">
        <f>IF(A310="","",YEAR(A310))</f>
        <v/>
      </c>
      <c r="C310" s="2">
        <f>IF(A310="","","Q"&amp;ROUNDUP(MONTH(A310)/3,0))</f>
        <v/>
      </c>
      <c r="D310" s="2">
        <f>IF(A310="","",MONTH(A310))</f>
        <v/>
      </c>
      <c r="E310" s="2">
        <f>IF(A310="","",_xlfn.ISOWEEKNUM(A310))</f>
        <v/>
      </c>
      <c r="F310" s="2">
        <f>IF(A310="","",TEXT(A310,"ddd"))</f>
        <v/>
      </c>
    </row>
    <row r="311">
      <c r="A311" s="5">
        <f>IF(A310="","",IF(A310+1&gt;INT(MAX('1_raw_log'!$B:$B)),"",A310+1))</f>
        <v/>
      </c>
      <c r="B311" s="2">
        <f>IF(A311="","",YEAR(A311))</f>
        <v/>
      </c>
      <c r="C311" s="2">
        <f>IF(A311="","","Q"&amp;ROUNDUP(MONTH(A311)/3,0))</f>
        <v/>
      </c>
      <c r="D311" s="2">
        <f>IF(A311="","",MONTH(A311))</f>
        <v/>
      </c>
      <c r="E311" s="2">
        <f>IF(A311="","",_xlfn.ISOWEEKNUM(A311))</f>
        <v/>
      </c>
      <c r="F311" s="2">
        <f>IF(A311="","",TEXT(A311,"ddd"))</f>
        <v/>
      </c>
    </row>
    <row r="312">
      <c r="A312" s="5">
        <f>IF(A311="","",IF(A311+1&gt;INT(MAX('1_raw_log'!$B:$B)),"",A311+1))</f>
        <v/>
      </c>
      <c r="B312" s="2">
        <f>IF(A312="","",YEAR(A312))</f>
        <v/>
      </c>
      <c r="C312" s="2">
        <f>IF(A312="","","Q"&amp;ROUNDUP(MONTH(A312)/3,0))</f>
        <v/>
      </c>
      <c r="D312" s="2">
        <f>IF(A312="","",MONTH(A312))</f>
        <v/>
      </c>
      <c r="E312" s="2">
        <f>IF(A312="","",_xlfn.ISOWEEKNUM(A312))</f>
        <v/>
      </c>
      <c r="F312" s="2">
        <f>IF(A312="","",TEXT(A312,"ddd"))</f>
        <v/>
      </c>
    </row>
    <row r="313">
      <c r="A313" s="5">
        <f>IF(A312="","",IF(A312+1&gt;INT(MAX('1_raw_log'!$B:$B)),"",A312+1))</f>
        <v/>
      </c>
      <c r="B313" s="2">
        <f>IF(A313="","",YEAR(A313))</f>
        <v/>
      </c>
      <c r="C313" s="2">
        <f>IF(A313="","","Q"&amp;ROUNDUP(MONTH(A313)/3,0))</f>
        <v/>
      </c>
      <c r="D313" s="2">
        <f>IF(A313="","",MONTH(A313))</f>
        <v/>
      </c>
      <c r="E313" s="2">
        <f>IF(A313="","",_xlfn.ISOWEEKNUM(A313))</f>
        <v/>
      </c>
      <c r="F313" s="2">
        <f>IF(A313="","",TEXT(A313,"ddd"))</f>
        <v/>
      </c>
    </row>
    <row r="314">
      <c r="A314" s="5">
        <f>IF(A313="","",IF(A313+1&gt;INT(MAX('1_raw_log'!$B:$B)),"",A313+1))</f>
        <v/>
      </c>
      <c r="B314" s="2">
        <f>IF(A314="","",YEAR(A314))</f>
        <v/>
      </c>
      <c r="C314" s="2">
        <f>IF(A314="","","Q"&amp;ROUNDUP(MONTH(A314)/3,0))</f>
        <v/>
      </c>
      <c r="D314" s="2">
        <f>IF(A314="","",MONTH(A314))</f>
        <v/>
      </c>
      <c r="E314" s="2">
        <f>IF(A314="","",_xlfn.ISOWEEKNUM(A314))</f>
        <v/>
      </c>
      <c r="F314" s="2">
        <f>IF(A314="","",TEXT(A314,"ddd"))</f>
        <v/>
      </c>
    </row>
    <row r="315">
      <c r="A315" s="5">
        <f>IF(A314="","",IF(A314+1&gt;INT(MAX('1_raw_log'!$B:$B)),"",A314+1))</f>
        <v/>
      </c>
      <c r="B315" s="2">
        <f>IF(A315="","",YEAR(A315))</f>
        <v/>
      </c>
      <c r="C315" s="2">
        <f>IF(A315="","","Q"&amp;ROUNDUP(MONTH(A315)/3,0))</f>
        <v/>
      </c>
      <c r="D315" s="2">
        <f>IF(A315="","",MONTH(A315))</f>
        <v/>
      </c>
      <c r="E315" s="2">
        <f>IF(A315="","",_xlfn.ISOWEEKNUM(A315))</f>
        <v/>
      </c>
      <c r="F315" s="2">
        <f>IF(A315="","",TEXT(A315,"ddd"))</f>
        <v/>
      </c>
    </row>
    <row r="316">
      <c r="A316" s="5">
        <f>IF(A315="","",IF(A315+1&gt;INT(MAX('1_raw_log'!$B:$B)),"",A315+1))</f>
        <v/>
      </c>
      <c r="B316" s="2">
        <f>IF(A316="","",YEAR(A316))</f>
        <v/>
      </c>
      <c r="C316" s="2">
        <f>IF(A316="","","Q"&amp;ROUNDUP(MONTH(A316)/3,0))</f>
        <v/>
      </c>
      <c r="D316" s="2">
        <f>IF(A316="","",MONTH(A316))</f>
        <v/>
      </c>
      <c r="E316" s="2">
        <f>IF(A316="","",_xlfn.ISOWEEKNUM(A316))</f>
        <v/>
      </c>
      <c r="F316" s="2">
        <f>IF(A316="","",TEXT(A316,"ddd"))</f>
        <v/>
      </c>
    </row>
    <row r="317">
      <c r="A317" s="5">
        <f>IF(A316="","",IF(A316+1&gt;INT(MAX('1_raw_log'!$B:$B)),"",A316+1))</f>
        <v/>
      </c>
      <c r="B317" s="2">
        <f>IF(A317="","",YEAR(A317))</f>
        <v/>
      </c>
      <c r="C317" s="2">
        <f>IF(A317="","","Q"&amp;ROUNDUP(MONTH(A317)/3,0))</f>
        <v/>
      </c>
      <c r="D317" s="2">
        <f>IF(A317="","",MONTH(A317))</f>
        <v/>
      </c>
      <c r="E317" s="2">
        <f>IF(A317="","",_xlfn.ISOWEEKNUM(A317))</f>
        <v/>
      </c>
      <c r="F317" s="2">
        <f>IF(A317="","",TEXT(A317,"ddd"))</f>
        <v/>
      </c>
    </row>
    <row r="318">
      <c r="A318" s="5">
        <f>IF(A317="","",IF(A317+1&gt;INT(MAX('1_raw_log'!$B:$B)),"",A317+1))</f>
        <v/>
      </c>
      <c r="B318" s="2">
        <f>IF(A318="","",YEAR(A318))</f>
        <v/>
      </c>
      <c r="C318" s="2">
        <f>IF(A318="","","Q"&amp;ROUNDUP(MONTH(A318)/3,0))</f>
        <v/>
      </c>
      <c r="D318" s="2">
        <f>IF(A318="","",MONTH(A318))</f>
        <v/>
      </c>
      <c r="E318" s="2">
        <f>IF(A318="","",_xlfn.ISOWEEKNUM(A318))</f>
        <v/>
      </c>
      <c r="F318" s="2">
        <f>IF(A318="","",TEXT(A318,"ddd"))</f>
        <v/>
      </c>
    </row>
    <row r="319">
      <c r="A319" s="5">
        <f>IF(A318="","",IF(A318+1&gt;INT(MAX('1_raw_log'!$B:$B)),"",A318+1))</f>
        <v/>
      </c>
      <c r="B319" s="2">
        <f>IF(A319="","",YEAR(A319))</f>
        <v/>
      </c>
      <c r="C319" s="2">
        <f>IF(A319="","","Q"&amp;ROUNDUP(MONTH(A319)/3,0))</f>
        <v/>
      </c>
      <c r="D319" s="2">
        <f>IF(A319="","",MONTH(A319))</f>
        <v/>
      </c>
      <c r="E319" s="2">
        <f>IF(A319="","",_xlfn.ISOWEEKNUM(A319))</f>
        <v/>
      </c>
      <c r="F319" s="2">
        <f>IF(A319="","",TEXT(A319,"ddd"))</f>
        <v/>
      </c>
    </row>
    <row r="320">
      <c r="A320" s="5">
        <f>IF(A319="","",IF(A319+1&gt;INT(MAX('1_raw_log'!$B:$B)),"",A319+1))</f>
        <v/>
      </c>
      <c r="B320" s="2">
        <f>IF(A320="","",YEAR(A320))</f>
        <v/>
      </c>
      <c r="C320" s="2">
        <f>IF(A320="","","Q"&amp;ROUNDUP(MONTH(A320)/3,0))</f>
        <v/>
      </c>
      <c r="D320" s="2">
        <f>IF(A320="","",MONTH(A320))</f>
        <v/>
      </c>
      <c r="E320" s="2">
        <f>IF(A320="","",_xlfn.ISOWEEKNUM(A320))</f>
        <v/>
      </c>
      <c r="F320" s="2">
        <f>IF(A320="","",TEXT(A320,"ddd"))</f>
        <v/>
      </c>
    </row>
    <row r="321">
      <c r="A321" s="5">
        <f>IF(A320="","",IF(A320+1&gt;INT(MAX('1_raw_log'!$B:$B)),"",A320+1))</f>
        <v/>
      </c>
      <c r="B321" s="2">
        <f>IF(A321="","",YEAR(A321))</f>
        <v/>
      </c>
      <c r="C321" s="2">
        <f>IF(A321="","","Q"&amp;ROUNDUP(MONTH(A321)/3,0))</f>
        <v/>
      </c>
      <c r="D321" s="2">
        <f>IF(A321="","",MONTH(A321))</f>
        <v/>
      </c>
      <c r="E321" s="2">
        <f>IF(A321="","",_xlfn.ISOWEEKNUM(A321))</f>
        <v/>
      </c>
      <c r="F321" s="2">
        <f>IF(A321="","",TEXT(A321,"ddd"))</f>
        <v/>
      </c>
    </row>
    <row r="322">
      <c r="A322" s="5">
        <f>IF(A321="","",IF(A321+1&gt;INT(MAX('1_raw_log'!$B:$B)),"",A321+1))</f>
        <v/>
      </c>
      <c r="B322" s="2">
        <f>IF(A322="","",YEAR(A322))</f>
        <v/>
      </c>
      <c r="C322" s="2">
        <f>IF(A322="","","Q"&amp;ROUNDUP(MONTH(A322)/3,0))</f>
        <v/>
      </c>
      <c r="D322" s="2">
        <f>IF(A322="","",MONTH(A322))</f>
        <v/>
      </c>
      <c r="E322" s="2">
        <f>IF(A322="","",_xlfn.ISOWEEKNUM(A322))</f>
        <v/>
      </c>
      <c r="F322" s="2">
        <f>IF(A322="","",TEXT(A322,"ddd"))</f>
        <v/>
      </c>
    </row>
    <row r="323">
      <c r="A323" s="5">
        <f>IF(A322="","",IF(A322+1&gt;INT(MAX('1_raw_log'!$B:$B)),"",A322+1))</f>
        <v/>
      </c>
      <c r="B323" s="2">
        <f>IF(A323="","",YEAR(A323))</f>
        <v/>
      </c>
      <c r="C323" s="2">
        <f>IF(A323="","","Q"&amp;ROUNDUP(MONTH(A323)/3,0))</f>
        <v/>
      </c>
      <c r="D323" s="2">
        <f>IF(A323="","",MONTH(A323))</f>
        <v/>
      </c>
      <c r="E323" s="2">
        <f>IF(A323="","",_xlfn.ISOWEEKNUM(A323))</f>
        <v/>
      </c>
      <c r="F323" s="2">
        <f>IF(A323="","",TEXT(A323,"ddd"))</f>
        <v/>
      </c>
    </row>
    <row r="324">
      <c r="A324" s="5">
        <f>IF(A323="","",IF(A323+1&gt;INT(MAX('1_raw_log'!$B:$B)),"",A323+1))</f>
        <v/>
      </c>
      <c r="B324" s="2">
        <f>IF(A324="","",YEAR(A324))</f>
        <v/>
      </c>
      <c r="C324" s="2">
        <f>IF(A324="","","Q"&amp;ROUNDUP(MONTH(A324)/3,0))</f>
        <v/>
      </c>
      <c r="D324" s="2">
        <f>IF(A324="","",MONTH(A324))</f>
        <v/>
      </c>
      <c r="E324" s="2">
        <f>IF(A324="","",_xlfn.ISOWEEKNUM(A324))</f>
        <v/>
      </c>
      <c r="F324" s="2">
        <f>IF(A324="","",TEXT(A324,"ddd"))</f>
        <v/>
      </c>
    </row>
    <row r="325">
      <c r="A325" s="5">
        <f>IF(A324="","",IF(A324+1&gt;INT(MAX('1_raw_log'!$B:$B)),"",A324+1))</f>
        <v/>
      </c>
      <c r="B325" s="2">
        <f>IF(A325="","",YEAR(A325))</f>
        <v/>
      </c>
      <c r="C325" s="2">
        <f>IF(A325="","","Q"&amp;ROUNDUP(MONTH(A325)/3,0))</f>
        <v/>
      </c>
      <c r="D325" s="2">
        <f>IF(A325="","",MONTH(A325))</f>
        <v/>
      </c>
      <c r="E325" s="2">
        <f>IF(A325="","",_xlfn.ISOWEEKNUM(A325))</f>
        <v/>
      </c>
      <c r="F325" s="2">
        <f>IF(A325="","",TEXT(A325,"ddd"))</f>
        <v/>
      </c>
    </row>
    <row r="326">
      <c r="A326" s="5">
        <f>IF(A325="","",IF(A325+1&gt;INT(MAX('1_raw_log'!$B:$B)),"",A325+1))</f>
        <v/>
      </c>
      <c r="B326" s="2">
        <f>IF(A326="","",YEAR(A326))</f>
        <v/>
      </c>
      <c r="C326" s="2">
        <f>IF(A326="","","Q"&amp;ROUNDUP(MONTH(A326)/3,0))</f>
        <v/>
      </c>
      <c r="D326" s="2">
        <f>IF(A326="","",MONTH(A326))</f>
        <v/>
      </c>
      <c r="E326" s="2">
        <f>IF(A326="","",_xlfn.ISOWEEKNUM(A326))</f>
        <v/>
      </c>
      <c r="F326" s="2">
        <f>IF(A326="","",TEXT(A326,"ddd"))</f>
        <v/>
      </c>
    </row>
    <row r="327">
      <c r="A327" s="5">
        <f>IF(A326="","",IF(A326+1&gt;INT(MAX('1_raw_log'!$B:$B)),"",A326+1))</f>
        <v/>
      </c>
      <c r="B327" s="2">
        <f>IF(A327="","",YEAR(A327))</f>
        <v/>
      </c>
      <c r="C327" s="2">
        <f>IF(A327="","","Q"&amp;ROUNDUP(MONTH(A327)/3,0))</f>
        <v/>
      </c>
      <c r="D327" s="2">
        <f>IF(A327="","",MONTH(A327))</f>
        <v/>
      </c>
      <c r="E327" s="2">
        <f>IF(A327="","",_xlfn.ISOWEEKNUM(A327))</f>
        <v/>
      </c>
      <c r="F327" s="2">
        <f>IF(A327="","",TEXT(A327,"ddd"))</f>
        <v/>
      </c>
    </row>
    <row r="328">
      <c r="A328" s="5">
        <f>IF(A327="","",IF(A327+1&gt;INT(MAX('1_raw_log'!$B:$B)),"",A327+1))</f>
        <v/>
      </c>
      <c r="B328" s="2">
        <f>IF(A328="","",YEAR(A328))</f>
        <v/>
      </c>
      <c r="C328" s="2">
        <f>IF(A328="","","Q"&amp;ROUNDUP(MONTH(A328)/3,0))</f>
        <v/>
      </c>
      <c r="D328" s="2">
        <f>IF(A328="","",MONTH(A328))</f>
        <v/>
      </c>
      <c r="E328" s="2">
        <f>IF(A328="","",_xlfn.ISOWEEKNUM(A328))</f>
        <v/>
      </c>
      <c r="F328" s="2">
        <f>IF(A328="","",TEXT(A328,"ddd"))</f>
        <v/>
      </c>
    </row>
    <row r="329">
      <c r="A329" s="5">
        <f>IF(A328="","",IF(A328+1&gt;INT(MAX('1_raw_log'!$B:$B)),"",A328+1))</f>
        <v/>
      </c>
      <c r="B329" s="2">
        <f>IF(A329="","",YEAR(A329))</f>
        <v/>
      </c>
      <c r="C329" s="2">
        <f>IF(A329="","","Q"&amp;ROUNDUP(MONTH(A329)/3,0))</f>
        <v/>
      </c>
      <c r="D329" s="2">
        <f>IF(A329="","",MONTH(A329))</f>
        <v/>
      </c>
      <c r="E329" s="2">
        <f>IF(A329="","",_xlfn.ISOWEEKNUM(A329))</f>
        <v/>
      </c>
      <c r="F329" s="2">
        <f>IF(A329="","",TEXT(A329,"ddd"))</f>
        <v/>
      </c>
    </row>
    <row r="330">
      <c r="A330" s="5">
        <f>IF(A329="","",IF(A329+1&gt;INT(MAX('1_raw_log'!$B:$B)),"",A329+1))</f>
        <v/>
      </c>
      <c r="B330" s="2">
        <f>IF(A330="","",YEAR(A330))</f>
        <v/>
      </c>
      <c r="C330" s="2">
        <f>IF(A330="","","Q"&amp;ROUNDUP(MONTH(A330)/3,0))</f>
        <v/>
      </c>
      <c r="D330" s="2">
        <f>IF(A330="","",MONTH(A330))</f>
        <v/>
      </c>
      <c r="E330" s="2">
        <f>IF(A330="","",_xlfn.ISOWEEKNUM(A330))</f>
        <v/>
      </c>
      <c r="F330" s="2">
        <f>IF(A330="","",TEXT(A330,"ddd"))</f>
        <v/>
      </c>
    </row>
    <row r="331">
      <c r="A331" s="5">
        <f>IF(A330="","",IF(A330+1&gt;INT(MAX('1_raw_log'!$B:$B)),"",A330+1))</f>
        <v/>
      </c>
      <c r="B331" s="2">
        <f>IF(A331="","",YEAR(A331))</f>
        <v/>
      </c>
      <c r="C331" s="2">
        <f>IF(A331="","","Q"&amp;ROUNDUP(MONTH(A331)/3,0))</f>
        <v/>
      </c>
      <c r="D331" s="2">
        <f>IF(A331="","",MONTH(A331))</f>
        <v/>
      </c>
      <c r="E331" s="2">
        <f>IF(A331="","",_xlfn.ISOWEEKNUM(A331))</f>
        <v/>
      </c>
      <c r="F331" s="2">
        <f>IF(A331="","",TEXT(A331,"ddd"))</f>
        <v/>
      </c>
    </row>
    <row r="332">
      <c r="A332" s="5">
        <f>IF(A331="","",IF(A331+1&gt;INT(MAX('1_raw_log'!$B:$B)),"",A331+1))</f>
        <v/>
      </c>
      <c r="B332" s="2">
        <f>IF(A332="","",YEAR(A332))</f>
        <v/>
      </c>
      <c r="C332" s="2">
        <f>IF(A332="","","Q"&amp;ROUNDUP(MONTH(A332)/3,0))</f>
        <v/>
      </c>
      <c r="D332" s="2">
        <f>IF(A332="","",MONTH(A332))</f>
        <v/>
      </c>
      <c r="E332" s="2">
        <f>IF(A332="","",_xlfn.ISOWEEKNUM(A332))</f>
        <v/>
      </c>
      <c r="F332" s="2">
        <f>IF(A332="","",TEXT(A332,"ddd"))</f>
        <v/>
      </c>
    </row>
    <row r="333">
      <c r="A333" s="5">
        <f>IF(A332="","",IF(A332+1&gt;INT(MAX('1_raw_log'!$B:$B)),"",A332+1))</f>
        <v/>
      </c>
      <c r="B333" s="2">
        <f>IF(A333="","",YEAR(A333))</f>
        <v/>
      </c>
      <c r="C333" s="2">
        <f>IF(A333="","","Q"&amp;ROUNDUP(MONTH(A333)/3,0))</f>
        <v/>
      </c>
      <c r="D333" s="2">
        <f>IF(A333="","",MONTH(A333))</f>
        <v/>
      </c>
      <c r="E333" s="2">
        <f>IF(A333="","",_xlfn.ISOWEEKNUM(A333))</f>
        <v/>
      </c>
      <c r="F333" s="2">
        <f>IF(A333="","",TEXT(A333,"ddd"))</f>
        <v/>
      </c>
    </row>
    <row r="334">
      <c r="A334" s="5">
        <f>IF(A333="","",IF(A333+1&gt;INT(MAX('1_raw_log'!$B:$B)),"",A333+1))</f>
        <v/>
      </c>
      <c r="B334" s="2">
        <f>IF(A334="","",YEAR(A334))</f>
        <v/>
      </c>
      <c r="C334" s="2">
        <f>IF(A334="","","Q"&amp;ROUNDUP(MONTH(A334)/3,0))</f>
        <v/>
      </c>
      <c r="D334" s="2">
        <f>IF(A334="","",MONTH(A334))</f>
        <v/>
      </c>
      <c r="E334" s="2">
        <f>IF(A334="","",_xlfn.ISOWEEKNUM(A334))</f>
        <v/>
      </c>
      <c r="F334" s="2">
        <f>IF(A334="","",TEXT(A334,"ddd"))</f>
        <v/>
      </c>
    </row>
    <row r="335">
      <c r="A335" s="5">
        <f>IF(A334="","",IF(A334+1&gt;INT(MAX('1_raw_log'!$B:$B)),"",A334+1))</f>
        <v/>
      </c>
      <c r="B335" s="2">
        <f>IF(A335="","",YEAR(A335))</f>
        <v/>
      </c>
      <c r="C335" s="2">
        <f>IF(A335="","","Q"&amp;ROUNDUP(MONTH(A335)/3,0))</f>
        <v/>
      </c>
      <c r="D335" s="2">
        <f>IF(A335="","",MONTH(A335))</f>
        <v/>
      </c>
      <c r="E335" s="2">
        <f>IF(A335="","",_xlfn.ISOWEEKNUM(A335))</f>
        <v/>
      </c>
      <c r="F335" s="2">
        <f>IF(A335="","",TEXT(A335,"ddd"))</f>
        <v/>
      </c>
    </row>
    <row r="336">
      <c r="A336" s="5">
        <f>IF(A335="","",IF(A335+1&gt;INT(MAX('1_raw_log'!$B:$B)),"",A335+1))</f>
        <v/>
      </c>
      <c r="B336" s="2">
        <f>IF(A336="","",YEAR(A336))</f>
        <v/>
      </c>
      <c r="C336" s="2">
        <f>IF(A336="","","Q"&amp;ROUNDUP(MONTH(A336)/3,0))</f>
        <v/>
      </c>
      <c r="D336" s="2">
        <f>IF(A336="","",MONTH(A336))</f>
        <v/>
      </c>
      <c r="E336" s="2">
        <f>IF(A336="","",_xlfn.ISOWEEKNUM(A336))</f>
        <v/>
      </c>
      <c r="F336" s="2">
        <f>IF(A336="","",TEXT(A336,"ddd"))</f>
        <v/>
      </c>
    </row>
    <row r="337">
      <c r="A337" s="5">
        <f>IF(A336="","",IF(A336+1&gt;INT(MAX('1_raw_log'!$B:$B)),"",A336+1))</f>
        <v/>
      </c>
      <c r="B337" s="2">
        <f>IF(A337="","",YEAR(A337))</f>
        <v/>
      </c>
      <c r="C337" s="2">
        <f>IF(A337="","","Q"&amp;ROUNDUP(MONTH(A337)/3,0))</f>
        <v/>
      </c>
      <c r="D337" s="2">
        <f>IF(A337="","",MONTH(A337))</f>
        <v/>
      </c>
      <c r="E337" s="2">
        <f>IF(A337="","",_xlfn.ISOWEEKNUM(A337))</f>
        <v/>
      </c>
      <c r="F337" s="2">
        <f>IF(A337="","",TEXT(A337,"ddd"))</f>
        <v/>
      </c>
    </row>
    <row r="338">
      <c r="A338" s="5">
        <f>IF(A337="","",IF(A337+1&gt;INT(MAX('1_raw_log'!$B:$B)),"",A337+1))</f>
        <v/>
      </c>
      <c r="B338" s="2">
        <f>IF(A338="","",YEAR(A338))</f>
        <v/>
      </c>
      <c r="C338" s="2">
        <f>IF(A338="","","Q"&amp;ROUNDUP(MONTH(A338)/3,0))</f>
        <v/>
      </c>
      <c r="D338" s="2">
        <f>IF(A338="","",MONTH(A338))</f>
        <v/>
      </c>
      <c r="E338" s="2">
        <f>IF(A338="","",_xlfn.ISOWEEKNUM(A338))</f>
        <v/>
      </c>
      <c r="F338" s="2">
        <f>IF(A338="","",TEXT(A338,"ddd"))</f>
        <v/>
      </c>
    </row>
    <row r="339">
      <c r="A339" s="5">
        <f>IF(A338="","",IF(A338+1&gt;INT(MAX('1_raw_log'!$B:$B)),"",A338+1))</f>
        <v/>
      </c>
      <c r="B339" s="2">
        <f>IF(A339="","",YEAR(A339))</f>
        <v/>
      </c>
      <c r="C339" s="2">
        <f>IF(A339="","","Q"&amp;ROUNDUP(MONTH(A339)/3,0))</f>
        <v/>
      </c>
      <c r="D339" s="2">
        <f>IF(A339="","",MONTH(A339))</f>
        <v/>
      </c>
      <c r="E339" s="2">
        <f>IF(A339="","",_xlfn.ISOWEEKNUM(A339))</f>
        <v/>
      </c>
      <c r="F339" s="2">
        <f>IF(A339="","",TEXT(A339,"ddd"))</f>
        <v/>
      </c>
    </row>
    <row r="340">
      <c r="A340" s="5">
        <f>IF(A339="","",IF(A339+1&gt;INT(MAX('1_raw_log'!$B:$B)),"",A339+1))</f>
        <v/>
      </c>
      <c r="B340" s="2">
        <f>IF(A340="","",YEAR(A340))</f>
        <v/>
      </c>
      <c r="C340" s="2">
        <f>IF(A340="","","Q"&amp;ROUNDUP(MONTH(A340)/3,0))</f>
        <v/>
      </c>
      <c r="D340" s="2">
        <f>IF(A340="","",MONTH(A340))</f>
        <v/>
      </c>
      <c r="E340" s="2">
        <f>IF(A340="","",_xlfn.ISOWEEKNUM(A340))</f>
        <v/>
      </c>
      <c r="F340" s="2">
        <f>IF(A340="","",TEXT(A340,"ddd"))</f>
        <v/>
      </c>
    </row>
    <row r="341">
      <c r="A341" s="5">
        <f>IF(A340="","",IF(A340+1&gt;INT(MAX('1_raw_log'!$B:$B)),"",A340+1))</f>
        <v/>
      </c>
      <c r="B341" s="2">
        <f>IF(A341="","",YEAR(A341))</f>
        <v/>
      </c>
      <c r="C341" s="2">
        <f>IF(A341="","","Q"&amp;ROUNDUP(MONTH(A341)/3,0))</f>
        <v/>
      </c>
      <c r="D341" s="2">
        <f>IF(A341="","",MONTH(A341))</f>
        <v/>
      </c>
      <c r="E341" s="2">
        <f>IF(A341="","",_xlfn.ISOWEEKNUM(A341))</f>
        <v/>
      </c>
      <c r="F341" s="2">
        <f>IF(A341="","",TEXT(A341,"ddd"))</f>
        <v/>
      </c>
    </row>
    <row r="342">
      <c r="A342" s="5">
        <f>IF(A341="","",IF(A341+1&gt;INT(MAX('1_raw_log'!$B:$B)),"",A341+1))</f>
        <v/>
      </c>
      <c r="B342" s="2">
        <f>IF(A342="","",YEAR(A342))</f>
        <v/>
      </c>
      <c r="C342" s="2">
        <f>IF(A342="","","Q"&amp;ROUNDUP(MONTH(A342)/3,0))</f>
        <v/>
      </c>
      <c r="D342" s="2">
        <f>IF(A342="","",MONTH(A342))</f>
        <v/>
      </c>
      <c r="E342" s="2">
        <f>IF(A342="","",_xlfn.ISOWEEKNUM(A342))</f>
        <v/>
      </c>
      <c r="F342" s="2">
        <f>IF(A342="","",TEXT(A342,"ddd"))</f>
        <v/>
      </c>
    </row>
    <row r="343">
      <c r="A343" s="5">
        <f>IF(A342="","",IF(A342+1&gt;INT(MAX('1_raw_log'!$B:$B)),"",A342+1))</f>
        <v/>
      </c>
      <c r="B343" s="2">
        <f>IF(A343="","",YEAR(A343))</f>
        <v/>
      </c>
      <c r="C343" s="2">
        <f>IF(A343="","","Q"&amp;ROUNDUP(MONTH(A343)/3,0))</f>
        <v/>
      </c>
      <c r="D343" s="2">
        <f>IF(A343="","",MONTH(A343))</f>
        <v/>
      </c>
      <c r="E343" s="2">
        <f>IF(A343="","",_xlfn.ISOWEEKNUM(A343))</f>
        <v/>
      </c>
      <c r="F343" s="2">
        <f>IF(A343="","",TEXT(A343,"ddd"))</f>
        <v/>
      </c>
    </row>
    <row r="344">
      <c r="A344" s="5">
        <f>IF(A343="","",IF(A343+1&gt;INT(MAX('1_raw_log'!$B:$B)),"",A343+1))</f>
        <v/>
      </c>
      <c r="B344" s="2">
        <f>IF(A344="","",YEAR(A344))</f>
        <v/>
      </c>
      <c r="C344" s="2">
        <f>IF(A344="","","Q"&amp;ROUNDUP(MONTH(A344)/3,0))</f>
        <v/>
      </c>
      <c r="D344" s="2">
        <f>IF(A344="","",MONTH(A344))</f>
        <v/>
      </c>
      <c r="E344" s="2">
        <f>IF(A344="","",_xlfn.ISOWEEKNUM(A344))</f>
        <v/>
      </c>
      <c r="F344" s="2">
        <f>IF(A344="","",TEXT(A344,"ddd"))</f>
        <v/>
      </c>
    </row>
    <row r="345">
      <c r="A345" s="5">
        <f>IF(A344="","",IF(A344+1&gt;INT(MAX('1_raw_log'!$B:$B)),"",A344+1))</f>
        <v/>
      </c>
      <c r="B345" s="2">
        <f>IF(A345="","",YEAR(A345))</f>
        <v/>
      </c>
      <c r="C345" s="2">
        <f>IF(A345="","","Q"&amp;ROUNDUP(MONTH(A345)/3,0))</f>
        <v/>
      </c>
      <c r="D345" s="2">
        <f>IF(A345="","",MONTH(A345))</f>
        <v/>
      </c>
      <c r="E345" s="2">
        <f>IF(A345="","",_xlfn.ISOWEEKNUM(A345))</f>
        <v/>
      </c>
      <c r="F345" s="2">
        <f>IF(A345="","",TEXT(A345,"ddd"))</f>
        <v/>
      </c>
    </row>
    <row r="346">
      <c r="A346" s="5">
        <f>IF(A345="","",IF(A345+1&gt;INT(MAX('1_raw_log'!$B:$B)),"",A345+1))</f>
        <v/>
      </c>
      <c r="B346" s="2">
        <f>IF(A346="","",YEAR(A346))</f>
        <v/>
      </c>
      <c r="C346" s="2">
        <f>IF(A346="","","Q"&amp;ROUNDUP(MONTH(A346)/3,0))</f>
        <v/>
      </c>
      <c r="D346" s="2">
        <f>IF(A346="","",MONTH(A346))</f>
        <v/>
      </c>
      <c r="E346" s="2">
        <f>IF(A346="","",_xlfn.ISOWEEKNUM(A346))</f>
        <v/>
      </c>
      <c r="F346" s="2">
        <f>IF(A346="","",TEXT(A346,"ddd"))</f>
        <v/>
      </c>
    </row>
    <row r="347">
      <c r="A347" s="5">
        <f>IF(A346="","",IF(A346+1&gt;INT(MAX('1_raw_log'!$B:$B)),"",A346+1))</f>
        <v/>
      </c>
      <c r="B347" s="2">
        <f>IF(A347="","",YEAR(A347))</f>
        <v/>
      </c>
      <c r="C347" s="2">
        <f>IF(A347="","","Q"&amp;ROUNDUP(MONTH(A347)/3,0))</f>
        <v/>
      </c>
      <c r="D347" s="2">
        <f>IF(A347="","",MONTH(A347))</f>
        <v/>
      </c>
      <c r="E347" s="2">
        <f>IF(A347="","",_xlfn.ISOWEEKNUM(A347))</f>
        <v/>
      </c>
      <c r="F347" s="2">
        <f>IF(A347="","",TEXT(A347,"ddd"))</f>
        <v/>
      </c>
    </row>
    <row r="348">
      <c r="A348" s="5">
        <f>IF(A347="","",IF(A347+1&gt;INT(MAX('1_raw_log'!$B:$B)),"",A347+1))</f>
        <v/>
      </c>
      <c r="B348" s="2">
        <f>IF(A348="","",YEAR(A348))</f>
        <v/>
      </c>
      <c r="C348" s="2">
        <f>IF(A348="","","Q"&amp;ROUNDUP(MONTH(A348)/3,0))</f>
        <v/>
      </c>
      <c r="D348" s="2">
        <f>IF(A348="","",MONTH(A348))</f>
        <v/>
      </c>
      <c r="E348" s="2">
        <f>IF(A348="","",_xlfn.ISOWEEKNUM(A348))</f>
        <v/>
      </c>
      <c r="F348" s="2">
        <f>IF(A348="","",TEXT(A348,"ddd"))</f>
        <v/>
      </c>
    </row>
    <row r="349">
      <c r="A349" s="5">
        <f>IF(A348="","",IF(A348+1&gt;INT(MAX('1_raw_log'!$B:$B)),"",A348+1))</f>
        <v/>
      </c>
      <c r="B349" s="2">
        <f>IF(A349="","",YEAR(A349))</f>
        <v/>
      </c>
      <c r="C349" s="2">
        <f>IF(A349="","","Q"&amp;ROUNDUP(MONTH(A349)/3,0))</f>
        <v/>
      </c>
      <c r="D349" s="2">
        <f>IF(A349="","",MONTH(A349))</f>
        <v/>
      </c>
      <c r="E349" s="2">
        <f>IF(A349="","",_xlfn.ISOWEEKNUM(A349))</f>
        <v/>
      </c>
      <c r="F349" s="2">
        <f>IF(A349="","",TEXT(A349,"ddd"))</f>
        <v/>
      </c>
    </row>
    <row r="350">
      <c r="A350" s="5">
        <f>IF(A349="","",IF(A349+1&gt;INT(MAX('1_raw_log'!$B:$B)),"",A349+1))</f>
        <v/>
      </c>
      <c r="B350" s="2">
        <f>IF(A350="","",YEAR(A350))</f>
        <v/>
      </c>
      <c r="C350" s="2">
        <f>IF(A350="","","Q"&amp;ROUNDUP(MONTH(A350)/3,0))</f>
        <v/>
      </c>
      <c r="D350" s="2">
        <f>IF(A350="","",MONTH(A350))</f>
        <v/>
      </c>
      <c r="E350" s="2">
        <f>IF(A350="","",_xlfn.ISOWEEKNUM(A350))</f>
        <v/>
      </c>
      <c r="F350" s="2">
        <f>IF(A350="","",TEXT(A350,"ddd"))</f>
        <v/>
      </c>
    </row>
    <row r="351">
      <c r="A351" s="5">
        <f>IF(A350="","",IF(A350+1&gt;INT(MAX('1_raw_log'!$B:$B)),"",A350+1))</f>
        <v/>
      </c>
      <c r="B351" s="2">
        <f>IF(A351="","",YEAR(A351))</f>
        <v/>
      </c>
      <c r="C351" s="2">
        <f>IF(A351="","","Q"&amp;ROUNDUP(MONTH(A351)/3,0))</f>
        <v/>
      </c>
      <c r="D351" s="2">
        <f>IF(A351="","",MONTH(A351))</f>
        <v/>
      </c>
      <c r="E351" s="2">
        <f>IF(A351="","",_xlfn.ISOWEEKNUM(A351))</f>
        <v/>
      </c>
      <c r="F351" s="2">
        <f>IF(A351="","",TEXT(A351,"ddd"))</f>
        <v/>
      </c>
    </row>
    <row r="352">
      <c r="A352" s="5">
        <f>IF(A351="","",IF(A351+1&gt;INT(MAX('1_raw_log'!$B:$B)),"",A351+1))</f>
        <v/>
      </c>
      <c r="B352" s="2">
        <f>IF(A352="","",YEAR(A352))</f>
        <v/>
      </c>
      <c r="C352" s="2">
        <f>IF(A352="","","Q"&amp;ROUNDUP(MONTH(A352)/3,0))</f>
        <v/>
      </c>
      <c r="D352" s="2">
        <f>IF(A352="","",MONTH(A352))</f>
        <v/>
      </c>
      <c r="E352" s="2">
        <f>IF(A352="","",_xlfn.ISOWEEKNUM(A352))</f>
        <v/>
      </c>
      <c r="F352" s="2">
        <f>IF(A352="","",TEXT(A352,"ddd"))</f>
        <v/>
      </c>
    </row>
    <row r="353">
      <c r="A353" s="5">
        <f>IF(A352="","",IF(A352+1&gt;INT(MAX('1_raw_log'!$B:$B)),"",A352+1))</f>
        <v/>
      </c>
      <c r="B353" s="2">
        <f>IF(A353="","",YEAR(A353))</f>
        <v/>
      </c>
      <c r="C353" s="2">
        <f>IF(A353="","","Q"&amp;ROUNDUP(MONTH(A353)/3,0))</f>
        <v/>
      </c>
      <c r="D353" s="2">
        <f>IF(A353="","",MONTH(A353))</f>
        <v/>
      </c>
      <c r="E353" s="2">
        <f>IF(A353="","",_xlfn.ISOWEEKNUM(A353))</f>
        <v/>
      </c>
      <c r="F353" s="2">
        <f>IF(A353="","",TEXT(A353,"ddd"))</f>
        <v/>
      </c>
    </row>
    <row r="354">
      <c r="A354" s="5">
        <f>IF(A353="","",IF(A353+1&gt;INT(MAX('1_raw_log'!$B:$B)),"",A353+1))</f>
        <v/>
      </c>
      <c r="B354" s="2">
        <f>IF(A354="","",YEAR(A354))</f>
        <v/>
      </c>
      <c r="C354" s="2">
        <f>IF(A354="","","Q"&amp;ROUNDUP(MONTH(A354)/3,0))</f>
        <v/>
      </c>
      <c r="D354" s="2">
        <f>IF(A354="","",MONTH(A354))</f>
        <v/>
      </c>
      <c r="E354" s="2">
        <f>IF(A354="","",_xlfn.ISOWEEKNUM(A354))</f>
        <v/>
      </c>
      <c r="F354" s="2">
        <f>IF(A354="","",TEXT(A354,"ddd"))</f>
        <v/>
      </c>
    </row>
    <row r="355">
      <c r="A355" s="5">
        <f>IF(A354="","",IF(A354+1&gt;INT(MAX('1_raw_log'!$B:$B)),"",A354+1))</f>
        <v/>
      </c>
      <c r="B355" s="2">
        <f>IF(A355="","",YEAR(A355))</f>
        <v/>
      </c>
      <c r="C355" s="2">
        <f>IF(A355="","","Q"&amp;ROUNDUP(MONTH(A355)/3,0))</f>
        <v/>
      </c>
      <c r="D355" s="2">
        <f>IF(A355="","",MONTH(A355))</f>
        <v/>
      </c>
      <c r="E355" s="2">
        <f>IF(A355="","",_xlfn.ISOWEEKNUM(A355))</f>
        <v/>
      </c>
      <c r="F355" s="2">
        <f>IF(A355="","",TEXT(A355,"ddd"))</f>
        <v/>
      </c>
    </row>
    <row r="356">
      <c r="A356" s="5">
        <f>IF(A355="","",IF(A355+1&gt;INT(MAX('1_raw_log'!$B:$B)),"",A355+1))</f>
        <v/>
      </c>
      <c r="B356" s="2">
        <f>IF(A356="","",YEAR(A356))</f>
        <v/>
      </c>
      <c r="C356" s="2">
        <f>IF(A356="","","Q"&amp;ROUNDUP(MONTH(A356)/3,0))</f>
        <v/>
      </c>
      <c r="D356" s="2">
        <f>IF(A356="","",MONTH(A356))</f>
        <v/>
      </c>
      <c r="E356" s="2">
        <f>IF(A356="","",_xlfn.ISOWEEKNUM(A356))</f>
        <v/>
      </c>
      <c r="F356" s="2">
        <f>IF(A356="","",TEXT(A356,"ddd"))</f>
        <v/>
      </c>
    </row>
    <row r="357">
      <c r="A357" s="5">
        <f>IF(A356="","",IF(A356+1&gt;INT(MAX('1_raw_log'!$B:$B)),"",A356+1))</f>
        <v/>
      </c>
      <c r="B357" s="2">
        <f>IF(A357="","",YEAR(A357))</f>
        <v/>
      </c>
      <c r="C357" s="2">
        <f>IF(A357="","","Q"&amp;ROUNDUP(MONTH(A357)/3,0))</f>
        <v/>
      </c>
      <c r="D357" s="2">
        <f>IF(A357="","",MONTH(A357))</f>
        <v/>
      </c>
      <c r="E357" s="2">
        <f>IF(A357="","",_xlfn.ISOWEEKNUM(A357))</f>
        <v/>
      </c>
      <c r="F357" s="2">
        <f>IF(A357="","",TEXT(A357,"ddd"))</f>
        <v/>
      </c>
    </row>
    <row r="358">
      <c r="A358" s="5">
        <f>IF(A357="","",IF(A357+1&gt;INT(MAX('1_raw_log'!$B:$B)),"",A357+1))</f>
        <v/>
      </c>
      <c r="B358" s="2">
        <f>IF(A358="","",YEAR(A358))</f>
        <v/>
      </c>
      <c r="C358" s="2">
        <f>IF(A358="","","Q"&amp;ROUNDUP(MONTH(A358)/3,0))</f>
        <v/>
      </c>
      <c r="D358" s="2">
        <f>IF(A358="","",MONTH(A358))</f>
        <v/>
      </c>
      <c r="E358" s="2">
        <f>IF(A358="","",_xlfn.ISOWEEKNUM(A358))</f>
        <v/>
      </c>
      <c r="F358" s="2">
        <f>IF(A358="","",TEXT(A358,"ddd"))</f>
        <v/>
      </c>
    </row>
    <row r="359">
      <c r="A359" s="5">
        <f>IF(A358="","",IF(A358+1&gt;INT(MAX('1_raw_log'!$B:$B)),"",A358+1))</f>
        <v/>
      </c>
      <c r="B359" s="2">
        <f>IF(A359="","",YEAR(A359))</f>
        <v/>
      </c>
      <c r="C359" s="2">
        <f>IF(A359="","","Q"&amp;ROUNDUP(MONTH(A359)/3,0))</f>
        <v/>
      </c>
      <c r="D359" s="2">
        <f>IF(A359="","",MONTH(A359))</f>
        <v/>
      </c>
      <c r="E359" s="2">
        <f>IF(A359="","",_xlfn.ISOWEEKNUM(A359))</f>
        <v/>
      </c>
      <c r="F359" s="2">
        <f>IF(A359="","",TEXT(A359,"ddd"))</f>
        <v/>
      </c>
    </row>
    <row r="360">
      <c r="A360" s="5">
        <f>IF(A359="","",IF(A359+1&gt;INT(MAX('1_raw_log'!$B:$B)),"",A359+1))</f>
        <v/>
      </c>
      <c r="B360" s="2">
        <f>IF(A360="","",YEAR(A360))</f>
        <v/>
      </c>
      <c r="C360" s="2">
        <f>IF(A360="","","Q"&amp;ROUNDUP(MONTH(A360)/3,0))</f>
        <v/>
      </c>
      <c r="D360" s="2">
        <f>IF(A360="","",MONTH(A360))</f>
        <v/>
      </c>
      <c r="E360" s="2">
        <f>IF(A360="","",_xlfn.ISOWEEKNUM(A360))</f>
        <v/>
      </c>
      <c r="F360" s="2">
        <f>IF(A360="","",TEXT(A360,"ddd"))</f>
        <v/>
      </c>
    </row>
    <row r="361">
      <c r="A361" s="5">
        <f>IF(A360="","",IF(A360+1&gt;INT(MAX('1_raw_log'!$B:$B)),"",A360+1))</f>
        <v/>
      </c>
      <c r="B361" s="2">
        <f>IF(A361="","",YEAR(A361))</f>
        <v/>
      </c>
      <c r="C361" s="2">
        <f>IF(A361="","","Q"&amp;ROUNDUP(MONTH(A361)/3,0))</f>
        <v/>
      </c>
      <c r="D361" s="2">
        <f>IF(A361="","",MONTH(A361))</f>
        <v/>
      </c>
      <c r="E361" s="2">
        <f>IF(A361="","",_xlfn.ISOWEEKNUM(A361))</f>
        <v/>
      </c>
      <c r="F361" s="2">
        <f>IF(A361="","",TEXT(A361,"ddd"))</f>
        <v/>
      </c>
    </row>
    <row r="362">
      <c r="A362" s="5">
        <f>IF(A361="","",IF(A361+1&gt;INT(MAX('1_raw_log'!$B:$B)),"",A361+1))</f>
        <v/>
      </c>
      <c r="B362" s="2">
        <f>IF(A362="","",YEAR(A362))</f>
        <v/>
      </c>
      <c r="C362" s="2">
        <f>IF(A362="","","Q"&amp;ROUNDUP(MONTH(A362)/3,0))</f>
        <v/>
      </c>
      <c r="D362" s="2">
        <f>IF(A362="","",MONTH(A362))</f>
        <v/>
      </c>
      <c r="E362" s="2">
        <f>IF(A362="","",_xlfn.ISOWEEKNUM(A362))</f>
        <v/>
      </c>
      <c r="F362" s="2">
        <f>IF(A362="","",TEXT(A362,"ddd"))</f>
        <v/>
      </c>
    </row>
    <row r="363">
      <c r="A363" s="5">
        <f>IF(A362="","",IF(A362+1&gt;INT(MAX('1_raw_log'!$B:$B)),"",A362+1))</f>
        <v/>
      </c>
      <c r="B363" s="2">
        <f>IF(A363="","",YEAR(A363))</f>
        <v/>
      </c>
      <c r="C363" s="2">
        <f>IF(A363="","","Q"&amp;ROUNDUP(MONTH(A363)/3,0))</f>
        <v/>
      </c>
      <c r="D363" s="2">
        <f>IF(A363="","",MONTH(A363))</f>
        <v/>
      </c>
      <c r="E363" s="2">
        <f>IF(A363="","",_xlfn.ISOWEEKNUM(A363))</f>
        <v/>
      </c>
      <c r="F363" s="2">
        <f>IF(A363="","",TEXT(A363,"ddd"))</f>
        <v/>
      </c>
    </row>
    <row r="364">
      <c r="A364" s="5">
        <f>IF(A363="","",IF(A363+1&gt;INT(MAX('1_raw_log'!$B:$B)),"",A363+1))</f>
        <v/>
      </c>
      <c r="B364" s="2">
        <f>IF(A364="","",YEAR(A364))</f>
        <v/>
      </c>
      <c r="C364" s="2">
        <f>IF(A364="","","Q"&amp;ROUNDUP(MONTH(A364)/3,0))</f>
        <v/>
      </c>
      <c r="D364" s="2">
        <f>IF(A364="","",MONTH(A364))</f>
        <v/>
      </c>
      <c r="E364" s="2">
        <f>IF(A364="","",_xlfn.ISOWEEKNUM(A364))</f>
        <v/>
      </c>
      <c r="F364" s="2">
        <f>IF(A364="","",TEXT(A364,"ddd"))</f>
        <v/>
      </c>
    </row>
    <row r="365">
      <c r="A365" s="5">
        <f>IF(A364="","",IF(A364+1&gt;INT(MAX('1_raw_log'!$B:$B)),"",A364+1))</f>
        <v/>
      </c>
      <c r="B365" s="2">
        <f>IF(A365="","",YEAR(A365))</f>
        <v/>
      </c>
      <c r="C365" s="2">
        <f>IF(A365="","","Q"&amp;ROUNDUP(MONTH(A365)/3,0))</f>
        <v/>
      </c>
      <c r="D365" s="2">
        <f>IF(A365="","",MONTH(A365))</f>
        <v/>
      </c>
      <c r="E365" s="2">
        <f>IF(A365="","",_xlfn.ISOWEEKNUM(A365))</f>
        <v/>
      </c>
      <c r="F365" s="2">
        <f>IF(A365="","",TEXT(A365,"ddd"))</f>
        <v/>
      </c>
    </row>
    <row r="366">
      <c r="A366" s="5">
        <f>IF(A365="","",IF(A365+1&gt;INT(MAX('1_raw_log'!$B:$B)),"",A365+1))</f>
        <v/>
      </c>
      <c r="B366" s="2">
        <f>IF(A366="","",YEAR(A366))</f>
        <v/>
      </c>
      <c r="C366" s="2">
        <f>IF(A366="","","Q"&amp;ROUNDUP(MONTH(A366)/3,0))</f>
        <v/>
      </c>
      <c r="D366" s="2">
        <f>IF(A366="","",MONTH(A366))</f>
        <v/>
      </c>
      <c r="E366" s="2">
        <f>IF(A366="","",_xlfn.ISOWEEKNUM(A366))</f>
        <v/>
      </c>
      <c r="F366" s="2">
        <f>IF(A366="","",TEXT(A366,"ddd"))</f>
        <v/>
      </c>
    </row>
    <row r="367">
      <c r="A367" s="5">
        <f>IF(A366="","",IF(A366+1&gt;INT(MAX('1_raw_log'!$B:$B)),"",A366+1))</f>
        <v/>
      </c>
      <c r="B367" s="2">
        <f>IF(A367="","",YEAR(A367))</f>
        <v/>
      </c>
      <c r="C367" s="2">
        <f>IF(A367="","","Q"&amp;ROUNDUP(MONTH(A367)/3,0))</f>
        <v/>
      </c>
      <c r="D367" s="2">
        <f>IF(A367="","",MONTH(A367))</f>
        <v/>
      </c>
      <c r="E367" s="2">
        <f>IF(A367="","",_xlfn.ISOWEEKNUM(A367))</f>
        <v/>
      </c>
      <c r="F367" s="2">
        <f>IF(A367="","",TEXT(A367,"ddd"))</f>
        <v/>
      </c>
    </row>
    <row r="368">
      <c r="A368" s="5">
        <f>IF(A367="","",IF(A367+1&gt;INT(MAX('1_raw_log'!$B:$B)),"",A367+1))</f>
        <v/>
      </c>
      <c r="B368" s="2">
        <f>IF(A368="","",YEAR(A368))</f>
        <v/>
      </c>
      <c r="C368" s="2">
        <f>IF(A368="","","Q"&amp;ROUNDUP(MONTH(A368)/3,0))</f>
        <v/>
      </c>
      <c r="D368" s="2">
        <f>IF(A368="","",MONTH(A368))</f>
        <v/>
      </c>
      <c r="E368" s="2">
        <f>IF(A368="","",_xlfn.ISOWEEKNUM(A368))</f>
        <v/>
      </c>
      <c r="F368" s="2">
        <f>IF(A368="","",TEXT(A368,"ddd"))</f>
        <v/>
      </c>
    </row>
    <row r="369">
      <c r="A369" s="5">
        <f>IF(A368="","",IF(A368+1&gt;INT(MAX('1_raw_log'!$B:$B)),"",A368+1))</f>
        <v/>
      </c>
      <c r="B369" s="2">
        <f>IF(A369="","",YEAR(A369))</f>
        <v/>
      </c>
      <c r="C369" s="2">
        <f>IF(A369="","","Q"&amp;ROUNDUP(MONTH(A369)/3,0))</f>
        <v/>
      </c>
      <c r="D369" s="2">
        <f>IF(A369="","",MONTH(A369))</f>
        <v/>
      </c>
      <c r="E369" s="2">
        <f>IF(A369="","",_xlfn.ISOWEEKNUM(A369))</f>
        <v/>
      </c>
      <c r="F369" s="2">
        <f>IF(A369="","",TEXT(A369,"ddd"))</f>
        <v/>
      </c>
    </row>
    <row r="370">
      <c r="A370" s="5">
        <f>IF(A369="","",IF(A369+1&gt;INT(MAX('1_raw_log'!$B:$B)),"",A369+1))</f>
        <v/>
      </c>
      <c r="B370" s="2">
        <f>IF(A370="","",YEAR(A370))</f>
        <v/>
      </c>
      <c r="C370" s="2">
        <f>IF(A370="","","Q"&amp;ROUNDUP(MONTH(A370)/3,0))</f>
        <v/>
      </c>
      <c r="D370" s="2">
        <f>IF(A370="","",MONTH(A370))</f>
        <v/>
      </c>
      <c r="E370" s="2">
        <f>IF(A370="","",_xlfn.ISOWEEKNUM(A370))</f>
        <v/>
      </c>
      <c r="F370" s="2">
        <f>IF(A370="","",TEXT(A370,"ddd"))</f>
        <v/>
      </c>
    </row>
    <row r="371">
      <c r="A371" s="5">
        <f>IF(A370="","",IF(A370+1&gt;INT(MAX('1_raw_log'!$B:$B)),"",A370+1))</f>
        <v/>
      </c>
      <c r="B371" s="2">
        <f>IF(A371="","",YEAR(A371))</f>
        <v/>
      </c>
      <c r="C371" s="2">
        <f>IF(A371="","","Q"&amp;ROUNDUP(MONTH(A371)/3,0))</f>
        <v/>
      </c>
      <c r="D371" s="2">
        <f>IF(A371="","",MONTH(A371))</f>
        <v/>
      </c>
      <c r="E371" s="2">
        <f>IF(A371="","",_xlfn.ISOWEEKNUM(A371))</f>
        <v/>
      </c>
      <c r="F371" s="2">
        <f>IF(A371="","",TEXT(A371,"ddd"))</f>
        <v/>
      </c>
    </row>
    <row r="372">
      <c r="A372" s="5">
        <f>IF(A371="","",IF(A371+1&gt;INT(MAX('1_raw_log'!$B:$B)),"",A371+1))</f>
        <v/>
      </c>
      <c r="B372" s="2">
        <f>IF(A372="","",YEAR(A372))</f>
        <v/>
      </c>
      <c r="C372" s="2">
        <f>IF(A372="","","Q"&amp;ROUNDUP(MONTH(A372)/3,0))</f>
        <v/>
      </c>
      <c r="D372" s="2">
        <f>IF(A372="","",MONTH(A372))</f>
        <v/>
      </c>
      <c r="E372" s="2">
        <f>IF(A372="","",_xlfn.ISOWEEKNUM(A372))</f>
        <v/>
      </c>
      <c r="F372" s="2">
        <f>IF(A372="","",TEXT(A372,"ddd"))</f>
        <v/>
      </c>
    </row>
    <row r="373">
      <c r="A373" s="5">
        <f>IF(A372="","",IF(A372+1&gt;INT(MAX('1_raw_log'!$B:$B)),"",A372+1))</f>
        <v/>
      </c>
      <c r="B373" s="2">
        <f>IF(A373="","",YEAR(A373))</f>
        <v/>
      </c>
      <c r="C373" s="2">
        <f>IF(A373="","","Q"&amp;ROUNDUP(MONTH(A373)/3,0))</f>
        <v/>
      </c>
      <c r="D373" s="2">
        <f>IF(A373="","",MONTH(A373))</f>
        <v/>
      </c>
      <c r="E373" s="2">
        <f>IF(A373="","",_xlfn.ISOWEEKNUM(A373))</f>
        <v/>
      </c>
      <c r="F373" s="2">
        <f>IF(A373="","",TEXT(A373,"ddd"))</f>
        <v/>
      </c>
    </row>
    <row r="374">
      <c r="A374" s="5">
        <f>IF(A373="","",IF(A373+1&gt;INT(MAX('1_raw_log'!$B:$B)),"",A373+1))</f>
        <v/>
      </c>
      <c r="B374" s="2">
        <f>IF(A374="","",YEAR(A374))</f>
        <v/>
      </c>
      <c r="C374" s="2">
        <f>IF(A374="","","Q"&amp;ROUNDUP(MONTH(A374)/3,0))</f>
        <v/>
      </c>
      <c r="D374" s="2">
        <f>IF(A374="","",MONTH(A374))</f>
        <v/>
      </c>
      <c r="E374" s="2">
        <f>IF(A374="","",_xlfn.ISOWEEKNUM(A374))</f>
        <v/>
      </c>
      <c r="F374" s="2">
        <f>IF(A374="","",TEXT(A374,"ddd"))</f>
        <v/>
      </c>
    </row>
    <row r="375">
      <c r="A375" s="5">
        <f>IF(A374="","",IF(A374+1&gt;INT(MAX('1_raw_log'!$B:$B)),"",A374+1))</f>
        <v/>
      </c>
      <c r="B375" s="2">
        <f>IF(A375="","",YEAR(A375))</f>
        <v/>
      </c>
      <c r="C375" s="2">
        <f>IF(A375="","","Q"&amp;ROUNDUP(MONTH(A375)/3,0))</f>
        <v/>
      </c>
      <c r="D375" s="2">
        <f>IF(A375="","",MONTH(A375))</f>
        <v/>
      </c>
      <c r="E375" s="2">
        <f>IF(A375="","",_xlfn.ISOWEEKNUM(A375))</f>
        <v/>
      </c>
      <c r="F375" s="2">
        <f>IF(A375="","",TEXT(A375,"ddd"))</f>
        <v/>
      </c>
    </row>
    <row r="376">
      <c r="A376" s="5">
        <f>IF(A375="","",IF(A375+1&gt;INT(MAX('1_raw_log'!$B:$B)),"",A375+1))</f>
        <v/>
      </c>
      <c r="B376" s="2">
        <f>IF(A376="","",YEAR(A376))</f>
        <v/>
      </c>
      <c r="C376" s="2">
        <f>IF(A376="","","Q"&amp;ROUNDUP(MONTH(A376)/3,0))</f>
        <v/>
      </c>
      <c r="D376" s="2">
        <f>IF(A376="","",MONTH(A376))</f>
        <v/>
      </c>
      <c r="E376" s="2">
        <f>IF(A376="","",_xlfn.ISOWEEKNUM(A376))</f>
        <v/>
      </c>
      <c r="F376" s="2">
        <f>IF(A376="","",TEXT(A376,"ddd"))</f>
        <v/>
      </c>
    </row>
    <row r="377">
      <c r="A377" s="5">
        <f>IF(A376="","",IF(A376+1&gt;INT(MAX('1_raw_log'!$B:$B)),"",A376+1))</f>
        <v/>
      </c>
      <c r="B377" s="2">
        <f>IF(A377="","",YEAR(A377))</f>
        <v/>
      </c>
      <c r="C377" s="2">
        <f>IF(A377="","","Q"&amp;ROUNDUP(MONTH(A377)/3,0))</f>
        <v/>
      </c>
      <c r="D377" s="2">
        <f>IF(A377="","",MONTH(A377))</f>
        <v/>
      </c>
      <c r="E377" s="2">
        <f>IF(A377="","",_xlfn.ISOWEEKNUM(A377))</f>
        <v/>
      </c>
      <c r="F377" s="2">
        <f>IF(A377="","",TEXT(A377,"ddd"))</f>
        <v/>
      </c>
    </row>
    <row r="378">
      <c r="A378" s="5">
        <f>IF(A377="","",IF(A377+1&gt;INT(MAX('1_raw_log'!$B:$B)),"",A377+1))</f>
        <v/>
      </c>
      <c r="B378" s="2">
        <f>IF(A378="","",YEAR(A378))</f>
        <v/>
      </c>
      <c r="C378" s="2">
        <f>IF(A378="","","Q"&amp;ROUNDUP(MONTH(A378)/3,0))</f>
        <v/>
      </c>
      <c r="D378" s="2">
        <f>IF(A378="","",MONTH(A378))</f>
        <v/>
      </c>
      <c r="E378" s="2">
        <f>IF(A378="","",_xlfn.ISOWEEKNUM(A378))</f>
        <v/>
      </c>
      <c r="F378" s="2">
        <f>IF(A378="","",TEXT(A378,"ddd"))</f>
        <v/>
      </c>
    </row>
    <row r="379">
      <c r="A379" s="5">
        <f>IF(A378="","",IF(A378+1&gt;INT(MAX('1_raw_log'!$B:$B)),"",A378+1))</f>
        <v/>
      </c>
      <c r="B379" s="2">
        <f>IF(A379="","",YEAR(A379))</f>
        <v/>
      </c>
      <c r="C379" s="2">
        <f>IF(A379="","","Q"&amp;ROUNDUP(MONTH(A379)/3,0))</f>
        <v/>
      </c>
      <c r="D379" s="2">
        <f>IF(A379="","",MONTH(A379))</f>
        <v/>
      </c>
      <c r="E379" s="2">
        <f>IF(A379="","",_xlfn.ISOWEEKNUM(A379))</f>
        <v/>
      </c>
      <c r="F379" s="2">
        <f>IF(A379="","",TEXT(A379,"ddd"))</f>
        <v/>
      </c>
    </row>
    <row r="380">
      <c r="A380" s="5">
        <f>IF(A379="","",IF(A379+1&gt;INT(MAX('1_raw_log'!$B:$B)),"",A379+1))</f>
        <v/>
      </c>
      <c r="B380" s="2">
        <f>IF(A380="","",YEAR(A380))</f>
        <v/>
      </c>
      <c r="C380" s="2">
        <f>IF(A380="","","Q"&amp;ROUNDUP(MONTH(A380)/3,0))</f>
        <v/>
      </c>
      <c r="D380" s="2">
        <f>IF(A380="","",MONTH(A380))</f>
        <v/>
      </c>
      <c r="E380" s="2">
        <f>IF(A380="","",_xlfn.ISOWEEKNUM(A380))</f>
        <v/>
      </c>
      <c r="F380" s="2">
        <f>IF(A380="","",TEXT(A380,"ddd"))</f>
        <v/>
      </c>
    </row>
    <row r="381">
      <c r="A381" s="5">
        <f>IF(A380="","",IF(A380+1&gt;INT(MAX('1_raw_log'!$B:$B)),"",A380+1))</f>
        <v/>
      </c>
      <c r="B381" s="2">
        <f>IF(A381="","",YEAR(A381))</f>
        <v/>
      </c>
      <c r="C381" s="2">
        <f>IF(A381="","","Q"&amp;ROUNDUP(MONTH(A381)/3,0))</f>
        <v/>
      </c>
      <c r="D381" s="2">
        <f>IF(A381="","",MONTH(A381))</f>
        <v/>
      </c>
      <c r="E381" s="2">
        <f>IF(A381="","",_xlfn.ISOWEEKNUM(A381))</f>
        <v/>
      </c>
      <c r="F381" s="2">
        <f>IF(A381="","",TEXT(A381,"ddd"))</f>
        <v/>
      </c>
    </row>
    <row r="382">
      <c r="A382" s="5">
        <f>IF(A381="","",IF(A381+1&gt;INT(MAX('1_raw_log'!$B:$B)),"",A381+1))</f>
        <v/>
      </c>
      <c r="B382" s="2">
        <f>IF(A382="","",YEAR(A382))</f>
        <v/>
      </c>
      <c r="C382" s="2">
        <f>IF(A382="","","Q"&amp;ROUNDUP(MONTH(A382)/3,0))</f>
        <v/>
      </c>
      <c r="D382" s="2">
        <f>IF(A382="","",MONTH(A382))</f>
        <v/>
      </c>
      <c r="E382" s="2">
        <f>IF(A382="","",_xlfn.ISOWEEKNUM(A382))</f>
        <v/>
      </c>
      <c r="F382" s="2">
        <f>IF(A382="","",TEXT(A382,"ddd"))</f>
        <v/>
      </c>
    </row>
    <row r="383">
      <c r="A383" s="5">
        <f>IF(A382="","",IF(A382+1&gt;INT(MAX('1_raw_log'!$B:$B)),"",A382+1))</f>
        <v/>
      </c>
      <c r="B383" s="2">
        <f>IF(A383="","",YEAR(A383))</f>
        <v/>
      </c>
      <c r="C383" s="2">
        <f>IF(A383="","","Q"&amp;ROUNDUP(MONTH(A383)/3,0))</f>
        <v/>
      </c>
      <c r="D383" s="2">
        <f>IF(A383="","",MONTH(A383))</f>
        <v/>
      </c>
      <c r="E383" s="2">
        <f>IF(A383="","",_xlfn.ISOWEEKNUM(A383))</f>
        <v/>
      </c>
      <c r="F383" s="2">
        <f>IF(A383="","",TEXT(A383,"ddd"))</f>
        <v/>
      </c>
    </row>
    <row r="384">
      <c r="A384" s="5">
        <f>IF(A383="","",IF(A383+1&gt;INT(MAX('1_raw_log'!$B:$B)),"",A383+1))</f>
        <v/>
      </c>
      <c r="B384" s="2">
        <f>IF(A384="","",YEAR(A384))</f>
        <v/>
      </c>
      <c r="C384" s="2">
        <f>IF(A384="","","Q"&amp;ROUNDUP(MONTH(A384)/3,0))</f>
        <v/>
      </c>
      <c r="D384" s="2">
        <f>IF(A384="","",MONTH(A384))</f>
        <v/>
      </c>
      <c r="E384" s="2">
        <f>IF(A384="","",_xlfn.ISOWEEKNUM(A384))</f>
        <v/>
      </c>
      <c r="F384" s="2">
        <f>IF(A384="","",TEXT(A384,"ddd"))</f>
        <v/>
      </c>
    </row>
    <row r="385">
      <c r="A385" s="5">
        <f>IF(A384="","",IF(A384+1&gt;INT(MAX('1_raw_log'!$B:$B)),"",A384+1))</f>
        <v/>
      </c>
      <c r="B385" s="2">
        <f>IF(A385="","",YEAR(A385))</f>
        <v/>
      </c>
      <c r="C385" s="2">
        <f>IF(A385="","","Q"&amp;ROUNDUP(MONTH(A385)/3,0))</f>
        <v/>
      </c>
      <c r="D385" s="2">
        <f>IF(A385="","",MONTH(A385))</f>
        <v/>
      </c>
      <c r="E385" s="2">
        <f>IF(A385="","",_xlfn.ISOWEEKNUM(A385))</f>
        <v/>
      </c>
      <c r="F385" s="2">
        <f>IF(A385="","",TEXT(A385,"ddd"))</f>
        <v/>
      </c>
    </row>
    <row r="386">
      <c r="A386" s="5">
        <f>IF(A385="","",IF(A385+1&gt;INT(MAX('1_raw_log'!$B:$B)),"",A385+1))</f>
        <v/>
      </c>
      <c r="B386" s="2">
        <f>IF(A386="","",YEAR(A386))</f>
        <v/>
      </c>
      <c r="C386" s="2">
        <f>IF(A386="","","Q"&amp;ROUNDUP(MONTH(A386)/3,0))</f>
        <v/>
      </c>
      <c r="D386" s="2">
        <f>IF(A386="","",MONTH(A386))</f>
        <v/>
      </c>
      <c r="E386" s="2">
        <f>IF(A386="","",_xlfn.ISOWEEKNUM(A386))</f>
        <v/>
      </c>
      <c r="F386" s="2">
        <f>IF(A386="","",TEXT(A386,"ddd"))</f>
        <v/>
      </c>
    </row>
    <row r="387">
      <c r="A387" s="5">
        <f>IF(A386="","",IF(A386+1&gt;INT(MAX('1_raw_log'!$B:$B)),"",A386+1))</f>
        <v/>
      </c>
      <c r="B387" s="2">
        <f>IF(A387="","",YEAR(A387))</f>
        <v/>
      </c>
      <c r="C387" s="2">
        <f>IF(A387="","","Q"&amp;ROUNDUP(MONTH(A387)/3,0))</f>
        <v/>
      </c>
      <c r="D387" s="2">
        <f>IF(A387="","",MONTH(A387))</f>
        <v/>
      </c>
      <c r="E387" s="2">
        <f>IF(A387="","",_xlfn.ISOWEEKNUM(A387))</f>
        <v/>
      </c>
      <c r="F387" s="2">
        <f>IF(A387="","",TEXT(A387,"ddd"))</f>
        <v/>
      </c>
    </row>
    <row r="388">
      <c r="A388" s="5">
        <f>IF(A387="","",IF(A387+1&gt;INT(MAX('1_raw_log'!$B:$B)),"",A387+1))</f>
        <v/>
      </c>
      <c r="B388" s="2">
        <f>IF(A388="","",YEAR(A388))</f>
        <v/>
      </c>
      <c r="C388" s="2">
        <f>IF(A388="","","Q"&amp;ROUNDUP(MONTH(A388)/3,0))</f>
        <v/>
      </c>
      <c r="D388" s="2">
        <f>IF(A388="","",MONTH(A388))</f>
        <v/>
      </c>
      <c r="E388" s="2">
        <f>IF(A388="","",_xlfn.ISOWEEKNUM(A388))</f>
        <v/>
      </c>
      <c r="F388" s="2">
        <f>IF(A388="","",TEXT(A388,"ddd"))</f>
        <v/>
      </c>
    </row>
    <row r="389">
      <c r="A389" s="5">
        <f>IF(A388="","",IF(A388+1&gt;INT(MAX('1_raw_log'!$B:$B)),"",A388+1))</f>
        <v/>
      </c>
      <c r="B389" s="2">
        <f>IF(A389="","",YEAR(A389))</f>
        <v/>
      </c>
      <c r="C389" s="2">
        <f>IF(A389="","","Q"&amp;ROUNDUP(MONTH(A389)/3,0))</f>
        <v/>
      </c>
      <c r="D389" s="2">
        <f>IF(A389="","",MONTH(A389))</f>
        <v/>
      </c>
      <c r="E389" s="2">
        <f>IF(A389="","",_xlfn.ISOWEEKNUM(A389))</f>
        <v/>
      </c>
      <c r="F389" s="2">
        <f>IF(A389="","",TEXT(A389,"ddd"))</f>
        <v/>
      </c>
    </row>
    <row r="390">
      <c r="A390" s="5">
        <f>IF(A389="","",IF(A389+1&gt;INT(MAX('1_raw_log'!$B:$B)),"",A389+1))</f>
        <v/>
      </c>
      <c r="B390" s="2">
        <f>IF(A390="","",YEAR(A390))</f>
        <v/>
      </c>
      <c r="C390" s="2">
        <f>IF(A390="","","Q"&amp;ROUNDUP(MONTH(A390)/3,0))</f>
        <v/>
      </c>
      <c r="D390" s="2">
        <f>IF(A390="","",MONTH(A390))</f>
        <v/>
      </c>
      <c r="E390" s="2">
        <f>IF(A390="","",_xlfn.ISOWEEKNUM(A390))</f>
        <v/>
      </c>
      <c r="F390" s="2">
        <f>IF(A390="","",TEXT(A390,"ddd"))</f>
        <v/>
      </c>
    </row>
    <row r="391">
      <c r="A391" s="5">
        <f>IF(A390="","",IF(A390+1&gt;INT(MAX('1_raw_log'!$B:$B)),"",A390+1))</f>
        <v/>
      </c>
      <c r="B391" s="2">
        <f>IF(A391="","",YEAR(A391))</f>
        <v/>
      </c>
      <c r="C391" s="2">
        <f>IF(A391="","","Q"&amp;ROUNDUP(MONTH(A391)/3,0))</f>
        <v/>
      </c>
      <c r="D391" s="2">
        <f>IF(A391="","",MONTH(A391))</f>
        <v/>
      </c>
      <c r="E391" s="2">
        <f>IF(A391="","",_xlfn.ISOWEEKNUM(A391))</f>
        <v/>
      </c>
      <c r="F391" s="2">
        <f>IF(A391="","",TEXT(A391,"ddd"))</f>
        <v/>
      </c>
    </row>
    <row r="392">
      <c r="A392" s="5">
        <f>IF(A391="","",IF(A391+1&gt;INT(MAX('1_raw_log'!$B:$B)),"",A391+1))</f>
        <v/>
      </c>
      <c r="B392" s="2">
        <f>IF(A392="","",YEAR(A392))</f>
        <v/>
      </c>
      <c r="C392" s="2">
        <f>IF(A392="","","Q"&amp;ROUNDUP(MONTH(A392)/3,0))</f>
        <v/>
      </c>
      <c r="D392" s="2">
        <f>IF(A392="","",MONTH(A392))</f>
        <v/>
      </c>
      <c r="E392" s="2">
        <f>IF(A392="","",_xlfn.ISOWEEKNUM(A392))</f>
        <v/>
      </c>
      <c r="F392" s="2">
        <f>IF(A392="","",TEXT(A392,"ddd"))</f>
        <v/>
      </c>
    </row>
    <row r="393">
      <c r="A393" s="5">
        <f>IF(A392="","",IF(A392+1&gt;INT(MAX('1_raw_log'!$B:$B)),"",A392+1))</f>
        <v/>
      </c>
      <c r="B393" s="2">
        <f>IF(A393="","",YEAR(A393))</f>
        <v/>
      </c>
      <c r="C393" s="2">
        <f>IF(A393="","","Q"&amp;ROUNDUP(MONTH(A393)/3,0))</f>
        <v/>
      </c>
      <c r="D393" s="2">
        <f>IF(A393="","",MONTH(A393))</f>
        <v/>
      </c>
      <c r="E393" s="2">
        <f>IF(A393="","",_xlfn.ISOWEEKNUM(A393))</f>
        <v/>
      </c>
      <c r="F393" s="2">
        <f>IF(A393="","",TEXT(A393,"ddd"))</f>
        <v/>
      </c>
    </row>
    <row r="394">
      <c r="A394" s="5">
        <f>IF(A393="","",IF(A393+1&gt;INT(MAX('1_raw_log'!$B:$B)),"",A393+1))</f>
        <v/>
      </c>
      <c r="B394" s="2">
        <f>IF(A394="","",YEAR(A394))</f>
        <v/>
      </c>
      <c r="C394" s="2">
        <f>IF(A394="","","Q"&amp;ROUNDUP(MONTH(A394)/3,0))</f>
        <v/>
      </c>
      <c r="D394" s="2">
        <f>IF(A394="","",MONTH(A394))</f>
        <v/>
      </c>
      <c r="E394" s="2">
        <f>IF(A394="","",_xlfn.ISOWEEKNUM(A394))</f>
        <v/>
      </c>
      <c r="F394" s="2">
        <f>IF(A394="","",TEXT(A394,"ddd"))</f>
        <v/>
      </c>
    </row>
    <row r="395">
      <c r="A395" s="5">
        <f>IF(A394="","",IF(A394+1&gt;INT(MAX('1_raw_log'!$B:$B)),"",A394+1))</f>
        <v/>
      </c>
      <c r="B395" s="2">
        <f>IF(A395="","",YEAR(A395))</f>
        <v/>
      </c>
      <c r="C395" s="2">
        <f>IF(A395="","","Q"&amp;ROUNDUP(MONTH(A395)/3,0))</f>
        <v/>
      </c>
      <c r="D395" s="2">
        <f>IF(A395="","",MONTH(A395))</f>
        <v/>
      </c>
      <c r="E395" s="2">
        <f>IF(A395="","",_xlfn.ISOWEEKNUM(A395))</f>
        <v/>
      </c>
      <c r="F395" s="2">
        <f>IF(A395="","",TEXT(A395,"ddd"))</f>
        <v/>
      </c>
    </row>
    <row r="396">
      <c r="A396" s="5">
        <f>IF(A395="","",IF(A395+1&gt;INT(MAX('1_raw_log'!$B:$B)),"",A395+1))</f>
        <v/>
      </c>
      <c r="B396" s="2">
        <f>IF(A396="","",YEAR(A396))</f>
        <v/>
      </c>
      <c r="C396" s="2">
        <f>IF(A396="","","Q"&amp;ROUNDUP(MONTH(A396)/3,0))</f>
        <v/>
      </c>
      <c r="D396" s="2">
        <f>IF(A396="","",MONTH(A396))</f>
        <v/>
      </c>
      <c r="E396" s="2">
        <f>IF(A396="","",_xlfn.ISOWEEKNUM(A396))</f>
        <v/>
      </c>
      <c r="F396" s="2">
        <f>IF(A396="","",TEXT(A396,"ddd"))</f>
        <v/>
      </c>
    </row>
    <row r="397">
      <c r="A397" s="5">
        <f>IF(A396="","",IF(A396+1&gt;INT(MAX('1_raw_log'!$B:$B)),"",A396+1))</f>
        <v/>
      </c>
      <c r="B397" s="2">
        <f>IF(A397="","",YEAR(A397))</f>
        <v/>
      </c>
      <c r="C397" s="2">
        <f>IF(A397="","","Q"&amp;ROUNDUP(MONTH(A397)/3,0))</f>
        <v/>
      </c>
      <c r="D397" s="2">
        <f>IF(A397="","",MONTH(A397))</f>
        <v/>
      </c>
      <c r="E397" s="2">
        <f>IF(A397="","",_xlfn.ISOWEEKNUM(A397))</f>
        <v/>
      </c>
      <c r="F397" s="2">
        <f>IF(A397="","",TEXT(A397,"ddd"))</f>
        <v/>
      </c>
    </row>
    <row r="398">
      <c r="A398" s="5">
        <f>IF(A397="","",IF(A397+1&gt;INT(MAX('1_raw_log'!$B:$B)),"",A397+1))</f>
        <v/>
      </c>
      <c r="B398" s="2">
        <f>IF(A398="","",YEAR(A398))</f>
        <v/>
      </c>
      <c r="C398" s="2">
        <f>IF(A398="","","Q"&amp;ROUNDUP(MONTH(A398)/3,0))</f>
        <v/>
      </c>
      <c r="D398" s="2">
        <f>IF(A398="","",MONTH(A398))</f>
        <v/>
      </c>
      <c r="E398" s="2">
        <f>IF(A398="","",_xlfn.ISOWEEKNUM(A398))</f>
        <v/>
      </c>
      <c r="F398" s="2">
        <f>IF(A398="","",TEXT(A398,"ddd"))</f>
        <v/>
      </c>
    </row>
    <row r="399">
      <c r="A399" s="5">
        <f>IF(A398="","",IF(A398+1&gt;INT(MAX('1_raw_log'!$B:$B)),"",A398+1))</f>
        <v/>
      </c>
      <c r="B399" s="2">
        <f>IF(A399="","",YEAR(A399))</f>
        <v/>
      </c>
      <c r="C399" s="2">
        <f>IF(A399="","","Q"&amp;ROUNDUP(MONTH(A399)/3,0))</f>
        <v/>
      </c>
      <c r="D399" s="2">
        <f>IF(A399="","",MONTH(A399))</f>
        <v/>
      </c>
      <c r="E399" s="2">
        <f>IF(A399="","",_xlfn.ISOWEEKNUM(A399))</f>
        <v/>
      </c>
      <c r="F399" s="2">
        <f>IF(A399="","",TEXT(A399,"ddd"))</f>
        <v/>
      </c>
    </row>
    <row r="400">
      <c r="A400" s="5">
        <f>IF(A399="","",IF(A399+1&gt;INT(MAX('1_raw_log'!$B:$B)),"",A399+1))</f>
        <v/>
      </c>
      <c r="B400" s="2">
        <f>IF(A400="","",YEAR(A400))</f>
        <v/>
      </c>
      <c r="C400" s="2">
        <f>IF(A400="","","Q"&amp;ROUNDUP(MONTH(A400)/3,0))</f>
        <v/>
      </c>
      <c r="D400" s="2">
        <f>IF(A400="","",MONTH(A400))</f>
        <v/>
      </c>
      <c r="E400" s="2">
        <f>IF(A400="","",_xlfn.ISOWEEKNUM(A400))</f>
        <v/>
      </c>
      <c r="F400" s="2">
        <f>IF(A400="","",TEXT(A400,"ddd"))</f>
        <v/>
      </c>
    </row>
    <row r="401">
      <c r="A401" s="5">
        <f>IF(A400="","",IF(A400+1&gt;INT(MAX('1_raw_log'!$B:$B)),"",A400+1))</f>
        <v/>
      </c>
      <c r="B401" s="2">
        <f>IF(A401="","",YEAR(A401))</f>
        <v/>
      </c>
      <c r="C401" s="2">
        <f>IF(A401="","","Q"&amp;ROUNDUP(MONTH(A401)/3,0))</f>
        <v/>
      </c>
      <c r="D401" s="2">
        <f>IF(A401="","",MONTH(A401))</f>
        <v/>
      </c>
      <c r="E401" s="2">
        <f>IF(A401="","",_xlfn.ISOWEEKNUM(A401))</f>
        <v/>
      </c>
      <c r="F401" s="2">
        <f>IF(A401="","",TEXT(A401,"ddd"))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/>
  </sheetPr>
  <dimension ref="A1:F1441"/>
  <sheetViews>
    <sheetView workbookViewId="0">
      <pane ySplit="1" topLeftCell="A2" activePane="bottomLeft" state="frozen"/>
      <selection pane="bottomLeft" activeCell="G28" sqref="G28"/>
    </sheetView>
  </sheetViews>
  <sheetFormatPr baseColWidth="8" defaultRowHeight="14.5"/>
  <cols>
    <col width="13" customWidth="1" min="1" max="1"/>
    <col width="8" customWidth="1" min="2" max="2"/>
    <col width="7" customWidth="1" min="3" max="3"/>
    <col width="12" customWidth="1" min="4" max="4"/>
  </cols>
  <sheetData>
    <row r="1" ht="28" customHeight="1">
      <c r="A1" s="19" t="inlineStr">
        <is>
          <t>time_key (PK)</t>
        </is>
      </c>
      <c r="B1" s="19" t="inlineStr">
        <is>
          <t>time</t>
        </is>
      </c>
      <c r="C1" s="19" t="inlineStr">
        <is>
          <t>hour</t>
        </is>
      </c>
      <c r="D1" s="19" t="inlineStr">
        <is>
          <t>day_part</t>
        </is>
      </c>
    </row>
    <row r="2">
      <c r="A2" s="2" t="n">
        <v>0</v>
      </c>
      <c r="B2" s="20">
        <f>A2/1440</f>
        <v/>
      </c>
      <c r="C2" s="2">
        <f>INT(A2/60)</f>
        <v/>
      </c>
      <c r="D2" s="2">
        <f>IF(C2&lt;6,"Night",IF(C2&lt;12,"Morning",IF(C2&lt;18,"Afternoon",IF(C2&lt;22,"Evening","Night"))))</f>
        <v/>
      </c>
      <c r="F2" s="15" t="inlineStr">
        <is>
          <t>Time-of-day reference: one row per minute (time_key = minutes after midnight, 0-1439).</t>
        </is>
      </c>
    </row>
    <row r="3">
      <c r="A3" s="2" t="n">
        <v>1</v>
      </c>
      <c r="B3" s="20">
        <f>A3/1440</f>
        <v/>
      </c>
      <c r="C3" s="2">
        <f>INT(A3/60)</f>
        <v/>
      </c>
      <c r="D3" s="2">
        <f>IF(C3&lt;6,"Night",IF(C3&lt;12,"Morning",IF(C3&lt;18,"Afternoon",IF(C3&lt;22,"Evening","Night"))))</f>
        <v/>
      </c>
      <c r="F3" s="15" t="inlineStr">
        <is>
          <t>Kept separate from ref_date: 365 + 1,440 rows instead of one row per minute of every day.</t>
        </is>
      </c>
    </row>
    <row r="4">
      <c r="A4" s="2" t="n">
        <v>2</v>
      </c>
      <c r="B4" s="20">
        <f>A4/1440</f>
        <v/>
      </c>
      <c r="C4" s="2">
        <f>INT(A4/60)</f>
        <v/>
      </c>
      <c r="D4" s="2">
        <f>IF(C4&lt;6,"Night",IF(C4&lt;12,"Morning",IF(C4&lt;18,"Afternoon",IF(C4&lt;22,"Evening","Night"))))</f>
        <v/>
      </c>
      <c r="F4" s="15" t="inlineStr">
        <is>
          <t>day_part bands: Morning 06-11, Afternoon 12-17, Evening 18-21, Night 22-05 (an assumption; change here once).</t>
        </is>
      </c>
    </row>
    <row r="5">
      <c r="A5" s="2" t="n">
        <v>3</v>
      </c>
      <c r="B5" s="20">
        <f>A5/1440</f>
        <v/>
      </c>
      <c r="C5" s="2">
        <f>INT(A5/60)</f>
        <v/>
      </c>
      <c r="D5" s="2">
        <f>IF(C5&lt;6,"Night",IF(C5&lt;12,"Morning",IF(C5&lt;18,"Afternoon",IF(C5&lt;22,"Evening","Night"))))</f>
        <v/>
      </c>
    </row>
    <row r="6">
      <c r="A6" s="2" t="n">
        <v>4</v>
      </c>
      <c r="B6" s="20">
        <f>A6/1440</f>
        <v/>
      </c>
      <c r="C6" s="2">
        <f>INT(A6/60)</f>
        <v/>
      </c>
      <c r="D6" s="2">
        <f>IF(C6&lt;6,"Night",IF(C6&lt;12,"Morning",IF(C6&lt;18,"Afternoon",IF(C6&lt;22,"Evening","Night"))))</f>
        <v/>
      </c>
    </row>
    <row r="7">
      <c r="A7" s="2" t="n">
        <v>5</v>
      </c>
      <c r="B7" s="20">
        <f>A7/1440</f>
        <v/>
      </c>
      <c r="C7" s="2">
        <f>INT(A7/60)</f>
        <v/>
      </c>
      <c r="D7" s="2">
        <f>IF(C7&lt;6,"Night",IF(C7&lt;12,"Morning",IF(C7&lt;18,"Afternoon",IF(C7&lt;22,"Evening","Night"))))</f>
        <v/>
      </c>
    </row>
    <row r="8">
      <c r="A8" s="2" t="n">
        <v>6</v>
      </c>
      <c r="B8" s="20">
        <f>A8/1440</f>
        <v/>
      </c>
      <c r="C8" s="2">
        <f>INT(A8/60)</f>
        <v/>
      </c>
      <c r="D8" s="2">
        <f>IF(C8&lt;6,"Night",IF(C8&lt;12,"Morning",IF(C8&lt;18,"Afternoon",IF(C8&lt;22,"Evening","Night"))))</f>
        <v/>
      </c>
    </row>
    <row r="9">
      <c r="A9" s="2" t="n">
        <v>7</v>
      </c>
      <c r="B9" s="20">
        <f>A9/1440</f>
        <v/>
      </c>
      <c r="C9" s="2">
        <f>INT(A9/60)</f>
        <v/>
      </c>
      <c r="D9" s="2">
        <f>IF(C9&lt;6,"Night",IF(C9&lt;12,"Morning",IF(C9&lt;18,"Afternoon",IF(C9&lt;22,"Evening","Night"))))</f>
        <v/>
      </c>
    </row>
    <row r="10">
      <c r="A10" s="2" t="n">
        <v>8</v>
      </c>
      <c r="B10" s="20">
        <f>A10/1440</f>
        <v/>
      </c>
      <c r="C10" s="2">
        <f>INT(A10/60)</f>
        <v/>
      </c>
      <c r="D10" s="2">
        <f>IF(C10&lt;6,"Night",IF(C10&lt;12,"Morning",IF(C10&lt;18,"Afternoon",IF(C10&lt;22,"Evening","Night"))))</f>
        <v/>
      </c>
    </row>
    <row r="11">
      <c r="A11" s="2" t="n">
        <v>9</v>
      </c>
      <c r="B11" s="20">
        <f>A11/1440</f>
        <v/>
      </c>
      <c r="C11" s="2">
        <f>INT(A11/60)</f>
        <v/>
      </c>
      <c r="D11" s="2">
        <f>IF(C11&lt;6,"Night",IF(C11&lt;12,"Morning",IF(C11&lt;18,"Afternoon",IF(C11&lt;22,"Evening","Night"))))</f>
        <v/>
      </c>
    </row>
    <row r="12">
      <c r="A12" s="2" t="n">
        <v>10</v>
      </c>
      <c r="B12" s="20">
        <f>A12/1440</f>
        <v/>
      </c>
      <c r="C12" s="2">
        <f>INT(A12/60)</f>
        <v/>
      </c>
      <c r="D12" s="2">
        <f>IF(C12&lt;6,"Night",IF(C12&lt;12,"Morning",IF(C12&lt;18,"Afternoon",IF(C12&lt;22,"Evening","Night"))))</f>
        <v/>
      </c>
    </row>
    <row r="13">
      <c r="A13" s="2" t="n">
        <v>11</v>
      </c>
      <c r="B13" s="20">
        <f>A13/1440</f>
        <v/>
      </c>
      <c r="C13" s="2">
        <f>INT(A13/60)</f>
        <v/>
      </c>
      <c r="D13" s="2">
        <f>IF(C13&lt;6,"Night",IF(C13&lt;12,"Morning",IF(C13&lt;18,"Afternoon",IF(C13&lt;22,"Evening","Night"))))</f>
        <v/>
      </c>
    </row>
    <row r="14">
      <c r="A14" s="2" t="n">
        <v>12</v>
      </c>
      <c r="B14" s="20">
        <f>A14/1440</f>
        <v/>
      </c>
      <c r="C14" s="2">
        <f>INT(A14/60)</f>
        <v/>
      </c>
      <c r="D14" s="2">
        <f>IF(C14&lt;6,"Night",IF(C14&lt;12,"Morning",IF(C14&lt;18,"Afternoon",IF(C14&lt;22,"Evening","Night"))))</f>
        <v/>
      </c>
    </row>
    <row r="15">
      <c r="A15" s="2" t="n">
        <v>13</v>
      </c>
      <c r="B15" s="20">
        <f>A15/1440</f>
        <v/>
      </c>
      <c r="C15" s="2">
        <f>INT(A15/60)</f>
        <v/>
      </c>
      <c r="D15" s="2">
        <f>IF(C15&lt;6,"Night",IF(C15&lt;12,"Morning",IF(C15&lt;18,"Afternoon",IF(C15&lt;22,"Evening","Night"))))</f>
        <v/>
      </c>
    </row>
    <row r="16">
      <c r="A16" s="2" t="n">
        <v>14</v>
      </c>
      <c r="B16" s="20">
        <f>A16/1440</f>
        <v/>
      </c>
      <c r="C16" s="2">
        <f>INT(A16/60)</f>
        <v/>
      </c>
      <c r="D16" s="2">
        <f>IF(C16&lt;6,"Night",IF(C16&lt;12,"Morning",IF(C16&lt;18,"Afternoon",IF(C16&lt;22,"Evening","Night"))))</f>
        <v/>
      </c>
    </row>
    <row r="17">
      <c r="A17" s="2" t="n">
        <v>15</v>
      </c>
      <c r="B17" s="20">
        <f>A17/1440</f>
        <v/>
      </c>
      <c r="C17" s="2">
        <f>INT(A17/60)</f>
        <v/>
      </c>
      <c r="D17" s="2">
        <f>IF(C17&lt;6,"Night",IF(C17&lt;12,"Morning",IF(C17&lt;18,"Afternoon",IF(C17&lt;22,"Evening","Night"))))</f>
        <v/>
      </c>
    </row>
    <row r="18">
      <c r="A18" s="2" t="n">
        <v>16</v>
      </c>
      <c r="B18" s="20">
        <f>A18/1440</f>
        <v/>
      </c>
      <c r="C18" s="2">
        <f>INT(A18/60)</f>
        <v/>
      </c>
      <c r="D18" s="2">
        <f>IF(C18&lt;6,"Night",IF(C18&lt;12,"Morning",IF(C18&lt;18,"Afternoon",IF(C18&lt;22,"Evening","Night"))))</f>
        <v/>
      </c>
    </row>
    <row r="19">
      <c r="A19" s="2" t="n">
        <v>17</v>
      </c>
      <c r="B19" s="20">
        <f>A19/1440</f>
        <v/>
      </c>
      <c r="C19" s="2">
        <f>INT(A19/60)</f>
        <v/>
      </c>
      <c r="D19" s="2">
        <f>IF(C19&lt;6,"Night",IF(C19&lt;12,"Morning",IF(C19&lt;18,"Afternoon",IF(C19&lt;22,"Evening","Night"))))</f>
        <v/>
      </c>
    </row>
    <row r="20">
      <c r="A20" s="2" t="n">
        <v>18</v>
      </c>
      <c r="B20" s="20">
        <f>A20/1440</f>
        <v/>
      </c>
      <c r="C20" s="2">
        <f>INT(A20/60)</f>
        <v/>
      </c>
      <c r="D20" s="2">
        <f>IF(C20&lt;6,"Night",IF(C20&lt;12,"Morning",IF(C20&lt;18,"Afternoon",IF(C20&lt;22,"Evening","Night"))))</f>
        <v/>
      </c>
    </row>
    <row r="21">
      <c r="A21" s="2" t="n">
        <v>19</v>
      </c>
      <c r="B21" s="20">
        <f>A21/1440</f>
        <v/>
      </c>
      <c r="C21" s="2">
        <f>INT(A21/60)</f>
        <v/>
      </c>
      <c r="D21" s="2">
        <f>IF(C21&lt;6,"Night",IF(C21&lt;12,"Morning",IF(C21&lt;18,"Afternoon",IF(C21&lt;22,"Evening","Night"))))</f>
        <v/>
      </c>
    </row>
    <row r="22">
      <c r="A22" s="2" t="n">
        <v>20</v>
      </c>
      <c r="B22" s="20">
        <f>A22/1440</f>
        <v/>
      </c>
      <c r="C22" s="2">
        <f>INT(A22/60)</f>
        <v/>
      </c>
      <c r="D22" s="2">
        <f>IF(C22&lt;6,"Night",IF(C22&lt;12,"Morning",IF(C22&lt;18,"Afternoon",IF(C22&lt;22,"Evening","Night"))))</f>
        <v/>
      </c>
    </row>
    <row r="23">
      <c r="A23" s="2" t="n">
        <v>21</v>
      </c>
      <c r="B23" s="20">
        <f>A23/1440</f>
        <v/>
      </c>
      <c r="C23" s="2">
        <f>INT(A23/60)</f>
        <v/>
      </c>
      <c r="D23" s="2">
        <f>IF(C23&lt;6,"Night",IF(C23&lt;12,"Morning",IF(C23&lt;18,"Afternoon",IF(C23&lt;22,"Evening","Night"))))</f>
        <v/>
      </c>
    </row>
    <row r="24">
      <c r="A24" s="2" t="n">
        <v>22</v>
      </c>
      <c r="B24" s="20">
        <f>A24/1440</f>
        <v/>
      </c>
      <c r="C24" s="2">
        <f>INT(A24/60)</f>
        <v/>
      </c>
      <c r="D24" s="2">
        <f>IF(C24&lt;6,"Night",IF(C24&lt;12,"Morning",IF(C24&lt;18,"Afternoon",IF(C24&lt;22,"Evening","Night"))))</f>
        <v/>
      </c>
    </row>
    <row r="25">
      <c r="A25" s="2" t="n">
        <v>23</v>
      </c>
      <c r="B25" s="20">
        <f>A25/1440</f>
        <v/>
      </c>
      <c r="C25" s="2">
        <f>INT(A25/60)</f>
        <v/>
      </c>
      <c r="D25" s="2">
        <f>IF(C25&lt;6,"Night",IF(C25&lt;12,"Morning",IF(C25&lt;18,"Afternoon",IF(C25&lt;22,"Evening","Night"))))</f>
        <v/>
      </c>
    </row>
    <row r="26">
      <c r="A26" s="2" t="n">
        <v>24</v>
      </c>
      <c r="B26" s="20">
        <f>A26/1440</f>
        <v/>
      </c>
      <c r="C26" s="2">
        <f>INT(A26/60)</f>
        <v/>
      </c>
      <c r="D26" s="2">
        <f>IF(C26&lt;6,"Night",IF(C26&lt;12,"Morning",IF(C26&lt;18,"Afternoon",IF(C26&lt;22,"Evening","Night"))))</f>
        <v/>
      </c>
    </row>
    <row r="27">
      <c r="A27" s="2" t="n">
        <v>25</v>
      </c>
      <c r="B27" s="20">
        <f>A27/1440</f>
        <v/>
      </c>
      <c r="C27" s="2">
        <f>INT(A27/60)</f>
        <v/>
      </c>
      <c r="D27" s="2">
        <f>IF(C27&lt;6,"Night",IF(C27&lt;12,"Morning",IF(C27&lt;18,"Afternoon",IF(C27&lt;22,"Evening","Night"))))</f>
        <v/>
      </c>
    </row>
    <row r="28">
      <c r="A28" s="2" t="n">
        <v>26</v>
      </c>
      <c r="B28" s="20">
        <f>A28/1440</f>
        <v/>
      </c>
      <c r="C28" s="2">
        <f>INT(A28/60)</f>
        <v/>
      </c>
      <c r="D28" s="2">
        <f>IF(C28&lt;6,"Night",IF(C28&lt;12,"Morning",IF(C28&lt;18,"Afternoon",IF(C28&lt;22,"Evening","Night"))))</f>
        <v/>
      </c>
    </row>
    <row r="29">
      <c r="A29" s="2" t="n">
        <v>27</v>
      </c>
      <c r="B29" s="20">
        <f>A29/1440</f>
        <v/>
      </c>
      <c r="C29" s="2">
        <f>INT(A29/60)</f>
        <v/>
      </c>
      <c r="D29" s="2">
        <f>IF(C29&lt;6,"Night",IF(C29&lt;12,"Morning",IF(C29&lt;18,"Afternoon",IF(C29&lt;22,"Evening","Night"))))</f>
        <v/>
      </c>
    </row>
    <row r="30">
      <c r="A30" s="2" t="n">
        <v>28</v>
      </c>
      <c r="B30" s="20">
        <f>A30/1440</f>
        <v/>
      </c>
      <c r="C30" s="2">
        <f>INT(A30/60)</f>
        <v/>
      </c>
      <c r="D30" s="2">
        <f>IF(C30&lt;6,"Night",IF(C30&lt;12,"Morning",IF(C30&lt;18,"Afternoon",IF(C30&lt;22,"Evening","Night"))))</f>
        <v/>
      </c>
    </row>
    <row r="31">
      <c r="A31" s="2" t="n">
        <v>29</v>
      </c>
      <c r="B31" s="20">
        <f>A31/1440</f>
        <v/>
      </c>
      <c r="C31" s="2">
        <f>INT(A31/60)</f>
        <v/>
      </c>
      <c r="D31" s="2">
        <f>IF(C31&lt;6,"Night",IF(C31&lt;12,"Morning",IF(C31&lt;18,"Afternoon",IF(C31&lt;22,"Evening","Night"))))</f>
        <v/>
      </c>
    </row>
    <row r="32">
      <c r="A32" s="2" t="n">
        <v>30</v>
      </c>
      <c r="B32" s="20">
        <f>A32/1440</f>
        <v/>
      </c>
      <c r="C32" s="2">
        <f>INT(A32/60)</f>
        <v/>
      </c>
      <c r="D32" s="2">
        <f>IF(C32&lt;6,"Night",IF(C32&lt;12,"Morning",IF(C32&lt;18,"Afternoon",IF(C32&lt;22,"Evening","Night"))))</f>
        <v/>
      </c>
    </row>
    <row r="33">
      <c r="A33" s="2" t="n">
        <v>31</v>
      </c>
      <c r="B33" s="20">
        <f>A33/1440</f>
        <v/>
      </c>
      <c r="C33" s="2">
        <f>INT(A33/60)</f>
        <v/>
      </c>
      <c r="D33" s="2">
        <f>IF(C33&lt;6,"Night",IF(C33&lt;12,"Morning",IF(C33&lt;18,"Afternoon",IF(C33&lt;22,"Evening","Night"))))</f>
        <v/>
      </c>
    </row>
    <row r="34">
      <c r="A34" s="2" t="n">
        <v>32</v>
      </c>
      <c r="B34" s="20">
        <f>A34/1440</f>
        <v/>
      </c>
      <c r="C34" s="2">
        <f>INT(A34/60)</f>
        <v/>
      </c>
      <c r="D34" s="2">
        <f>IF(C34&lt;6,"Night",IF(C34&lt;12,"Morning",IF(C34&lt;18,"Afternoon",IF(C34&lt;22,"Evening","Night"))))</f>
        <v/>
      </c>
    </row>
    <row r="35">
      <c r="A35" s="2" t="n">
        <v>33</v>
      </c>
      <c r="B35" s="20">
        <f>A35/1440</f>
        <v/>
      </c>
      <c r="C35" s="2">
        <f>INT(A35/60)</f>
        <v/>
      </c>
      <c r="D35" s="2">
        <f>IF(C35&lt;6,"Night",IF(C35&lt;12,"Morning",IF(C35&lt;18,"Afternoon",IF(C35&lt;22,"Evening","Night"))))</f>
        <v/>
      </c>
    </row>
    <row r="36">
      <c r="A36" s="2" t="n">
        <v>34</v>
      </c>
      <c r="B36" s="20">
        <f>A36/1440</f>
        <v/>
      </c>
      <c r="C36" s="2">
        <f>INT(A36/60)</f>
        <v/>
      </c>
      <c r="D36" s="2">
        <f>IF(C36&lt;6,"Night",IF(C36&lt;12,"Morning",IF(C36&lt;18,"Afternoon",IF(C36&lt;22,"Evening","Night"))))</f>
        <v/>
      </c>
    </row>
    <row r="37">
      <c r="A37" s="2" t="n">
        <v>35</v>
      </c>
      <c r="B37" s="20">
        <f>A37/1440</f>
        <v/>
      </c>
      <c r="C37" s="2">
        <f>INT(A37/60)</f>
        <v/>
      </c>
      <c r="D37" s="2">
        <f>IF(C37&lt;6,"Night",IF(C37&lt;12,"Morning",IF(C37&lt;18,"Afternoon",IF(C37&lt;22,"Evening","Night"))))</f>
        <v/>
      </c>
    </row>
    <row r="38">
      <c r="A38" s="2" t="n">
        <v>36</v>
      </c>
      <c r="B38" s="20">
        <f>A38/1440</f>
        <v/>
      </c>
      <c r="C38" s="2">
        <f>INT(A38/60)</f>
        <v/>
      </c>
      <c r="D38" s="2">
        <f>IF(C38&lt;6,"Night",IF(C38&lt;12,"Morning",IF(C38&lt;18,"Afternoon",IF(C38&lt;22,"Evening","Night"))))</f>
        <v/>
      </c>
    </row>
    <row r="39">
      <c r="A39" s="2" t="n">
        <v>37</v>
      </c>
      <c r="B39" s="20">
        <f>A39/1440</f>
        <v/>
      </c>
      <c r="C39" s="2">
        <f>INT(A39/60)</f>
        <v/>
      </c>
      <c r="D39" s="2">
        <f>IF(C39&lt;6,"Night",IF(C39&lt;12,"Morning",IF(C39&lt;18,"Afternoon",IF(C39&lt;22,"Evening","Night"))))</f>
        <v/>
      </c>
    </row>
    <row r="40">
      <c r="A40" s="2" t="n">
        <v>38</v>
      </c>
      <c r="B40" s="20">
        <f>A40/1440</f>
        <v/>
      </c>
      <c r="C40" s="2">
        <f>INT(A40/60)</f>
        <v/>
      </c>
      <c r="D40" s="2">
        <f>IF(C40&lt;6,"Night",IF(C40&lt;12,"Morning",IF(C40&lt;18,"Afternoon",IF(C40&lt;22,"Evening","Night"))))</f>
        <v/>
      </c>
    </row>
    <row r="41">
      <c r="A41" s="2" t="n">
        <v>39</v>
      </c>
      <c r="B41" s="20">
        <f>A41/1440</f>
        <v/>
      </c>
      <c r="C41" s="2">
        <f>INT(A41/60)</f>
        <v/>
      </c>
      <c r="D41" s="2">
        <f>IF(C41&lt;6,"Night",IF(C41&lt;12,"Morning",IF(C41&lt;18,"Afternoon",IF(C41&lt;22,"Evening","Night"))))</f>
        <v/>
      </c>
    </row>
    <row r="42">
      <c r="A42" s="2" t="n">
        <v>40</v>
      </c>
      <c r="B42" s="20">
        <f>A42/1440</f>
        <v/>
      </c>
      <c r="C42" s="2">
        <f>INT(A42/60)</f>
        <v/>
      </c>
      <c r="D42" s="2">
        <f>IF(C42&lt;6,"Night",IF(C42&lt;12,"Morning",IF(C42&lt;18,"Afternoon",IF(C42&lt;22,"Evening","Night"))))</f>
        <v/>
      </c>
    </row>
    <row r="43">
      <c r="A43" s="2" t="n">
        <v>41</v>
      </c>
      <c r="B43" s="20">
        <f>A43/1440</f>
        <v/>
      </c>
      <c r="C43" s="2">
        <f>INT(A43/60)</f>
        <v/>
      </c>
      <c r="D43" s="2">
        <f>IF(C43&lt;6,"Night",IF(C43&lt;12,"Morning",IF(C43&lt;18,"Afternoon",IF(C43&lt;22,"Evening","Night"))))</f>
        <v/>
      </c>
    </row>
    <row r="44">
      <c r="A44" s="2" t="n">
        <v>42</v>
      </c>
      <c r="B44" s="20">
        <f>A44/1440</f>
        <v/>
      </c>
      <c r="C44" s="2">
        <f>INT(A44/60)</f>
        <v/>
      </c>
      <c r="D44" s="2">
        <f>IF(C44&lt;6,"Night",IF(C44&lt;12,"Morning",IF(C44&lt;18,"Afternoon",IF(C44&lt;22,"Evening","Night"))))</f>
        <v/>
      </c>
    </row>
    <row r="45">
      <c r="A45" s="2" t="n">
        <v>43</v>
      </c>
      <c r="B45" s="20">
        <f>A45/1440</f>
        <v/>
      </c>
      <c r="C45" s="2">
        <f>INT(A45/60)</f>
        <v/>
      </c>
      <c r="D45" s="2">
        <f>IF(C45&lt;6,"Night",IF(C45&lt;12,"Morning",IF(C45&lt;18,"Afternoon",IF(C45&lt;22,"Evening","Night"))))</f>
        <v/>
      </c>
    </row>
    <row r="46">
      <c r="A46" s="2" t="n">
        <v>44</v>
      </c>
      <c r="B46" s="20">
        <f>A46/1440</f>
        <v/>
      </c>
      <c r="C46" s="2">
        <f>INT(A46/60)</f>
        <v/>
      </c>
      <c r="D46" s="2">
        <f>IF(C46&lt;6,"Night",IF(C46&lt;12,"Morning",IF(C46&lt;18,"Afternoon",IF(C46&lt;22,"Evening","Night"))))</f>
        <v/>
      </c>
    </row>
    <row r="47">
      <c r="A47" s="2" t="n">
        <v>45</v>
      </c>
      <c r="B47" s="20">
        <f>A47/1440</f>
        <v/>
      </c>
      <c r="C47" s="2">
        <f>INT(A47/60)</f>
        <v/>
      </c>
      <c r="D47" s="2">
        <f>IF(C47&lt;6,"Night",IF(C47&lt;12,"Morning",IF(C47&lt;18,"Afternoon",IF(C47&lt;22,"Evening","Night"))))</f>
        <v/>
      </c>
    </row>
    <row r="48">
      <c r="A48" s="2" t="n">
        <v>46</v>
      </c>
      <c r="B48" s="20">
        <f>A48/1440</f>
        <v/>
      </c>
      <c r="C48" s="2">
        <f>INT(A48/60)</f>
        <v/>
      </c>
      <c r="D48" s="2">
        <f>IF(C48&lt;6,"Night",IF(C48&lt;12,"Morning",IF(C48&lt;18,"Afternoon",IF(C48&lt;22,"Evening","Night"))))</f>
        <v/>
      </c>
    </row>
    <row r="49">
      <c r="A49" s="2" t="n">
        <v>47</v>
      </c>
      <c r="B49" s="20">
        <f>A49/1440</f>
        <v/>
      </c>
      <c r="C49" s="2">
        <f>INT(A49/60)</f>
        <v/>
      </c>
      <c r="D49" s="2">
        <f>IF(C49&lt;6,"Night",IF(C49&lt;12,"Morning",IF(C49&lt;18,"Afternoon",IF(C49&lt;22,"Evening","Night"))))</f>
        <v/>
      </c>
    </row>
    <row r="50">
      <c r="A50" s="2" t="n">
        <v>48</v>
      </c>
      <c r="B50" s="20">
        <f>A50/1440</f>
        <v/>
      </c>
      <c r="C50" s="2">
        <f>INT(A50/60)</f>
        <v/>
      </c>
      <c r="D50" s="2">
        <f>IF(C50&lt;6,"Night",IF(C50&lt;12,"Morning",IF(C50&lt;18,"Afternoon",IF(C50&lt;22,"Evening","Night"))))</f>
        <v/>
      </c>
    </row>
    <row r="51">
      <c r="A51" s="2" t="n">
        <v>49</v>
      </c>
      <c r="B51" s="20">
        <f>A51/1440</f>
        <v/>
      </c>
      <c r="C51" s="2">
        <f>INT(A51/60)</f>
        <v/>
      </c>
      <c r="D51" s="2">
        <f>IF(C51&lt;6,"Night",IF(C51&lt;12,"Morning",IF(C51&lt;18,"Afternoon",IF(C51&lt;22,"Evening","Night"))))</f>
        <v/>
      </c>
    </row>
    <row r="52">
      <c r="A52" s="2" t="n">
        <v>50</v>
      </c>
      <c r="B52" s="20">
        <f>A52/1440</f>
        <v/>
      </c>
      <c r="C52" s="2">
        <f>INT(A52/60)</f>
        <v/>
      </c>
      <c r="D52" s="2">
        <f>IF(C52&lt;6,"Night",IF(C52&lt;12,"Morning",IF(C52&lt;18,"Afternoon",IF(C52&lt;22,"Evening","Night"))))</f>
        <v/>
      </c>
    </row>
    <row r="53">
      <c r="A53" s="2" t="n">
        <v>51</v>
      </c>
      <c r="B53" s="20">
        <f>A53/1440</f>
        <v/>
      </c>
      <c r="C53" s="2">
        <f>INT(A53/60)</f>
        <v/>
      </c>
      <c r="D53" s="2">
        <f>IF(C53&lt;6,"Night",IF(C53&lt;12,"Morning",IF(C53&lt;18,"Afternoon",IF(C53&lt;22,"Evening","Night"))))</f>
        <v/>
      </c>
    </row>
    <row r="54">
      <c r="A54" s="2" t="n">
        <v>52</v>
      </c>
      <c r="B54" s="20">
        <f>A54/1440</f>
        <v/>
      </c>
      <c r="C54" s="2">
        <f>INT(A54/60)</f>
        <v/>
      </c>
      <c r="D54" s="2">
        <f>IF(C54&lt;6,"Night",IF(C54&lt;12,"Morning",IF(C54&lt;18,"Afternoon",IF(C54&lt;22,"Evening","Night"))))</f>
        <v/>
      </c>
    </row>
    <row r="55">
      <c r="A55" s="2" t="n">
        <v>53</v>
      </c>
      <c r="B55" s="20">
        <f>A55/1440</f>
        <v/>
      </c>
      <c r="C55" s="2">
        <f>INT(A55/60)</f>
        <v/>
      </c>
      <c r="D55" s="2">
        <f>IF(C55&lt;6,"Night",IF(C55&lt;12,"Morning",IF(C55&lt;18,"Afternoon",IF(C55&lt;22,"Evening","Night"))))</f>
        <v/>
      </c>
    </row>
    <row r="56">
      <c r="A56" s="2" t="n">
        <v>54</v>
      </c>
      <c r="B56" s="20">
        <f>A56/1440</f>
        <v/>
      </c>
      <c r="C56" s="2">
        <f>INT(A56/60)</f>
        <v/>
      </c>
      <c r="D56" s="2">
        <f>IF(C56&lt;6,"Night",IF(C56&lt;12,"Morning",IF(C56&lt;18,"Afternoon",IF(C56&lt;22,"Evening","Night"))))</f>
        <v/>
      </c>
    </row>
    <row r="57">
      <c r="A57" s="2" t="n">
        <v>55</v>
      </c>
      <c r="B57" s="20">
        <f>A57/1440</f>
        <v/>
      </c>
      <c r="C57" s="2">
        <f>INT(A57/60)</f>
        <v/>
      </c>
      <c r="D57" s="2">
        <f>IF(C57&lt;6,"Night",IF(C57&lt;12,"Morning",IF(C57&lt;18,"Afternoon",IF(C57&lt;22,"Evening","Night"))))</f>
        <v/>
      </c>
    </row>
    <row r="58">
      <c r="A58" s="2" t="n">
        <v>56</v>
      </c>
      <c r="B58" s="20">
        <f>A58/1440</f>
        <v/>
      </c>
      <c r="C58" s="2">
        <f>INT(A58/60)</f>
        <v/>
      </c>
      <c r="D58" s="2">
        <f>IF(C58&lt;6,"Night",IF(C58&lt;12,"Morning",IF(C58&lt;18,"Afternoon",IF(C58&lt;22,"Evening","Night"))))</f>
        <v/>
      </c>
    </row>
    <row r="59">
      <c r="A59" s="2" t="n">
        <v>57</v>
      </c>
      <c r="B59" s="20">
        <f>A59/1440</f>
        <v/>
      </c>
      <c r="C59" s="2">
        <f>INT(A59/60)</f>
        <v/>
      </c>
      <c r="D59" s="2">
        <f>IF(C59&lt;6,"Night",IF(C59&lt;12,"Morning",IF(C59&lt;18,"Afternoon",IF(C59&lt;22,"Evening","Night"))))</f>
        <v/>
      </c>
    </row>
    <row r="60">
      <c r="A60" s="2" t="n">
        <v>58</v>
      </c>
      <c r="B60" s="20">
        <f>A60/1440</f>
        <v/>
      </c>
      <c r="C60" s="2">
        <f>INT(A60/60)</f>
        <v/>
      </c>
      <c r="D60" s="2">
        <f>IF(C60&lt;6,"Night",IF(C60&lt;12,"Morning",IF(C60&lt;18,"Afternoon",IF(C60&lt;22,"Evening","Night"))))</f>
        <v/>
      </c>
    </row>
    <row r="61">
      <c r="A61" s="2" t="n">
        <v>59</v>
      </c>
      <c r="B61" s="20">
        <f>A61/1440</f>
        <v/>
      </c>
      <c r="C61" s="2">
        <f>INT(A61/60)</f>
        <v/>
      </c>
      <c r="D61" s="2">
        <f>IF(C61&lt;6,"Night",IF(C61&lt;12,"Morning",IF(C61&lt;18,"Afternoon",IF(C61&lt;22,"Evening","Night"))))</f>
        <v/>
      </c>
    </row>
    <row r="62">
      <c r="A62" s="2" t="n">
        <v>60</v>
      </c>
      <c r="B62" s="20">
        <f>A62/1440</f>
        <v/>
      </c>
      <c r="C62" s="2">
        <f>INT(A62/60)</f>
        <v/>
      </c>
      <c r="D62" s="2">
        <f>IF(C62&lt;6,"Night",IF(C62&lt;12,"Morning",IF(C62&lt;18,"Afternoon",IF(C62&lt;22,"Evening","Night"))))</f>
        <v/>
      </c>
    </row>
    <row r="63">
      <c r="A63" s="2" t="n">
        <v>61</v>
      </c>
      <c r="B63" s="20">
        <f>A63/1440</f>
        <v/>
      </c>
      <c r="C63" s="2">
        <f>INT(A63/60)</f>
        <v/>
      </c>
      <c r="D63" s="2">
        <f>IF(C63&lt;6,"Night",IF(C63&lt;12,"Morning",IF(C63&lt;18,"Afternoon",IF(C63&lt;22,"Evening","Night"))))</f>
        <v/>
      </c>
    </row>
    <row r="64">
      <c r="A64" s="2" t="n">
        <v>62</v>
      </c>
      <c r="B64" s="20">
        <f>A64/1440</f>
        <v/>
      </c>
      <c r="C64" s="2">
        <f>INT(A64/60)</f>
        <v/>
      </c>
      <c r="D64" s="2">
        <f>IF(C64&lt;6,"Night",IF(C64&lt;12,"Morning",IF(C64&lt;18,"Afternoon",IF(C64&lt;22,"Evening","Night"))))</f>
        <v/>
      </c>
    </row>
    <row r="65">
      <c r="A65" s="2" t="n">
        <v>63</v>
      </c>
      <c r="B65" s="20">
        <f>A65/1440</f>
        <v/>
      </c>
      <c r="C65" s="2">
        <f>INT(A65/60)</f>
        <v/>
      </c>
      <c r="D65" s="2">
        <f>IF(C65&lt;6,"Night",IF(C65&lt;12,"Morning",IF(C65&lt;18,"Afternoon",IF(C65&lt;22,"Evening","Night"))))</f>
        <v/>
      </c>
    </row>
    <row r="66">
      <c r="A66" s="2" t="n">
        <v>64</v>
      </c>
      <c r="B66" s="20">
        <f>A66/1440</f>
        <v/>
      </c>
      <c r="C66" s="2">
        <f>INT(A66/60)</f>
        <v/>
      </c>
      <c r="D66" s="2">
        <f>IF(C66&lt;6,"Night",IF(C66&lt;12,"Morning",IF(C66&lt;18,"Afternoon",IF(C66&lt;22,"Evening","Night"))))</f>
        <v/>
      </c>
    </row>
    <row r="67">
      <c r="A67" s="2" t="n">
        <v>65</v>
      </c>
      <c r="B67" s="20">
        <f>A67/1440</f>
        <v/>
      </c>
      <c r="C67" s="2">
        <f>INT(A67/60)</f>
        <v/>
      </c>
      <c r="D67" s="2">
        <f>IF(C67&lt;6,"Night",IF(C67&lt;12,"Morning",IF(C67&lt;18,"Afternoon",IF(C67&lt;22,"Evening","Night"))))</f>
        <v/>
      </c>
    </row>
    <row r="68">
      <c r="A68" s="2" t="n">
        <v>66</v>
      </c>
      <c r="B68" s="20">
        <f>A68/1440</f>
        <v/>
      </c>
      <c r="C68" s="2">
        <f>INT(A68/60)</f>
        <v/>
      </c>
      <c r="D68" s="2">
        <f>IF(C68&lt;6,"Night",IF(C68&lt;12,"Morning",IF(C68&lt;18,"Afternoon",IF(C68&lt;22,"Evening","Night"))))</f>
        <v/>
      </c>
    </row>
    <row r="69">
      <c r="A69" s="2" t="n">
        <v>67</v>
      </c>
      <c r="B69" s="20">
        <f>A69/1440</f>
        <v/>
      </c>
      <c r="C69" s="2">
        <f>INT(A69/60)</f>
        <v/>
      </c>
      <c r="D69" s="2">
        <f>IF(C69&lt;6,"Night",IF(C69&lt;12,"Morning",IF(C69&lt;18,"Afternoon",IF(C69&lt;22,"Evening","Night"))))</f>
        <v/>
      </c>
    </row>
    <row r="70">
      <c r="A70" s="2" t="n">
        <v>68</v>
      </c>
      <c r="B70" s="20">
        <f>A70/1440</f>
        <v/>
      </c>
      <c r="C70" s="2">
        <f>INT(A70/60)</f>
        <v/>
      </c>
      <c r="D70" s="2">
        <f>IF(C70&lt;6,"Night",IF(C70&lt;12,"Morning",IF(C70&lt;18,"Afternoon",IF(C70&lt;22,"Evening","Night"))))</f>
        <v/>
      </c>
    </row>
    <row r="71">
      <c r="A71" s="2" t="n">
        <v>69</v>
      </c>
      <c r="B71" s="20">
        <f>A71/1440</f>
        <v/>
      </c>
      <c r="C71" s="2">
        <f>INT(A71/60)</f>
        <v/>
      </c>
      <c r="D71" s="2">
        <f>IF(C71&lt;6,"Night",IF(C71&lt;12,"Morning",IF(C71&lt;18,"Afternoon",IF(C71&lt;22,"Evening","Night"))))</f>
        <v/>
      </c>
    </row>
    <row r="72">
      <c r="A72" s="2" t="n">
        <v>70</v>
      </c>
      <c r="B72" s="20">
        <f>A72/1440</f>
        <v/>
      </c>
      <c r="C72" s="2">
        <f>INT(A72/60)</f>
        <v/>
      </c>
      <c r="D72" s="2">
        <f>IF(C72&lt;6,"Night",IF(C72&lt;12,"Morning",IF(C72&lt;18,"Afternoon",IF(C72&lt;22,"Evening","Night"))))</f>
        <v/>
      </c>
    </row>
    <row r="73">
      <c r="A73" s="2" t="n">
        <v>71</v>
      </c>
      <c r="B73" s="20">
        <f>A73/1440</f>
        <v/>
      </c>
      <c r="C73" s="2">
        <f>INT(A73/60)</f>
        <v/>
      </c>
      <c r="D73" s="2">
        <f>IF(C73&lt;6,"Night",IF(C73&lt;12,"Morning",IF(C73&lt;18,"Afternoon",IF(C73&lt;22,"Evening","Night"))))</f>
        <v/>
      </c>
    </row>
    <row r="74">
      <c r="A74" s="2" t="n">
        <v>72</v>
      </c>
      <c r="B74" s="20">
        <f>A74/1440</f>
        <v/>
      </c>
      <c r="C74" s="2">
        <f>INT(A74/60)</f>
        <v/>
      </c>
      <c r="D74" s="2">
        <f>IF(C74&lt;6,"Night",IF(C74&lt;12,"Morning",IF(C74&lt;18,"Afternoon",IF(C74&lt;22,"Evening","Night"))))</f>
        <v/>
      </c>
    </row>
    <row r="75">
      <c r="A75" s="2" t="n">
        <v>73</v>
      </c>
      <c r="B75" s="20">
        <f>A75/1440</f>
        <v/>
      </c>
      <c r="C75" s="2">
        <f>INT(A75/60)</f>
        <v/>
      </c>
      <c r="D75" s="2">
        <f>IF(C75&lt;6,"Night",IF(C75&lt;12,"Morning",IF(C75&lt;18,"Afternoon",IF(C75&lt;22,"Evening","Night"))))</f>
        <v/>
      </c>
    </row>
    <row r="76">
      <c r="A76" s="2" t="n">
        <v>74</v>
      </c>
      <c r="B76" s="20">
        <f>A76/1440</f>
        <v/>
      </c>
      <c r="C76" s="2">
        <f>INT(A76/60)</f>
        <v/>
      </c>
      <c r="D76" s="2">
        <f>IF(C76&lt;6,"Night",IF(C76&lt;12,"Morning",IF(C76&lt;18,"Afternoon",IF(C76&lt;22,"Evening","Night"))))</f>
        <v/>
      </c>
    </row>
    <row r="77">
      <c r="A77" s="2" t="n">
        <v>75</v>
      </c>
      <c r="B77" s="20">
        <f>A77/1440</f>
        <v/>
      </c>
      <c r="C77" s="2">
        <f>INT(A77/60)</f>
        <v/>
      </c>
      <c r="D77" s="2">
        <f>IF(C77&lt;6,"Night",IF(C77&lt;12,"Morning",IF(C77&lt;18,"Afternoon",IF(C77&lt;22,"Evening","Night"))))</f>
        <v/>
      </c>
    </row>
    <row r="78">
      <c r="A78" s="2" t="n">
        <v>76</v>
      </c>
      <c r="B78" s="20">
        <f>A78/1440</f>
        <v/>
      </c>
      <c r="C78" s="2">
        <f>INT(A78/60)</f>
        <v/>
      </c>
      <c r="D78" s="2">
        <f>IF(C78&lt;6,"Night",IF(C78&lt;12,"Morning",IF(C78&lt;18,"Afternoon",IF(C78&lt;22,"Evening","Night"))))</f>
        <v/>
      </c>
    </row>
    <row r="79">
      <c r="A79" s="2" t="n">
        <v>77</v>
      </c>
      <c r="B79" s="20">
        <f>A79/1440</f>
        <v/>
      </c>
      <c r="C79" s="2">
        <f>INT(A79/60)</f>
        <v/>
      </c>
      <c r="D79" s="2">
        <f>IF(C79&lt;6,"Night",IF(C79&lt;12,"Morning",IF(C79&lt;18,"Afternoon",IF(C79&lt;22,"Evening","Night"))))</f>
        <v/>
      </c>
    </row>
    <row r="80">
      <c r="A80" s="2" t="n">
        <v>78</v>
      </c>
      <c r="B80" s="20">
        <f>A80/1440</f>
        <v/>
      </c>
      <c r="C80" s="2">
        <f>INT(A80/60)</f>
        <v/>
      </c>
      <c r="D80" s="2">
        <f>IF(C80&lt;6,"Night",IF(C80&lt;12,"Morning",IF(C80&lt;18,"Afternoon",IF(C80&lt;22,"Evening","Night"))))</f>
        <v/>
      </c>
    </row>
    <row r="81">
      <c r="A81" s="2" t="n">
        <v>79</v>
      </c>
      <c r="B81" s="20">
        <f>A81/1440</f>
        <v/>
      </c>
      <c r="C81" s="2">
        <f>INT(A81/60)</f>
        <v/>
      </c>
      <c r="D81" s="2">
        <f>IF(C81&lt;6,"Night",IF(C81&lt;12,"Morning",IF(C81&lt;18,"Afternoon",IF(C81&lt;22,"Evening","Night"))))</f>
        <v/>
      </c>
    </row>
    <row r="82">
      <c r="A82" s="2" t="n">
        <v>80</v>
      </c>
      <c r="B82" s="20">
        <f>A82/1440</f>
        <v/>
      </c>
      <c r="C82" s="2">
        <f>INT(A82/60)</f>
        <v/>
      </c>
      <c r="D82" s="2">
        <f>IF(C82&lt;6,"Night",IF(C82&lt;12,"Morning",IF(C82&lt;18,"Afternoon",IF(C82&lt;22,"Evening","Night"))))</f>
        <v/>
      </c>
    </row>
    <row r="83">
      <c r="A83" s="2" t="n">
        <v>81</v>
      </c>
      <c r="B83" s="20">
        <f>A83/1440</f>
        <v/>
      </c>
      <c r="C83" s="2">
        <f>INT(A83/60)</f>
        <v/>
      </c>
      <c r="D83" s="2">
        <f>IF(C83&lt;6,"Night",IF(C83&lt;12,"Morning",IF(C83&lt;18,"Afternoon",IF(C83&lt;22,"Evening","Night"))))</f>
        <v/>
      </c>
    </row>
    <row r="84">
      <c r="A84" s="2" t="n">
        <v>82</v>
      </c>
      <c r="B84" s="20">
        <f>A84/1440</f>
        <v/>
      </c>
      <c r="C84" s="2">
        <f>INT(A84/60)</f>
        <v/>
      </c>
      <c r="D84" s="2">
        <f>IF(C84&lt;6,"Night",IF(C84&lt;12,"Morning",IF(C84&lt;18,"Afternoon",IF(C84&lt;22,"Evening","Night"))))</f>
        <v/>
      </c>
    </row>
    <row r="85">
      <c r="A85" s="2" t="n">
        <v>83</v>
      </c>
      <c r="B85" s="20">
        <f>A85/1440</f>
        <v/>
      </c>
      <c r="C85" s="2">
        <f>INT(A85/60)</f>
        <v/>
      </c>
      <c r="D85" s="2">
        <f>IF(C85&lt;6,"Night",IF(C85&lt;12,"Morning",IF(C85&lt;18,"Afternoon",IF(C85&lt;22,"Evening","Night"))))</f>
        <v/>
      </c>
    </row>
    <row r="86">
      <c r="A86" s="2" t="n">
        <v>84</v>
      </c>
      <c r="B86" s="20">
        <f>A86/1440</f>
        <v/>
      </c>
      <c r="C86" s="2">
        <f>INT(A86/60)</f>
        <v/>
      </c>
      <c r="D86" s="2">
        <f>IF(C86&lt;6,"Night",IF(C86&lt;12,"Morning",IF(C86&lt;18,"Afternoon",IF(C86&lt;22,"Evening","Night"))))</f>
        <v/>
      </c>
    </row>
    <row r="87">
      <c r="A87" s="2" t="n">
        <v>85</v>
      </c>
      <c r="B87" s="20">
        <f>A87/1440</f>
        <v/>
      </c>
      <c r="C87" s="2">
        <f>INT(A87/60)</f>
        <v/>
      </c>
      <c r="D87" s="2">
        <f>IF(C87&lt;6,"Night",IF(C87&lt;12,"Morning",IF(C87&lt;18,"Afternoon",IF(C87&lt;22,"Evening","Night"))))</f>
        <v/>
      </c>
    </row>
    <row r="88">
      <c r="A88" s="2" t="n">
        <v>86</v>
      </c>
      <c r="B88" s="20">
        <f>A88/1440</f>
        <v/>
      </c>
      <c r="C88" s="2">
        <f>INT(A88/60)</f>
        <v/>
      </c>
      <c r="D88" s="2">
        <f>IF(C88&lt;6,"Night",IF(C88&lt;12,"Morning",IF(C88&lt;18,"Afternoon",IF(C88&lt;22,"Evening","Night"))))</f>
        <v/>
      </c>
    </row>
    <row r="89">
      <c r="A89" s="2" t="n">
        <v>87</v>
      </c>
      <c r="B89" s="20">
        <f>A89/1440</f>
        <v/>
      </c>
      <c r="C89" s="2">
        <f>INT(A89/60)</f>
        <v/>
      </c>
      <c r="D89" s="2">
        <f>IF(C89&lt;6,"Night",IF(C89&lt;12,"Morning",IF(C89&lt;18,"Afternoon",IF(C89&lt;22,"Evening","Night"))))</f>
        <v/>
      </c>
    </row>
    <row r="90">
      <c r="A90" s="2" t="n">
        <v>88</v>
      </c>
      <c r="B90" s="20">
        <f>A90/1440</f>
        <v/>
      </c>
      <c r="C90" s="2">
        <f>INT(A90/60)</f>
        <v/>
      </c>
      <c r="D90" s="2">
        <f>IF(C90&lt;6,"Night",IF(C90&lt;12,"Morning",IF(C90&lt;18,"Afternoon",IF(C90&lt;22,"Evening","Night"))))</f>
        <v/>
      </c>
    </row>
    <row r="91">
      <c r="A91" s="2" t="n">
        <v>89</v>
      </c>
      <c r="B91" s="20">
        <f>A91/1440</f>
        <v/>
      </c>
      <c r="C91" s="2">
        <f>INT(A91/60)</f>
        <v/>
      </c>
      <c r="D91" s="2">
        <f>IF(C91&lt;6,"Night",IF(C91&lt;12,"Morning",IF(C91&lt;18,"Afternoon",IF(C91&lt;22,"Evening","Night"))))</f>
        <v/>
      </c>
    </row>
    <row r="92">
      <c r="A92" s="2" t="n">
        <v>90</v>
      </c>
      <c r="B92" s="20">
        <f>A92/1440</f>
        <v/>
      </c>
      <c r="C92" s="2">
        <f>INT(A92/60)</f>
        <v/>
      </c>
      <c r="D92" s="2">
        <f>IF(C92&lt;6,"Night",IF(C92&lt;12,"Morning",IF(C92&lt;18,"Afternoon",IF(C92&lt;22,"Evening","Night"))))</f>
        <v/>
      </c>
    </row>
    <row r="93">
      <c r="A93" s="2" t="n">
        <v>91</v>
      </c>
      <c r="B93" s="20">
        <f>A93/1440</f>
        <v/>
      </c>
      <c r="C93" s="2">
        <f>INT(A93/60)</f>
        <v/>
      </c>
      <c r="D93" s="2">
        <f>IF(C93&lt;6,"Night",IF(C93&lt;12,"Morning",IF(C93&lt;18,"Afternoon",IF(C93&lt;22,"Evening","Night"))))</f>
        <v/>
      </c>
    </row>
    <row r="94">
      <c r="A94" s="2" t="n">
        <v>92</v>
      </c>
      <c r="B94" s="20">
        <f>A94/1440</f>
        <v/>
      </c>
      <c r="C94" s="2">
        <f>INT(A94/60)</f>
        <v/>
      </c>
      <c r="D94" s="2">
        <f>IF(C94&lt;6,"Night",IF(C94&lt;12,"Morning",IF(C94&lt;18,"Afternoon",IF(C94&lt;22,"Evening","Night"))))</f>
        <v/>
      </c>
    </row>
    <row r="95">
      <c r="A95" s="2" t="n">
        <v>93</v>
      </c>
      <c r="B95" s="20">
        <f>A95/1440</f>
        <v/>
      </c>
      <c r="C95" s="2">
        <f>INT(A95/60)</f>
        <v/>
      </c>
      <c r="D95" s="2">
        <f>IF(C95&lt;6,"Night",IF(C95&lt;12,"Morning",IF(C95&lt;18,"Afternoon",IF(C95&lt;22,"Evening","Night"))))</f>
        <v/>
      </c>
    </row>
    <row r="96">
      <c r="A96" s="2" t="n">
        <v>94</v>
      </c>
      <c r="B96" s="20">
        <f>A96/1440</f>
        <v/>
      </c>
      <c r="C96" s="2">
        <f>INT(A96/60)</f>
        <v/>
      </c>
      <c r="D96" s="2">
        <f>IF(C96&lt;6,"Night",IF(C96&lt;12,"Morning",IF(C96&lt;18,"Afternoon",IF(C96&lt;22,"Evening","Night"))))</f>
        <v/>
      </c>
    </row>
    <row r="97">
      <c r="A97" s="2" t="n">
        <v>95</v>
      </c>
      <c r="B97" s="20">
        <f>A97/1440</f>
        <v/>
      </c>
      <c r="C97" s="2">
        <f>INT(A97/60)</f>
        <v/>
      </c>
      <c r="D97" s="2">
        <f>IF(C97&lt;6,"Night",IF(C97&lt;12,"Morning",IF(C97&lt;18,"Afternoon",IF(C97&lt;22,"Evening","Night"))))</f>
        <v/>
      </c>
    </row>
    <row r="98">
      <c r="A98" s="2" t="n">
        <v>96</v>
      </c>
      <c r="B98" s="20">
        <f>A98/1440</f>
        <v/>
      </c>
      <c r="C98" s="2">
        <f>INT(A98/60)</f>
        <v/>
      </c>
      <c r="D98" s="2">
        <f>IF(C98&lt;6,"Night",IF(C98&lt;12,"Morning",IF(C98&lt;18,"Afternoon",IF(C98&lt;22,"Evening","Night"))))</f>
        <v/>
      </c>
    </row>
    <row r="99">
      <c r="A99" s="2" t="n">
        <v>97</v>
      </c>
      <c r="B99" s="20">
        <f>A99/1440</f>
        <v/>
      </c>
      <c r="C99" s="2">
        <f>INT(A99/60)</f>
        <v/>
      </c>
      <c r="D99" s="2">
        <f>IF(C99&lt;6,"Night",IF(C99&lt;12,"Morning",IF(C99&lt;18,"Afternoon",IF(C99&lt;22,"Evening","Night"))))</f>
        <v/>
      </c>
    </row>
    <row r="100">
      <c r="A100" s="2" t="n">
        <v>98</v>
      </c>
      <c r="B100" s="20">
        <f>A100/1440</f>
        <v/>
      </c>
      <c r="C100" s="2">
        <f>INT(A100/60)</f>
        <v/>
      </c>
      <c r="D100" s="2">
        <f>IF(C100&lt;6,"Night",IF(C100&lt;12,"Morning",IF(C100&lt;18,"Afternoon",IF(C100&lt;22,"Evening","Night"))))</f>
        <v/>
      </c>
    </row>
    <row r="101">
      <c r="A101" s="2" t="n">
        <v>99</v>
      </c>
      <c r="B101" s="20">
        <f>A101/1440</f>
        <v/>
      </c>
      <c r="C101" s="2">
        <f>INT(A101/60)</f>
        <v/>
      </c>
      <c r="D101" s="2">
        <f>IF(C101&lt;6,"Night",IF(C101&lt;12,"Morning",IF(C101&lt;18,"Afternoon",IF(C101&lt;22,"Evening","Night"))))</f>
        <v/>
      </c>
    </row>
    <row r="102">
      <c r="A102" s="2" t="n">
        <v>100</v>
      </c>
      <c r="B102" s="20">
        <f>A102/1440</f>
        <v/>
      </c>
      <c r="C102" s="2">
        <f>INT(A102/60)</f>
        <v/>
      </c>
      <c r="D102" s="2">
        <f>IF(C102&lt;6,"Night",IF(C102&lt;12,"Morning",IF(C102&lt;18,"Afternoon",IF(C102&lt;22,"Evening","Night"))))</f>
        <v/>
      </c>
    </row>
    <row r="103">
      <c r="A103" s="2" t="n">
        <v>101</v>
      </c>
      <c r="B103" s="20">
        <f>A103/1440</f>
        <v/>
      </c>
      <c r="C103" s="2">
        <f>INT(A103/60)</f>
        <v/>
      </c>
      <c r="D103" s="2">
        <f>IF(C103&lt;6,"Night",IF(C103&lt;12,"Morning",IF(C103&lt;18,"Afternoon",IF(C103&lt;22,"Evening","Night"))))</f>
        <v/>
      </c>
    </row>
    <row r="104">
      <c r="A104" s="2" t="n">
        <v>102</v>
      </c>
      <c r="B104" s="20">
        <f>A104/1440</f>
        <v/>
      </c>
      <c r="C104" s="2">
        <f>INT(A104/60)</f>
        <v/>
      </c>
      <c r="D104" s="2">
        <f>IF(C104&lt;6,"Night",IF(C104&lt;12,"Morning",IF(C104&lt;18,"Afternoon",IF(C104&lt;22,"Evening","Night"))))</f>
        <v/>
      </c>
    </row>
    <row r="105">
      <c r="A105" s="2" t="n">
        <v>103</v>
      </c>
      <c r="B105" s="20">
        <f>A105/1440</f>
        <v/>
      </c>
      <c r="C105" s="2">
        <f>INT(A105/60)</f>
        <v/>
      </c>
      <c r="D105" s="2">
        <f>IF(C105&lt;6,"Night",IF(C105&lt;12,"Morning",IF(C105&lt;18,"Afternoon",IF(C105&lt;22,"Evening","Night"))))</f>
        <v/>
      </c>
    </row>
    <row r="106">
      <c r="A106" s="2" t="n">
        <v>104</v>
      </c>
      <c r="B106" s="20">
        <f>A106/1440</f>
        <v/>
      </c>
      <c r="C106" s="2">
        <f>INT(A106/60)</f>
        <v/>
      </c>
      <c r="D106" s="2">
        <f>IF(C106&lt;6,"Night",IF(C106&lt;12,"Morning",IF(C106&lt;18,"Afternoon",IF(C106&lt;22,"Evening","Night"))))</f>
        <v/>
      </c>
    </row>
    <row r="107">
      <c r="A107" s="2" t="n">
        <v>105</v>
      </c>
      <c r="B107" s="20">
        <f>A107/1440</f>
        <v/>
      </c>
      <c r="C107" s="2">
        <f>INT(A107/60)</f>
        <v/>
      </c>
      <c r="D107" s="2">
        <f>IF(C107&lt;6,"Night",IF(C107&lt;12,"Morning",IF(C107&lt;18,"Afternoon",IF(C107&lt;22,"Evening","Night"))))</f>
        <v/>
      </c>
    </row>
    <row r="108">
      <c r="A108" s="2" t="n">
        <v>106</v>
      </c>
      <c r="B108" s="20">
        <f>A108/1440</f>
        <v/>
      </c>
      <c r="C108" s="2">
        <f>INT(A108/60)</f>
        <v/>
      </c>
      <c r="D108" s="2">
        <f>IF(C108&lt;6,"Night",IF(C108&lt;12,"Morning",IF(C108&lt;18,"Afternoon",IF(C108&lt;22,"Evening","Night"))))</f>
        <v/>
      </c>
    </row>
    <row r="109">
      <c r="A109" s="2" t="n">
        <v>107</v>
      </c>
      <c r="B109" s="20">
        <f>A109/1440</f>
        <v/>
      </c>
      <c r="C109" s="2">
        <f>INT(A109/60)</f>
        <v/>
      </c>
      <c r="D109" s="2">
        <f>IF(C109&lt;6,"Night",IF(C109&lt;12,"Morning",IF(C109&lt;18,"Afternoon",IF(C109&lt;22,"Evening","Night"))))</f>
        <v/>
      </c>
    </row>
    <row r="110">
      <c r="A110" s="2" t="n">
        <v>108</v>
      </c>
      <c r="B110" s="20">
        <f>A110/1440</f>
        <v/>
      </c>
      <c r="C110" s="2">
        <f>INT(A110/60)</f>
        <v/>
      </c>
      <c r="D110" s="2">
        <f>IF(C110&lt;6,"Night",IF(C110&lt;12,"Morning",IF(C110&lt;18,"Afternoon",IF(C110&lt;22,"Evening","Night"))))</f>
        <v/>
      </c>
    </row>
    <row r="111">
      <c r="A111" s="2" t="n">
        <v>109</v>
      </c>
      <c r="B111" s="20">
        <f>A111/1440</f>
        <v/>
      </c>
      <c r="C111" s="2">
        <f>INT(A111/60)</f>
        <v/>
      </c>
      <c r="D111" s="2">
        <f>IF(C111&lt;6,"Night",IF(C111&lt;12,"Morning",IF(C111&lt;18,"Afternoon",IF(C111&lt;22,"Evening","Night"))))</f>
        <v/>
      </c>
    </row>
    <row r="112">
      <c r="A112" s="2" t="n">
        <v>110</v>
      </c>
      <c r="B112" s="20">
        <f>A112/1440</f>
        <v/>
      </c>
      <c r="C112" s="2">
        <f>INT(A112/60)</f>
        <v/>
      </c>
      <c r="D112" s="2">
        <f>IF(C112&lt;6,"Night",IF(C112&lt;12,"Morning",IF(C112&lt;18,"Afternoon",IF(C112&lt;22,"Evening","Night"))))</f>
        <v/>
      </c>
    </row>
    <row r="113">
      <c r="A113" s="2" t="n">
        <v>111</v>
      </c>
      <c r="B113" s="20">
        <f>A113/1440</f>
        <v/>
      </c>
      <c r="C113" s="2">
        <f>INT(A113/60)</f>
        <v/>
      </c>
      <c r="D113" s="2">
        <f>IF(C113&lt;6,"Night",IF(C113&lt;12,"Morning",IF(C113&lt;18,"Afternoon",IF(C113&lt;22,"Evening","Night"))))</f>
        <v/>
      </c>
    </row>
    <row r="114">
      <c r="A114" s="2" t="n">
        <v>112</v>
      </c>
      <c r="B114" s="20">
        <f>A114/1440</f>
        <v/>
      </c>
      <c r="C114" s="2">
        <f>INT(A114/60)</f>
        <v/>
      </c>
      <c r="D114" s="2">
        <f>IF(C114&lt;6,"Night",IF(C114&lt;12,"Morning",IF(C114&lt;18,"Afternoon",IF(C114&lt;22,"Evening","Night"))))</f>
        <v/>
      </c>
    </row>
    <row r="115">
      <c r="A115" s="2" t="n">
        <v>113</v>
      </c>
      <c r="B115" s="20">
        <f>A115/1440</f>
        <v/>
      </c>
      <c r="C115" s="2">
        <f>INT(A115/60)</f>
        <v/>
      </c>
      <c r="D115" s="2">
        <f>IF(C115&lt;6,"Night",IF(C115&lt;12,"Morning",IF(C115&lt;18,"Afternoon",IF(C115&lt;22,"Evening","Night"))))</f>
        <v/>
      </c>
    </row>
    <row r="116">
      <c r="A116" s="2" t="n">
        <v>114</v>
      </c>
      <c r="B116" s="20">
        <f>A116/1440</f>
        <v/>
      </c>
      <c r="C116" s="2">
        <f>INT(A116/60)</f>
        <v/>
      </c>
      <c r="D116" s="2">
        <f>IF(C116&lt;6,"Night",IF(C116&lt;12,"Morning",IF(C116&lt;18,"Afternoon",IF(C116&lt;22,"Evening","Night"))))</f>
        <v/>
      </c>
    </row>
    <row r="117">
      <c r="A117" s="2" t="n">
        <v>115</v>
      </c>
      <c r="B117" s="20">
        <f>A117/1440</f>
        <v/>
      </c>
      <c r="C117" s="2">
        <f>INT(A117/60)</f>
        <v/>
      </c>
      <c r="D117" s="2">
        <f>IF(C117&lt;6,"Night",IF(C117&lt;12,"Morning",IF(C117&lt;18,"Afternoon",IF(C117&lt;22,"Evening","Night"))))</f>
        <v/>
      </c>
    </row>
    <row r="118">
      <c r="A118" s="2" t="n">
        <v>116</v>
      </c>
      <c r="B118" s="20">
        <f>A118/1440</f>
        <v/>
      </c>
      <c r="C118" s="2">
        <f>INT(A118/60)</f>
        <v/>
      </c>
      <c r="D118" s="2">
        <f>IF(C118&lt;6,"Night",IF(C118&lt;12,"Morning",IF(C118&lt;18,"Afternoon",IF(C118&lt;22,"Evening","Night"))))</f>
        <v/>
      </c>
    </row>
    <row r="119">
      <c r="A119" s="2" t="n">
        <v>117</v>
      </c>
      <c r="B119" s="20">
        <f>A119/1440</f>
        <v/>
      </c>
      <c r="C119" s="2">
        <f>INT(A119/60)</f>
        <v/>
      </c>
      <c r="D119" s="2">
        <f>IF(C119&lt;6,"Night",IF(C119&lt;12,"Morning",IF(C119&lt;18,"Afternoon",IF(C119&lt;22,"Evening","Night"))))</f>
        <v/>
      </c>
    </row>
    <row r="120">
      <c r="A120" s="2" t="n">
        <v>118</v>
      </c>
      <c r="B120" s="20">
        <f>A120/1440</f>
        <v/>
      </c>
      <c r="C120" s="2">
        <f>INT(A120/60)</f>
        <v/>
      </c>
      <c r="D120" s="2">
        <f>IF(C120&lt;6,"Night",IF(C120&lt;12,"Morning",IF(C120&lt;18,"Afternoon",IF(C120&lt;22,"Evening","Night"))))</f>
        <v/>
      </c>
    </row>
    <row r="121">
      <c r="A121" s="2" t="n">
        <v>119</v>
      </c>
      <c r="B121" s="20">
        <f>A121/1440</f>
        <v/>
      </c>
      <c r="C121" s="2">
        <f>INT(A121/60)</f>
        <v/>
      </c>
      <c r="D121" s="2">
        <f>IF(C121&lt;6,"Night",IF(C121&lt;12,"Morning",IF(C121&lt;18,"Afternoon",IF(C121&lt;22,"Evening","Night"))))</f>
        <v/>
      </c>
    </row>
    <row r="122">
      <c r="A122" s="2" t="n">
        <v>120</v>
      </c>
      <c r="B122" s="20">
        <f>A122/1440</f>
        <v/>
      </c>
      <c r="C122" s="2">
        <f>INT(A122/60)</f>
        <v/>
      </c>
      <c r="D122" s="2">
        <f>IF(C122&lt;6,"Night",IF(C122&lt;12,"Morning",IF(C122&lt;18,"Afternoon",IF(C122&lt;22,"Evening","Night"))))</f>
        <v/>
      </c>
    </row>
    <row r="123">
      <c r="A123" s="2" t="n">
        <v>121</v>
      </c>
      <c r="B123" s="20">
        <f>A123/1440</f>
        <v/>
      </c>
      <c r="C123" s="2">
        <f>INT(A123/60)</f>
        <v/>
      </c>
      <c r="D123" s="2">
        <f>IF(C123&lt;6,"Night",IF(C123&lt;12,"Morning",IF(C123&lt;18,"Afternoon",IF(C123&lt;22,"Evening","Night"))))</f>
        <v/>
      </c>
    </row>
    <row r="124">
      <c r="A124" s="2" t="n">
        <v>122</v>
      </c>
      <c r="B124" s="20">
        <f>A124/1440</f>
        <v/>
      </c>
      <c r="C124" s="2">
        <f>INT(A124/60)</f>
        <v/>
      </c>
      <c r="D124" s="2">
        <f>IF(C124&lt;6,"Night",IF(C124&lt;12,"Morning",IF(C124&lt;18,"Afternoon",IF(C124&lt;22,"Evening","Night"))))</f>
        <v/>
      </c>
    </row>
    <row r="125">
      <c r="A125" s="2" t="n">
        <v>123</v>
      </c>
      <c r="B125" s="20">
        <f>A125/1440</f>
        <v/>
      </c>
      <c r="C125" s="2">
        <f>INT(A125/60)</f>
        <v/>
      </c>
      <c r="D125" s="2">
        <f>IF(C125&lt;6,"Night",IF(C125&lt;12,"Morning",IF(C125&lt;18,"Afternoon",IF(C125&lt;22,"Evening","Night"))))</f>
        <v/>
      </c>
    </row>
    <row r="126">
      <c r="A126" s="2" t="n">
        <v>124</v>
      </c>
      <c r="B126" s="20">
        <f>A126/1440</f>
        <v/>
      </c>
      <c r="C126" s="2">
        <f>INT(A126/60)</f>
        <v/>
      </c>
      <c r="D126" s="2">
        <f>IF(C126&lt;6,"Night",IF(C126&lt;12,"Morning",IF(C126&lt;18,"Afternoon",IF(C126&lt;22,"Evening","Night"))))</f>
        <v/>
      </c>
    </row>
    <row r="127">
      <c r="A127" s="2" t="n">
        <v>125</v>
      </c>
      <c r="B127" s="20">
        <f>A127/1440</f>
        <v/>
      </c>
      <c r="C127" s="2">
        <f>INT(A127/60)</f>
        <v/>
      </c>
      <c r="D127" s="2">
        <f>IF(C127&lt;6,"Night",IF(C127&lt;12,"Morning",IF(C127&lt;18,"Afternoon",IF(C127&lt;22,"Evening","Night"))))</f>
        <v/>
      </c>
    </row>
    <row r="128">
      <c r="A128" s="2" t="n">
        <v>126</v>
      </c>
      <c r="B128" s="20">
        <f>A128/1440</f>
        <v/>
      </c>
      <c r="C128" s="2">
        <f>INT(A128/60)</f>
        <v/>
      </c>
      <c r="D128" s="2">
        <f>IF(C128&lt;6,"Night",IF(C128&lt;12,"Morning",IF(C128&lt;18,"Afternoon",IF(C128&lt;22,"Evening","Night"))))</f>
        <v/>
      </c>
    </row>
    <row r="129">
      <c r="A129" s="2" t="n">
        <v>127</v>
      </c>
      <c r="B129" s="20">
        <f>A129/1440</f>
        <v/>
      </c>
      <c r="C129" s="2">
        <f>INT(A129/60)</f>
        <v/>
      </c>
      <c r="D129" s="2">
        <f>IF(C129&lt;6,"Night",IF(C129&lt;12,"Morning",IF(C129&lt;18,"Afternoon",IF(C129&lt;22,"Evening","Night"))))</f>
        <v/>
      </c>
    </row>
    <row r="130">
      <c r="A130" s="2" t="n">
        <v>128</v>
      </c>
      <c r="B130" s="20">
        <f>A130/1440</f>
        <v/>
      </c>
      <c r="C130" s="2">
        <f>INT(A130/60)</f>
        <v/>
      </c>
      <c r="D130" s="2">
        <f>IF(C130&lt;6,"Night",IF(C130&lt;12,"Morning",IF(C130&lt;18,"Afternoon",IF(C130&lt;22,"Evening","Night"))))</f>
        <v/>
      </c>
    </row>
    <row r="131">
      <c r="A131" s="2" t="n">
        <v>129</v>
      </c>
      <c r="B131" s="20">
        <f>A131/1440</f>
        <v/>
      </c>
      <c r="C131" s="2">
        <f>INT(A131/60)</f>
        <v/>
      </c>
      <c r="D131" s="2">
        <f>IF(C131&lt;6,"Night",IF(C131&lt;12,"Morning",IF(C131&lt;18,"Afternoon",IF(C131&lt;22,"Evening","Night"))))</f>
        <v/>
      </c>
    </row>
    <row r="132">
      <c r="A132" s="2" t="n">
        <v>130</v>
      </c>
      <c r="B132" s="20">
        <f>A132/1440</f>
        <v/>
      </c>
      <c r="C132" s="2">
        <f>INT(A132/60)</f>
        <v/>
      </c>
      <c r="D132" s="2">
        <f>IF(C132&lt;6,"Night",IF(C132&lt;12,"Morning",IF(C132&lt;18,"Afternoon",IF(C132&lt;22,"Evening","Night"))))</f>
        <v/>
      </c>
    </row>
    <row r="133">
      <c r="A133" s="2" t="n">
        <v>131</v>
      </c>
      <c r="B133" s="20">
        <f>A133/1440</f>
        <v/>
      </c>
      <c r="C133" s="2">
        <f>INT(A133/60)</f>
        <v/>
      </c>
      <c r="D133" s="2">
        <f>IF(C133&lt;6,"Night",IF(C133&lt;12,"Morning",IF(C133&lt;18,"Afternoon",IF(C133&lt;22,"Evening","Night"))))</f>
        <v/>
      </c>
    </row>
    <row r="134">
      <c r="A134" s="2" t="n">
        <v>132</v>
      </c>
      <c r="B134" s="20">
        <f>A134/1440</f>
        <v/>
      </c>
      <c r="C134" s="2">
        <f>INT(A134/60)</f>
        <v/>
      </c>
      <c r="D134" s="2">
        <f>IF(C134&lt;6,"Night",IF(C134&lt;12,"Morning",IF(C134&lt;18,"Afternoon",IF(C134&lt;22,"Evening","Night"))))</f>
        <v/>
      </c>
    </row>
    <row r="135">
      <c r="A135" s="2" t="n">
        <v>133</v>
      </c>
      <c r="B135" s="20">
        <f>A135/1440</f>
        <v/>
      </c>
      <c r="C135" s="2">
        <f>INT(A135/60)</f>
        <v/>
      </c>
      <c r="D135" s="2">
        <f>IF(C135&lt;6,"Night",IF(C135&lt;12,"Morning",IF(C135&lt;18,"Afternoon",IF(C135&lt;22,"Evening","Night"))))</f>
        <v/>
      </c>
    </row>
    <row r="136">
      <c r="A136" s="2" t="n">
        <v>134</v>
      </c>
      <c r="B136" s="20">
        <f>A136/1440</f>
        <v/>
      </c>
      <c r="C136" s="2">
        <f>INT(A136/60)</f>
        <v/>
      </c>
      <c r="D136" s="2">
        <f>IF(C136&lt;6,"Night",IF(C136&lt;12,"Morning",IF(C136&lt;18,"Afternoon",IF(C136&lt;22,"Evening","Night"))))</f>
        <v/>
      </c>
    </row>
    <row r="137">
      <c r="A137" s="2" t="n">
        <v>135</v>
      </c>
      <c r="B137" s="20">
        <f>A137/1440</f>
        <v/>
      </c>
      <c r="C137" s="2">
        <f>INT(A137/60)</f>
        <v/>
      </c>
      <c r="D137" s="2">
        <f>IF(C137&lt;6,"Night",IF(C137&lt;12,"Morning",IF(C137&lt;18,"Afternoon",IF(C137&lt;22,"Evening","Night"))))</f>
        <v/>
      </c>
    </row>
    <row r="138">
      <c r="A138" s="2" t="n">
        <v>136</v>
      </c>
      <c r="B138" s="20">
        <f>A138/1440</f>
        <v/>
      </c>
      <c r="C138" s="2">
        <f>INT(A138/60)</f>
        <v/>
      </c>
      <c r="D138" s="2">
        <f>IF(C138&lt;6,"Night",IF(C138&lt;12,"Morning",IF(C138&lt;18,"Afternoon",IF(C138&lt;22,"Evening","Night"))))</f>
        <v/>
      </c>
    </row>
    <row r="139">
      <c r="A139" s="2" t="n">
        <v>137</v>
      </c>
      <c r="B139" s="20">
        <f>A139/1440</f>
        <v/>
      </c>
      <c r="C139" s="2">
        <f>INT(A139/60)</f>
        <v/>
      </c>
      <c r="D139" s="2">
        <f>IF(C139&lt;6,"Night",IF(C139&lt;12,"Morning",IF(C139&lt;18,"Afternoon",IF(C139&lt;22,"Evening","Night"))))</f>
        <v/>
      </c>
    </row>
    <row r="140">
      <c r="A140" s="2" t="n">
        <v>138</v>
      </c>
      <c r="B140" s="20">
        <f>A140/1440</f>
        <v/>
      </c>
      <c r="C140" s="2">
        <f>INT(A140/60)</f>
        <v/>
      </c>
      <c r="D140" s="2">
        <f>IF(C140&lt;6,"Night",IF(C140&lt;12,"Morning",IF(C140&lt;18,"Afternoon",IF(C140&lt;22,"Evening","Night"))))</f>
        <v/>
      </c>
    </row>
    <row r="141">
      <c r="A141" s="2" t="n">
        <v>139</v>
      </c>
      <c r="B141" s="20">
        <f>A141/1440</f>
        <v/>
      </c>
      <c r="C141" s="2">
        <f>INT(A141/60)</f>
        <v/>
      </c>
      <c r="D141" s="2">
        <f>IF(C141&lt;6,"Night",IF(C141&lt;12,"Morning",IF(C141&lt;18,"Afternoon",IF(C141&lt;22,"Evening","Night"))))</f>
        <v/>
      </c>
    </row>
    <row r="142">
      <c r="A142" s="2" t="n">
        <v>140</v>
      </c>
      <c r="B142" s="20">
        <f>A142/1440</f>
        <v/>
      </c>
      <c r="C142" s="2">
        <f>INT(A142/60)</f>
        <v/>
      </c>
      <c r="D142" s="2">
        <f>IF(C142&lt;6,"Night",IF(C142&lt;12,"Morning",IF(C142&lt;18,"Afternoon",IF(C142&lt;22,"Evening","Night"))))</f>
        <v/>
      </c>
    </row>
    <row r="143">
      <c r="A143" s="2" t="n">
        <v>141</v>
      </c>
      <c r="B143" s="20">
        <f>A143/1440</f>
        <v/>
      </c>
      <c r="C143" s="2">
        <f>INT(A143/60)</f>
        <v/>
      </c>
      <c r="D143" s="2">
        <f>IF(C143&lt;6,"Night",IF(C143&lt;12,"Morning",IF(C143&lt;18,"Afternoon",IF(C143&lt;22,"Evening","Night"))))</f>
        <v/>
      </c>
    </row>
    <row r="144">
      <c r="A144" s="2" t="n">
        <v>142</v>
      </c>
      <c r="B144" s="20">
        <f>A144/1440</f>
        <v/>
      </c>
      <c r="C144" s="2">
        <f>INT(A144/60)</f>
        <v/>
      </c>
      <c r="D144" s="2">
        <f>IF(C144&lt;6,"Night",IF(C144&lt;12,"Morning",IF(C144&lt;18,"Afternoon",IF(C144&lt;22,"Evening","Night"))))</f>
        <v/>
      </c>
    </row>
    <row r="145">
      <c r="A145" s="2" t="n">
        <v>143</v>
      </c>
      <c r="B145" s="20">
        <f>A145/1440</f>
        <v/>
      </c>
      <c r="C145" s="2">
        <f>INT(A145/60)</f>
        <v/>
      </c>
      <c r="D145" s="2">
        <f>IF(C145&lt;6,"Night",IF(C145&lt;12,"Morning",IF(C145&lt;18,"Afternoon",IF(C145&lt;22,"Evening","Night"))))</f>
        <v/>
      </c>
    </row>
    <row r="146">
      <c r="A146" s="2" t="n">
        <v>144</v>
      </c>
      <c r="B146" s="20">
        <f>A146/1440</f>
        <v/>
      </c>
      <c r="C146" s="2">
        <f>INT(A146/60)</f>
        <v/>
      </c>
      <c r="D146" s="2">
        <f>IF(C146&lt;6,"Night",IF(C146&lt;12,"Morning",IF(C146&lt;18,"Afternoon",IF(C146&lt;22,"Evening","Night"))))</f>
        <v/>
      </c>
    </row>
    <row r="147">
      <c r="A147" s="2" t="n">
        <v>145</v>
      </c>
      <c r="B147" s="20">
        <f>A147/1440</f>
        <v/>
      </c>
      <c r="C147" s="2">
        <f>INT(A147/60)</f>
        <v/>
      </c>
      <c r="D147" s="2">
        <f>IF(C147&lt;6,"Night",IF(C147&lt;12,"Morning",IF(C147&lt;18,"Afternoon",IF(C147&lt;22,"Evening","Night"))))</f>
        <v/>
      </c>
    </row>
    <row r="148">
      <c r="A148" s="2" t="n">
        <v>146</v>
      </c>
      <c r="B148" s="20">
        <f>A148/1440</f>
        <v/>
      </c>
      <c r="C148" s="2">
        <f>INT(A148/60)</f>
        <v/>
      </c>
      <c r="D148" s="2">
        <f>IF(C148&lt;6,"Night",IF(C148&lt;12,"Morning",IF(C148&lt;18,"Afternoon",IF(C148&lt;22,"Evening","Night"))))</f>
        <v/>
      </c>
    </row>
    <row r="149">
      <c r="A149" s="2" t="n">
        <v>147</v>
      </c>
      <c r="B149" s="20">
        <f>A149/1440</f>
        <v/>
      </c>
      <c r="C149" s="2">
        <f>INT(A149/60)</f>
        <v/>
      </c>
      <c r="D149" s="2">
        <f>IF(C149&lt;6,"Night",IF(C149&lt;12,"Morning",IF(C149&lt;18,"Afternoon",IF(C149&lt;22,"Evening","Night"))))</f>
        <v/>
      </c>
    </row>
    <row r="150">
      <c r="A150" s="2" t="n">
        <v>148</v>
      </c>
      <c r="B150" s="20">
        <f>A150/1440</f>
        <v/>
      </c>
      <c r="C150" s="2">
        <f>INT(A150/60)</f>
        <v/>
      </c>
      <c r="D150" s="2">
        <f>IF(C150&lt;6,"Night",IF(C150&lt;12,"Morning",IF(C150&lt;18,"Afternoon",IF(C150&lt;22,"Evening","Night"))))</f>
        <v/>
      </c>
    </row>
    <row r="151">
      <c r="A151" s="2" t="n">
        <v>149</v>
      </c>
      <c r="B151" s="20">
        <f>A151/1440</f>
        <v/>
      </c>
      <c r="C151" s="2">
        <f>INT(A151/60)</f>
        <v/>
      </c>
      <c r="D151" s="2">
        <f>IF(C151&lt;6,"Night",IF(C151&lt;12,"Morning",IF(C151&lt;18,"Afternoon",IF(C151&lt;22,"Evening","Night"))))</f>
        <v/>
      </c>
    </row>
    <row r="152">
      <c r="A152" s="2" t="n">
        <v>150</v>
      </c>
      <c r="B152" s="20">
        <f>A152/1440</f>
        <v/>
      </c>
      <c r="C152" s="2">
        <f>INT(A152/60)</f>
        <v/>
      </c>
      <c r="D152" s="2">
        <f>IF(C152&lt;6,"Night",IF(C152&lt;12,"Morning",IF(C152&lt;18,"Afternoon",IF(C152&lt;22,"Evening","Night"))))</f>
        <v/>
      </c>
    </row>
    <row r="153">
      <c r="A153" s="2" t="n">
        <v>151</v>
      </c>
      <c r="B153" s="20">
        <f>A153/1440</f>
        <v/>
      </c>
      <c r="C153" s="2">
        <f>INT(A153/60)</f>
        <v/>
      </c>
      <c r="D153" s="2">
        <f>IF(C153&lt;6,"Night",IF(C153&lt;12,"Morning",IF(C153&lt;18,"Afternoon",IF(C153&lt;22,"Evening","Night"))))</f>
        <v/>
      </c>
    </row>
    <row r="154">
      <c r="A154" s="2" t="n">
        <v>152</v>
      </c>
      <c r="B154" s="20">
        <f>A154/1440</f>
        <v/>
      </c>
      <c r="C154" s="2">
        <f>INT(A154/60)</f>
        <v/>
      </c>
      <c r="D154" s="2">
        <f>IF(C154&lt;6,"Night",IF(C154&lt;12,"Morning",IF(C154&lt;18,"Afternoon",IF(C154&lt;22,"Evening","Night"))))</f>
        <v/>
      </c>
    </row>
    <row r="155">
      <c r="A155" s="2" t="n">
        <v>153</v>
      </c>
      <c r="B155" s="20">
        <f>A155/1440</f>
        <v/>
      </c>
      <c r="C155" s="2">
        <f>INT(A155/60)</f>
        <v/>
      </c>
      <c r="D155" s="2">
        <f>IF(C155&lt;6,"Night",IF(C155&lt;12,"Morning",IF(C155&lt;18,"Afternoon",IF(C155&lt;22,"Evening","Night"))))</f>
        <v/>
      </c>
    </row>
    <row r="156">
      <c r="A156" s="2" t="n">
        <v>154</v>
      </c>
      <c r="B156" s="20">
        <f>A156/1440</f>
        <v/>
      </c>
      <c r="C156" s="2">
        <f>INT(A156/60)</f>
        <v/>
      </c>
      <c r="D156" s="2">
        <f>IF(C156&lt;6,"Night",IF(C156&lt;12,"Morning",IF(C156&lt;18,"Afternoon",IF(C156&lt;22,"Evening","Night"))))</f>
        <v/>
      </c>
    </row>
    <row r="157">
      <c r="A157" s="2" t="n">
        <v>155</v>
      </c>
      <c r="B157" s="20">
        <f>A157/1440</f>
        <v/>
      </c>
      <c r="C157" s="2">
        <f>INT(A157/60)</f>
        <v/>
      </c>
      <c r="D157" s="2">
        <f>IF(C157&lt;6,"Night",IF(C157&lt;12,"Morning",IF(C157&lt;18,"Afternoon",IF(C157&lt;22,"Evening","Night"))))</f>
        <v/>
      </c>
    </row>
    <row r="158">
      <c r="A158" s="2" t="n">
        <v>156</v>
      </c>
      <c r="B158" s="20">
        <f>A158/1440</f>
        <v/>
      </c>
      <c r="C158" s="2">
        <f>INT(A158/60)</f>
        <v/>
      </c>
      <c r="D158" s="2">
        <f>IF(C158&lt;6,"Night",IF(C158&lt;12,"Morning",IF(C158&lt;18,"Afternoon",IF(C158&lt;22,"Evening","Night"))))</f>
        <v/>
      </c>
    </row>
    <row r="159">
      <c r="A159" s="2" t="n">
        <v>157</v>
      </c>
      <c r="B159" s="20">
        <f>A159/1440</f>
        <v/>
      </c>
      <c r="C159" s="2">
        <f>INT(A159/60)</f>
        <v/>
      </c>
      <c r="D159" s="2">
        <f>IF(C159&lt;6,"Night",IF(C159&lt;12,"Morning",IF(C159&lt;18,"Afternoon",IF(C159&lt;22,"Evening","Night"))))</f>
        <v/>
      </c>
    </row>
    <row r="160">
      <c r="A160" s="2" t="n">
        <v>158</v>
      </c>
      <c r="B160" s="20">
        <f>A160/1440</f>
        <v/>
      </c>
      <c r="C160" s="2">
        <f>INT(A160/60)</f>
        <v/>
      </c>
      <c r="D160" s="2">
        <f>IF(C160&lt;6,"Night",IF(C160&lt;12,"Morning",IF(C160&lt;18,"Afternoon",IF(C160&lt;22,"Evening","Night"))))</f>
        <v/>
      </c>
    </row>
    <row r="161">
      <c r="A161" s="2" t="n">
        <v>159</v>
      </c>
      <c r="B161" s="20">
        <f>A161/1440</f>
        <v/>
      </c>
      <c r="C161" s="2">
        <f>INT(A161/60)</f>
        <v/>
      </c>
      <c r="D161" s="2">
        <f>IF(C161&lt;6,"Night",IF(C161&lt;12,"Morning",IF(C161&lt;18,"Afternoon",IF(C161&lt;22,"Evening","Night"))))</f>
        <v/>
      </c>
    </row>
    <row r="162">
      <c r="A162" s="2" t="n">
        <v>160</v>
      </c>
      <c r="B162" s="20">
        <f>A162/1440</f>
        <v/>
      </c>
      <c r="C162" s="2">
        <f>INT(A162/60)</f>
        <v/>
      </c>
      <c r="D162" s="2">
        <f>IF(C162&lt;6,"Night",IF(C162&lt;12,"Morning",IF(C162&lt;18,"Afternoon",IF(C162&lt;22,"Evening","Night"))))</f>
        <v/>
      </c>
    </row>
    <row r="163">
      <c r="A163" s="2" t="n">
        <v>161</v>
      </c>
      <c r="B163" s="20">
        <f>A163/1440</f>
        <v/>
      </c>
      <c r="C163" s="2">
        <f>INT(A163/60)</f>
        <v/>
      </c>
      <c r="D163" s="2">
        <f>IF(C163&lt;6,"Night",IF(C163&lt;12,"Morning",IF(C163&lt;18,"Afternoon",IF(C163&lt;22,"Evening","Night"))))</f>
        <v/>
      </c>
    </row>
    <row r="164">
      <c r="A164" s="2" t="n">
        <v>162</v>
      </c>
      <c r="B164" s="20">
        <f>A164/1440</f>
        <v/>
      </c>
      <c r="C164" s="2">
        <f>INT(A164/60)</f>
        <v/>
      </c>
      <c r="D164" s="2">
        <f>IF(C164&lt;6,"Night",IF(C164&lt;12,"Morning",IF(C164&lt;18,"Afternoon",IF(C164&lt;22,"Evening","Night"))))</f>
        <v/>
      </c>
    </row>
    <row r="165">
      <c r="A165" s="2" t="n">
        <v>163</v>
      </c>
      <c r="B165" s="20">
        <f>A165/1440</f>
        <v/>
      </c>
      <c r="C165" s="2">
        <f>INT(A165/60)</f>
        <v/>
      </c>
      <c r="D165" s="2">
        <f>IF(C165&lt;6,"Night",IF(C165&lt;12,"Morning",IF(C165&lt;18,"Afternoon",IF(C165&lt;22,"Evening","Night"))))</f>
        <v/>
      </c>
    </row>
    <row r="166">
      <c r="A166" s="2" t="n">
        <v>164</v>
      </c>
      <c r="B166" s="20">
        <f>A166/1440</f>
        <v/>
      </c>
      <c r="C166" s="2">
        <f>INT(A166/60)</f>
        <v/>
      </c>
      <c r="D166" s="2">
        <f>IF(C166&lt;6,"Night",IF(C166&lt;12,"Morning",IF(C166&lt;18,"Afternoon",IF(C166&lt;22,"Evening","Night"))))</f>
        <v/>
      </c>
    </row>
    <row r="167">
      <c r="A167" s="2" t="n">
        <v>165</v>
      </c>
      <c r="B167" s="20">
        <f>A167/1440</f>
        <v/>
      </c>
      <c r="C167" s="2">
        <f>INT(A167/60)</f>
        <v/>
      </c>
      <c r="D167" s="2">
        <f>IF(C167&lt;6,"Night",IF(C167&lt;12,"Morning",IF(C167&lt;18,"Afternoon",IF(C167&lt;22,"Evening","Night"))))</f>
        <v/>
      </c>
    </row>
    <row r="168">
      <c r="A168" s="2" t="n">
        <v>166</v>
      </c>
      <c r="B168" s="20">
        <f>A168/1440</f>
        <v/>
      </c>
      <c r="C168" s="2">
        <f>INT(A168/60)</f>
        <v/>
      </c>
      <c r="D168" s="2">
        <f>IF(C168&lt;6,"Night",IF(C168&lt;12,"Morning",IF(C168&lt;18,"Afternoon",IF(C168&lt;22,"Evening","Night"))))</f>
        <v/>
      </c>
    </row>
    <row r="169">
      <c r="A169" s="2" t="n">
        <v>167</v>
      </c>
      <c r="B169" s="20">
        <f>A169/1440</f>
        <v/>
      </c>
      <c r="C169" s="2">
        <f>INT(A169/60)</f>
        <v/>
      </c>
      <c r="D169" s="2">
        <f>IF(C169&lt;6,"Night",IF(C169&lt;12,"Morning",IF(C169&lt;18,"Afternoon",IF(C169&lt;22,"Evening","Night"))))</f>
        <v/>
      </c>
    </row>
    <row r="170">
      <c r="A170" s="2" t="n">
        <v>168</v>
      </c>
      <c r="B170" s="20">
        <f>A170/1440</f>
        <v/>
      </c>
      <c r="C170" s="2">
        <f>INT(A170/60)</f>
        <v/>
      </c>
      <c r="D170" s="2">
        <f>IF(C170&lt;6,"Night",IF(C170&lt;12,"Morning",IF(C170&lt;18,"Afternoon",IF(C170&lt;22,"Evening","Night"))))</f>
        <v/>
      </c>
    </row>
    <row r="171">
      <c r="A171" s="2" t="n">
        <v>169</v>
      </c>
      <c r="B171" s="20">
        <f>A171/1440</f>
        <v/>
      </c>
      <c r="C171" s="2">
        <f>INT(A171/60)</f>
        <v/>
      </c>
      <c r="D171" s="2">
        <f>IF(C171&lt;6,"Night",IF(C171&lt;12,"Morning",IF(C171&lt;18,"Afternoon",IF(C171&lt;22,"Evening","Night"))))</f>
        <v/>
      </c>
    </row>
    <row r="172">
      <c r="A172" s="2" t="n">
        <v>170</v>
      </c>
      <c r="B172" s="20">
        <f>A172/1440</f>
        <v/>
      </c>
      <c r="C172" s="2">
        <f>INT(A172/60)</f>
        <v/>
      </c>
      <c r="D172" s="2">
        <f>IF(C172&lt;6,"Night",IF(C172&lt;12,"Morning",IF(C172&lt;18,"Afternoon",IF(C172&lt;22,"Evening","Night"))))</f>
        <v/>
      </c>
    </row>
    <row r="173">
      <c r="A173" s="2" t="n">
        <v>171</v>
      </c>
      <c r="B173" s="20">
        <f>A173/1440</f>
        <v/>
      </c>
      <c r="C173" s="2">
        <f>INT(A173/60)</f>
        <v/>
      </c>
      <c r="D173" s="2">
        <f>IF(C173&lt;6,"Night",IF(C173&lt;12,"Morning",IF(C173&lt;18,"Afternoon",IF(C173&lt;22,"Evening","Night"))))</f>
        <v/>
      </c>
    </row>
    <row r="174">
      <c r="A174" s="2" t="n">
        <v>172</v>
      </c>
      <c r="B174" s="20">
        <f>A174/1440</f>
        <v/>
      </c>
      <c r="C174" s="2">
        <f>INT(A174/60)</f>
        <v/>
      </c>
      <c r="D174" s="2">
        <f>IF(C174&lt;6,"Night",IF(C174&lt;12,"Morning",IF(C174&lt;18,"Afternoon",IF(C174&lt;22,"Evening","Night"))))</f>
        <v/>
      </c>
    </row>
    <row r="175">
      <c r="A175" s="2" t="n">
        <v>173</v>
      </c>
      <c r="B175" s="20">
        <f>A175/1440</f>
        <v/>
      </c>
      <c r="C175" s="2">
        <f>INT(A175/60)</f>
        <v/>
      </c>
      <c r="D175" s="2">
        <f>IF(C175&lt;6,"Night",IF(C175&lt;12,"Morning",IF(C175&lt;18,"Afternoon",IF(C175&lt;22,"Evening","Night"))))</f>
        <v/>
      </c>
    </row>
    <row r="176">
      <c r="A176" s="2" t="n">
        <v>174</v>
      </c>
      <c r="B176" s="20">
        <f>A176/1440</f>
        <v/>
      </c>
      <c r="C176" s="2">
        <f>INT(A176/60)</f>
        <v/>
      </c>
      <c r="D176" s="2">
        <f>IF(C176&lt;6,"Night",IF(C176&lt;12,"Morning",IF(C176&lt;18,"Afternoon",IF(C176&lt;22,"Evening","Night"))))</f>
        <v/>
      </c>
    </row>
    <row r="177">
      <c r="A177" s="2" t="n">
        <v>175</v>
      </c>
      <c r="B177" s="20">
        <f>A177/1440</f>
        <v/>
      </c>
      <c r="C177" s="2">
        <f>INT(A177/60)</f>
        <v/>
      </c>
      <c r="D177" s="2">
        <f>IF(C177&lt;6,"Night",IF(C177&lt;12,"Morning",IF(C177&lt;18,"Afternoon",IF(C177&lt;22,"Evening","Night"))))</f>
        <v/>
      </c>
    </row>
    <row r="178">
      <c r="A178" s="2" t="n">
        <v>176</v>
      </c>
      <c r="B178" s="20">
        <f>A178/1440</f>
        <v/>
      </c>
      <c r="C178" s="2">
        <f>INT(A178/60)</f>
        <v/>
      </c>
      <c r="D178" s="2">
        <f>IF(C178&lt;6,"Night",IF(C178&lt;12,"Morning",IF(C178&lt;18,"Afternoon",IF(C178&lt;22,"Evening","Night"))))</f>
        <v/>
      </c>
    </row>
    <row r="179">
      <c r="A179" s="2" t="n">
        <v>177</v>
      </c>
      <c r="B179" s="20">
        <f>A179/1440</f>
        <v/>
      </c>
      <c r="C179" s="2">
        <f>INT(A179/60)</f>
        <v/>
      </c>
      <c r="D179" s="2">
        <f>IF(C179&lt;6,"Night",IF(C179&lt;12,"Morning",IF(C179&lt;18,"Afternoon",IF(C179&lt;22,"Evening","Night"))))</f>
        <v/>
      </c>
    </row>
    <row r="180">
      <c r="A180" s="2" t="n">
        <v>178</v>
      </c>
      <c r="B180" s="20">
        <f>A180/1440</f>
        <v/>
      </c>
      <c r="C180" s="2">
        <f>INT(A180/60)</f>
        <v/>
      </c>
      <c r="D180" s="2">
        <f>IF(C180&lt;6,"Night",IF(C180&lt;12,"Morning",IF(C180&lt;18,"Afternoon",IF(C180&lt;22,"Evening","Night"))))</f>
        <v/>
      </c>
    </row>
    <row r="181">
      <c r="A181" s="2" t="n">
        <v>179</v>
      </c>
      <c r="B181" s="20">
        <f>A181/1440</f>
        <v/>
      </c>
      <c r="C181" s="2">
        <f>INT(A181/60)</f>
        <v/>
      </c>
      <c r="D181" s="2">
        <f>IF(C181&lt;6,"Night",IF(C181&lt;12,"Morning",IF(C181&lt;18,"Afternoon",IF(C181&lt;22,"Evening","Night"))))</f>
        <v/>
      </c>
    </row>
    <row r="182">
      <c r="A182" s="2" t="n">
        <v>180</v>
      </c>
      <c r="B182" s="20">
        <f>A182/1440</f>
        <v/>
      </c>
      <c r="C182" s="2">
        <f>INT(A182/60)</f>
        <v/>
      </c>
      <c r="D182" s="2">
        <f>IF(C182&lt;6,"Night",IF(C182&lt;12,"Morning",IF(C182&lt;18,"Afternoon",IF(C182&lt;22,"Evening","Night"))))</f>
        <v/>
      </c>
    </row>
    <row r="183">
      <c r="A183" s="2" t="n">
        <v>181</v>
      </c>
      <c r="B183" s="20">
        <f>A183/1440</f>
        <v/>
      </c>
      <c r="C183" s="2">
        <f>INT(A183/60)</f>
        <v/>
      </c>
      <c r="D183" s="2">
        <f>IF(C183&lt;6,"Night",IF(C183&lt;12,"Morning",IF(C183&lt;18,"Afternoon",IF(C183&lt;22,"Evening","Night"))))</f>
        <v/>
      </c>
    </row>
    <row r="184">
      <c r="A184" s="2" t="n">
        <v>182</v>
      </c>
      <c r="B184" s="20">
        <f>A184/1440</f>
        <v/>
      </c>
      <c r="C184" s="2">
        <f>INT(A184/60)</f>
        <v/>
      </c>
      <c r="D184" s="2">
        <f>IF(C184&lt;6,"Night",IF(C184&lt;12,"Morning",IF(C184&lt;18,"Afternoon",IF(C184&lt;22,"Evening","Night"))))</f>
        <v/>
      </c>
    </row>
    <row r="185">
      <c r="A185" s="2" t="n">
        <v>183</v>
      </c>
      <c r="B185" s="20">
        <f>A185/1440</f>
        <v/>
      </c>
      <c r="C185" s="2">
        <f>INT(A185/60)</f>
        <v/>
      </c>
      <c r="D185" s="2">
        <f>IF(C185&lt;6,"Night",IF(C185&lt;12,"Morning",IF(C185&lt;18,"Afternoon",IF(C185&lt;22,"Evening","Night"))))</f>
        <v/>
      </c>
    </row>
    <row r="186">
      <c r="A186" s="2" t="n">
        <v>184</v>
      </c>
      <c r="B186" s="20">
        <f>A186/1440</f>
        <v/>
      </c>
      <c r="C186" s="2">
        <f>INT(A186/60)</f>
        <v/>
      </c>
      <c r="D186" s="2">
        <f>IF(C186&lt;6,"Night",IF(C186&lt;12,"Morning",IF(C186&lt;18,"Afternoon",IF(C186&lt;22,"Evening","Night"))))</f>
        <v/>
      </c>
    </row>
    <row r="187">
      <c r="A187" s="2" t="n">
        <v>185</v>
      </c>
      <c r="B187" s="20">
        <f>A187/1440</f>
        <v/>
      </c>
      <c r="C187" s="2">
        <f>INT(A187/60)</f>
        <v/>
      </c>
      <c r="D187" s="2">
        <f>IF(C187&lt;6,"Night",IF(C187&lt;12,"Morning",IF(C187&lt;18,"Afternoon",IF(C187&lt;22,"Evening","Night"))))</f>
        <v/>
      </c>
    </row>
    <row r="188">
      <c r="A188" s="2" t="n">
        <v>186</v>
      </c>
      <c r="B188" s="20">
        <f>A188/1440</f>
        <v/>
      </c>
      <c r="C188" s="2">
        <f>INT(A188/60)</f>
        <v/>
      </c>
      <c r="D188" s="2">
        <f>IF(C188&lt;6,"Night",IF(C188&lt;12,"Morning",IF(C188&lt;18,"Afternoon",IF(C188&lt;22,"Evening","Night"))))</f>
        <v/>
      </c>
    </row>
    <row r="189">
      <c r="A189" s="2" t="n">
        <v>187</v>
      </c>
      <c r="B189" s="20">
        <f>A189/1440</f>
        <v/>
      </c>
      <c r="C189" s="2">
        <f>INT(A189/60)</f>
        <v/>
      </c>
      <c r="D189" s="2">
        <f>IF(C189&lt;6,"Night",IF(C189&lt;12,"Morning",IF(C189&lt;18,"Afternoon",IF(C189&lt;22,"Evening","Night"))))</f>
        <v/>
      </c>
    </row>
    <row r="190">
      <c r="A190" s="2" t="n">
        <v>188</v>
      </c>
      <c r="B190" s="20">
        <f>A190/1440</f>
        <v/>
      </c>
      <c r="C190" s="2">
        <f>INT(A190/60)</f>
        <v/>
      </c>
      <c r="D190" s="2">
        <f>IF(C190&lt;6,"Night",IF(C190&lt;12,"Morning",IF(C190&lt;18,"Afternoon",IF(C190&lt;22,"Evening","Night"))))</f>
        <v/>
      </c>
    </row>
    <row r="191">
      <c r="A191" s="2" t="n">
        <v>189</v>
      </c>
      <c r="B191" s="20">
        <f>A191/1440</f>
        <v/>
      </c>
      <c r="C191" s="2">
        <f>INT(A191/60)</f>
        <v/>
      </c>
      <c r="D191" s="2">
        <f>IF(C191&lt;6,"Night",IF(C191&lt;12,"Morning",IF(C191&lt;18,"Afternoon",IF(C191&lt;22,"Evening","Night"))))</f>
        <v/>
      </c>
    </row>
    <row r="192">
      <c r="A192" s="2" t="n">
        <v>190</v>
      </c>
      <c r="B192" s="20">
        <f>A192/1440</f>
        <v/>
      </c>
      <c r="C192" s="2">
        <f>INT(A192/60)</f>
        <v/>
      </c>
      <c r="D192" s="2">
        <f>IF(C192&lt;6,"Night",IF(C192&lt;12,"Morning",IF(C192&lt;18,"Afternoon",IF(C192&lt;22,"Evening","Night"))))</f>
        <v/>
      </c>
    </row>
    <row r="193">
      <c r="A193" s="2" t="n">
        <v>191</v>
      </c>
      <c r="B193" s="20">
        <f>A193/1440</f>
        <v/>
      </c>
      <c r="C193" s="2">
        <f>INT(A193/60)</f>
        <v/>
      </c>
      <c r="D193" s="2">
        <f>IF(C193&lt;6,"Night",IF(C193&lt;12,"Morning",IF(C193&lt;18,"Afternoon",IF(C193&lt;22,"Evening","Night"))))</f>
        <v/>
      </c>
    </row>
    <row r="194">
      <c r="A194" s="2" t="n">
        <v>192</v>
      </c>
      <c r="B194" s="20">
        <f>A194/1440</f>
        <v/>
      </c>
      <c r="C194" s="2">
        <f>INT(A194/60)</f>
        <v/>
      </c>
      <c r="D194" s="2">
        <f>IF(C194&lt;6,"Night",IF(C194&lt;12,"Morning",IF(C194&lt;18,"Afternoon",IF(C194&lt;22,"Evening","Night"))))</f>
        <v/>
      </c>
    </row>
    <row r="195">
      <c r="A195" s="2" t="n">
        <v>193</v>
      </c>
      <c r="B195" s="20">
        <f>A195/1440</f>
        <v/>
      </c>
      <c r="C195" s="2">
        <f>INT(A195/60)</f>
        <v/>
      </c>
      <c r="D195" s="2">
        <f>IF(C195&lt;6,"Night",IF(C195&lt;12,"Morning",IF(C195&lt;18,"Afternoon",IF(C195&lt;22,"Evening","Night"))))</f>
        <v/>
      </c>
    </row>
    <row r="196">
      <c r="A196" s="2" t="n">
        <v>194</v>
      </c>
      <c r="B196" s="20">
        <f>A196/1440</f>
        <v/>
      </c>
      <c r="C196" s="2">
        <f>INT(A196/60)</f>
        <v/>
      </c>
      <c r="D196" s="2">
        <f>IF(C196&lt;6,"Night",IF(C196&lt;12,"Morning",IF(C196&lt;18,"Afternoon",IF(C196&lt;22,"Evening","Night"))))</f>
        <v/>
      </c>
    </row>
    <row r="197">
      <c r="A197" s="2" t="n">
        <v>195</v>
      </c>
      <c r="B197" s="20">
        <f>A197/1440</f>
        <v/>
      </c>
      <c r="C197" s="2">
        <f>INT(A197/60)</f>
        <v/>
      </c>
      <c r="D197" s="2">
        <f>IF(C197&lt;6,"Night",IF(C197&lt;12,"Morning",IF(C197&lt;18,"Afternoon",IF(C197&lt;22,"Evening","Night"))))</f>
        <v/>
      </c>
    </row>
    <row r="198">
      <c r="A198" s="2" t="n">
        <v>196</v>
      </c>
      <c r="B198" s="20">
        <f>A198/1440</f>
        <v/>
      </c>
      <c r="C198" s="2">
        <f>INT(A198/60)</f>
        <v/>
      </c>
      <c r="D198" s="2">
        <f>IF(C198&lt;6,"Night",IF(C198&lt;12,"Morning",IF(C198&lt;18,"Afternoon",IF(C198&lt;22,"Evening","Night"))))</f>
        <v/>
      </c>
    </row>
    <row r="199">
      <c r="A199" s="2" t="n">
        <v>197</v>
      </c>
      <c r="B199" s="20">
        <f>A199/1440</f>
        <v/>
      </c>
      <c r="C199" s="2">
        <f>INT(A199/60)</f>
        <v/>
      </c>
      <c r="D199" s="2">
        <f>IF(C199&lt;6,"Night",IF(C199&lt;12,"Morning",IF(C199&lt;18,"Afternoon",IF(C199&lt;22,"Evening","Night"))))</f>
        <v/>
      </c>
    </row>
    <row r="200">
      <c r="A200" s="2" t="n">
        <v>198</v>
      </c>
      <c r="B200" s="20">
        <f>A200/1440</f>
        <v/>
      </c>
      <c r="C200" s="2">
        <f>INT(A200/60)</f>
        <v/>
      </c>
      <c r="D200" s="2">
        <f>IF(C200&lt;6,"Night",IF(C200&lt;12,"Morning",IF(C200&lt;18,"Afternoon",IF(C200&lt;22,"Evening","Night"))))</f>
        <v/>
      </c>
    </row>
    <row r="201">
      <c r="A201" s="2" t="n">
        <v>199</v>
      </c>
      <c r="B201" s="20">
        <f>A201/1440</f>
        <v/>
      </c>
      <c r="C201" s="2">
        <f>INT(A201/60)</f>
        <v/>
      </c>
      <c r="D201" s="2">
        <f>IF(C201&lt;6,"Night",IF(C201&lt;12,"Morning",IF(C201&lt;18,"Afternoon",IF(C201&lt;22,"Evening","Night"))))</f>
        <v/>
      </c>
    </row>
    <row r="202">
      <c r="A202" s="2" t="n">
        <v>200</v>
      </c>
      <c r="B202" s="20">
        <f>A202/1440</f>
        <v/>
      </c>
      <c r="C202" s="2">
        <f>INT(A202/60)</f>
        <v/>
      </c>
      <c r="D202" s="2">
        <f>IF(C202&lt;6,"Night",IF(C202&lt;12,"Morning",IF(C202&lt;18,"Afternoon",IF(C202&lt;22,"Evening","Night"))))</f>
        <v/>
      </c>
    </row>
    <row r="203">
      <c r="A203" s="2" t="n">
        <v>201</v>
      </c>
      <c r="B203" s="20">
        <f>A203/1440</f>
        <v/>
      </c>
      <c r="C203" s="2">
        <f>INT(A203/60)</f>
        <v/>
      </c>
      <c r="D203" s="2">
        <f>IF(C203&lt;6,"Night",IF(C203&lt;12,"Morning",IF(C203&lt;18,"Afternoon",IF(C203&lt;22,"Evening","Night"))))</f>
        <v/>
      </c>
    </row>
    <row r="204">
      <c r="A204" s="2" t="n">
        <v>202</v>
      </c>
      <c r="B204" s="20">
        <f>A204/1440</f>
        <v/>
      </c>
      <c r="C204" s="2">
        <f>INT(A204/60)</f>
        <v/>
      </c>
      <c r="D204" s="2">
        <f>IF(C204&lt;6,"Night",IF(C204&lt;12,"Morning",IF(C204&lt;18,"Afternoon",IF(C204&lt;22,"Evening","Night"))))</f>
        <v/>
      </c>
    </row>
    <row r="205">
      <c r="A205" s="2" t="n">
        <v>203</v>
      </c>
      <c r="B205" s="20">
        <f>A205/1440</f>
        <v/>
      </c>
      <c r="C205" s="2">
        <f>INT(A205/60)</f>
        <v/>
      </c>
      <c r="D205" s="2">
        <f>IF(C205&lt;6,"Night",IF(C205&lt;12,"Morning",IF(C205&lt;18,"Afternoon",IF(C205&lt;22,"Evening","Night"))))</f>
        <v/>
      </c>
    </row>
    <row r="206">
      <c r="A206" s="2" t="n">
        <v>204</v>
      </c>
      <c r="B206" s="20">
        <f>A206/1440</f>
        <v/>
      </c>
      <c r="C206" s="2">
        <f>INT(A206/60)</f>
        <v/>
      </c>
      <c r="D206" s="2">
        <f>IF(C206&lt;6,"Night",IF(C206&lt;12,"Morning",IF(C206&lt;18,"Afternoon",IF(C206&lt;22,"Evening","Night"))))</f>
        <v/>
      </c>
    </row>
    <row r="207">
      <c r="A207" s="2" t="n">
        <v>205</v>
      </c>
      <c r="B207" s="20">
        <f>A207/1440</f>
        <v/>
      </c>
      <c r="C207" s="2">
        <f>INT(A207/60)</f>
        <v/>
      </c>
      <c r="D207" s="2">
        <f>IF(C207&lt;6,"Night",IF(C207&lt;12,"Morning",IF(C207&lt;18,"Afternoon",IF(C207&lt;22,"Evening","Night"))))</f>
        <v/>
      </c>
    </row>
    <row r="208">
      <c r="A208" s="2" t="n">
        <v>206</v>
      </c>
      <c r="B208" s="20">
        <f>A208/1440</f>
        <v/>
      </c>
      <c r="C208" s="2">
        <f>INT(A208/60)</f>
        <v/>
      </c>
      <c r="D208" s="2">
        <f>IF(C208&lt;6,"Night",IF(C208&lt;12,"Morning",IF(C208&lt;18,"Afternoon",IF(C208&lt;22,"Evening","Night"))))</f>
        <v/>
      </c>
    </row>
    <row r="209">
      <c r="A209" s="2" t="n">
        <v>207</v>
      </c>
      <c r="B209" s="20">
        <f>A209/1440</f>
        <v/>
      </c>
      <c r="C209" s="2">
        <f>INT(A209/60)</f>
        <v/>
      </c>
      <c r="D209" s="2">
        <f>IF(C209&lt;6,"Night",IF(C209&lt;12,"Morning",IF(C209&lt;18,"Afternoon",IF(C209&lt;22,"Evening","Night"))))</f>
        <v/>
      </c>
    </row>
    <row r="210">
      <c r="A210" s="2" t="n">
        <v>208</v>
      </c>
      <c r="B210" s="20">
        <f>A210/1440</f>
        <v/>
      </c>
      <c r="C210" s="2">
        <f>INT(A210/60)</f>
        <v/>
      </c>
      <c r="D210" s="2">
        <f>IF(C210&lt;6,"Night",IF(C210&lt;12,"Morning",IF(C210&lt;18,"Afternoon",IF(C210&lt;22,"Evening","Night"))))</f>
        <v/>
      </c>
    </row>
    <row r="211">
      <c r="A211" s="2" t="n">
        <v>209</v>
      </c>
      <c r="B211" s="20">
        <f>A211/1440</f>
        <v/>
      </c>
      <c r="C211" s="2">
        <f>INT(A211/60)</f>
        <v/>
      </c>
      <c r="D211" s="2">
        <f>IF(C211&lt;6,"Night",IF(C211&lt;12,"Morning",IF(C211&lt;18,"Afternoon",IF(C211&lt;22,"Evening","Night"))))</f>
        <v/>
      </c>
    </row>
    <row r="212">
      <c r="A212" s="2" t="n">
        <v>210</v>
      </c>
      <c r="B212" s="20">
        <f>A212/1440</f>
        <v/>
      </c>
      <c r="C212" s="2">
        <f>INT(A212/60)</f>
        <v/>
      </c>
      <c r="D212" s="2">
        <f>IF(C212&lt;6,"Night",IF(C212&lt;12,"Morning",IF(C212&lt;18,"Afternoon",IF(C212&lt;22,"Evening","Night"))))</f>
        <v/>
      </c>
    </row>
    <row r="213">
      <c r="A213" s="2" t="n">
        <v>211</v>
      </c>
      <c r="B213" s="20">
        <f>A213/1440</f>
        <v/>
      </c>
      <c r="C213" s="2">
        <f>INT(A213/60)</f>
        <v/>
      </c>
      <c r="D213" s="2">
        <f>IF(C213&lt;6,"Night",IF(C213&lt;12,"Morning",IF(C213&lt;18,"Afternoon",IF(C213&lt;22,"Evening","Night"))))</f>
        <v/>
      </c>
    </row>
    <row r="214">
      <c r="A214" s="2" t="n">
        <v>212</v>
      </c>
      <c r="B214" s="20">
        <f>A214/1440</f>
        <v/>
      </c>
      <c r="C214" s="2">
        <f>INT(A214/60)</f>
        <v/>
      </c>
      <c r="D214" s="2">
        <f>IF(C214&lt;6,"Night",IF(C214&lt;12,"Morning",IF(C214&lt;18,"Afternoon",IF(C214&lt;22,"Evening","Night"))))</f>
        <v/>
      </c>
    </row>
    <row r="215">
      <c r="A215" s="2" t="n">
        <v>213</v>
      </c>
      <c r="B215" s="20">
        <f>A215/1440</f>
        <v/>
      </c>
      <c r="C215" s="2">
        <f>INT(A215/60)</f>
        <v/>
      </c>
      <c r="D215" s="2">
        <f>IF(C215&lt;6,"Night",IF(C215&lt;12,"Morning",IF(C215&lt;18,"Afternoon",IF(C215&lt;22,"Evening","Night"))))</f>
        <v/>
      </c>
    </row>
    <row r="216">
      <c r="A216" s="2" t="n">
        <v>214</v>
      </c>
      <c r="B216" s="20">
        <f>A216/1440</f>
        <v/>
      </c>
      <c r="C216" s="2">
        <f>INT(A216/60)</f>
        <v/>
      </c>
      <c r="D216" s="2">
        <f>IF(C216&lt;6,"Night",IF(C216&lt;12,"Morning",IF(C216&lt;18,"Afternoon",IF(C216&lt;22,"Evening","Night"))))</f>
        <v/>
      </c>
    </row>
    <row r="217">
      <c r="A217" s="2" t="n">
        <v>215</v>
      </c>
      <c r="B217" s="20">
        <f>A217/1440</f>
        <v/>
      </c>
      <c r="C217" s="2">
        <f>INT(A217/60)</f>
        <v/>
      </c>
      <c r="D217" s="2">
        <f>IF(C217&lt;6,"Night",IF(C217&lt;12,"Morning",IF(C217&lt;18,"Afternoon",IF(C217&lt;22,"Evening","Night"))))</f>
        <v/>
      </c>
    </row>
    <row r="218">
      <c r="A218" s="2" t="n">
        <v>216</v>
      </c>
      <c r="B218" s="20">
        <f>A218/1440</f>
        <v/>
      </c>
      <c r="C218" s="2">
        <f>INT(A218/60)</f>
        <v/>
      </c>
      <c r="D218" s="2">
        <f>IF(C218&lt;6,"Night",IF(C218&lt;12,"Morning",IF(C218&lt;18,"Afternoon",IF(C218&lt;22,"Evening","Night"))))</f>
        <v/>
      </c>
    </row>
    <row r="219">
      <c r="A219" s="2" t="n">
        <v>217</v>
      </c>
      <c r="B219" s="20">
        <f>A219/1440</f>
        <v/>
      </c>
      <c r="C219" s="2">
        <f>INT(A219/60)</f>
        <v/>
      </c>
      <c r="D219" s="2">
        <f>IF(C219&lt;6,"Night",IF(C219&lt;12,"Morning",IF(C219&lt;18,"Afternoon",IF(C219&lt;22,"Evening","Night"))))</f>
        <v/>
      </c>
    </row>
    <row r="220">
      <c r="A220" s="2" t="n">
        <v>218</v>
      </c>
      <c r="B220" s="20">
        <f>A220/1440</f>
        <v/>
      </c>
      <c r="C220" s="2">
        <f>INT(A220/60)</f>
        <v/>
      </c>
      <c r="D220" s="2">
        <f>IF(C220&lt;6,"Night",IF(C220&lt;12,"Morning",IF(C220&lt;18,"Afternoon",IF(C220&lt;22,"Evening","Night"))))</f>
        <v/>
      </c>
    </row>
    <row r="221">
      <c r="A221" s="2" t="n">
        <v>219</v>
      </c>
      <c r="B221" s="20">
        <f>A221/1440</f>
        <v/>
      </c>
      <c r="C221" s="2">
        <f>INT(A221/60)</f>
        <v/>
      </c>
      <c r="D221" s="2">
        <f>IF(C221&lt;6,"Night",IF(C221&lt;12,"Morning",IF(C221&lt;18,"Afternoon",IF(C221&lt;22,"Evening","Night"))))</f>
        <v/>
      </c>
    </row>
    <row r="222">
      <c r="A222" s="2" t="n">
        <v>220</v>
      </c>
      <c r="B222" s="20">
        <f>A222/1440</f>
        <v/>
      </c>
      <c r="C222" s="2">
        <f>INT(A222/60)</f>
        <v/>
      </c>
      <c r="D222" s="2">
        <f>IF(C222&lt;6,"Night",IF(C222&lt;12,"Morning",IF(C222&lt;18,"Afternoon",IF(C222&lt;22,"Evening","Night"))))</f>
        <v/>
      </c>
    </row>
    <row r="223">
      <c r="A223" s="2" t="n">
        <v>221</v>
      </c>
      <c r="B223" s="20">
        <f>A223/1440</f>
        <v/>
      </c>
      <c r="C223" s="2">
        <f>INT(A223/60)</f>
        <v/>
      </c>
      <c r="D223" s="2">
        <f>IF(C223&lt;6,"Night",IF(C223&lt;12,"Morning",IF(C223&lt;18,"Afternoon",IF(C223&lt;22,"Evening","Night"))))</f>
        <v/>
      </c>
    </row>
    <row r="224">
      <c r="A224" s="2" t="n">
        <v>222</v>
      </c>
      <c r="B224" s="20">
        <f>A224/1440</f>
        <v/>
      </c>
      <c r="C224" s="2">
        <f>INT(A224/60)</f>
        <v/>
      </c>
      <c r="D224" s="2">
        <f>IF(C224&lt;6,"Night",IF(C224&lt;12,"Morning",IF(C224&lt;18,"Afternoon",IF(C224&lt;22,"Evening","Night"))))</f>
        <v/>
      </c>
    </row>
    <row r="225">
      <c r="A225" s="2" t="n">
        <v>223</v>
      </c>
      <c r="B225" s="20">
        <f>A225/1440</f>
        <v/>
      </c>
      <c r="C225" s="2">
        <f>INT(A225/60)</f>
        <v/>
      </c>
      <c r="D225" s="2">
        <f>IF(C225&lt;6,"Night",IF(C225&lt;12,"Morning",IF(C225&lt;18,"Afternoon",IF(C225&lt;22,"Evening","Night"))))</f>
        <v/>
      </c>
    </row>
    <row r="226">
      <c r="A226" s="2" t="n">
        <v>224</v>
      </c>
      <c r="B226" s="20">
        <f>A226/1440</f>
        <v/>
      </c>
      <c r="C226" s="2">
        <f>INT(A226/60)</f>
        <v/>
      </c>
      <c r="D226" s="2">
        <f>IF(C226&lt;6,"Night",IF(C226&lt;12,"Morning",IF(C226&lt;18,"Afternoon",IF(C226&lt;22,"Evening","Night"))))</f>
        <v/>
      </c>
    </row>
    <row r="227">
      <c r="A227" s="2" t="n">
        <v>225</v>
      </c>
      <c r="B227" s="20">
        <f>A227/1440</f>
        <v/>
      </c>
      <c r="C227" s="2">
        <f>INT(A227/60)</f>
        <v/>
      </c>
      <c r="D227" s="2">
        <f>IF(C227&lt;6,"Night",IF(C227&lt;12,"Morning",IF(C227&lt;18,"Afternoon",IF(C227&lt;22,"Evening","Night"))))</f>
        <v/>
      </c>
    </row>
    <row r="228">
      <c r="A228" s="2" t="n">
        <v>226</v>
      </c>
      <c r="B228" s="20">
        <f>A228/1440</f>
        <v/>
      </c>
      <c r="C228" s="2">
        <f>INT(A228/60)</f>
        <v/>
      </c>
      <c r="D228" s="2">
        <f>IF(C228&lt;6,"Night",IF(C228&lt;12,"Morning",IF(C228&lt;18,"Afternoon",IF(C228&lt;22,"Evening","Night"))))</f>
        <v/>
      </c>
    </row>
    <row r="229">
      <c r="A229" s="2" t="n">
        <v>227</v>
      </c>
      <c r="B229" s="20">
        <f>A229/1440</f>
        <v/>
      </c>
      <c r="C229" s="2">
        <f>INT(A229/60)</f>
        <v/>
      </c>
      <c r="D229" s="2">
        <f>IF(C229&lt;6,"Night",IF(C229&lt;12,"Morning",IF(C229&lt;18,"Afternoon",IF(C229&lt;22,"Evening","Night"))))</f>
        <v/>
      </c>
    </row>
    <row r="230">
      <c r="A230" s="2" t="n">
        <v>228</v>
      </c>
      <c r="B230" s="20">
        <f>A230/1440</f>
        <v/>
      </c>
      <c r="C230" s="2">
        <f>INT(A230/60)</f>
        <v/>
      </c>
      <c r="D230" s="2">
        <f>IF(C230&lt;6,"Night",IF(C230&lt;12,"Morning",IF(C230&lt;18,"Afternoon",IF(C230&lt;22,"Evening","Night"))))</f>
        <v/>
      </c>
    </row>
    <row r="231">
      <c r="A231" s="2" t="n">
        <v>229</v>
      </c>
      <c r="B231" s="20">
        <f>A231/1440</f>
        <v/>
      </c>
      <c r="C231" s="2">
        <f>INT(A231/60)</f>
        <v/>
      </c>
      <c r="D231" s="2">
        <f>IF(C231&lt;6,"Night",IF(C231&lt;12,"Morning",IF(C231&lt;18,"Afternoon",IF(C231&lt;22,"Evening","Night"))))</f>
        <v/>
      </c>
    </row>
    <row r="232">
      <c r="A232" s="2" t="n">
        <v>230</v>
      </c>
      <c r="B232" s="20">
        <f>A232/1440</f>
        <v/>
      </c>
      <c r="C232" s="2">
        <f>INT(A232/60)</f>
        <v/>
      </c>
      <c r="D232" s="2">
        <f>IF(C232&lt;6,"Night",IF(C232&lt;12,"Morning",IF(C232&lt;18,"Afternoon",IF(C232&lt;22,"Evening","Night"))))</f>
        <v/>
      </c>
    </row>
    <row r="233">
      <c r="A233" s="2" t="n">
        <v>231</v>
      </c>
      <c r="B233" s="20">
        <f>A233/1440</f>
        <v/>
      </c>
      <c r="C233" s="2">
        <f>INT(A233/60)</f>
        <v/>
      </c>
      <c r="D233" s="2">
        <f>IF(C233&lt;6,"Night",IF(C233&lt;12,"Morning",IF(C233&lt;18,"Afternoon",IF(C233&lt;22,"Evening","Night"))))</f>
        <v/>
      </c>
    </row>
    <row r="234">
      <c r="A234" s="2" t="n">
        <v>232</v>
      </c>
      <c r="B234" s="20">
        <f>A234/1440</f>
        <v/>
      </c>
      <c r="C234" s="2">
        <f>INT(A234/60)</f>
        <v/>
      </c>
      <c r="D234" s="2">
        <f>IF(C234&lt;6,"Night",IF(C234&lt;12,"Morning",IF(C234&lt;18,"Afternoon",IF(C234&lt;22,"Evening","Night"))))</f>
        <v/>
      </c>
    </row>
    <row r="235">
      <c r="A235" s="2" t="n">
        <v>233</v>
      </c>
      <c r="B235" s="20">
        <f>A235/1440</f>
        <v/>
      </c>
      <c r="C235" s="2">
        <f>INT(A235/60)</f>
        <v/>
      </c>
      <c r="D235" s="2">
        <f>IF(C235&lt;6,"Night",IF(C235&lt;12,"Morning",IF(C235&lt;18,"Afternoon",IF(C235&lt;22,"Evening","Night"))))</f>
        <v/>
      </c>
    </row>
    <row r="236">
      <c r="A236" s="2" t="n">
        <v>234</v>
      </c>
      <c r="B236" s="20">
        <f>A236/1440</f>
        <v/>
      </c>
      <c r="C236" s="2">
        <f>INT(A236/60)</f>
        <v/>
      </c>
      <c r="D236" s="2">
        <f>IF(C236&lt;6,"Night",IF(C236&lt;12,"Morning",IF(C236&lt;18,"Afternoon",IF(C236&lt;22,"Evening","Night"))))</f>
        <v/>
      </c>
    </row>
    <row r="237">
      <c r="A237" s="2" t="n">
        <v>235</v>
      </c>
      <c r="B237" s="20">
        <f>A237/1440</f>
        <v/>
      </c>
      <c r="C237" s="2">
        <f>INT(A237/60)</f>
        <v/>
      </c>
      <c r="D237" s="2">
        <f>IF(C237&lt;6,"Night",IF(C237&lt;12,"Morning",IF(C237&lt;18,"Afternoon",IF(C237&lt;22,"Evening","Night"))))</f>
        <v/>
      </c>
    </row>
    <row r="238">
      <c r="A238" s="2" t="n">
        <v>236</v>
      </c>
      <c r="B238" s="20">
        <f>A238/1440</f>
        <v/>
      </c>
      <c r="C238" s="2">
        <f>INT(A238/60)</f>
        <v/>
      </c>
      <c r="D238" s="2">
        <f>IF(C238&lt;6,"Night",IF(C238&lt;12,"Morning",IF(C238&lt;18,"Afternoon",IF(C238&lt;22,"Evening","Night"))))</f>
        <v/>
      </c>
    </row>
    <row r="239">
      <c r="A239" s="2" t="n">
        <v>237</v>
      </c>
      <c r="B239" s="20">
        <f>A239/1440</f>
        <v/>
      </c>
      <c r="C239" s="2">
        <f>INT(A239/60)</f>
        <v/>
      </c>
      <c r="D239" s="2">
        <f>IF(C239&lt;6,"Night",IF(C239&lt;12,"Morning",IF(C239&lt;18,"Afternoon",IF(C239&lt;22,"Evening","Night"))))</f>
        <v/>
      </c>
    </row>
    <row r="240">
      <c r="A240" s="2" t="n">
        <v>238</v>
      </c>
      <c r="B240" s="20">
        <f>A240/1440</f>
        <v/>
      </c>
      <c r="C240" s="2">
        <f>INT(A240/60)</f>
        <v/>
      </c>
      <c r="D240" s="2">
        <f>IF(C240&lt;6,"Night",IF(C240&lt;12,"Morning",IF(C240&lt;18,"Afternoon",IF(C240&lt;22,"Evening","Night"))))</f>
        <v/>
      </c>
    </row>
    <row r="241">
      <c r="A241" s="2" t="n">
        <v>239</v>
      </c>
      <c r="B241" s="20">
        <f>A241/1440</f>
        <v/>
      </c>
      <c r="C241" s="2">
        <f>INT(A241/60)</f>
        <v/>
      </c>
      <c r="D241" s="2">
        <f>IF(C241&lt;6,"Night",IF(C241&lt;12,"Morning",IF(C241&lt;18,"Afternoon",IF(C241&lt;22,"Evening","Night"))))</f>
        <v/>
      </c>
    </row>
    <row r="242">
      <c r="A242" s="2" t="n">
        <v>240</v>
      </c>
      <c r="B242" s="20">
        <f>A242/1440</f>
        <v/>
      </c>
      <c r="C242" s="2">
        <f>INT(A242/60)</f>
        <v/>
      </c>
      <c r="D242" s="2">
        <f>IF(C242&lt;6,"Night",IF(C242&lt;12,"Morning",IF(C242&lt;18,"Afternoon",IF(C242&lt;22,"Evening","Night"))))</f>
        <v/>
      </c>
    </row>
    <row r="243">
      <c r="A243" s="2" t="n">
        <v>241</v>
      </c>
      <c r="B243" s="20">
        <f>A243/1440</f>
        <v/>
      </c>
      <c r="C243" s="2">
        <f>INT(A243/60)</f>
        <v/>
      </c>
      <c r="D243" s="2">
        <f>IF(C243&lt;6,"Night",IF(C243&lt;12,"Morning",IF(C243&lt;18,"Afternoon",IF(C243&lt;22,"Evening","Night"))))</f>
        <v/>
      </c>
    </row>
    <row r="244">
      <c r="A244" s="2" t="n">
        <v>242</v>
      </c>
      <c r="B244" s="20">
        <f>A244/1440</f>
        <v/>
      </c>
      <c r="C244" s="2">
        <f>INT(A244/60)</f>
        <v/>
      </c>
      <c r="D244" s="2">
        <f>IF(C244&lt;6,"Night",IF(C244&lt;12,"Morning",IF(C244&lt;18,"Afternoon",IF(C244&lt;22,"Evening","Night"))))</f>
        <v/>
      </c>
    </row>
    <row r="245">
      <c r="A245" s="2" t="n">
        <v>243</v>
      </c>
      <c r="B245" s="20">
        <f>A245/1440</f>
        <v/>
      </c>
      <c r="C245" s="2">
        <f>INT(A245/60)</f>
        <v/>
      </c>
      <c r="D245" s="2">
        <f>IF(C245&lt;6,"Night",IF(C245&lt;12,"Morning",IF(C245&lt;18,"Afternoon",IF(C245&lt;22,"Evening","Night"))))</f>
        <v/>
      </c>
    </row>
    <row r="246">
      <c r="A246" s="2" t="n">
        <v>244</v>
      </c>
      <c r="B246" s="20">
        <f>A246/1440</f>
        <v/>
      </c>
      <c r="C246" s="2">
        <f>INT(A246/60)</f>
        <v/>
      </c>
      <c r="D246" s="2">
        <f>IF(C246&lt;6,"Night",IF(C246&lt;12,"Morning",IF(C246&lt;18,"Afternoon",IF(C246&lt;22,"Evening","Night"))))</f>
        <v/>
      </c>
    </row>
    <row r="247">
      <c r="A247" s="2" t="n">
        <v>245</v>
      </c>
      <c r="B247" s="20">
        <f>A247/1440</f>
        <v/>
      </c>
      <c r="C247" s="2">
        <f>INT(A247/60)</f>
        <v/>
      </c>
      <c r="D247" s="2">
        <f>IF(C247&lt;6,"Night",IF(C247&lt;12,"Morning",IF(C247&lt;18,"Afternoon",IF(C247&lt;22,"Evening","Night"))))</f>
        <v/>
      </c>
    </row>
    <row r="248">
      <c r="A248" s="2" t="n">
        <v>246</v>
      </c>
      <c r="B248" s="20">
        <f>A248/1440</f>
        <v/>
      </c>
      <c r="C248" s="2">
        <f>INT(A248/60)</f>
        <v/>
      </c>
      <c r="D248" s="2">
        <f>IF(C248&lt;6,"Night",IF(C248&lt;12,"Morning",IF(C248&lt;18,"Afternoon",IF(C248&lt;22,"Evening","Night"))))</f>
        <v/>
      </c>
    </row>
    <row r="249">
      <c r="A249" s="2" t="n">
        <v>247</v>
      </c>
      <c r="B249" s="20">
        <f>A249/1440</f>
        <v/>
      </c>
      <c r="C249" s="2">
        <f>INT(A249/60)</f>
        <v/>
      </c>
      <c r="D249" s="2">
        <f>IF(C249&lt;6,"Night",IF(C249&lt;12,"Morning",IF(C249&lt;18,"Afternoon",IF(C249&lt;22,"Evening","Night"))))</f>
        <v/>
      </c>
    </row>
    <row r="250">
      <c r="A250" s="2" t="n">
        <v>248</v>
      </c>
      <c r="B250" s="20">
        <f>A250/1440</f>
        <v/>
      </c>
      <c r="C250" s="2">
        <f>INT(A250/60)</f>
        <v/>
      </c>
      <c r="D250" s="2">
        <f>IF(C250&lt;6,"Night",IF(C250&lt;12,"Morning",IF(C250&lt;18,"Afternoon",IF(C250&lt;22,"Evening","Night"))))</f>
        <v/>
      </c>
    </row>
    <row r="251">
      <c r="A251" s="2" t="n">
        <v>249</v>
      </c>
      <c r="B251" s="20">
        <f>A251/1440</f>
        <v/>
      </c>
      <c r="C251" s="2">
        <f>INT(A251/60)</f>
        <v/>
      </c>
      <c r="D251" s="2">
        <f>IF(C251&lt;6,"Night",IF(C251&lt;12,"Morning",IF(C251&lt;18,"Afternoon",IF(C251&lt;22,"Evening","Night"))))</f>
        <v/>
      </c>
    </row>
    <row r="252">
      <c r="A252" s="2" t="n">
        <v>250</v>
      </c>
      <c r="B252" s="20">
        <f>A252/1440</f>
        <v/>
      </c>
      <c r="C252" s="2">
        <f>INT(A252/60)</f>
        <v/>
      </c>
      <c r="D252" s="2">
        <f>IF(C252&lt;6,"Night",IF(C252&lt;12,"Morning",IF(C252&lt;18,"Afternoon",IF(C252&lt;22,"Evening","Night"))))</f>
        <v/>
      </c>
    </row>
    <row r="253">
      <c r="A253" s="2" t="n">
        <v>251</v>
      </c>
      <c r="B253" s="20">
        <f>A253/1440</f>
        <v/>
      </c>
      <c r="C253" s="2">
        <f>INT(A253/60)</f>
        <v/>
      </c>
      <c r="D253" s="2">
        <f>IF(C253&lt;6,"Night",IF(C253&lt;12,"Morning",IF(C253&lt;18,"Afternoon",IF(C253&lt;22,"Evening","Night"))))</f>
        <v/>
      </c>
    </row>
    <row r="254">
      <c r="A254" s="2" t="n">
        <v>252</v>
      </c>
      <c r="B254" s="20">
        <f>A254/1440</f>
        <v/>
      </c>
      <c r="C254" s="2">
        <f>INT(A254/60)</f>
        <v/>
      </c>
      <c r="D254" s="2">
        <f>IF(C254&lt;6,"Night",IF(C254&lt;12,"Morning",IF(C254&lt;18,"Afternoon",IF(C254&lt;22,"Evening","Night"))))</f>
        <v/>
      </c>
    </row>
    <row r="255">
      <c r="A255" s="2" t="n">
        <v>253</v>
      </c>
      <c r="B255" s="20">
        <f>A255/1440</f>
        <v/>
      </c>
      <c r="C255" s="2">
        <f>INT(A255/60)</f>
        <v/>
      </c>
      <c r="D255" s="2">
        <f>IF(C255&lt;6,"Night",IF(C255&lt;12,"Morning",IF(C255&lt;18,"Afternoon",IF(C255&lt;22,"Evening","Night"))))</f>
        <v/>
      </c>
    </row>
    <row r="256">
      <c r="A256" s="2" t="n">
        <v>254</v>
      </c>
      <c r="B256" s="20">
        <f>A256/1440</f>
        <v/>
      </c>
      <c r="C256" s="2">
        <f>INT(A256/60)</f>
        <v/>
      </c>
      <c r="D256" s="2">
        <f>IF(C256&lt;6,"Night",IF(C256&lt;12,"Morning",IF(C256&lt;18,"Afternoon",IF(C256&lt;22,"Evening","Night"))))</f>
        <v/>
      </c>
    </row>
    <row r="257">
      <c r="A257" s="2" t="n">
        <v>255</v>
      </c>
      <c r="B257" s="20">
        <f>A257/1440</f>
        <v/>
      </c>
      <c r="C257" s="2">
        <f>INT(A257/60)</f>
        <v/>
      </c>
      <c r="D257" s="2">
        <f>IF(C257&lt;6,"Night",IF(C257&lt;12,"Morning",IF(C257&lt;18,"Afternoon",IF(C257&lt;22,"Evening","Night"))))</f>
        <v/>
      </c>
    </row>
    <row r="258">
      <c r="A258" s="2" t="n">
        <v>256</v>
      </c>
      <c r="B258" s="20">
        <f>A258/1440</f>
        <v/>
      </c>
      <c r="C258" s="2">
        <f>INT(A258/60)</f>
        <v/>
      </c>
      <c r="D258" s="2">
        <f>IF(C258&lt;6,"Night",IF(C258&lt;12,"Morning",IF(C258&lt;18,"Afternoon",IF(C258&lt;22,"Evening","Night"))))</f>
        <v/>
      </c>
    </row>
    <row r="259">
      <c r="A259" s="2" t="n">
        <v>257</v>
      </c>
      <c r="B259" s="20">
        <f>A259/1440</f>
        <v/>
      </c>
      <c r="C259" s="2">
        <f>INT(A259/60)</f>
        <v/>
      </c>
      <c r="D259" s="2">
        <f>IF(C259&lt;6,"Night",IF(C259&lt;12,"Morning",IF(C259&lt;18,"Afternoon",IF(C259&lt;22,"Evening","Night"))))</f>
        <v/>
      </c>
    </row>
    <row r="260">
      <c r="A260" s="2" t="n">
        <v>258</v>
      </c>
      <c r="B260" s="20">
        <f>A260/1440</f>
        <v/>
      </c>
      <c r="C260" s="2">
        <f>INT(A260/60)</f>
        <v/>
      </c>
      <c r="D260" s="2">
        <f>IF(C260&lt;6,"Night",IF(C260&lt;12,"Morning",IF(C260&lt;18,"Afternoon",IF(C260&lt;22,"Evening","Night"))))</f>
        <v/>
      </c>
    </row>
    <row r="261">
      <c r="A261" s="2" t="n">
        <v>259</v>
      </c>
      <c r="B261" s="20">
        <f>A261/1440</f>
        <v/>
      </c>
      <c r="C261" s="2">
        <f>INT(A261/60)</f>
        <v/>
      </c>
      <c r="D261" s="2">
        <f>IF(C261&lt;6,"Night",IF(C261&lt;12,"Morning",IF(C261&lt;18,"Afternoon",IF(C261&lt;22,"Evening","Night"))))</f>
        <v/>
      </c>
    </row>
    <row r="262">
      <c r="A262" s="2" t="n">
        <v>260</v>
      </c>
      <c r="B262" s="20">
        <f>A262/1440</f>
        <v/>
      </c>
      <c r="C262" s="2">
        <f>INT(A262/60)</f>
        <v/>
      </c>
      <c r="D262" s="2">
        <f>IF(C262&lt;6,"Night",IF(C262&lt;12,"Morning",IF(C262&lt;18,"Afternoon",IF(C262&lt;22,"Evening","Night"))))</f>
        <v/>
      </c>
    </row>
    <row r="263">
      <c r="A263" s="2" t="n">
        <v>261</v>
      </c>
      <c r="B263" s="20">
        <f>A263/1440</f>
        <v/>
      </c>
      <c r="C263" s="2">
        <f>INT(A263/60)</f>
        <v/>
      </c>
      <c r="D263" s="2">
        <f>IF(C263&lt;6,"Night",IF(C263&lt;12,"Morning",IF(C263&lt;18,"Afternoon",IF(C263&lt;22,"Evening","Night"))))</f>
        <v/>
      </c>
    </row>
    <row r="264">
      <c r="A264" s="2" t="n">
        <v>262</v>
      </c>
      <c r="B264" s="20">
        <f>A264/1440</f>
        <v/>
      </c>
      <c r="C264" s="2">
        <f>INT(A264/60)</f>
        <v/>
      </c>
      <c r="D264" s="2">
        <f>IF(C264&lt;6,"Night",IF(C264&lt;12,"Morning",IF(C264&lt;18,"Afternoon",IF(C264&lt;22,"Evening","Night"))))</f>
        <v/>
      </c>
    </row>
    <row r="265">
      <c r="A265" s="2" t="n">
        <v>263</v>
      </c>
      <c r="B265" s="20">
        <f>A265/1440</f>
        <v/>
      </c>
      <c r="C265" s="2">
        <f>INT(A265/60)</f>
        <v/>
      </c>
      <c r="D265" s="2">
        <f>IF(C265&lt;6,"Night",IF(C265&lt;12,"Morning",IF(C265&lt;18,"Afternoon",IF(C265&lt;22,"Evening","Night"))))</f>
        <v/>
      </c>
    </row>
    <row r="266">
      <c r="A266" s="2" t="n">
        <v>264</v>
      </c>
      <c r="B266" s="20">
        <f>A266/1440</f>
        <v/>
      </c>
      <c r="C266" s="2">
        <f>INT(A266/60)</f>
        <v/>
      </c>
      <c r="D266" s="2">
        <f>IF(C266&lt;6,"Night",IF(C266&lt;12,"Morning",IF(C266&lt;18,"Afternoon",IF(C266&lt;22,"Evening","Night"))))</f>
        <v/>
      </c>
    </row>
    <row r="267">
      <c r="A267" s="2" t="n">
        <v>265</v>
      </c>
      <c r="B267" s="20">
        <f>A267/1440</f>
        <v/>
      </c>
      <c r="C267" s="2">
        <f>INT(A267/60)</f>
        <v/>
      </c>
      <c r="D267" s="2">
        <f>IF(C267&lt;6,"Night",IF(C267&lt;12,"Morning",IF(C267&lt;18,"Afternoon",IF(C267&lt;22,"Evening","Night"))))</f>
        <v/>
      </c>
    </row>
    <row r="268">
      <c r="A268" s="2" t="n">
        <v>266</v>
      </c>
      <c r="B268" s="20">
        <f>A268/1440</f>
        <v/>
      </c>
      <c r="C268" s="2">
        <f>INT(A268/60)</f>
        <v/>
      </c>
      <c r="D268" s="2">
        <f>IF(C268&lt;6,"Night",IF(C268&lt;12,"Morning",IF(C268&lt;18,"Afternoon",IF(C268&lt;22,"Evening","Night"))))</f>
        <v/>
      </c>
    </row>
    <row r="269">
      <c r="A269" s="2" t="n">
        <v>267</v>
      </c>
      <c r="B269" s="20">
        <f>A269/1440</f>
        <v/>
      </c>
      <c r="C269" s="2">
        <f>INT(A269/60)</f>
        <v/>
      </c>
      <c r="D269" s="2">
        <f>IF(C269&lt;6,"Night",IF(C269&lt;12,"Morning",IF(C269&lt;18,"Afternoon",IF(C269&lt;22,"Evening","Night"))))</f>
        <v/>
      </c>
    </row>
    <row r="270">
      <c r="A270" s="2" t="n">
        <v>268</v>
      </c>
      <c r="B270" s="20">
        <f>A270/1440</f>
        <v/>
      </c>
      <c r="C270" s="2">
        <f>INT(A270/60)</f>
        <v/>
      </c>
      <c r="D270" s="2">
        <f>IF(C270&lt;6,"Night",IF(C270&lt;12,"Morning",IF(C270&lt;18,"Afternoon",IF(C270&lt;22,"Evening","Night"))))</f>
        <v/>
      </c>
    </row>
    <row r="271">
      <c r="A271" s="2" t="n">
        <v>269</v>
      </c>
      <c r="B271" s="20">
        <f>A271/1440</f>
        <v/>
      </c>
      <c r="C271" s="2">
        <f>INT(A271/60)</f>
        <v/>
      </c>
      <c r="D271" s="2">
        <f>IF(C271&lt;6,"Night",IF(C271&lt;12,"Morning",IF(C271&lt;18,"Afternoon",IF(C271&lt;22,"Evening","Night"))))</f>
        <v/>
      </c>
    </row>
    <row r="272">
      <c r="A272" s="2" t="n">
        <v>270</v>
      </c>
      <c r="B272" s="20">
        <f>A272/1440</f>
        <v/>
      </c>
      <c r="C272" s="2">
        <f>INT(A272/60)</f>
        <v/>
      </c>
      <c r="D272" s="2">
        <f>IF(C272&lt;6,"Night",IF(C272&lt;12,"Morning",IF(C272&lt;18,"Afternoon",IF(C272&lt;22,"Evening","Night"))))</f>
        <v/>
      </c>
    </row>
    <row r="273">
      <c r="A273" s="2" t="n">
        <v>271</v>
      </c>
      <c r="B273" s="20">
        <f>A273/1440</f>
        <v/>
      </c>
      <c r="C273" s="2">
        <f>INT(A273/60)</f>
        <v/>
      </c>
      <c r="D273" s="2">
        <f>IF(C273&lt;6,"Night",IF(C273&lt;12,"Morning",IF(C273&lt;18,"Afternoon",IF(C273&lt;22,"Evening","Night"))))</f>
        <v/>
      </c>
    </row>
    <row r="274">
      <c r="A274" s="2" t="n">
        <v>272</v>
      </c>
      <c r="B274" s="20">
        <f>A274/1440</f>
        <v/>
      </c>
      <c r="C274" s="2">
        <f>INT(A274/60)</f>
        <v/>
      </c>
      <c r="D274" s="2">
        <f>IF(C274&lt;6,"Night",IF(C274&lt;12,"Morning",IF(C274&lt;18,"Afternoon",IF(C274&lt;22,"Evening","Night"))))</f>
        <v/>
      </c>
    </row>
    <row r="275">
      <c r="A275" s="2" t="n">
        <v>273</v>
      </c>
      <c r="B275" s="20">
        <f>A275/1440</f>
        <v/>
      </c>
      <c r="C275" s="2">
        <f>INT(A275/60)</f>
        <v/>
      </c>
      <c r="D275" s="2">
        <f>IF(C275&lt;6,"Night",IF(C275&lt;12,"Morning",IF(C275&lt;18,"Afternoon",IF(C275&lt;22,"Evening","Night"))))</f>
        <v/>
      </c>
    </row>
    <row r="276">
      <c r="A276" s="2" t="n">
        <v>274</v>
      </c>
      <c r="B276" s="20">
        <f>A276/1440</f>
        <v/>
      </c>
      <c r="C276" s="2">
        <f>INT(A276/60)</f>
        <v/>
      </c>
      <c r="D276" s="2">
        <f>IF(C276&lt;6,"Night",IF(C276&lt;12,"Morning",IF(C276&lt;18,"Afternoon",IF(C276&lt;22,"Evening","Night"))))</f>
        <v/>
      </c>
    </row>
    <row r="277">
      <c r="A277" s="2" t="n">
        <v>275</v>
      </c>
      <c r="B277" s="20">
        <f>A277/1440</f>
        <v/>
      </c>
      <c r="C277" s="2">
        <f>INT(A277/60)</f>
        <v/>
      </c>
      <c r="D277" s="2">
        <f>IF(C277&lt;6,"Night",IF(C277&lt;12,"Morning",IF(C277&lt;18,"Afternoon",IF(C277&lt;22,"Evening","Night"))))</f>
        <v/>
      </c>
    </row>
    <row r="278">
      <c r="A278" s="2" t="n">
        <v>276</v>
      </c>
      <c r="B278" s="20">
        <f>A278/1440</f>
        <v/>
      </c>
      <c r="C278" s="2">
        <f>INT(A278/60)</f>
        <v/>
      </c>
      <c r="D278" s="2">
        <f>IF(C278&lt;6,"Night",IF(C278&lt;12,"Morning",IF(C278&lt;18,"Afternoon",IF(C278&lt;22,"Evening","Night"))))</f>
        <v/>
      </c>
    </row>
    <row r="279">
      <c r="A279" s="2" t="n">
        <v>277</v>
      </c>
      <c r="B279" s="20">
        <f>A279/1440</f>
        <v/>
      </c>
      <c r="C279" s="2">
        <f>INT(A279/60)</f>
        <v/>
      </c>
      <c r="D279" s="2">
        <f>IF(C279&lt;6,"Night",IF(C279&lt;12,"Morning",IF(C279&lt;18,"Afternoon",IF(C279&lt;22,"Evening","Night"))))</f>
        <v/>
      </c>
    </row>
    <row r="280">
      <c r="A280" s="2" t="n">
        <v>278</v>
      </c>
      <c r="B280" s="20">
        <f>A280/1440</f>
        <v/>
      </c>
      <c r="C280" s="2">
        <f>INT(A280/60)</f>
        <v/>
      </c>
      <c r="D280" s="2">
        <f>IF(C280&lt;6,"Night",IF(C280&lt;12,"Morning",IF(C280&lt;18,"Afternoon",IF(C280&lt;22,"Evening","Night"))))</f>
        <v/>
      </c>
    </row>
    <row r="281">
      <c r="A281" s="2" t="n">
        <v>279</v>
      </c>
      <c r="B281" s="20">
        <f>A281/1440</f>
        <v/>
      </c>
      <c r="C281" s="2">
        <f>INT(A281/60)</f>
        <v/>
      </c>
      <c r="D281" s="2">
        <f>IF(C281&lt;6,"Night",IF(C281&lt;12,"Morning",IF(C281&lt;18,"Afternoon",IF(C281&lt;22,"Evening","Night"))))</f>
        <v/>
      </c>
    </row>
    <row r="282">
      <c r="A282" s="2" t="n">
        <v>280</v>
      </c>
      <c r="B282" s="20">
        <f>A282/1440</f>
        <v/>
      </c>
      <c r="C282" s="2">
        <f>INT(A282/60)</f>
        <v/>
      </c>
      <c r="D282" s="2">
        <f>IF(C282&lt;6,"Night",IF(C282&lt;12,"Morning",IF(C282&lt;18,"Afternoon",IF(C282&lt;22,"Evening","Night"))))</f>
        <v/>
      </c>
    </row>
    <row r="283">
      <c r="A283" s="2" t="n">
        <v>281</v>
      </c>
      <c r="B283" s="20">
        <f>A283/1440</f>
        <v/>
      </c>
      <c r="C283" s="2">
        <f>INT(A283/60)</f>
        <v/>
      </c>
      <c r="D283" s="2">
        <f>IF(C283&lt;6,"Night",IF(C283&lt;12,"Morning",IF(C283&lt;18,"Afternoon",IF(C283&lt;22,"Evening","Night"))))</f>
        <v/>
      </c>
    </row>
    <row r="284">
      <c r="A284" s="2" t="n">
        <v>282</v>
      </c>
      <c r="B284" s="20">
        <f>A284/1440</f>
        <v/>
      </c>
      <c r="C284" s="2">
        <f>INT(A284/60)</f>
        <v/>
      </c>
      <c r="D284" s="2">
        <f>IF(C284&lt;6,"Night",IF(C284&lt;12,"Morning",IF(C284&lt;18,"Afternoon",IF(C284&lt;22,"Evening","Night"))))</f>
        <v/>
      </c>
    </row>
    <row r="285">
      <c r="A285" s="2" t="n">
        <v>283</v>
      </c>
      <c r="B285" s="20">
        <f>A285/1440</f>
        <v/>
      </c>
      <c r="C285" s="2">
        <f>INT(A285/60)</f>
        <v/>
      </c>
      <c r="D285" s="2">
        <f>IF(C285&lt;6,"Night",IF(C285&lt;12,"Morning",IF(C285&lt;18,"Afternoon",IF(C285&lt;22,"Evening","Night"))))</f>
        <v/>
      </c>
    </row>
    <row r="286">
      <c r="A286" s="2" t="n">
        <v>284</v>
      </c>
      <c r="B286" s="20">
        <f>A286/1440</f>
        <v/>
      </c>
      <c r="C286" s="2">
        <f>INT(A286/60)</f>
        <v/>
      </c>
      <c r="D286" s="2">
        <f>IF(C286&lt;6,"Night",IF(C286&lt;12,"Morning",IF(C286&lt;18,"Afternoon",IF(C286&lt;22,"Evening","Night"))))</f>
        <v/>
      </c>
    </row>
    <row r="287">
      <c r="A287" s="2" t="n">
        <v>285</v>
      </c>
      <c r="B287" s="20">
        <f>A287/1440</f>
        <v/>
      </c>
      <c r="C287" s="2">
        <f>INT(A287/60)</f>
        <v/>
      </c>
      <c r="D287" s="2">
        <f>IF(C287&lt;6,"Night",IF(C287&lt;12,"Morning",IF(C287&lt;18,"Afternoon",IF(C287&lt;22,"Evening","Night"))))</f>
        <v/>
      </c>
    </row>
    <row r="288">
      <c r="A288" s="2" t="n">
        <v>286</v>
      </c>
      <c r="B288" s="20">
        <f>A288/1440</f>
        <v/>
      </c>
      <c r="C288" s="2">
        <f>INT(A288/60)</f>
        <v/>
      </c>
      <c r="D288" s="2">
        <f>IF(C288&lt;6,"Night",IF(C288&lt;12,"Morning",IF(C288&lt;18,"Afternoon",IF(C288&lt;22,"Evening","Night"))))</f>
        <v/>
      </c>
    </row>
    <row r="289">
      <c r="A289" s="2" t="n">
        <v>287</v>
      </c>
      <c r="B289" s="20">
        <f>A289/1440</f>
        <v/>
      </c>
      <c r="C289" s="2">
        <f>INT(A289/60)</f>
        <v/>
      </c>
      <c r="D289" s="2">
        <f>IF(C289&lt;6,"Night",IF(C289&lt;12,"Morning",IF(C289&lt;18,"Afternoon",IF(C289&lt;22,"Evening","Night"))))</f>
        <v/>
      </c>
    </row>
    <row r="290">
      <c r="A290" s="2" t="n">
        <v>288</v>
      </c>
      <c r="B290" s="20">
        <f>A290/1440</f>
        <v/>
      </c>
      <c r="C290" s="2">
        <f>INT(A290/60)</f>
        <v/>
      </c>
      <c r="D290" s="2">
        <f>IF(C290&lt;6,"Night",IF(C290&lt;12,"Morning",IF(C290&lt;18,"Afternoon",IF(C290&lt;22,"Evening","Night"))))</f>
        <v/>
      </c>
    </row>
    <row r="291">
      <c r="A291" s="2" t="n">
        <v>289</v>
      </c>
      <c r="B291" s="20">
        <f>A291/1440</f>
        <v/>
      </c>
      <c r="C291" s="2">
        <f>INT(A291/60)</f>
        <v/>
      </c>
      <c r="D291" s="2">
        <f>IF(C291&lt;6,"Night",IF(C291&lt;12,"Morning",IF(C291&lt;18,"Afternoon",IF(C291&lt;22,"Evening","Night"))))</f>
        <v/>
      </c>
    </row>
    <row r="292">
      <c r="A292" s="2" t="n">
        <v>290</v>
      </c>
      <c r="B292" s="20">
        <f>A292/1440</f>
        <v/>
      </c>
      <c r="C292" s="2">
        <f>INT(A292/60)</f>
        <v/>
      </c>
      <c r="D292" s="2">
        <f>IF(C292&lt;6,"Night",IF(C292&lt;12,"Morning",IF(C292&lt;18,"Afternoon",IF(C292&lt;22,"Evening","Night"))))</f>
        <v/>
      </c>
    </row>
    <row r="293">
      <c r="A293" s="2" t="n">
        <v>291</v>
      </c>
      <c r="B293" s="20">
        <f>A293/1440</f>
        <v/>
      </c>
      <c r="C293" s="2">
        <f>INT(A293/60)</f>
        <v/>
      </c>
      <c r="D293" s="2">
        <f>IF(C293&lt;6,"Night",IF(C293&lt;12,"Morning",IF(C293&lt;18,"Afternoon",IF(C293&lt;22,"Evening","Night"))))</f>
        <v/>
      </c>
    </row>
    <row r="294">
      <c r="A294" s="2" t="n">
        <v>292</v>
      </c>
      <c r="B294" s="20">
        <f>A294/1440</f>
        <v/>
      </c>
      <c r="C294" s="2">
        <f>INT(A294/60)</f>
        <v/>
      </c>
      <c r="D294" s="2">
        <f>IF(C294&lt;6,"Night",IF(C294&lt;12,"Morning",IF(C294&lt;18,"Afternoon",IF(C294&lt;22,"Evening","Night"))))</f>
        <v/>
      </c>
    </row>
    <row r="295">
      <c r="A295" s="2" t="n">
        <v>293</v>
      </c>
      <c r="B295" s="20">
        <f>A295/1440</f>
        <v/>
      </c>
      <c r="C295" s="2">
        <f>INT(A295/60)</f>
        <v/>
      </c>
      <c r="D295" s="2">
        <f>IF(C295&lt;6,"Night",IF(C295&lt;12,"Morning",IF(C295&lt;18,"Afternoon",IF(C295&lt;22,"Evening","Night"))))</f>
        <v/>
      </c>
    </row>
    <row r="296">
      <c r="A296" s="2" t="n">
        <v>294</v>
      </c>
      <c r="B296" s="20">
        <f>A296/1440</f>
        <v/>
      </c>
      <c r="C296" s="2">
        <f>INT(A296/60)</f>
        <v/>
      </c>
      <c r="D296" s="2">
        <f>IF(C296&lt;6,"Night",IF(C296&lt;12,"Morning",IF(C296&lt;18,"Afternoon",IF(C296&lt;22,"Evening","Night"))))</f>
        <v/>
      </c>
    </row>
    <row r="297">
      <c r="A297" s="2" t="n">
        <v>295</v>
      </c>
      <c r="B297" s="20">
        <f>A297/1440</f>
        <v/>
      </c>
      <c r="C297" s="2">
        <f>INT(A297/60)</f>
        <v/>
      </c>
      <c r="D297" s="2">
        <f>IF(C297&lt;6,"Night",IF(C297&lt;12,"Morning",IF(C297&lt;18,"Afternoon",IF(C297&lt;22,"Evening","Night"))))</f>
        <v/>
      </c>
    </row>
    <row r="298">
      <c r="A298" s="2" t="n">
        <v>296</v>
      </c>
      <c r="B298" s="20">
        <f>A298/1440</f>
        <v/>
      </c>
      <c r="C298" s="2">
        <f>INT(A298/60)</f>
        <v/>
      </c>
      <c r="D298" s="2">
        <f>IF(C298&lt;6,"Night",IF(C298&lt;12,"Morning",IF(C298&lt;18,"Afternoon",IF(C298&lt;22,"Evening","Night"))))</f>
        <v/>
      </c>
    </row>
    <row r="299">
      <c r="A299" s="2" t="n">
        <v>297</v>
      </c>
      <c r="B299" s="20">
        <f>A299/1440</f>
        <v/>
      </c>
      <c r="C299" s="2">
        <f>INT(A299/60)</f>
        <v/>
      </c>
      <c r="D299" s="2">
        <f>IF(C299&lt;6,"Night",IF(C299&lt;12,"Morning",IF(C299&lt;18,"Afternoon",IF(C299&lt;22,"Evening","Night"))))</f>
        <v/>
      </c>
    </row>
    <row r="300">
      <c r="A300" s="2" t="n">
        <v>298</v>
      </c>
      <c r="B300" s="20">
        <f>A300/1440</f>
        <v/>
      </c>
      <c r="C300" s="2">
        <f>INT(A300/60)</f>
        <v/>
      </c>
      <c r="D300" s="2">
        <f>IF(C300&lt;6,"Night",IF(C300&lt;12,"Morning",IF(C300&lt;18,"Afternoon",IF(C300&lt;22,"Evening","Night"))))</f>
        <v/>
      </c>
    </row>
    <row r="301">
      <c r="A301" s="2" t="n">
        <v>299</v>
      </c>
      <c r="B301" s="20">
        <f>A301/1440</f>
        <v/>
      </c>
      <c r="C301" s="2">
        <f>INT(A301/60)</f>
        <v/>
      </c>
      <c r="D301" s="2">
        <f>IF(C301&lt;6,"Night",IF(C301&lt;12,"Morning",IF(C301&lt;18,"Afternoon",IF(C301&lt;22,"Evening","Night"))))</f>
        <v/>
      </c>
    </row>
    <row r="302">
      <c r="A302" s="2" t="n">
        <v>300</v>
      </c>
      <c r="B302" s="20">
        <f>A302/1440</f>
        <v/>
      </c>
      <c r="C302" s="2">
        <f>INT(A302/60)</f>
        <v/>
      </c>
      <c r="D302" s="2">
        <f>IF(C302&lt;6,"Night",IF(C302&lt;12,"Morning",IF(C302&lt;18,"Afternoon",IF(C302&lt;22,"Evening","Night"))))</f>
        <v/>
      </c>
    </row>
    <row r="303">
      <c r="A303" s="2" t="n">
        <v>301</v>
      </c>
      <c r="B303" s="20">
        <f>A303/1440</f>
        <v/>
      </c>
      <c r="C303" s="2">
        <f>INT(A303/60)</f>
        <v/>
      </c>
      <c r="D303" s="2">
        <f>IF(C303&lt;6,"Night",IF(C303&lt;12,"Morning",IF(C303&lt;18,"Afternoon",IF(C303&lt;22,"Evening","Night"))))</f>
        <v/>
      </c>
    </row>
    <row r="304">
      <c r="A304" s="2" t="n">
        <v>302</v>
      </c>
      <c r="B304" s="20">
        <f>A304/1440</f>
        <v/>
      </c>
      <c r="C304" s="2">
        <f>INT(A304/60)</f>
        <v/>
      </c>
      <c r="D304" s="2">
        <f>IF(C304&lt;6,"Night",IF(C304&lt;12,"Morning",IF(C304&lt;18,"Afternoon",IF(C304&lt;22,"Evening","Night"))))</f>
        <v/>
      </c>
    </row>
    <row r="305">
      <c r="A305" s="2" t="n">
        <v>303</v>
      </c>
      <c r="B305" s="20">
        <f>A305/1440</f>
        <v/>
      </c>
      <c r="C305" s="2">
        <f>INT(A305/60)</f>
        <v/>
      </c>
      <c r="D305" s="2">
        <f>IF(C305&lt;6,"Night",IF(C305&lt;12,"Morning",IF(C305&lt;18,"Afternoon",IF(C305&lt;22,"Evening","Night"))))</f>
        <v/>
      </c>
    </row>
    <row r="306">
      <c r="A306" s="2" t="n">
        <v>304</v>
      </c>
      <c r="B306" s="20">
        <f>A306/1440</f>
        <v/>
      </c>
      <c r="C306" s="2">
        <f>INT(A306/60)</f>
        <v/>
      </c>
      <c r="D306" s="2">
        <f>IF(C306&lt;6,"Night",IF(C306&lt;12,"Morning",IF(C306&lt;18,"Afternoon",IF(C306&lt;22,"Evening","Night"))))</f>
        <v/>
      </c>
    </row>
    <row r="307">
      <c r="A307" s="2" t="n">
        <v>305</v>
      </c>
      <c r="B307" s="20">
        <f>A307/1440</f>
        <v/>
      </c>
      <c r="C307" s="2">
        <f>INT(A307/60)</f>
        <v/>
      </c>
      <c r="D307" s="2">
        <f>IF(C307&lt;6,"Night",IF(C307&lt;12,"Morning",IF(C307&lt;18,"Afternoon",IF(C307&lt;22,"Evening","Night"))))</f>
        <v/>
      </c>
    </row>
    <row r="308">
      <c r="A308" s="2" t="n">
        <v>306</v>
      </c>
      <c r="B308" s="20">
        <f>A308/1440</f>
        <v/>
      </c>
      <c r="C308" s="2">
        <f>INT(A308/60)</f>
        <v/>
      </c>
      <c r="D308" s="2">
        <f>IF(C308&lt;6,"Night",IF(C308&lt;12,"Morning",IF(C308&lt;18,"Afternoon",IF(C308&lt;22,"Evening","Night"))))</f>
        <v/>
      </c>
    </row>
    <row r="309">
      <c r="A309" s="2" t="n">
        <v>307</v>
      </c>
      <c r="B309" s="20">
        <f>A309/1440</f>
        <v/>
      </c>
      <c r="C309" s="2">
        <f>INT(A309/60)</f>
        <v/>
      </c>
      <c r="D309" s="2">
        <f>IF(C309&lt;6,"Night",IF(C309&lt;12,"Morning",IF(C309&lt;18,"Afternoon",IF(C309&lt;22,"Evening","Night"))))</f>
        <v/>
      </c>
    </row>
    <row r="310">
      <c r="A310" s="2" t="n">
        <v>308</v>
      </c>
      <c r="B310" s="20">
        <f>A310/1440</f>
        <v/>
      </c>
      <c r="C310" s="2">
        <f>INT(A310/60)</f>
        <v/>
      </c>
      <c r="D310" s="2">
        <f>IF(C310&lt;6,"Night",IF(C310&lt;12,"Morning",IF(C310&lt;18,"Afternoon",IF(C310&lt;22,"Evening","Night"))))</f>
        <v/>
      </c>
    </row>
    <row r="311">
      <c r="A311" s="2" t="n">
        <v>309</v>
      </c>
      <c r="B311" s="20">
        <f>A311/1440</f>
        <v/>
      </c>
      <c r="C311" s="2">
        <f>INT(A311/60)</f>
        <v/>
      </c>
      <c r="D311" s="2">
        <f>IF(C311&lt;6,"Night",IF(C311&lt;12,"Morning",IF(C311&lt;18,"Afternoon",IF(C311&lt;22,"Evening","Night"))))</f>
        <v/>
      </c>
    </row>
    <row r="312">
      <c r="A312" s="2" t="n">
        <v>310</v>
      </c>
      <c r="B312" s="20">
        <f>A312/1440</f>
        <v/>
      </c>
      <c r="C312" s="2">
        <f>INT(A312/60)</f>
        <v/>
      </c>
      <c r="D312" s="2">
        <f>IF(C312&lt;6,"Night",IF(C312&lt;12,"Morning",IF(C312&lt;18,"Afternoon",IF(C312&lt;22,"Evening","Night"))))</f>
        <v/>
      </c>
    </row>
    <row r="313">
      <c r="A313" s="2" t="n">
        <v>311</v>
      </c>
      <c r="B313" s="20">
        <f>A313/1440</f>
        <v/>
      </c>
      <c r="C313" s="2">
        <f>INT(A313/60)</f>
        <v/>
      </c>
      <c r="D313" s="2">
        <f>IF(C313&lt;6,"Night",IF(C313&lt;12,"Morning",IF(C313&lt;18,"Afternoon",IF(C313&lt;22,"Evening","Night"))))</f>
        <v/>
      </c>
    </row>
    <row r="314">
      <c r="A314" s="2" t="n">
        <v>312</v>
      </c>
      <c r="B314" s="20">
        <f>A314/1440</f>
        <v/>
      </c>
      <c r="C314" s="2">
        <f>INT(A314/60)</f>
        <v/>
      </c>
      <c r="D314" s="2">
        <f>IF(C314&lt;6,"Night",IF(C314&lt;12,"Morning",IF(C314&lt;18,"Afternoon",IF(C314&lt;22,"Evening","Night"))))</f>
        <v/>
      </c>
    </row>
    <row r="315">
      <c r="A315" s="2" t="n">
        <v>313</v>
      </c>
      <c r="B315" s="20">
        <f>A315/1440</f>
        <v/>
      </c>
      <c r="C315" s="2">
        <f>INT(A315/60)</f>
        <v/>
      </c>
      <c r="D315" s="2">
        <f>IF(C315&lt;6,"Night",IF(C315&lt;12,"Morning",IF(C315&lt;18,"Afternoon",IF(C315&lt;22,"Evening","Night"))))</f>
        <v/>
      </c>
    </row>
    <row r="316">
      <c r="A316" s="2" t="n">
        <v>314</v>
      </c>
      <c r="B316" s="20">
        <f>A316/1440</f>
        <v/>
      </c>
      <c r="C316" s="2">
        <f>INT(A316/60)</f>
        <v/>
      </c>
      <c r="D316" s="2">
        <f>IF(C316&lt;6,"Night",IF(C316&lt;12,"Morning",IF(C316&lt;18,"Afternoon",IF(C316&lt;22,"Evening","Night"))))</f>
        <v/>
      </c>
    </row>
    <row r="317">
      <c r="A317" s="2" t="n">
        <v>315</v>
      </c>
      <c r="B317" s="20">
        <f>A317/1440</f>
        <v/>
      </c>
      <c r="C317" s="2">
        <f>INT(A317/60)</f>
        <v/>
      </c>
      <c r="D317" s="2">
        <f>IF(C317&lt;6,"Night",IF(C317&lt;12,"Morning",IF(C317&lt;18,"Afternoon",IF(C317&lt;22,"Evening","Night"))))</f>
        <v/>
      </c>
    </row>
    <row r="318">
      <c r="A318" s="2" t="n">
        <v>316</v>
      </c>
      <c r="B318" s="20">
        <f>A318/1440</f>
        <v/>
      </c>
      <c r="C318" s="2">
        <f>INT(A318/60)</f>
        <v/>
      </c>
      <c r="D318" s="2">
        <f>IF(C318&lt;6,"Night",IF(C318&lt;12,"Morning",IF(C318&lt;18,"Afternoon",IF(C318&lt;22,"Evening","Night"))))</f>
        <v/>
      </c>
    </row>
    <row r="319">
      <c r="A319" s="2" t="n">
        <v>317</v>
      </c>
      <c r="B319" s="20">
        <f>A319/1440</f>
        <v/>
      </c>
      <c r="C319" s="2">
        <f>INT(A319/60)</f>
        <v/>
      </c>
      <c r="D319" s="2">
        <f>IF(C319&lt;6,"Night",IF(C319&lt;12,"Morning",IF(C319&lt;18,"Afternoon",IF(C319&lt;22,"Evening","Night"))))</f>
        <v/>
      </c>
    </row>
    <row r="320">
      <c r="A320" s="2" t="n">
        <v>318</v>
      </c>
      <c r="B320" s="20">
        <f>A320/1440</f>
        <v/>
      </c>
      <c r="C320" s="2">
        <f>INT(A320/60)</f>
        <v/>
      </c>
      <c r="D320" s="2">
        <f>IF(C320&lt;6,"Night",IF(C320&lt;12,"Morning",IF(C320&lt;18,"Afternoon",IF(C320&lt;22,"Evening","Night"))))</f>
        <v/>
      </c>
    </row>
    <row r="321">
      <c r="A321" s="2" t="n">
        <v>319</v>
      </c>
      <c r="B321" s="20">
        <f>A321/1440</f>
        <v/>
      </c>
      <c r="C321" s="2">
        <f>INT(A321/60)</f>
        <v/>
      </c>
      <c r="D321" s="2">
        <f>IF(C321&lt;6,"Night",IF(C321&lt;12,"Morning",IF(C321&lt;18,"Afternoon",IF(C321&lt;22,"Evening","Night"))))</f>
        <v/>
      </c>
    </row>
    <row r="322">
      <c r="A322" s="2" t="n">
        <v>320</v>
      </c>
      <c r="B322" s="20">
        <f>A322/1440</f>
        <v/>
      </c>
      <c r="C322" s="2">
        <f>INT(A322/60)</f>
        <v/>
      </c>
      <c r="D322" s="2">
        <f>IF(C322&lt;6,"Night",IF(C322&lt;12,"Morning",IF(C322&lt;18,"Afternoon",IF(C322&lt;22,"Evening","Night"))))</f>
        <v/>
      </c>
    </row>
    <row r="323">
      <c r="A323" s="2" t="n">
        <v>321</v>
      </c>
      <c r="B323" s="20">
        <f>A323/1440</f>
        <v/>
      </c>
      <c r="C323" s="2">
        <f>INT(A323/60)</f>
        <v/>
      </c>
      <c r="D323" s="2">
        <f>IF(C323&lt;6,"Night",IF(C323&lt;12,"Morning",IF(C323&lt;18,"Afternoon",IF(C323&lt;22,"Evening","Night"))))</f>
        <v/>
      </c>
    </row>
    <row r="324">
      <c r="A324" s="2" t="n">
        <v>322</v>
      </c>
      <c r="B324" s="20">
        <f>A324/1440</f>
        <v/>
      </c>
      <c r="C324" s="2">
        <f>INT(A324/60)</f>
        <v/>
      </c>
      <c r="D324" s="2">
        <f>IF(C324&lt;6,"Night",IF(C324&lt;12,"Morning",IF(C324&lt;18,"Afternoon",IF(C324&lt;22,"Evening","Night"))))</f>
        <v/>
      </c>
    </row>
    <row r="325">
      <c r="A325" s="2" t="n">
        <v>323</v>
      </c>
      <c r="B325" s="20">
        <f>A325/1440</f>
        <v/>
      </c>
      <c r="C325" s="2">
        <f>INT(A325/60)</f>
        <v/>
      </c>
      <c r="D325" s="2">
        <f>IF(C325&lt;6,"Night",IF(C325&lt;12,"Morning",IF(C325&lt;18,"Afternoon",IF(C325&lt;22,"Evening","Night"))))</f>
        <v/>
      </c>
    </row>
    <row r="326">
      <c r="A326" s="2" t="n">
        <v>324</v>
      </c>
      <c r="B326" s="20">
        <f>A326/1440</f>
        <v/>
      </c>
      <c r="C326" s="2">
        <f>INT(A326/60)</f>
        <v/>
      </c>
      <c r="D326" s="2">
        <f>IF(C326&lt;6,"Night",IF(C326&lt;12,"Morning",IF(C326&lt;18,"Afternoon",IF(C326&lt;22,"Evening","Night"))))</f>
        <v/>
      </c>
    </row>
    <row r="327">
      <c r="A327" s="2" t="n">
        <v>325</v>
      </c>
      <c r="B327" s="20">
        <f>A327/1440</f>
        <v/>
      </c>
      <c r="C327" s="2">
        <f>INT(A327/60)</f>
        <v/>
      </c>
      <c r="D327" s="2">
        <f>IF(C327&lt;6,"Night",IF(C327&lt;12,"Morning",IF(C327&lt;18,"Afternoon",IF(C327&lt;22,"Evening","Night"))))</f>
        <v/>
      </c>
    </row>
    <row r="328">
      <c r="A328" s="2" t="n">
        <v>326</v>
      </c>
      <c r="B328" s="20">
        <f>A328/1440</f>
        <v/>
      </c>
      <c r="C328" s="2">
        <f>INT(A328/60)</f>
        <v/>
      </c>
      <c r="D328" s="2">
        <f>IF(C328&lt;6,"Night",IF(C328&lt;12,"Morning",IF(C328&lt;18,"Afternoon",IF(C328&lt;22,"Evening","Night"))))</f>
        <v/>
      </c>
    </row>
    <row r="329">
      <c r="A329" s="2" t="n">
        <v>327</v>
      </c>
      <c r="B329" s="20">
        <f>A329/1440</f>
        <v/>
      </c>
      <c r="C329" s="2">
        <f>INT(A329/60)</f>
        <v/>
      </c>
      <c r="D329" s="2">
        <f>IF(C329&lt;6,"Night",IF(C329&lt;12,"Morning",IF(C329&lt;18,"Afternoon",IF(C329&lt;22,"Evening","Night"))))</f>
        <v/>
      </c>
    </row>
    <row r="330">
      <c r="A330" s="2" t="n">
        <v>328</v>
      </c>
      <c r="B330" s="20">
        <f>A330/1440</f>
        <v/>
      </c>
      <c r="C330" s="2">
        <f>INT(A330/60)</f>
        <v/>
      </c>
      <c r="D330" s="2">
        <f>IF(C330&lt;6,"Night",IF(C330&lt;12,"Morning",IF(C330&lt;18,"Afternoon",IF(C330&lt;22,"Evening","Night"))))</f>
        <v/>
      </c>
    </row>
    <row r="331">
      <c r="A331" s="2" t="n">
        <v>329</v>
      </c>
      <c r="B331" s="20">
        <f>A331/1440</f>
        <v/>
      </c>
      <c r="C331" s="2">
        <f>INT(A331/60)</f>
        <v/>
      </c>
      <c r="D331" s="2">
        <f>IF(C331&lt;6,"Night",IF(C331&lt;12,"Morning",IF(C331&lt;18,"Afternoon",IF(C331&lt;22,"Evening","Night"))))</f>
        <v/>
      </c>
    </row>
    <row r="332">
      <c r="A332" s="2" t="n">
        <v>330</v>
      </c>
      <c r="B332" s="20">
        <f>A332/1440</f>
        <v/>
      </c>
      <c r="C332" s="2">
        <f>INT(A332/60)</f>
        <v/>
      </c>
      <c r="D332" s="2">
        <f>IF(C332&lt;6,"Night",IF(C332&lt;12,"Morning",IF(C332&lt;18,"Afternoon",IF(C332&lt;22,"Evening","Night"))))</f>
        <v/>
      </c>
    </row>
    <row r="333">
      <c r="A333" s="2" t="n">
        <v>331</v>
      </c>
      <c r="B333" s="20">
        <f>A333/1440</f>
        <v/>
      </c>
      <c r="C333" s="2">
        <f>INT(A333/60)</f>
        <v/>
      </c>
      <c r="D333" s="2">
        <f>IF(C333&lt;6,"Night",IF(C333&lt;12,"Morning",IF(C333&lt;18,"Afternoon",IF(C333&lt;22,"Evening","Night"))))</f>
        <v/>
      </c>
    </row>
    <row r="334">
      <c r="A334" s="2" t="n">
        <v>332</v>
      </c>
      <c r="B334" s="20">
        <f>A334/1440</f>
        <v/>
      </c>
      <c r="C334" s="2">
        <f>INT(A334/60)</f>
        <v/>
      </c>
      <c r="D334" s="2">
        <f>IF(C334&lt;6,"Night",IF(C334&lt;12,"Morning",IF(C334&lt;18,"Afternoon",IF(C334&lt;22,"Evening","Night"))))</f>
        <v/>
      </c>
    </row>
    <row r="335">
      <c r="A335" s="2" t="n">
        <v>333</v>
      </c>
      <c r="B335" s="20">
        <f>A335/1440</f>
        <v/>
      </c>
      <c r="C335" s="2">
        <f>INT(A335/60)</f>
        <v/>
      </c>
      <c r="D335" s="2">
        <f>IF(C335&lt;6,"Night",IF(C335&lt;12,"Morning",IF(C335&lt;18,"Afternoon",IF(C335&lt;22,"Evening","Night"))))</f>
        <v/>
      </c>
    </row>
    <row r="336">
      <c r="A336" s="2" t="n">
        <v>334</v>
      </c>
      <c r="B336" s="20">
        <f>A336/1440</f>
        <v/>
      </c>
      <c r="C336" s="2">
        <f>INT(A336/60)</f>
        <v/>
      </c>
      <c r="D336" s="2">
        <f>IF(C336&lt;6,"Night",IF(C336&lt;12,"Morning",IF(C336&lt;18,"Afternoon",IF(C336&lt;22,"Evening","Night"))))</f>
        <v/>
      </c>
    </row>
    <row r="337">
      <c r="A337" s="2" t="n">
        <v>335</v>
      </c>
      <c r="B337" s="20">
        <f>A337/1440</f>
        <v/>
      </c>
      <c r="C337" s="2">
        <f>INT(A337/60)</f>
        <v/>
      </c>
      <c r="D337" s="2">
        <f>IF(C337&lt;6,"Night",IF(C337&lt;12,"Morning",IF(C337&lt;18,"Afternoon",IF(C337&lt;22,"Evening","Night"))))</f>
        <v/>
      </c>
    </row>
    <row r="338">
      <c r="A338" s="2" t="n">
        <v>336</v>
      </c>
      <c r="B338" s="20">
        <f>A338/1440</f>
        <v/>
      </c>
      <c r="C338" s="2">
        <f>INT(A338/60)</f>
        <v/>
      </c>
      <c r="D338" s="2">
        <f>IF(C338&lt;6,"Night",IF(C338&lt;12,"Morning",IF(C338&lt;18,"Afternoon",IF(C338&lt;22,"Evening","Night"))))</f>
        <v/>
      </c>
    </row>
    <row r="339">
      <c r="A339" s="2" t="n">
        <v>337</v>
      </c>
      <c r="B339" s="20">
        <f>A339/1440</f>
        <v/>
      </c>
      <c r="C339" s="2">
        <f>INT(A339/60)</f>
        <v/>
      </c>
      <c r="D339" s="2">
        <f>IF(C339&lt;6,"Night",IF(C339&lt;12,"Morning",IF(C339&lt;18,"Afternoon",IF(C339&lt;22,"Evening","Night"))))</f>
        <v/>
      </c>
    </row>
    <row r="340">
      <c r="A340" s="2" t="n">
        <v>338</v>
      </c>
      <c r="B340" s="20">
        <f>A340/1440</f>
        <v/>
      </c>
      <c r="C340" s="2">
        <f>INT(A340/60)</f>
        <v/>
      </c>
      <c r="D340" s="2">
        <f>IF(C340&lt;6,"Night",IF(C340&lt;12,"Morning",IF(C340&lt;18,"Afternoon",IF(C340&lt;22,"Evening","Night"))))</f>
        <v/>
      </c>
    </row>
    <row r="341">
      <c r="A341" s="2" t="n">
        <v>339</v>
      </c>
      <c r="B341" s="20">
        <f>A341/1440</f>
        <v/>
      </c>
      <c r="C341" s="2">
        <f>INT(A341/60)</f>
        <v/>
      </c>
      <c r="D341" s="2">
        <f>IF(C341&lt;6,"Night",IF(C341&lt;12,"Morning",IF(C341&lt;18,"Afternoon",IF(C341&lt;22,"Evening","Night"))))</f>
        <v/>
      </c>
    </row>
    <row r="342">
      <c r="A342" s="2" t="n">
        <v>340</v>
      </c>
      <c r="B342" s="20">
        <f>A342/1440</f>
        <v/>
      </c>
      <c r="C342" s="2">
        <f>INT(A342/60)</f>
        <v/>
      </c>
      <c r="D342" s="2">
        <f>IF(C342&lt;6,"Night",IF(C342&lt;12,"Morning",IF(C342&lt;18,"Afternoon",IF(C342&lt;22,"Evening","Night"))))</f>
        <v/>
      </c>
    </row>
    <row r="343">
      <c r="A343" s="2" t="n">
        <v>341</v>
      </c>
      <c r="B343" s="20">
        <f>A343/1440</f>
        <v/>
      </c>
      <c r="C343" s="2">
        <f>INT(A343/60)</f>
        <v/>
      </c>
      <c r="D343" s="2">
        <f>IF(C343&lt;6,"Night",IF(C343&lt;12,"Morning",IF(C343&lt;18,"Afternoon",IF(C343&lt;22,"Evening","Night"))))</f>
        <v/>
      </c>
    </row>
    <row r="344">
      <c r="A344" s="2" t="n">
        <v>342</v>
      </c>
      <c r="B344" s="20">
        <f>A344/1440</f>
        <v/>
      </c>
      <c r="C344" s="2">
        <f>INT(A344/60)</f>
        <v/>
      </c>
      <c r="D344" s="2">
        <f>IF(C344&lt;6,"Night",IF(C344&lt;12,"Morning",IF(C344&lt;18,"Afternoon",IF(C344&lt;22,"Evening","Night"))))</f>
        <v/>
      </c>
    </row>
    <row r="345">
      <c r="A345" s="2" t="n">
        <v>343</v>
      </c>
      <c r="B345" s="20">
        <f>A345/1440</f>
        <v/>
      </c>
      <c r="C345" s="2">
        <f>INT(A345/60)</f>
        <v/>
      </c>
      <c r="D345" s="2">
        <f>IF(C345&lt;6,"Night",IF(C345&lt;12,"Morning",IF(C345&lt;18,"Afternoon",IF(C345&lt;22,"Evening","Night"))))</f>
        <v/>
      </c>
    </row>
    <row r="346">
      <c r="A346" s="2" t="n">
        <v>344</v>
      </c>
      <c r="B346" s="20">
        <f>A346/1440</f>
        <v/>
      </c>
      <c r="C346" s="2">
        <f>INT(A346/60)</f>
        <v/>
      </c>
      <c r="D346" s="2">
        <f>IF(C346&lt;6,"Night",IF(C346&lt;12,"Morning",IF(C346&lt;18,"Afternoon",IF(C346&lt;22,"Evening","Night"))))</f>
        <v/>
      </c>
    </row>
    <row r="347">
      <c r="A347" s="2" t="n">
        <v>345</v>
      </c>
      <c r="B347" s="20">
        <f>A347/1440</f>
        <v/>
      </c>
      <c r="C347" s="2">
        <f>INT(A347/60)</f>
        <v/>
      </c>
      <c r="D347" s="2">
        <f>IF(C347&lt;6,"Night",IF(C347&lt;12,"Morning",IF(C347&lt;18,"Afternoon",IF(C347&lt;22,"Evening","Night"))))</f>
        <v/>
      </c>
    </row>
    <row r="348">
      <c r="A348" s="2" t="n">
        <v>346</v>
      </c>
      <c r="B348" s="20">
        <f>A348/1440</f>
        <v/>
      </c>
      <c r="C348" s="2">
        <f>INT(A348/60)</f>
        <v/>
      </c>
      <c r="D348" s="2">
        <f>IF(C348&lt;6,"Night",IF(C348&lt;12,"Morning",IF(C348&lt;18,"Afternoon",IF(C348&lt;22,"Evening","Night"))))</f>
        <v/>
      </c>
    </row>
    <row r="349">
      <c r="A349" s="2" t="n">
        <v>347</v>
      </c>
      <c r="B349" s="20">
        <f>A349/1440</f>
        <v/>
      </c>
      <c r="C349" s="2">
        <f>INT(A349/60)</f>
        <v/>
      </c>
      <c r="D349" s="2">
        <f>IF(C349&lt;6,"Night",IF(C349&lt;12,"Morning",IF(C349&lt;18,"Afternoon",IF(C349&lt;22,"Evening","Night"))))</f>
        <v/>
      </c>
    </row>
    <row r="350">
      <c r="A350" s="2" t="n">
        <v>348</v>
      </c>
      <c r="B350" s="20">
        <f>A350/1440</f>
        <v/>
      </c>
      <c r="C350" s="2">
        <f>INT(A350/60)</f>
        <v/>
      </c>
      <c r="D350" s="2">
        <f>IF(C350&lt;6,"Night",IF(C350&lt;12,"Morning",IF(C350&lt;18,"Afternoon",IF(C350&lt;22,"Evening","Night"))))</f>
        <v/>
      </c>
    </row>
    <row r="351">
      <c r="A351" s="2" t="n">
        <v>349</v>
      </c>
      <c r="B351" s="20">
        <f>A351/1440</f>
        <v/>
      </c>
      <c r="C351" s="2">
        <f>INT(A351/60)</f>
        <v/>
      </c>
      <c r="D351" s="2">
        <f>IF(C351&lt;6,"Night",IF(C351&lt;12,"Morning",IF(C351&lt;18,"Afternoon",IF(C351&lt;22,"Evening","Night"))))</f>
        <v/>
      </c>
    </row>
    <row r="352">
      <c r="A352" s="2" t="n">
        <v>350</v>
      </c>
      <c r="B352" s="20">
        <f>A352/1440</f>
        <v/>
      </c>
      <c r="C352" s="2">
        <f>INT(A352/60)</f>
        <v/>
      </c>
      <c r="D352" s="2">
        <f>IF(C352&lt;6,"Night",IF(C352&lt;12,"Morning",IF(C352&lt;18,"Afternoon",IF(C352&lt;22,"Evening","Night"))))</f>
        <v/>
      </c>
    </row>
    <row r="353">
      <c r="A353" s="2" t="n">
        <v>351</v>
      </c>
      <c r="B353" s="20">
        <f>A353/1440</f>
        <v/>
      </c>
      <c r="C353" s="2">
        <f>INT(A353/60)</f>
        <v/>
      </c>
      <c r="D353" s="2">
        <f>IF(C353&lt;6,"Night",IF(C353&lt;12,"Morning",IF(C353&lt;18,"Afternoon",IF(C353&lt;22,"Evening","Night"))))</f>
        <v/>
      </c>
    </row>
    <row r="354">
      <c r="A354" s="2" t="n">
        <v>352</v>
      </c>
      <c r="B354" s="20">
        <f>A354/1440</f>
        <v/>
      </c>
      <c r="C354" s="2">
        <f>INT(A354/60)</f>
        <v/>
      </c>
      <c r="D354" s="2">
        <f>IF(C354&lt;6,"Night",IF(C354&lt;12,"Morning",IF(C354&lt;18,"Afternoon",IF(C354&lt;22,"Evening","Night"))))</f>
        <v/>
      </c>
    </row>
    <row r="355">
      <c r="A355" s="2" t="n">
        <v>353</v>
      </c>
      <c r="B355" s="20">
        <f>A355/1440</f>
        <v/>
      </c>
      <c r="C355" s="2">
        <f>INT(A355/60)</f>
        <v/>
      </c>
      <c r="D355" s="2">
        <f>IF(C355&lt;6,"Night",IF(C355&lt;12,"Morning",IF(C355&lt;18,"Afternoon",IF(C355&lt;22,"Evening","Night"))))</f>
        <v/>
      </c>
    </row>
    <row r="356">
      <c r="A356" s="2" t="n">
        <v>354</v>
      </c>
      <c r="B356" s="20">
        <f>A356/1440</f>
        <v/>
      </c>
      <c r="C356" s="2">
        <f>INT(A356/60)</f>
        <v/>
      </c>
      <c r="D356" s="2">
        <f>IF(C356&lt;6,"Night",IF(C356&lt;12,"Morning",IF(C356&lt;18,"Afternoon",IF(C356&lt;22,"Evening","Night"))))</f>
        <v/>
      </c>
    </row>
    <row r="357">
      <c r="A357" s="2" t="n">
        <v>355</v>
      </c>
      <c r="B357" s="20">
        <f>A357/1440</f>
        <v/>
      </c>
      <c r="C357" s="2">
        <f>INT(A357/60)</f>
        <v/>
      </c>
      <c r="D357" s="2">
        <f>IF(C357&lt;6,"Night",IF(C357&lt;12,"Morning",IF(C357&lt;18,"Afternoon",IF(C357&lt;22,"Evening","Night"))))</f>
        <v/>
      </c>
    </row>
    <row r="358">
      <c r="A358" s="2" t="n">
        <v>356</v>
      </c>
      <c r="B358" s="20">
        <f>A358/1440</f>
        <v/>
      </c>
      <c r="C358" s="2">
        <f>INT(A358/60)</f>
        <v/>
      </c>
      <c r="D358" s="2">
        <f>IF(C358&lt;6,"Night",IF(C358&lt;12,"Morning",IF(C358&lt;18,"Afternoon",IF(C358&lt;22,"Evening","Night"))))</f>
        <v/>
      </c>
    </row>
    <row r="359">
      <c r="A359" s="2" t="n">
        <v>357</v>
      </c>
      <c r="B359" s="20">
        <f>A359/1440</f>
        <v/>
      </c>
      <c r="C359" s="2">
        <f>INT(A359/60)</f>
        <v/>
      </c>
      <c r="D359" s="2">
        <f>IF(C359&lt;6,"Night",IF(C359&lt;12,"Morning",IF(C359&lt;18,"Afternoon",IF(C359&lt;22,"Evening","Night"))))</f>
        <v/>
      </c>
    </row>
    <row r="360">
      <c r="A360" s="2" t="n">
        <v>358</v>
      </c>
      <c r="B360" s="20">
        <f>A360/1440</f>
        <v/>
      </c>
      <c r="C360" s="2">
        <f>INT(A360/60)</f>
        <v/>
      </c>
      <c r="D360" s="2">
        <f>IF(C360&lt;6,"Night",IF(C360&lt;12,"Morning",IF(C360&lt;18,"Afternoon",IF(C360&lt;22,"Evening","Night"))))</f>
        <v/>
      </c>
    </row>
    <row r="361">
      <c r="A361" s="2" t="n">
        <v>359</v>
      </c>
      <c r="B361" s="20">
        <f>A361/1440</f>
        <v/>
      </c>
      <c r="C361" s="2">
        <f>INT(A361/60)</f>
        <v/>
      </c>
      <c r="D361" s="2">
        <f>IF(C361&lt;6,"Night",IF(C361&lt;12,"Morning",IF(C361&lt;18,"Afternoon",IF(C361&lt;22,"Evening","Night"))))</f>
        <v/>
      </c>
    </row>
    <row r="362">
      <c r="A362" s="2" t="n">
        <v>360</v>
      </c>
      <c r="B362" s="20">
        <f>A362/1440</f>
        <v/>
      </c>
      <c r="C362" s="2">
        <f>INT(A362/60)</f>
        <v/>
      </c>
      <c r="D362" s="2">
        <f>IF(C362&lt;6,"Night",IF(C362&lt;12,"Morning",IF(C362&lt;18,"Afternoon",IF(C362&lt;22,"Evening","Night"))))</f>
        <v/>
      </c>
    </row>
    <row r="363">
      <c r="A363" s="2" t="n">
        <v>361</v>
      </c>
      <c r="B363" s="20">
        <f>A363/1440</f>
        <v/>
      </c>
      <c r="C363" s="2">
        <f>INT(A363/60)</f>
        <v/>
      </c>
      <c r="D363" s="2">
        <f>IF(C363&lt;6,"Night",IF(C363&lt;12,"Morning",IF(C363&lt;18,"Afternoon",IF(C363&lt;22,"Evening","Night"))))</f>
        <v/>
      </c>
    </row>
    <row r="364">
      <c r="A364" s="2" t="n">
        <v>362</v>
      </c>
      <c r="B364" s="20">
        <f>A364/1440</f>
        <v/>
      </c>
      <c r="C364" s="2">
        <f>INT(A364/60)</f>
        <v/>
      </c>
      <c r="D364" s="2">
        <f>IF(C364&lt;6,"Night",IF(C364&lt;12,"Morning",IF(C364&lt;18,"Afternoon",IF(C364&lt;22,"Evening","Night"))))</f>
        <v/>
      </c>
    </row>
    <row r="365">
      <c r="A365" s="2" t="n">
        <v>363</v>
      </c>
      <c r="B365" s="20">
        <f>A365/1440</f>
        <v/>
      </c>
      <c r="C365" s="2">
        <f>INT(A365/60)</f>
        <v/>
      </c>
      <c r="D365" s="2">
        <f>IF(C365&lt;6,"Night",IF(C365&lt;12,"Morning",IF(C365&lt;18,"Afternoon",IF(C365&lt;22,"Evening","Night"))))</f>
        <v/>
      </c>
    </row>
    <row r="366">
      <c r="A366" s="2" t="n">
        <v>364</v>
      </c>
      <c r="B366" s="20">
        <f>A366/1440</f>
        <v/>
      </c>
      <c r="C366" s="2">
        <f>INT(A366/60)</f>
        <v/>
      </c>
      <c r="D366" s="2">
        <f>IF(C366&lt;6,"Night",IF(C366&lt;12,"Morning",IF(C366&lt;18,"Afternoon",IF(C366&lt;22,"Evening","Night"))))</f>
        <v/>
      </c>
    </row>
    <row r="367">
      <c r="A367" s="2" t="n">
        <v>365</v>
      </c>
      <c r="B367" s="20">
        <f>A367/1440</f>
        <v/>
      </c>
      <c r="C367" s="2">
        <f>INT(A367/60)</f>
        <v/>
      </c>
      <c r="D367" s="2">
        <f>IF(C367&lt;6,"Night",IF(C367&lt;12,"Morning",IF(C367&lt;18,"Afternoon",IF(C367&lt;22,"Evening","Night"))))</f>
        <v/>
      </c>
    </row>
    <row r="368">
      <c r="A368" s="2" t="n">
        <v>366</v>
      </c>
      <c r="B368" s="20">
        <f>A368/1440</f>
        <v/>
      </c>
      <c r="C368" s="2">
        <f>INT(A368/60)</f>
        <v/>
      </c>
      <c r="D368" s="2">
        <f>IF(C368&lt;6,"Night",IF(C368&lt;12,"Morning",IF(C368&lt;18,"Afternoon",IF(C368&lt;22,"Evening","Night"))))</f>
        <v/>
      </c>
    </row>
    <row r="369">
      <c r="A369" s="2" t="n">
        <v>367</v>
      </c>
      <c r="B369" s="20">
        <f>A369/1440</f>
        <v/>
      </c>
      <c r="C369" s="2">
        <f>INT(A369/60)</f>
        <v/>
      </c>
      <c r="D369" s="2">
        <f>IF(C369&lt;6,"Night",IF(C369&lt;12,"Morning",IF(C369&lt;18,"Afternoon",IF(C369&lt;22,"Evening","Night"))))</f>
        <v/>
      </c>
    </row>
    <row r="370">
      <c r="A370" s="2" t="n">
        <v>368</v>
      </c>
      <c r="B370" s="20">
        <f>A370/1440</f>
        <v/>
      </c>
      <c r="C370" s="2">
        <f>INT(A370/60)</f>
        <v/>
      </c>
      <c r="D370" s="2">
        <f>IF(C370&lt;6,"Night",IF(C370&lt;12,"Morning",IF(C370&lt;18,"Afternoon",IF(C370&lt;22,"Evening","Night"))))</f>
        <v/>
      </c>
    </row>
    <row r="371">
      <c r="A371" s="2" t="n">
        <v>369</v>
      </c>
      <c r="B371" s="20">
        <f>A371/1440</f>
        <v/>
      </c>
      <c r="C371" s="2">
        <f>INT(A371/60)</f>
        <v/>
      </c>
      <c r="D371" s="2">
        <f>IF(C371&lt;6,"Night",IF(C371&lt;12,"Morning",IF(C371&lt;18,"Afternoon",IF(C371&lt;22,"Evening","Night"))))</f>
        <v/>
      </c>
    </row>
    <row r="372">
      <c r="A372" s="2" t="n">
        <v>370</v>
      </c>
      <c r="B372" s="20">
        <f>A372/1440</f>
        <v/>
      </c>
      <c r="C372" s="2">
        <f>INT(A372/60)</f>
        <v/>
      </c>
      <c r="D372" s="2">
        <f>IF(C372&lt;6,"Night",IF(C372&lt;12,"Morning",IF(C372&lt;18,"Afternoon",IF(C372&lt;22,"Evening","Night"))))</f>
        <v/>
      </c>
    </row>
    <row r="373">
      <c r="A373" s="2" t="n">
        <v>371</v>
      </c>
      <c r="B373" s="20">
        <f>A373/1440</f>
        <v/>
      </c>
      <c r="C373" s="2">
        <f>INT(A373/60)</f>
        <v/>
      </c>
      <c r="D373" s="2">
        <f>IF(C373&lt;6,"Night",IF(C373&lt;12,"Morning",IF(C373&lt;18,"Afternoon",IF(C373&lt;22,"Evening","Night"))))</f>
        <v/>
      </c>
    </row>
    <row r="374">
      <c r="A374" s="2" t="n">
        <v>372</v>
      </c>
      <c r="B374" s="20">
        <f>A374/1440</f>
        <v/>
      </c>
      <c r="C374" s="2">
        <f>INT(A374/60)</f>
        <v/>
      </c>
      <c r="D374" s="2">
        <f>IF(C374&lt;6,"Night",IF(C374&lt;12,"Morning",IF(C374&lt;18,"Afternoon",IF(C374&lt;22,"Evening","Night"))))</f>
        <v/>
      </c>
    </row>
    <row r="375">
      <c r="A375" s="2" t="n">
        <v>373</v>
      </c>
      <c r="B375" s="20">
        <f>A375/1440</f>
        <v/>
      </c>
      <c r="C375" s="2">
        <f>INT(A375/60)</f>
        <v/>
      </c>
      <c r="D375" s="2">
        <f>IF(C375&lt;6,"Night",IF(C375&lt;12,"Morning",IF(C375&lt;18,"Afternoon",IF(C375&lt;22,"Evening","Night"))))</f>
        <v/>
      </c>
    </row>
    <row r="376">
      <c r="A376" s="2" t="n">
        <v>374</v>
      </c>
      <c r="B376" s="20">
        <f>A376/1440</f>
        <v/>
      </c>
      <c r="C376" s="2">
        <f>INT(A376/60)</f>
        <v/>
      </c>
      <c r="D376" s="2">
        <f>IF(C376&lt;6,"Night",IF(C376&lt;12,"Morning",IF(C376&lt;18,"Afternoon",IF(C376&lt;22,"Evening","Night"))))</f>
        <v/>
      </c>
    </row>
    <row r="377">
      <c r="A377" s="2" t="n">
        <v>375</v>
      </c>
      <c r="B377" s="20">
        <f>A377/1440</f>
        <v/>
      </c>
      <c r="C377" s="2">
        <f>INT(A377/60)</f>
        <v/>
      </c>
      <c r="D377" s="2">
        <f>IF(C377&lt;6,"Night",IF(C377&lt;12,"Morning",IF(C377&lt;18,"Afternoon",IF(C377&lt;22,"Evening","Night"))))</f>
        <v/>
      </c>
    </row>
    <row r="378">
      <c r="A378" s="2" t="n">
        <v>376</v>
      </c>
      <c r="B378" s="20">
        <f>A378/1440</f>
        <v/>
      </c>
      <c r="C378" s="2">
        <f>INT(A378/60)</f>
        <v/>
      </c>
      <c r="D378" s="2">
        <f>IF(C378&lt;6,"Night",IF(C378&lt;12,"Morning",IF(C378&lt;18,"Afternoon",IF(C378&lt;22,"Evening","Night"))))</f>
        <v/>
      </c>
    </row>
    <row r="379">
      <c r="A379" s="2" t="n">
        <v>377</v>
      </c>
      <c r="B379" s="20">
        <f>A379/1440</f>
        <v/>
      </c>
      <c r="C379" s="2">
        <f>INT(A379/60)</f>
        <v/>
      </c>
      <c r="D379" s="2">
        <f>IF(C379&lt;6,"Night",IF(C379&lt;12,"Morning",IF(C379&lt;18,"Afternoon",IF(C379&lt;22,"Evening","Night"))))</f>
        <v/>
      </c>
    </row>
    <row r="380">
      <c r="A380" s="2" t="n">
        <v>378</v>
      </c>
      <c r="B380" s="20">
        <f>A380/1440</f>
        <v/>
      </c>
      <c r="C380" s="2">
        <f>INT(A380/60)</f>
        <v/>
      </c>
      <c r="D380" s="2">
        <f>IF(C380&lt;6,"Night",IF(C380&lt;12,"Morning",IF(C380&lt;18,"Afternoon",IF(C380&lt;22,"Evening","Night"))))</f>
        <v/>
      </c>
    </row>
    <row r="381">
      <c r="A381" s="2" t="n">
        <v>379</v>
      </c>
      <c r="B381" s="20">
        <f>A381/1440</f>
        <v/>
      </c>
      <c r="C381" s="2">
        <f>INT(A381/60)</f>
        <v/>
      </c>
      <c r="D381" s="2">
        <f>IF(C381&lt;6,"Night",IF(C381&lt;12,"Morning",IF(C381&lt;18,"Afternoon",IF(C381&lt;22,"Evening","Night"))))</f>
        <v/>
      </c>
    </row>
    <row r="382">
      <c r="A382" s="2" t="n">
        <v>380</v>
      </c>
      <c r="B382" s="20">
        <f>A382/1440</f>
        <v/>
      </c>
      <c r="C382" s="2">
        <f>INT(A382/60)</f>
        <v/>
      </c>
      <c r="D382" s="2">
        <f>IF(C382&lt;6,"Night",IF(C382&lt;12,"Morning",IF(C382&lt;18,"Afternoon",IF(C382&lt;22,"Evening","Night"))))</f>
        <v/>
      </c>
    </row>
    <row r="383">
      <c r="A383" s="2" t="n">
        <v>381</v>
      </c>
      <c r="B383" s="20">
        <f>A383/1440</f>
        <v/>
      </c>
      <c r="C383" s="2">
        <f>INT(A383/60)</f>
        <v/>
      </c>
      <c r="D383" s="2">
        <f>IF(C383&lt;6,"Night",IF(C383&lt;12,"Morning",IF(C383&lt;18,"Afternoon",IF(C383&lt;22,"Evening","Night"))))</f>
        <v/>
      </c>
    </row>
    <row r="384">
      <c r="A384" s="2" t="n">
        <v>382</v>
      </c>
      <c r="B384" s="20">
        <f>A384/1440</f>
        <v/>
      </c>
      <c r="C384" s="2">
        <f>INT(A384/60)</f>
        <v/>
      </c>
      <c r="D384" s="2">
        <f>IF(C384&lt;6,"Night",IF(C384&lt;12,"Morning",IF(C384&lt;18,"Afternoon",IF(C384&lt;22,"Evening","Night"))))</f>
        <v/>
      </c>
    </row>
    <row r="385">
      <c r="A385" s="2" t="n">
        <v>383</v>
      </c>
      <c r="B385" s="20">
        <f>A385/1440</f>
        <v/>
      </c>
      <c r="C385" s="2">
        <f>INT(A385/60)</f>
        <v/>
      </c>
      <c r="D385" s="2">
        <f>IF(C385&lt;6,"Night",IF(C385&lt;12,"Morning",IF(C385&lt;18,"Afternoon",IF(C385&lt;22,"Evening","Night"))))</f>
        <v/>
      </c>
    </row>
    <row r="386">
      <c r="A386" s="2" t="n">
        <v>384</v>
      </c>
      <c r="B386" s="20">
        <f>A386/1440</f>
        <v/>
      </c>
      <c r="C386" s="2">
        <f>INT(A386/60)</f>
        <v/>
      </c>
      <c r="D386" s="2">
        <f>IF(C386&lt;6,"Night",IF(C386&lt;12,"Morning",IF(C386&lt;18,"Afternoon",IF(C386&lt;22,"Evening","Night"))))</f>
        <v/>
      </c>
    </row>
    <row r="387">
      <c r="A387" s="2" t="n">
        <v>385</v>
      </c>
      <c r="B387" s="20">
        <f>A387/1440</f>
        <v/>
      </c>
      <c r="C387" s="2">
        <f>INT(A387/60)</f>
        <v/>
      </c>
      <c r="D387" s="2">
        <f>IF(C387&lt;6,"Night",IF(C387&lt;12,"Morning",IF(C387&lt;18,"Afternoon",IF(C387&lt;22,"Evening","Night"))))</f>
        <v/>
      </c>
    </row>
    <row r="388">
      <c r="A388" s="2" t="n">
        <v>386</v>
      </c>
      <c r="B388" s="20">
        <f>A388/1440</f>
        <v/>
      </c>
      <c r="C388" s="2">
        <f>INT(A388/60)</f>
        <v/>
      </c>
      <c r="D388" s="2">
        <f>IF(C388&lt;6,"Night",IF(C388&lt;12,"Morning",IF(C388&lt;18,"Afternoon",IF(C388&lt;22,"Evening","Night"))))</f>
        <v/>
      </c>
    </row>
    <row r="389">
      <c r="A389" s="2" t="n">
        <v>387</v>
      </c>
      <c r="B389" s="20">
        <f>A389/1440</f>
        <v/>
      </c>
      <c r="C389" s="2">
        <f>INT(A389/60)</f>
        <v/>
      </c>
      <c r="D389" s="2">
        <f>IF(C389&lt;6,"Night",IF(C389&lt;12,"Morning",IF(C389&lt;18,"Afternoon",IF(C389&lt;22,"Evening","Night"))))</f>
        <v/>
      </c>
    </row>
    <row r="390">
      <c r="A390" s="2" t="n">
        <v>388</v>
      </c>
      <c r="B390" s="20">
        <f>A390/1440</f>
        <v/>
      </c>
      <c r="C390" s="2">
        <f>INT(A390/60)</f>
        <v/>
      </c>
      <c r="D390" s="2">
        <f>IF(C390&lt;6,"Night",IF(C390&lt;12,"Morning",IF(C390&lt;18,"Afternoon",IF(C390&lt;22,"Evening","Night"))))</f>
        <v/>
      </c>
    </row>
    <row r="391">
      <c r="A391" s="2" t="n">
        <v>389</v>
      </c>
      <c r="B391" s="20">
        <f>A391/1440</f>
        <v/>
      </c>
      <c r="C391" s="2">
        <f>INT(A391/60)</f>
        <v/>
      </c>
      <c r="D391" s="2">
        <f>IF(C391&lt;6,"Night",IF(C391&lt;12,"Morning",IF(C391&lt;18,"Afternoon",IF(C391&lt;22,"Evening","Night"))))</f>
        <v/>
      </c>
    </row>
    <row r="392">
      <c r="A392" s="2" t="n">
        <v>390</v>
      </c>
      <c r="B392" s="20">
        <f>A392/1440</f>
        <v/>
      </c>
      <c r="C392" s="2">
        <f>INT(A392/60)</f>
        <v/>
      </c>
      <c r="D392" s="2">
        <f>IF(C392&lt;6,"Night",IF(C392&lt;12,"Morning",IF(C392&lt;18,"Afternoon",IF(C392&lt;22,"Evening","Night"))))</f>
        <v/>
      </c>
    </row>
    <row r="393">
      <c r="A393" s="2" t="n">
        <v>391</v>
      </c>
      <c r="B393" s="20">
        <f>A393/1440</f>
        <v/>
      </c>
      <c r="C393" s="2">
        <f>INT(A393/60)</f>
        <v/>
      </c>
      <c r="D393" s="2">
        <f>IF(C393&lt;6,"Night",IF(C393&lt;12,"Morning",IF(C393&lt;18,"Afternoon",IF(C393&lt;22,"Evening","Night"))))</f>
        <v/>
      </c>
    </row>
    <row r="394">
      <c r="A394" s="2" t="n">
        <v>392</v>
      </c>
      <c r="B394" s="20">
        <f>A394/1440</f>
        <v/>
      </c>
      <c r="C394" s="2">
        <f>INT(A394/60)</f>
        <v/>
      </c>
      <c r="D394" s="2">
        <f>IF(C394&lt;6,"Night",IF(C394&lt;12,"Morning",IF(C394&lt;18,"Afternoon",IF(C394&lt;22,"Evening","Night"))))</f>
        <v/>
      </c>
    </row>
    <row r="395">
      <c r="A395" s="2" t="n">
        <v>393</v>
      </c>
      <c r="B395" s="20">
        <f>A395/1440</f>
        <v/>
      </c>
      <c r="C395" s="2">
        <f>INT(A395/60)</f>
        <v/>
      </c>
      <c r="D395" s="2">
        <f>IF(C395&lt;6,"Night",IF(C395&lt;12,"Morning",IF(C395&lt;18,"Afternoon",IF(C395&lt;22,"Evening","Night"))))</f>
        <v/>
      </c>
    </row>
    <row r="396">
      <c r="A396" s="2" t="n">
        <v>394</v>
      </c>
      <c r="B396" s="20">
        <f>A396/1440</f>
        <v/>
      </c>
      <c r="C396" s="2">
        <f>INT(A396/60)</f>
        <v/>
      </c>
      <c r="D396" s="2">
        <f>IF(C396&lt;6,"Night",IF(C396&lt;12,"Morning",IF(C396&lt;18,"Afternoon",IF(C396&lt;22,"Evening","Night"))))</f>
        <v/>
      </c>
    </row>
    <row r="397">
      <c r="A397" s="2" t="n">
        <v>395</v>
      </c>
      <c r="B397" s="20">
        <f>A397/1440</f>
        <v/>
      </c>
      <c r="C397" s="2">
        <f>INT(A397/60)</f>
        <v/>
      </c>
      <c r="D397" s="2">
        <f>IF(C397&lt;6,"Night",IF(C397&lt;12,"Morning",IF(C397&lt;18,"Afternoon",IF(C397&lt;22,"Evening","Night"))))</f>
        <v/>
      </c>
    </row>
    <row r="398">
      <c r="A398" s="2" t="n">
        <v>396</v>
      </c>
      <c r="B398" s="20">
        <f>A398/1440</f>
        <v/>
      </c>
      <c r="C398" s="2">
        <f>INT(A398/60)</f>
        <v/>
      </c>
      <c r="D398" s="2">
        <f>IF(C398&lt;6,"Night",IF(C398&lt;12,"Morning",IF(C398&lt;18,"Afternoon",IF(C398&lt;22,"Evening","Night"))))</f>
        <v/>
      </c>
    </row>
    <row r="399">
      <c r="A399" s="2" t="n">
        <v>397</v>
      </c>
      <c r="B399" s="20">
        <f>A399/1440</f>
        <v/>
      </c>
      <c r="C399" s="2">
        <f>INT(A399/60)</f>
        <v/>
      </c>
      <c r="D399" s="2">
        <f>IF(C399&lt;6,"Night",IF(C399&lt;12,"Morning",IF(C399&lt;18,"Afternoon",IF(C399&lt;22,"Evening","Night"))))</f>
        <v/>
      </c>
    </row>
    <row r="400">
      <c r="A400" s="2" t="n">
        <v>398</v>
      </c>
      <c r="B400" s="20">
        <f>A400/1440</f>
        <v/>
      </c>
      <c r="C400" s="2">
        <f>INT(A400/60)</f>
        <v/>
      </c>
      <c r="D400" s="2">
        <f>IF(C400&lt;6,"Night",IF(C400&lt;12,"Morning",IF(C400&lt;18,"Afternoon",IF(C400&lt;22,"Evening","Night"))))</f>
        <v/>
      </c>
    </row>
    <row r="401">
      <c r="A401" s="2" t="n">
        <v>399</v>
      </c>
      <c r="B401" s="20">
        <f>A401/1440</f>
        <v/>
      </c>
      <c r="C401" s="2">
        <f>INT(A401/60)</f>
        <v/>
      </c>
      <c r="D401" s="2">
        <f>IF(C401&lt;6,"Night",IF(C401&lt;12,"Morning",IF(C401&lt;18,"Afternoon",IF(C401&lt;22,"Evening","Night"))))</f>
        <v/>
      </c>
    </row>
    <row r="402">
      <c r="A402" s="2" t="n">
        <v>400</v>
      </c>
      <c r="B402" s="20">
        <f>A402/1440</f>
        <v/>
      </c>
      <c r="C402" s="2">
        <f>INT(A402/60)</f>
        <v/>
      </c>
      <c r="D402" s="2">
        <f>IF(C402&lt;6,"Night",IF(C402&lt;12,"Morning",IF(C402&lt;18,"Afternoon",IF(C402&lt;22,"Evening","Night"))))</f>
        <v/>
      </c>
    </row>
    <row r="403">
      <c r="A403" s="2" t="n">
        <v>401</v>
      </c>
      <c r="B403" s="20">
        <f>A403/1440</f>
        <v/>
      </c>
      <c r="C403" s="2">
        <f>INT(A403/60)</f>
        <v/>
      </c>
      <c r="D403" s="2">
        <f>IF(C403&lt;6,"Night",IF(C403&lt;12,"Morning",IF(C403&lt;18,"Afternoon",IF(C403&lt;22,"Evening","Night"))))</f>
        <v/>
      </c>
    </row>
    <row r="404">
      <c r="A404" s="2" t="n">
        <v>402</v>
      </c>
      <c r="B404" s="20">
        <f>A404/1440</f>
        <v/>
      </c>
      <c r="C404" s="2">
        <f>INT(A404/60)</f>
        <v/>
      </c>
      <c r="D404" s="2">
        <f>IF(C404&lt;6,"Night",IF(C404&lt;12,"Morning",IF(C404&lt;18,"Afternoon",IF(C404&lt;22,"Evening","Night"))))</f>
        <v/>
      </c>
    </row>
    <row r="405">
      <c r="A405" s="2" t="n">
        <v>403</v>
      </c>
      <c r="B405" s="20">
        <f>A405/1440</f>
        <v/>
      </c>
      <c r="C405" s="2">
        <f>INT(A405/60)</f>
        <v/>
      </c>
      <c r="D405" s="2">
        <f>IF(C405&lt;6,"Night",IF(C405&lt;12,"Morning",IF(C405&lt;18,"Afternoon",IF(C405&lt;22,"Evening","Night"))))</f>
        <v/>
      </c>
    </row>
    <row r="406">
      <c r="A406" s="2" t="n">
        <v>404</v>
      </c>
      <c r="B406" s="20">
        <f>A406/1440</f>
        <v/>
      </c>
      <c r="C406" s="2">
        <f>INT(A406/60)</f>
        <v/>
      </c>
      <c r="D406" s="2">
        <f>IF(C406&lt;6,"Night",IF(C406&lt;12,"Morning",IF(C406&lt;18,"Afternoon",IF(C406&lt;22,"Evening","Night"))))</f>
        <v/>
      </c>
    </row>
    <row r="407">
      <c r="A407" s="2" t="n">
        <v>405</v>
      </c>
      <c r="B407" s="20">
        <f>A407/1440</f>
        <v/>
      </c>
      <c r="C407" s="2">
        <f>INT(A407/60)</f>
        <v/>
      </c>
      <c r="D407" s="2">
        <f>IF(C407&lt;6,"Night",IF(C407&lt;12,"Morning",IF(C407&lt;18,"Afternoon",IF(C407&lt;22,"Evening","Night"))))</f>
        <v/>
      </c>
    </row>
    <row r="408">
      <c r="A408" s="2" t="n">
        <v>406</v>
      </c>
      <c r="B408" s="20">
        <f>A408/1440</f>
        <v/>
      </c>
      <c r="C408" s="2">
        <f>INT(A408/60)</f>
        <v/>
      </c>
      <c r="D408" s="2">
        <f>IF(C408&lt;6,"Night",IF(C408&lt;12,"Morning",IF(C408&lt;18,"Afternoon",IF(C408&lt;22,"Evening","Night"))))</f>
        <v/>
      </c>
    </row>
    <row r="409">
      <c r="A409" s="2" t="n">
        <v>407</v>
      </c>
      <c r="B409" s="20">
        <f>A409/1440</f>
        <v/>
      </c>
      <c r="C409" s="2">
        <f>INT(A409/60)</f>
        <v/>
      </c>
      <c r="D409" s="2">
        <f>IF(C409&lt;6,"Night",IF(C409&lt;12,"Morning",IF(C409&lt;18,"Afternoon",IF(C409&lt;22,"Evening","Night"))))</f>
        <v/>
      </c>
    </row>
    <row r="410">
      <c r="A410" s="2" t="n">
        <v>408</v>
      </c>
      <c r="B410" s="20">
        <f>A410/1440</f>
        <v/>
      </c>
      <c r="C410" s="2">
        <f>INT(A410/60)</f>
        <v/>
      </c>
      <c r="D410" s="2">
        <f>IF(C410&lt;6,"Night",IF(C410&lt;12,"Morning",IF(C410&lt;18,"Afternoon",IF(C410&lt;22,"Evening","Night"))))</f>
        <v/>
      </c>
    </row>
    <row r="411">
      <c r="A411" s="2" t="n">
        <v>409</v>
      </c>
      <c r="B411" s="20">
        <f>A411/1440</f>
        <v/>
      </c>
      <c r="C411" s="2">
        <f>INT(A411/60)</f>
        <v/>
      </c>
      <c r="D411" s="2">
        <f>IF(C411&lt;6,"Night",IF(C411&lt;12,"Morning",IF(C411&lt;18,"Afternoon",IF(C411&lt;22,"Evening","Night"))))</f>
        <v/>
      </c>
    </row>
    <row r="412">
      <c r="A412" s="2" t="n">
        <v>410</v>
      </c>
      <c r="B412" s="20">
        <f>A412/1440</f>
        <v/>
      </c>
      <c r="C412" s="2">
        <f>INT(A412/60)</f>
        <v/>
      </c>
      <c r="D412" s="2">
        <f>IF(C412&lt;6,"Night",IF(C412&lt;12,"Morning",IF(C412&lt;18,"Afternoon",IF(C412&lt;22,"Evening","Night"))))</f>
        <v/>
      </c>
    </row>
    <row r="413">
      <c r="A413" s="2" t="n">
        <v>411</v>
      </c>
      <c r="B413" s="20">
        <f>A413/1440</f>
        <v/>
      </c>
      <c r="C413" s="2">
        <f>INT(A413/60)</f>
        <v/>
      </c>
      <c r="D413" s="2">
        <f>IF(C413&lt;6,"Night",IF(C413&lt;12,"Morning",IF(C413&lt;18,"Afternoon",IF(C413&lt;22,"Evening","Night"))))</f>
        <v/>
      </c>
    </row>
    <row r="414">
      <c r="A414" s="2" t="n">
        <v>412</v>
      </c>
      <c r="B414" s="20">
        <f>A414/1440</f>
        <v/>
      </c>
      <c r="C414" s="2">
        <f>INT(A414/60)</f>
        <v/>
      </c>
      <c r="D414" s="2">
        <f>IF(C414&lt;6,"Night",IF(C414&lt;12,"Morning",IF(C414&lt;18,"Afternoon",IF(C414&lt;22,"Evening","Night"))))</f>
        <v/>
      </c>
    </row>
    <row r="415">
      <c r="A415" s="2" t="n">
        <v>413</v>
      </c>
      <c r="B415" s="20">
        <f>A415/1440</f>
        <v/>
      </c>
      <c r="C415" s="2">
        <f>INT(A415/60)</f>
        <v/>
      </c>
      <c r="D415" s="2">
        <f>IF(C415&lt;6,"Night",IF(C415&lt;12,"Morning",IF(C415&lt;18,"Afternoon",IF(C415&lt;22,"Evening","Night"))))</f>
        <v/>
      </c>
    </row>
    <row r="416">
      <c r="A416" s="2" t="n">
        <v>414</v>
      </c>
      <c r="B416" s="20">
        <f>A416/1440</f>
        <v/>
      </c>
      <c r="C416" s="2">
        <f>INT(A416/60)</f>
        <v/>
      </c>
      <c r="D416" s="2">
        <f>IF(C416&lt;6,"Night",IF(C416&lt;12,"Morning",IF(C416&lt;18,"Afternoon",IF(C416&lt;22,"Evening","Night"))))</f>
        <v/>
      </c>
    </row>
    <row r="417">
      <c r="A417" s="2" t="n">
        <v>415</v>
      </c>
      <c r="B417" s="20">
        <f>A417/1440</f>
        <v/>
      </c>
      <c r="C417" s="2">
        <f>INT(A417/60)</f>
        <v/>
      </c>
      <c r="D417" s="2">
        <f>IF(C417&lt;6,"Night",IF(C417&lt;12,"Morning",IF(C417&lt;18,"Afternoon",IF(C417&lt;22,"Evening","Night"))))</f>
        <v/>
      </c>
    </row>
    <row r="418">
      <c r="A418" s="2" t="n">
        <v>416</v>
      </c>
      <c r="B418" s="20">
        <f>A418/1440</f>
        <v/>
      </c>
      <c r="C418" s="2">
        <f>INT(A418/60)</f>
        <v/>
      </c>
      <c r="D418" s="2">
        <f>IF(C418&lt;6,"Night",IF(C418&lt;12,"Morning",IF(C418&lt;18,"Afternoon",IF(C418&lt;22,"Evening","Night"))))</f>
        <v/>
      </c>
    </row>
    <row r="419">
      <c r="A419" s="2" t="n">
        <v>417</v>
      </c>
      <c r="B419" s="20">
        <f>A419/1440</f>
        <v/>
      </c>
      <c r="C419" s="2">
        <f>INT(A419/60)</f>
        <v/>
      </c>
      <c r="D419" s="2">
        <f>IF(C419&lt;6,"Night",IF(C419&lt;12,"Morning",IF(C419&lt;18,"Afternoon",IF(C419&lt;22,"Evening","Night"))))</f>
        <v/>
      </c>
    </row>
    <row r="420">
      <c r="A420" s="2" t="n">
        <v>418</v>
      </c>
      <c r="B420" s="20">
        <f>A420/1440</f>
        <v/>
      </c>
      <c r="C420" s="2">
        <f>INT(A420/60)</f>
        <v/>
      </c>
      <c r="D420" s="2">
        <f>IF(C420&lt;6,"Night",IF(C420&lt;12,"Morning",IF(C420&lt;18,"Afternoon",IF(C420&lt;22,"Evening","Night"))))</f>
        <v/>
      </c>
    </row>
    <row r="421">
      <c r="A421" s="2" t="n">
        <v>419</v>
      </c>
      <c r="B421" s="20">
        <f>A421/1440</f>
        <v/>
      </c>
      <c r="C421" s="2">
        <f>INT(A421/60)</f>
        <v/>
      </c>
      <c r="D421" s="2">
        <f>IF(C421&lt;6,"Night",IF(C421&lt;12,"Morning",IF(C421&lt;18,"Afternoon",IF(C421&lt;22,"Evening","Night"))))</f>
        <v/>
      </c>
    </row>
    <row r="422">
      <c r="A422" s="2" t="n">
        <v>420</v>
      </c>
      <c r="B422" s="20">
        <f>A422/1440</f>
        <v/>
      </c>
      <c r="C422" s="2">
        <f>INT(A422/60)</f>
        <v/>
      </c>
      <c r="D422" s="2">
        <f>IF(C422&lt;6,"Night",IF(C422&lt;12,"Morning",IF(C422&lt;18,"Afternoon",IF(C422&lt;22,"Evening","Night"))))</f>
        <v/>
      </c>
    </row>
    <row r="423">
      <c r="A423" s="2" t="n">
        <v>421</v>
      </c>
      <c r="B423" s="20">
        <f>A423/1440</f>
        <v/>
      </c>
      <c r="C423" s="2">
        <f>INT(A423/60)</f>
        <v/>
      </c>
      <c r="D423" s="2">
        <f>IF(C423&lt;6,"Night",IF(C423&lt;12,"Morning",IF(C423&lt;18,"Afternoon",IF(C423&lt;22,"Evening","Night"))))</f>
        <v/>
      </c>
    </row>
    <row r="424">
      <c r="A424" s="2" t="n">
        <v>422</v>
      </c>
      <c r="B424" s="20">
        <f>A424/1440</f>
        <v/>
      </c>
      <c r="C424" s="2">
        <f>INT(A424/60)</f>
        <v/>
      </c>
      <c r="D424" s="2">
        <f>IF(C424&lt;6,"Night",IF(C424&lt;12,"Morning",IF(C424&lt;18,"Afternoon",IF(C424&lt;22,"Evening","Night"))))</f>
        <v/>
      </c>
    </row>
    <row r="425">
      <c r="A425" s="2" t="n">
        <v>423</v>
      </c>
      <c r="B425" s="20">
        <f>A425/1440</f>
        <v/>
      </c>
      <c r="C425" s="2">
        <f>INT(A425/60)</f>
        <v/>
      </c>
      <c r="D425" s="2">
        <f>IF(C425&lt;6,"Night",IF(C425&lt;12,"Morning",IF(C425&lt;18,"Afternoon",IF(C425&lt;22,"Evening","Night"))))</f>
        <v/>
      </c>
    </row>
    <row r="426">
      <c r="A426" s="2" t="n">
        <v>424</v>
      </c>
      <c r="B426" s="20">
        <f>A426/1440</f>
        <v/>
      </c>
      <c r="C426" s="2">
        <f>INT(A426/60)</f>
        <v/>
      </c>
      <c r="D426" s="2">
        <f>IF(C426&lt;6,"Night",IF(C426&lt;12,"Morning",IF(C426&lt;18,"Afternoon",IF(C426&lt;22,"Evening","Night"))))</f>
        <v/>
      </c>
    </row>
    <row r="427">
      <c r="A427" s="2" t="n">
        <v>425</v>
      </c>
      <c r="B427" s="20">
        <f>A427/1440</f>
        <v/>
      </c>
      <c r="C427" s="2">
        <f>INT(A427/60)</f>
        <v/>
      </c>
      <c r="D427" s="2">
        <f>IF(C427&lt;6,"Night",IF(C427&lt;12,"Morning",IF(C427&lt;18,"Afternoon",IF(C427&lt;22,"Evening","Night"))))</f>
        <v/>
      </c>
    </row>
    <row r="428">
      <c r="A428" s="2" t="n">
        <v>426</v>
      </c>
      <c r="B428" s="20">
        <f>A428/1440</f>
        <v/>
      </c>
      <c r="C428" s="2">
        <f>INT(A428/60)</f>
        <v/>
      </c>
      <c r="D428" s="2">
        <f>IF(C428&lt;6,"Night",IF(C428&lt;12,"Morning",IF(C428&lt;18,"Afternoon",IF(C428&lt;22,"Evening","Night"))))</f>
        <v/>
      </c>
    </row>
    <row r="429">
      <c r="A429" s="2" t="n">
        <v>427</v>
      </c>
      <c r="B429" s="20">
        <f>A429/1440</f>
        <v/>
      </c>
      <c r="C429" s="2">
        <f>INT(A429/60)</f>
        <v/>
      </c>
      <c r="D429" s="2">
        <f>IF(C429&lt;6,"Night",IF(C429&lt;12,"Morning",IF(C429&lt;18,"Afternoon",IF(C429&lt;22,"Evening","Night"))))</f>
        <v/>
      </c>
    </row>
    <row r="430">
      <c r="A430" s="2" t="n">
        <v>428</v>
      </c>
      <c r="B430" s="20">
        <f>A430/1440</f>
        <v/>
      </c>
      <c r="C430" s="2">
        <f>INT(A430/60)</f>
        <v/>
      </c>
      <c r="D430" s="2">
        <f>IF(C430&lt;6,"Night",IF(C430&lt;12,"Morning",IF(C430&lt;18,"Afternoon",IF(C430&lt;22,"Evening","Night"))))</f>
        <v/>
      </c>
    </row>
    <row r="431">
      <c r="A431" s="2" t="n">
        <v>429</v>
      </c>
      <c r="B431" s="20">
        <f>A431/1440</f>
        <v/>
      </c>
      <c r="C431" s="2">
        <f>INT(A431/60)</f>
        <v/>
      </c>
      <c r="D431" s="2">
        <f>IF(C431&lt;6,"Night",IF(C431&lt;12,"Morning",IF(C431&lt;18,"Afternoon",IF(C431&lt;22,"Evening","Night"))))</f>
        <v/>
      </c>
    </row>
    <row r="432">
      <c r="A432" s="2" t="n">
        <v>430</v>
      </c>
      <c r="B432" s="20">
        <f>A432/1440</f>
        <v/>
      </c>
      <c r="C432" s="2">
        <f>INT(A432/60)</f>
        <v/>
      </c>
      <c r="D432" s="2">
        <f>IF(C432&lt;6,"Night",IF(C432&lt;12,"Morning",IF(C432&lt;18,"Afternoon",IF(C432&lt;22,"Evening","Night"))))</f>
        <v/>
      </c>
    </row>
    <row r="433">
      <c r="A433" s="2" t="n">
        <v>431</v>
      </c>
      <c r="B433" s="20">
        <f>A433/1440</f>
        <v/>
      </c>
      <c r="C433" s="2">
        <f>INT(A433/60)</f>
        <v/>
      </c>
      <c r="D433" s="2">
        <f>IF(C433&lt;6,"Night",IF(C433&lt;12,"Morning",IF(C433&lt;18,"Afternoon",IF(C433&lt;22,"Evening","Night"))))</f>
        <v/>
      </c>
    </row>
    <row r="434">
      <c r="A434" s="2" t="n">
        <v>432</v>
      </c>
      <c r="B434" s="20">
        <f>A434/1440</f>
        <v/>
      </c>
      <c r="C434" s="2">
        <f>INT(A434/60)</f>
        <v/>
      </c>
      <c r="D434" s="2">
        <f>IF(C434&lt;6,"Night",IF(C434&lt;12,"Morning",IF(C434&lt;18,"Afternoon",IF(C434&lt;22,"Evening","Night"))))</f>
        <v/>
      </c>
    </row>
    <row r="435">
      <c r="A435" s="2" t="n">
        <v>433</v>
      </c>
      <c r="B435" s="20">
        <f>A435/1440</f>
        <v/>
      </c>
      <c r="C435" s="2">
        <f>INT(A435/60)</f>
        <v/>
      </c>
      <c r="D435" s="2">
        <f>IF(C435&lt;6,"Night",IF(C435&lt;12,"Morning",IF(C435&lt;18,"Afternoon",IF(C435&lt;22,"Evening","Night"))))</f>
        <v/>
      </c>
    </row>
    <row r="436">
      <c r="A436" s="2" t="n">
        <v>434</v>
      </c>
      <c r="B436" s="20">
        <f>A436/1440</f>
        <v/>
      </c>
      <c r="C436" s="2">
        <f>INT(A436/60)</f>
        <v/>
      </c>
      <c r="D436" s="2">
        <f>IF(C436&lt;6,"Night",IF(C436&lt;12,"Morning",IF(C436&lt;18,"Afternoon",IF(C436&lt;22,"Evening","Night"))))</f>
        <v/>
      </c>
    </row>
    <row r="437">
      <c r="A437" s="2" t="n">
        <v>435</v>
      </c>
      <c r="B437" s="20">
        <f>A437/1440</f>
        <v/>
      </c>
      <c r="C437" s="2">
        <f>INT(A437/60)</f>
        <v/>
      </c>
      <c r="D437" s="2">
        <f>IF(C437&lt;6,"Night",IF(C437&lt;12,"Morning",IF(C437&lt;18,"Afternoon",IF(C437&lt;22,"Evening","Night"))))</f>
        <v/>
      </c>
    </row>
    <row r="438">
      <c r="A438" s="2" t="n">
        <v>436</v>
      </c>
      <c r="B438" s="20">
        <f>A438/1440</f>
        <v/>
      </c>
      <c r="C438" s="2">
        <f>INT(A438/60)</f>
        <v/>
      </c>
      <c r="D438" s="2">
        <f>IF(C438&lt;6,"Night",IF(C438&lt;12,"Morning",IF(C438&lt;18,"Afternoon",IF(C438&lt;22,"Evening","Night"))))</f>
        <v/>
      </c>
    </row>
    <row r="439">
      <c r="A439" s="2" t="n">
        <v>437</v>
      </c>
      <c r="B439" s="20">
        <f>A439/1440</f>
        <v/>
      </c>
      <c r="C439" s="2">
        <f>INT(A439/60)</f>
        <v/>
      </c>
      <c r="D439" s="2">
        <f>IF(C439&lt;6,"Night",IF(C439&lt;12,"Morning",IF(C439&lt;18,"Afternoon",IF(C439&lt;22,"Evening","Night"))))</f>
        <v/>
      </c>
    </row>
    <row r="440">
      <c r="A440" s="2" t="n">
        <v>438</v>
      </c>
      <c r="B440" s="20">
        <f>A440/1440</f>
        <v/>
      </c>
      <c r="C440" s="2">
        <f>INT(A440/60)</f>
        <v/>
      </c>
      <c r="D440" s="2">
        <f>IF(C440&lt;6,"Night",IF(C440&lt;12,"Morning",IF(C440&lt;18,"Afternoon",IF(C440&lt;22,"Evening","Night"))))</f>
        <v/>
      </c>
    </row>
    <row r="441">
      <c r="A441" s="2" t="n">
        <v>439</v>
      </c>
      <c r="B441" s="20">
        <f>A441/1440</f>
        <v/>
      </c>
      <c r="C441" s="2">
        <f>INT(A441/60)</f>
        <v/>
      </c>
      <c r="D441" s="2">
        <f>IF(C441&lt;6,"Night",IF(C441&lt;12,"Morning",IF(C441&lt;18,"Afternoon",IF(C441&lt;22,"Evening","Night"))))</f>
        <v/>
      </c>
    </row>
    <row r="442">
      <c r="A442" s="2" t="n">
        <v>440</v>
      </c>
      <c r="B442" s="20">
        <f>A442/1440</f>
        <v/>
      </c>
      <c r="C442" s="2">
        <f>INT(A442/60)</f>
        <v/>
      </c>
      <c r="D442" s="2">
        <f>IF(C442&lt;6,"Night",IF(C442&lt;12,"Morning",IF(C442&lt;18,"Afternoon",IF(C442&lt;22,"Evening","Night"))))</f>
        <v/>
      </c>
    </row>
    <row r="443">
      <c r="A443" s="2" t="n">
        <v>441</v>
      </c>
      <c r="B443" s="20">
        <f>A443/1440</f>
        <v/>
      </c>
      <c r="C443" s="2">
        <f>INT(A443/60)</f>
        <v/>
      </c>
      <c r="D443" s="2">
        <f>IF(C443&lt;6,"Night",IF(C443&lt;12,"Morning",IF(C443&lt;18,"Afternoon",IF(C443&lt;22,"Evening","Night"))))</f>
        <v/>
      </c>
    </row>
    <row r="444">
      <c r="A444" s="2" t="n">
        <v>442</v>
      </c>
      <c r="B444" s="20">
        <f>A444/1440</f>
        <v/>
      </c>
      <c r="C444" s="2">
        <f>INT(A444/60)</f>
        <v/>
      </c>
      <c r="D444" s="2">
        <f>IF(C444&lt;6,"Night",IF(C444&lt;12,"Morning",IF(C444&lt;18,"Afternoon",IF(C444&lt;22,"Evening","Night"))))</f>
        <v/>
      </c>
    </row>
    <row r="445">
      <c r="A445" s="2" t="n">
        <v>443</v>
      </c>
      <c r="B445" s="20">
        <f>A445/1440</f>
        <v/>
      </c>
      <c r="C445" s="2">
        <f>INT(A445/60)</f>
        <v/>
      </c>
      <c r="D445" s="2">
        <f>IF(C445&lt;6,"Night",IF(C445&lt;12,"Morning",IF(C445&lt;18,"Afternoon",IF(C445&lt;22,"Evening","Night"))))</f>
        <v/>
      </c>
    </row>
    <row r="446">
      <c r="A446" s="2" t="n">
        <v>444</v>
      </c>
      <c r="B446" s="20">
        <f>A446/1440</f>
        <v/>
      </c>
      <c r="C446" s="2">
        <f>INT(A446/60)</f>
        <v/>
      </c>
      <c r="D446" s="2">
        <f>IF(C446&lt;6,"Night",IF(C446&lt;12,"Morning",IF(C446&lt;18,"Afternoon",IF(C446&lt;22,"Evening","Night"))))</f>
        <v/>
      </c>
    </row>
    <row r="447">
      <c r="A447" s="2" t="n">
        <v>445</v>
      </c>
      <c r="B447" s="20">
        <f>A447/1440</f>
        <v/>
      </c>
      <c r="C447" s="2">
        <f>INT(A447/60)</f>
        <v/>
      </c>
      <c r="D447" s="2">
        <f>IF(C447&lt;6,"Night",IF(C447&lt;12,"Morning",IF(C447&lt;18,"Afternoon",IF(C447&lt;22,"Evening","Night"))))</f>
        <v/>
      </c>
    </row>
    <row r="448">
      <c r="A448" s="2" t="n">
        <v>446</v>
      </c>
      <c r="B448" s="20">
        <f>A448/1440</f>
        <v/>
      </c>
      <c r="C448" s="2">
        <f>INT(A448/60)</f>
        <v/>
      </c>
      <c r="D448" s="2">
        <f>IF(C448&lt;6,"Night",IF(C448&lt;12,"Morning",IF(C448&lt;18,"Afternoon",IF(C448&lt;22,"Evening","Night"))))</f>
        <v/>
      </c>
    </row>
    <row r="449">
      <c r="A449" s="2" t="n">
        <v>447</v>
      </c>
      <c r="B449" s="20">
        <f>A449/1440</f>
        <v/>
      </c>
      <c r="C449" s="2">
        <f>INT(A449/60)</f>
        <v/>
      </c>
      <c r="D449" s="2">
        <f>IF(C449&lt;6,"Night",IF(C449&lt;12,"Morning",IF(C449&lt;18,"Afternoon",IF(C449&lt;22,"Evening","Night"))))</f>
        <v/>
      </c>
    </row>
    <row r="450">
      <c r="A450" s="2" t="n">
        <v>448</v>
      </c>
      <c r="B450" s="20">
        <f>A450/1440</f>
        <v/>
      </c>
      <c r="C450" s="2">
        <f>INT(A450/60)</f>
        <v/>
      </c>
      <c r="D450" s="2">
        <f>IF(C450&lt;6,"Night",IF(C450&lt;12,"Morning",IF(C450&lt;18,"Afternoon",IF(C450&lt;22,"Evening","Night"))))</f>
        <v/>
      </c>
    </row>
    <row r="451">
      <c r="A451" s="2" t="n">
        <v>449</v>
      </c>
      <c r="B451" s="20">
        <f>A451/1440</f>
        <v/>
      </c>
      <c r="C451" s="2">
        <f>INT(A451/60)</f>
        <v/>
      </c>
      <c r="D451" s="2">
        <f>IF(C451&lt;6,"Night",IF(C451&lt;12,"Morning",IF(C451&lt;18,"Afternoon",IF(C451&lt;22,"Evening","Night"))))</f>
        <v/>
      </c>
    </row>
    <row r="452">
      <c r="A452" s="2" t="n">
        <v>450</v>
      </c>
      <c r="B452" s="20">
        <f>A452/1440</f>
        <v/>
      </c>
      <c r="C452" s="2">
        <f>INT(A452/60)</f>
        <v/>
      </c>
      <c r="D452" s="2">
        <f>IF(C452&lt;6,"Night",IF(C452&lt;12,"Morning",IF(C452&lt;18,"Afternoon",IF(C452&lt;22,"Evening","Night"))))</f>
        <v/>
      </c>
    </row>
    <row r="453">
      <c r="A453" s="2" t="n">
        <v>451</v>
      </c>
      <c r="B453" s="20">
        <f>A453/1440</f>
        <v/>
      </c>
      <c r="C453" s="2">
        <f>INT(A453/60)</f>
        <v/>
      </c>
      <c r="D453" s="2">
        <f>IF(C453&lt;6,"Night",IF(C453&lt;12,"Morning",IF(C453&lt;18,"Afternoon",IF(C453&lt;22,"Evening","Night"))))</f>
        <v/>
      </c>
    </row>
    <row r="454">
      <c r="A454" s="2" t="n">
        <v>452</v>
      </c>
      <c r="B454" s="20">
        <f>A454/1440</f>
        <v/>
      </c>
      <c r="C454" s="2">
        <f>INT(A454/60)</f>
        <v/>
      </c>
      <c r="D454" s="2">
        <f>IF(C454&lt;6,"Night",IF(C454&lt;12,"Morning",IF(C454&lt;18,"Afternoon",IF(C454&lt;22,"Evening","Night"))))</f>
        <v/>
      </c>
    </row>
    <row r="455">
      <c r="A455" s="2" t="n">
        <v>453</v>
      </c>
      <c r="B455" s="20">
        <f>A455/1440</f>
        <v/>
      </c>
      <c r="C455" s="2">
        <f>INT(A455/60)</f>
        <v/>
      </c>
      <c r="D455" s="2">
        <f>IF(C455&lt;6,"Night",IF(C455&lt;12,"Morning",IF(C455&lt;18,"Afternoon",IF(C455&lt;22,"Evening","Night"))))</f>
        <v/>
      </c>
    </row>
    <row r="456">
      <c r="A456" s="2" t="n">
        <v>454</v>
      </c>
      <c r="B456" s="20">
        <f>A456/1440</f>
        <v/>
      </c>
      <c r="C456" s="2">
        <f>INT(A456/60)</f>
        <v/>
      </c>
      <c r="D456" s="2">
        <f>IF(C456&lt;6,"Night",IF(C456&lt;12,"Morning",IF(C456&lt;18,"Afternoon",IF(C456&lt;22,"Evening","Night"))))</f>
        <v/>
      </c>
    </row>
    <row r="457">
      <c r="A457" s="2" t="n">
        <v>455</v>
      </c>
      <c r="B457" s="20">
        <f>A457/1440</f>
        <v/>
      </c>
      <c r="C457" s="2">
        <f>INT(A457/60)</f>
        <v/>
      </c>
      <c r="D457" s="2">
        <f>IF(C457&lt;6,"Night",IF(C457&lt;12,"Morning",IF(C457&lt;18,"Afternoon",IF(C457&lt;22,"Evening","Night"))))</f>
        <v/>
      </c>
    </row>
    <row r="458">
      <c r="A458" s="2" t="n">
        <v>456</v>
      </c>
      <c r="B458" s="20">
        <f>A458/1440</f>
        <v/>
      </c>
      <c r="C458" s="2">
        <f>INT(A458/60)</f>
        <v/>
      </c>
      <c r="D458" s="2">
        <f>IF(C458&lt;6,"Night",IF(C458&lt;12,"Morning",IF(C458&lt;18,"Afternoon",IF(C458&lt;22,"Evening","Night"))))</f>
        <v/>
      </c>
    </row>
    <row r="459">
      <c r="A459" s="2" t="n">
        <v>457</v>
      </c>
      <c r="B459" s="20">
        <f>A459/1440</f>
        <v/>
      </c>
      <c r="C459" s="2">
        <f>INT(A459/60)</f>
        <v/>
      </c>
      <c r="D459" s="2">
        <f>IF(C459&lt;6,"Night",IF(C459&lt;12,"Morning",IF(C459&lt;18,"Afternoon",IF(C459&lt;22,"Evening","Night"))))</f>
        <v/>
      </c>
    </row>
    <row r="460">
      <c r="A460" s="2" t="n">
        <v>458</v>
      </c>
      <c r="B460" s="20">
        <f>A460/1440</f>
        <v/>
      </c>
      <c r="C460" s="2">
        <f>INT(A460/60)</f>
        <v/>
      </c>
      <c r="D460" s="2">
        <f>IF(C460&lt;6,"Night",IF(C460&lt;12,"Morning",IF(C460&lt;18,"Afternoon",IF(C460&lt;22,"Evening","Night"))))</f>
        <v/>
      </c>
    </row>
    <row r="461">
      <c r="A461" s="2" t="n">
        <v>459</v>
      </c>
      <c r="B461" s="20">
        <f>A461/1440</f>
        <v/>
      </c>
      <c r="C461" s="2">
        <f>INT(A461/60)</f>
        <v/>
      </c>
      <c r="D461" s="2">
        <f>IF(C461&lt;6,"Night",IF(C461&lt;12,"Morning",IF(C461&lt;18,"Afternoon",IF(C461&lt;22,"Evening","Night"))))</f>
        <v/>
      </c>
    </row>
    <row r="462">
      <c r="A462" s="2" t="n">
        <v>460</v>
      </c>
      <c r="B462" s="20">
        <f>A462/1440</f>
        <v/>
      </c>
      <c r="C462" s="2">
        <f>INT(A462/60)</f>
        <v/>
      </c>
      <c r="D462" s="2">
        <f>IF(C462&lt;6,"Night",IF(C462&lt;12,"Morning",IF(C462&lt;18,"Afternoon",IF(C462&lt;22,"Evening","Night"))))</f>
        <v/>
      </c>
    </row>
    <row r="463">
      <c r="A463" s="2" t="n">
        <v>461</v>
      </c>
      <c r="B463" s="20">
        <f>A463/1440</f>
        <v/>
      </c>
      <c r="C463" s="2">
        <f>INT(A463/60)</f>
        <v/>
      </c>
      <c r="D463" s="2">
        <f>IF(C463&lt;6,"Night",IF(C463&lt;12,"Morning",IF(C463&lt;18,"Afternoon",IF(C463&lt;22,"Evening","Night"))))</f>
        <v/>
      </c>
    </row>
    <row r="464">
      <c r="A464" s="2" t="n">
        <v>462</v>
      </c>
      <c r="B464" s="20">
        <f>A464/1440</f>
        <v/>
      </c>
      <c r="C464" s="2">
        <f>INT(A464/60)</f>
        <v/>
      </c>
      <c r="D464" s="2">
        <f>IF(C464&lt;6,"Night",IF(C464&lt;12,"Morning",IF(C464&lt;18,"Afternoon",IF(C464&lt;22,"Evening","Night"))))</f>
        <v/>
      </c>
    </row>
    <row r="465">
      <c r="A465" s="2" t="n">
        <v>463</v>
      </c>
      <c r="B465" s="20">
        <f>A465/1440</f>
        <v/>
      </c>
      <c r="C465" s="2">
        <f>INT(A465/60)</f>
        <v/>
      </c>
      <c r="D465" s="2">
        <f>IF(C465&lt;6,"Night",IF(C465&lt;12,"Morning",IF(C465&lt;18,"Afternoon",IF(C465&lt;22,"Evening","Night"))))</f>
        <v/>
      </c>
    </row>
    <row r="466">
      <c r="A466" s="2" t="n">
        <v>464</v>
      </c>
      <c r="B466" s="20">
        <f>A466/1440</f>
        <v/>
      </c>
      <c r="C466" s="2">
        <f>INT(A466/60)</f>
        <v/>
      </c>
      <c r="D466" s="2">
        <f>IF(C466&lt;6,"Night",IF(C466&lt;12,"Morning",IF(C466&lt;18,"Afternoon",IF(C466&lt;22,"Evening","Night"))))</f>
        <v/>
      </c>
    </row>
    <row r="467">
      <c r="A467" s="2" t="n">
        <v>465</v>
      </c>
      <c r="B467" s="20">
        <f>A467/1440</f>
        <v/>
      </c>
      <c r="C467" s="2">
        <f>INT(A467/60)</f>
        <v/>
      </c>
      <c r="D467" s="2">
        <f>IF(C467&lt;6,"Night",IF(C467&lt;12,"Morning",IF(C467&lt;18,"Afternoon",IF(C467&lt;22,"Evening","Night"))))</f>
        <v/>
      </c>
    </row>
    <row r="468">
      <c r="A468" s="2" t="n">
        <v>466</v>
      </c>
      <c r="B468" s="20">
        <f>A468/1440</f>
        <v/>
      </c>
      <c r="C468" s="2">
        <f>INT(A468/60)</f>
        <v/>
      </c>
      <c r="D468" s="2">
        <f>IF(C468&lt;6,"Night",IF(C468&lt;12,"Morning",IF(C468&lt;18,"Afternoon",IF(C468&lt;22,"Evening","Night"))))</f>
        <v/>
      </c>
    </row>
    <row r="469">
      <c r="A469" s="2" t="n">
        <v>467</v>
      </c>
      <c r="B469" s="20">
        <f>A469/1440</f>
        <v/>
      </c>
      <c r="C469" s="2">
        <f>INT(A469/60)</f>
        <v/>
      </c>
      <c r="D469" s="2">
        <f>IF(C469&lt;6,"Night",IF(C469&lt;12,"Morning",IF(C469&lt;18,"Afternoon",IF(C469&lt;22,"Evening","Night"))))</f>
        <v/>
      </c>
    </row>
    <row r="470">
      <c r="A470" s="2" t="n">
        <v>468</v>
      </c>
      <c r="B470" s="20">
        <f>A470/1440</f>
        <v/>
      </c>
      <c r="C470" s="2">
        <f>INT(A470/60)</f>
        <v/>
      </c>
      <c r="D470" s="2">
        <f>IF(C470&lt;6,"Night",IF(C470&lt;12,"Morning",IF(C470&lt;18,"Afternoon",IF(C470&lt;22,"Evening","Night"))))</f>
        <v/>
      </c>
    </row>
    <row r="471">
      <c r="A471" s="2" t="n">
        <v>469</v>
      </c>
      <c r="B471" s="20">
        <f>A471/1440</f>
        <v/>
      </c>
      <c r="C471" s="2">
        <f>INT(A471/60)</f>
        <v/>
      </c>
      <c r="D471" s="2">
        <f>IF(C471&lt;6,"Night",IF(C471&lt;12,"Morning",IF(C471&lt;18,"Afternoon",IF(C471&lt;22,"Evening","Night"))))</f>
        <v/>
      </c>
    </row>
    <row r="472">
      <c r="A472" s="2" t="n">
        <v>470</v>
      </c>
      <c r="B472" s="20">
        <f>A472/1440</f>
        <v/>
      </c>
      <c r="C472" s="2">
        <f>INT(A472/60)</f>
        <v/>
      </c>
      <c r="D472" s="2">
        <f>IF(C472&lt;6,"Night",IF(C472&lt;12,"Morning",IF(C472&lt;18,"Afternoon",IF(C472&lt;22,"Evening","Night"))))</f>
        <v/>
      </c>
    </row>
    <row r="473">
      <c r="A473" s="2" t="n">
        <v>471</v>
      </c>
      <c r="B473" s="20">
        <f>A473/1440</f>
        <v/>
      </c>
      <c r="C473" s="2">
        <f>INT(A473/60)</f>
        <v/>
      </c>
      <c r="D473" s="2">
        <f>IF(C473&lt;6,"Night",IF(C473&lt;12,"Morning",IF(C473&lt;18,"Afternoon",IF(C473&lt;22,"Evening","Night"))))</f>
        <v/>
      </c>
    </row>
    <row r="474">
      <c r="A474" s="2" t="n">
        <v>472</v>
      </c>
      <c r="B474" s="20">
        <f>A474/1440</f>
        <v/>
      </c>
      <c r="C474" s="2">
        <f>INT(A474/60)</f>
        <v/>
      </c>
      <c r="D474" s="2">
        <f>IF(C474&lt;6,"Night",IF(C474&lt;12,"Morning",IF(C474&lt;18,"Afternoon",IF(C474&lt;22,"Evening","Night"))))</f>
        <v/>
      </c>
    </row>
    <row r="475">
      <c r="A475" s="2" t="n">
        <v>473</v>
      </c>
      <c r="B475" s="20">
        <f>A475/1440</f>
        <v/>
      </c>
      <c r="C475" s="2">
        <f>INT(A475/60)</f>
        <v/>
      </c>
      <c r="D475" s="2">
        <f>IF(C475&lt;6,"Night",IF(C475&lt;12,"Morning",IF(C475&lt;18,"Afternoon",IF(C475&lt;22,"Evening","Night"))))</f>
        <v/>
      </c>
    </row>
    <row r="476">
      <c r="A476" s="2" t="n">
        <v>474</v>
      </c>
      <c r="B476" s="20">
        <f>A476/1440</f>
        <v/>
      </c>
      <c r="C476" s="2">
        <f>INT(A476/60)</f>
        <v/>
      </c>
      <c r="D476" s="2">
        <f>IF(C476&lt;6,"Night",IF(C476&lt;12,"Morning",IF(C476&lt;18,"Afternoon",IF(C476&lt;22,"Evening","Night"))))</f>
        <v/>
      </c>
    </row>
    <row r="477">
      <c r="A477" s="2" t="n">
        <v>475</v>
      </c>
      <c r="B477" s="20">
        <f>A477/1440</f>
        <v/>
      </c>
      <c r="C477" s="2">
        <f>INT(A477/60)</f>
        <v/>
      </c>
      <c r="D477" s="2">
        <f>IF(C477&lt;6,"Night",IF(C477&lt;12,"Morning",IF(C477&lt;18,"Afternoon",IF(C477&lt;22,"Evening","Night"))))</f>
        <v/>
      </c>
    </row>
    <row r="478">
      <c r="A478" s="2" t="n">
        <v>476</v>
      </c>
      <c r="B478" s="20">
        <f>A478/1440</f>
        <v/>
      </c>
      <c r="C478" s="2">
        <f>INT(A478/60)</f>
        <v/>
      </c>
      <c r="D478" s="2">
        <f>IF(C478&lt;6,"Night",IF(C478&lt;12,"Morning",IF(C478&lt;18,"Afternoon",IF(C478&lt;22,"Evening","Night"))))</f>
        <v/>
      </c>
    </row>
    <row r="479">
      <c r="A479" s="2" t="n">
        <v>477</v>
      </c>
      <c r="B479" s="20">
        <f>A479/1440</f>
        <v/>
      </c>
      <c r="C479" s="2">
        <f>INT(A479/60)</f>
        <v/>
      </c>
      <c r="D479" s="2">
        <f>IF(C479&lt;6,"Night",IF(C479&lt;12,"Morning",IF(C479&lt;18,"Afternoon",IF(C479&lt;22,"Evening","Night"))))</f>
        <v/>
      </c>
    </row>
    <row r="480">
      <c r="A480" s="2" t="n">
        <v>478</v>
      </c>
      <c r="B480" s="20">
        <f>A480/1440</f>
        <v/>
      </c>
      <c r="C480" s="2">
        <f>INT(A480/60)</f>
        <v/>
      </c>
      <c r="D480" s="2">
        <f>IF(C480&lt;6,"Night",IF(C480&lt;12,"Morning",IF(C480&lt;18,"Afternoon",IF(C480&lt;22,"Evening","Night"))))</f>
        <v/>
      </c>
    </row>
    <row r="481">
      <c r="A481" s="2" t="n">
        <v>479</v>
      </c>
      <c r="B481" s="20">
        <f>A481/1440</f>
        <v/>
      </c>
      <c r="C481" s="2">
        <f>INT(A481/60)</f>
        <v/>
      </c>
      <c r="D481" s="2">
        <f>IF(C481&lt;6,"Night",IF(C481&lt;12,"Morning",IF(C481&lt;18,"Afternoon",IF(C481&lt;22,"Evening","Night"))))</f>
        <v/>
      </c>
    </row>
    <row r="482">
      <c r="A482" s="2" t="n">
        <v>480</v>
      </c>
      <c r="B482" s="20">
        <f>A482/1440</f>
        <v/>
      </c>
      <c r="C482" s="2">
        <f>INT(A482/60)</f>
        <v/>
      </c>
      <c r="D482" s="2">
        <f>IF(C482&lt;6,"Night",IF(C482&lt;12,"Morning",IF(C482&lt;18,"Afternoon",IF(C482&lt;22,"Evening","Night"))))</f>
        <v/>
      </c>
    </row>
    <row r="483">
      <c r="A483" s="2" t="n">
        <v>481</v>
      </c>
      <c r="B483" s="20">
        <f>A483/1440</f>
        <v/>
      </c>
      <c r="C483" s="2">
        <f>INT(A483/60)</f>
        <v/>
      </c>
      <c r="D483" s="2">
        <f>IF(C483&lt;6,"Night",IF(C483&lt;12,"Morning",IF(C483&lt;18,"Afternoon",IF(C483&lt;22,"Evening","Night"))))</f>
        <v/>
      </c>
    </row>
    <row r="484">
      <c r="A484" s="2" t="n">
        <v>482</v>
      </c>
      <c r="B484" s="20">
        <f>A484/1440</f>
        <v/>
      </c>
      <c r="C484" s="2">
        <f>INT(A484/60)</f>
        <v/>
      </c>
      <c r="D484" s="2">
        <f>IF(C484&lt;6,"Night",IF(C484&lt;12,"Morning",IF(C484&lt;18,"Afternoon",IF(C484&lt;22,"Evening","Night"))))</f>
        <v/>
      </c>
    </row>
    <row r="485">
      <c r="A485" s="2" t="n">
        <v>483</v>
      </c>
      <c r="B485" s="20">
        <f>A485/1440</f>
        <v/>
      </c>
      <c r="C485" s="2">
        <f>INT(A485/60)</f>
        <v/>
      </c>
      <c r="D485" s="2">
        <f>IF(C485&lt;6,"Night",IF(C485&lt;12,"Morning",IF(C485&lt;18,"Afternoon",IF(C485&lt;22,"Evening","Night"))))</f>
        <v/>
      </c>
    </row>
    <row r="486">
      <c r="A486" s="2" t="n">
        <v>484</v>
      </c>
      <c r="B486" s="20">
        <f>A486/1440</f>
        <v/>
      </c>
      <c r="C486" s="2">
        <f>INT(A486/60)</f>
        <v/>
      </c>
      <c r="D486" s="2">
        <f>IF(C486&lt;6,"Night",IF(C486&lt;12,"Morning",IF(C486&lt;18,"Afternoon",IF(C486&lt;22,"Evening","Night"))))</f>
        <v/>
      </c>
    </row>
    <row r="487">
      <c r="A487" s="2" t="n">
        <v>485</v>
      </c>
      <c r="B487" s="20">
        <f>A487/1440</f>
        <v/>
      </c>
      <c r="C487" s="2">
        <f>INT(A487/60)</f>
        <v/>
      </c>
      <c r="D487" s="2">
        <f>IF(C487&lt;6,"Night",IF(C487&lt;12,"Morning",IF(C487&lt;18,"Afternoon",IF(C487&lt;22,"Evening","Night"))))</f>
        <v/>
      </c>
    </row>
    <row r="488">
      <c r="A488" s="2" t="n">
        <v>486</v>
      </c>
      <c r="B488" s="20">
        <f>A488/1440</f>
        <v/>
      </c>
      <c r="C488" s="2">
        <f>INT(A488/60)</f>
        <v/>
      </c>
      <c r="D488" s="2">
        <f>IF(C488&lt;6,"Night",IF(C488&lt;12,"Morning",IF(C488&lt;18,"Afternoon",IF(C488&lt;22,"Evening","Night"))))</f>
        <v/>
      </c>
    </row>
    <row r="489">
      <c r="A489" s="2" t="n">
        <v>487</v>
      </c>
      <c r="B489" s="20">
        <f>A489/1440</f>
        <v/>
      </c>
      <c r="C489" s="2">
        <f>INT(A489/60)</f>
        <v/>
      </c>
      <c r="D489" s="2">
        <f>IF(C489&lt;6,"Night",IF(C489&lt;12,"Morning",IF(C489&lt;18,"Afternoon",IF(C489&lt;22,"Evening","Night"))))</f>
        <v/>
      </c>
    </row>
    <row r="490">
      <c r="A490" s="2" t="n">
        <v>488</v>
      </c>
      <c r="B490" s="20">
        <f>A490/1440</f>
        <v/>
      </c>
      <c r="C490" s="2">
        <f>INT(A490/60)</f>
        <v/>
      </c>
      <c r="D490" s="2">
        <f>IF(C490&lt;6,"Night",IF(C490&lt;12,"Morning",IF(C490&lt;18,"Afternoon",IF(C490&lt;22,"Evening","Night"))))</f>
        <v/>
      </c>
    </row>
    <row r="491">
      <c r="A491" s="2" t="n">
        <v>489</v>
      </c>
      <c r="B491" s="20">
        <f>A491/1440</f>
        <v/>
      </c>
      <c r="C491" s="2">
        <f>INT(A491/60)</f>
        <v/>
      </c>
      <c r="D491" s="2">
        <f>IF(C491&lt;6,"Night",IF(C491&lt;12,"Morning",IF(C491&lt;18,"Afternoon",IF(C491&lt;22,"Evening","Night"))))</f>
        <v/>
      </c>
    </row>
    <row r="492">
      <c r="A492" s="2" t="n">
        <v>490</v>
      </c>
      <c r="B492" s="20">
        <f>A492/1440</f>
        <v/>
      </c>
      <c r="C492" s="2">
        <f>INT(A492/60)</f>
        <v/>
      </c>
      <c r="D492" s="2">
        <f>IF(C492&lt;6,"Night",IF(C492&lt;12,"Morning",IF(C492&lt;18,"Afternoon",IF(C492&lt;22,"Evening","Night"))))</f>
        <v/>
      </c>
    </row>
    <row r="493">
      <c r="A493" s="2" t="n">
        <v>491</v>
      </c>
      <c r="B493" s="20">
        <f>A493/1440</f>
        <v/>
      </c>
      <c r="C493" s="2">
        <f>INT(A493/60)</f>
        <v/>
      </c>
      <c r="D493" s="2">
        <f>IF(C493&lt;6,"Night",IF(C493&lt;12,"Morning",IF(C493&lt;18,"Afternoon",IF(C493&lt;22,"Evening","Night"))))</f>
        <v/>
      </c>
    </row>
    <row r="494">
      <c r="A494" s="2" t="n">
        <v>492</v>
      </c>
      <c r="B494" s="20">
        <f>A494/1440</f>
        <v/>
      </c>
      <c r="C494" s="2">
        <f>INT(A494/60)</f>
        <v/>
      </c>
      <c r="D494" s="2">
        <f>IF(C494&lt;6,"Night",IF(C494&lt;12,"Morning",IF(C494&lt;18,"Afternoon",IF(C494&lt;22,"Evening","Night"))))</f>
        <v/>
      </c>
    </row>
    <row r="495">
      <c r="A495" s="2" t="n">
        <v>493</v>
      </c>
      <c r="B495" s="20">
        <f>A495/1440</f>
        <v/>
      </c>
      <c r="C495" s="2">
        <f>INT(A495/60)</f>
        <v/>
      </c>
      <c r="D495" s="2">
        <f>IF(C495&lt;6,"Night",IF(C495&lt;12,"Morning",IF(C495&lt;18,"Afternoon",IF(C495&lt;22,"Evening","Night"))))</f>
        <v/>
      </c>
    </row>
    <row r="496">
      <c r="A496" s="2" t="n">
        <v>494</v>
      </c>
      <c r="B496" s="20">
        <f>A496/1440</f>
        <v/>
      </c>
      <c r="C496" s="2">
        <f>INT(A496/60)</f>
        <v/>
      </c>
      <c r="D496" s="2">
        <f>IF(C496&lt;6,"Night",IF(C496&lt;12,"Morning",IF(C496&lt;18,"Afternoon",IF(C496&lt;22,"Evening","Night"))))</f>
        <v/>
      </c>
    </row>
    <row r="497">
      <c r="A497" s="2" t="n">
        <v>495</v>
      </c>
      <c r="B497" s="20">
        <f>A497/1440</f>
        <v/>
      </c>
      <c r="C497" s="2">
        <f>INT(A497/60)</f>
        <v/>
      </c>
      <c r="D497" s="2">
        <f>IF(C497&lt;6,"Night",IF(C497&lt;12,"Morning",IF(C497&lt;18,"Afternoon",IF(C497&lt;22,"Evening","Night"))))</f>
        <v/>
      </c>
    </row>
    <row r="498">
      <c r="A498" s="2" t="n">
        <v>496</v>
      </c>
      <c r="B498" s="20">
        <f>A498/1440</f>
        <v/>
      </c>
      <c r="C498" s="2">
        <f>INT(A498/60)</f>
        <v/>
      </c>
      <c r="D498" s="2">
        <f>IF(C498&lt;6,"Night",IF(C498&lt;12,"Morning",IF(C498&lt;18,"Afternoon",IF(C498&lt;22,"Evening","Night"))))</f>
        <v/>
      </c>
    </row>
    <row r="499">
      <c r="A499" s="2" t="n">
        <v>497</v>
      </c>
      <c r="B499" s="20">
        <f>A499/1440</f>
        <v/>
      </c>
      <c r="C499" s="2">
        <f>INT(A499/60)</f>
        <v/>
      </c>
      <c r="D499" s="2">
        <f>IF(C499&lt;6,"Night",IF(C499&lt;12,"Morning",IF(C499&lt;18,"Afternoon",IF(C499&lt;22,"Evening","Night"))))</f>
        <v/>
      </c>
    </row>
    <row r="500">
      <c r="A500" s="2" t="n">
        <v>498</v>
      </c>
      <c r="B500" s="20">
        <f>A500/1440</f>
        <v/>
      </c>
      <c r="C500" s="2">
        <f>INT(A500/60)</f>
        <v/>
      </c>
      <c r="D500" s="2">
        <f>IF(C500&lt;6,"Night",IF(C500&lt;12,"Morning",IF(C500&lt;18,"Afternoon",IF(C500&lt;22,"Evening","Night"))))</f>
        <v/>
      </c>
    </row>
    <row r="501">
      <c r="A501" s="2" t="n">
        <v>499</v>
      </c>
      <c r="B501" s="20">
        <f>A501/1440</f>
        <v/>
      </c>
      <c r="C501" s="2">
        <f>INT(A501/60)</f>
        <v/>
      </c>
      <c r="D501" s="2">
        <f>IF(C501&lt;6,"Night",IF(C501&lt;12,"Morning",IF(C501&lt;18,"Afternoon",IF(C501&lt;22,"Evening","Night"))))</f>
        <v/>
      </c>
    </row>
    <row r="502">
      <c r="A502" s="2" t="n">
        <v>500</v>
      </c>
      <c r="B502" s="20">
        <f>A502/1440</f>
        <v/>
      </c>
      <c r="C502" s="2">
        <f>INT(A502/60)</f>
        <v/>
      </c>
      <c r="D502" s="2">
        <f>IF(C502&lt;6,"Night",IF(C502&lt;12,"Morning",IF(C502&lt;18,"Afternoon",IF(C502&lt;22,"Evening","Night"))))</f>
        <v/>
      </c>
    </row>
    <row r="503">
      <c r="A503" s="2" t="n">
        <v>501</v>
      </c>
      <c r="B503" s="20">
        <f>A503/1440</f>
        <v/>
      </c>
      <c r="C503" s="2">
        <f>INT(A503/60)</f>
        <v/>
      </c>
      <c r="D503" s="2">
        <f>IF(C503&lt;6,"Night",IF(C503&lt;12,"Morning",IF(C503&lt;18,"Afternoon",IF(C503&lt;22,"Evening","Night"))))</f>
        <v/>
      </c>
    </row>
    <row r="504">
      <c r="A504" s="2" t="n">
        <v>502</v>
      </c>
      <c r="B504" s="20">
        <f>A504/1440</f>
        <v/>
      </c>
      <c r="C504" s="2">
        <f>INT(A504/60)</f>
        <v/>
      </c>
      <c r="D504" s="2">
        <f>IF(C504&lt;6,"Night",IF(C504&lt;12,"Morning",IF(C504&lt;18,"Afternoon",IF(C504&lt;22,"Evening","Night"))))</f>
        <v/>
      </c>
    </row>
    <row r="505">
      <c r="A505" s="2" t="n">
        <v>503</v>
      </c>
      <c r="B505" s="20">
        <f>A505/1440</f>
        <v/>
      </c>
      <c r="C505" s="2">
        <f>INT(A505/60)</f>
        <v/>
      </c>
      <c r="D505" s="2">
        <f>IF(C505&lt;6,"Night",IF(C505&lt;12,"Morning",IF(C505&lt;18,"Afternoon",IF(C505&lt;22,"Evening","Night"))))</f>
        <v/>
      </c>
    </row>
    <row r="506">
      <c r="A506" s="2" t="n">
        <v>504</v>
      </c>
      <c r="B506" s="20">
        <f>A506/1440</f>
        <v/>
      </c>
      <c r="C506" s="2">
        <f>INT(A506/60)</f>
        <v/>
      </c>
      <c r="D506" s="2">
        <f>IF(C506&lt;6,"Night",IF(C506&lt;12,"Morning",IF(C506&lt;18,"Afternoon",IF(C506&lt;22,"Evening","Night"))))</f>
        <v/>
      </c>
    </row>
    <row r="507">
      <c r="A507" s="2" t="n">
        <v>505</v>
      </c>
      <c r="B507" s="20">
        <f>A507/1440</f>
        <v/>
      </c>
      <c r="C507" s="2">
        <f>INT(A507/60)</f>
        <v/>
      </c>
      <c r="D507" s="2">
        <f>IF(C507&lt;6,"Night",IF(C507&lt;12,"Morning",IF(C507&lt;18,"Afternoon",IF(C507&lt;22,"Evening","Night"))))</f>
        <v/>
      </c>
    </row>
    <row r="508">
      <c r="A508" s="2" t="n">
        <v>506</v>
      </c>
      <c r="B508" s="20">
        <f>A508/1440</f>
        <v/>
      </c>
      <c r="C508" s="2">
        <f>INT(A508/60)</f>
        <v/>
      </c>
      <c r="D508" s="2">
        <f>IF(C508&lt;6,"Night",IF(C508&lt;12,"Morning",IF(C508&lt;18,"Afternoon",IF(C508&lt;22,"Evening","Night"))))</f>
        <v/>
      </c>
    </row>
    <row r="509">
      <c r="A509" s="2" t="n">
        <v>507</v>
      </c>
      <c r="B509" s="20">
        <f>A509/1440</f>
        <v/>
      </c>
      <c r="C509" s="2">
        <f>INT(A509/60)</f>
        <v/>
      </c>
      <c r="D509" s="2">
        <f>IF(C509&lt;6,"Night",IF(C509&lt;12,"Morning",IF(C509&lt;18,"Afternoon",IF(C509&lt;22,"Evening","Night"))))</f>
        <v/>
      </c>
    </row>
    <row r="510">
      <c r="A510" s="2" t="n">
        <v>508</v>
      </c>
      <c r="B510" s="20">
        <f>A510/1440</f>
        <v/>
      </c>
      <c r="C510" s="2">
        <f>INT(A510/60)</f>
        <v/>
      </c>
      <c r="D510" s="2">
        <f>IF(C510&lt;6,"Night",IF(C510&lt;12,"Morning",IF(C510&lt;18,"Afternoon",IF(C510&lt;22,"Evening","Night"))))</f>
        <v/>
      </c>
    </row>
    <row r="511">
      <c r="A511" s="2" t="n">
        <v>509</v>
      </c>
      <c r="B511" s="20">
        <f>A511/1440</f>
        <v/>
      </c>
      <c r="C511" s="2">
        <f>INT(A511/60)</f>
        <v/>
      </c>
      <c r="D511" s="2">
        <f>IF(C511&lt;6,"Night",IF(C511&lt;12,"Morning",IF(C511&lt;18,"Afternoon",IF(C511&lt;22,"Evening","Night"))))</f>
        <v/>
      </c>
    </row>
    <row r="512">
      <c r="A512" s="2" t="n">
        <v>510</v>
      </c>
      <c r="B512" s="20">
        <f>A512/1440</f>
        <v/>
      </c>
      <c r="C512" s="2">
        <f>INT(A512/60)</f>
        <v/>
      </c>
      <c r="D512" s="2">
        <f>IF(C512&lt;6,"Night",IF(C512&lt;12,"Morning",IF(C512&lt;18,"Afternoon",IF(C512&lt;22,"Evening","Night"))))</f>
        <v/>
      </c>
    </row>
    <row r="513">
      <c r="A513" s="2" t="n">
        <v>511</v>
      </c>
      <c r="B513" s="20">
        <f>A513/1440</f>
        <v/>
      </c>
      <c r="C513" s="2">
        <f>INT(A513/60)</f>
        <v/>
      </c>
      <c r="D513" s="2">
        <f>IF(C513&lt;6,"Night",IF(C513&lt;12,"Morning",IF(C513&lt;18,"Afternoon",IF(C513&lt;22,"Evening","Night"))))</f>
        <v/>
      </c>
    </row>
    <row r="514">
      <c r="A514" s="2" t="n">
        <v>512</v>
      </c>
      <c r="B514" s="20">
        <f>A514/1440</f>
        <v/>
      </c>
      <c r="C514" s="2">
        <f>INT(A514/60)</f>
        <v/>
      </c>
      <c r="D514" s="2">
        <f>IF(C514&lt;6,"Night",IF(C514&lt;12,"Morning",IF(C514&lt;18,"Afternoon",IF(C514&lt;22,"Evening","Night"))))</f>
        <v/>
      </c>
    </row>
    <row r="515">
      <c r="A515" s="2" t="n">
        <v>513</v>
      </c>
      <c r="B515" s="20">
        <f>A515/1440</f>
        <v/>
      </c>
      <c r="C515" s="2">
        <f>INT(A515/60)</f>
        <v/>
      </c>
      <c r="D515" s="2">
        <f>IF(C515&lt;6,"Night",IF(C515&lt;12,"Morning",IF(C515&lt;18,"Afternoon",IF(C515&lt;22,"Evening","Night"))))</f>
        <v/>
      </c>
    </row>
    <row r="516">
      <c r="A516" s="2" t="n">
        <v>514</v>
      </c>
      <c r="B516" s="20">
        <f>A516/1440</f>
        <v/>
      </c>
      <c r="C516" s="2">
        <f>INT(A516/60)</f>
        <v/>
      </c>
      <c r="D516" s="2">
        <f>IF(C516&lt;6,"Night",IF(C516&lt;12,"Morning",IF(C516&lt;18,"Afternoon",IF(C516&lt;22,"Evening","Night"))))</f>
        <v/>
      </c>
    </row>
    <row r="517">
      <c r="A517" s="2" t="n">
        <v>515</v>
      </c>
      <c r="B517" s="20">
        <f>A517/1440</f>
        <v/>
      </c>
      <c r="C517" s="2">
        <f>INT(A517/60)</f>
        <v/>
      </c>
      <c r="D517" s="2">
        <f>IF(C517&lt;6,"Night",IF(C517&lt;12,"Morning",IF(C517&lt;18,"Afternoon",IF(C517&lt;22,"Evening","Night"))))</f>
        <v/>
      </c>
    </row>
    <row r="518">
      <c r="A518" s="2" t="n">
        <v>516</v>
      </c>
      <c r="B518" s="20">
        <f>A518/1440</f>
        <v/>
      </c>
      <c r="C518" s="2">
        <f>INT(A518/60)</f>
        <v/>
      </c>
      <c r="D518" s="2">
        <f>IF(C518&lt;6,"Night",IF(C518&lt;12,"Morning",IF(C518&lt;18,"Afternoon",IF(C518&lt;22,"Evening","Night"))))</f>
        <v/>
      </c>
    </row>
    <row r="519">
      <c r="A519" s="2" t="n">
        <v>517</v>
      </c>
      <c r="B519" s="20">
        <f>A519/1440</f>
        <v/>
      </c>
      <c r="C519" s="2">
        <f>INT(A519/60)</f>
        <v/>
      </c>
      <c r="D519" s="2">
        <f>IF(C519&lt;6,"Night",IF(C519&lt;12,"Morning",IF(C519&lt;18,"Afternoon",IF(C519&lt;22,"Evening","Night"))))</f>
        <v/>
      </c>
    </row>
    <row r="520">
      <c r="A520" s="2" t="n">
        <v>518</v>
      </c>
      <c r="B520" s="20">
        <f>A520/1440</f>
        <v/>
      </c>
      <c r="C520" s="2">
        <f>INT(A520/60)</f>
        <v/>
      </c>
      <c r="D520" s="2">
        <f>IF(C520&lt;6,"Night",IF(C520&lt;12,"Morning",IF(C520&lt;18,"Afternoon",IF(C520&lt;22,"Evening","Night"))))</f>
        <v/>
      </c>
    </row>
    <row r="521">
      <c r="A521" s="2" t="n">
        <v>519</v>
      </c>
      <c r="B521" s="20">
        <f>A521/1440</f>
        <v/>
      </c>
      <c r="C521" s="2">
        <f>INT(A521/60)</f>
        <v/>
      </c>
      <c r="D521" s="2">
        <f>IF(C521&lt;6,"Night",IF(C521&lt;12,"Morning",IF(C521&lt;18,"Afternoon",IF(C521&lt;22,"Evening","Night"))))</f>
        <v/>
      </c>
    </row>
    <row r="522">
      <c r="A522" s="2" t="n">
        <v>520</v>
      </c>
      <c r="B522" s="20">
        <f>A522/1440</f>
        <v/>
      </c>
      <c r="C522" s="2">
        <f>INT(A522/60)</f>
        <v/>
      </c>
      <c r="D522" s="2">
        <f>IF(C522&lt;6,"Night",IF(C522&lt;12,"Morning",IF(C522&lt;18,"Afternoon",IF(C522&lt;22,"Evening","Night"))))</f>
        <v/>
      </c>
    </row>
    <row r="523">
      <c r="A523" s="2" t="n">
        <v>521</v>
      </c>
      <c r="B523" s="20">
        <f>A523/1440</f>
        <v/>
      </c>
      <c r="C523" s="2">
        <f>INT(A523/60)</f>
        <v/>
      </c>
      <c r="D523" s="2">
        <f>IF(C523&lt;6,"Night",IF(C523&lt;12,"Morning",IF(C523&lt;18,"Afternoon",IF(C523&lt;22,"Evening","Night"))))</f>
        <v/>
      </c>
    </row>
    <row r="524">
      <c r="A524" s="2" t="n">
        <v>522</v>
      </c>
      <c r="B524" s="20">
        <f>A524/1440</f>
        <v/>
      </c>
      <c r="C524" s="2">
        <f>INT(A524/60)</f>
        <v/>
      </c>
      <c r="D524" s="2">
        <f>IF(C524&lt;6,"Night",IF(C524&lt;12,"Morning",IF(C524&lt;18,"Afternoon",IF(C524&lt;22,"Evening","Night"))))</f>
        <v/>
      </c>
    </row>
    <row r="525">
      <c r="A525" s="2" t="n">
        <v>523</v>
      </c>
      <c r="B525" s="20">
        <f>A525/1440</f>
        <v/>
      </c>
      <c r="C525" s="2">
        <f>INT(A525/60)</f>
        <v/>
      </c>
      <c r="D525" s="2">
        <f>IF(C525&lt;6,"Night",IF(C525&lt;12,"Morning",IF(C525&lt;18,"Afternoon",IF(C525&lt;22,"Evening","Night"))))</f>
        <v/>
      </c>
    </row>
    <row r="526">
      <c r="A526" s="2" t="n">
        <v>524</v>
      </c>
      <c r="B526" s="20">
        <f>A526/1440</f>
        <v/>
      </c>
      <c r="C526" s="2">
        <f>INT(A526/60)</f>
        <v/>
      </c>
      <c r="D526" s="2">
        <f>IF(C526&lt;6,"Night",IF(C526&lt;12,"Morning",IF(C526&lt;18,"Afternoon",IF(C526&lt;22,"Evening","Night"))))</f>
        <v/>
      </c>
    </row>
    <row r="527">
      <c r="A527" s="2" t="n">
        <v>525</v>
      </c>
      <c r="B527" s="20">
        <f>A527/1440</f>
        <v/>
      </c>
      <c r="C527" s="2">
        <f>INT(A527/60)</f>
        <v/>
      </c>
      <c r="D527" s="2">
        <f>IF(C527&lt;6,"Night",IF(C527&lt;12,"Morning",IF(C527&lt;18,"Afternoon",IF(C527&lt;22,"Evening","Night"))))</f>
        <v/>
      </c>
    </row>
    <row r="528">
      <c r="A528" s="2" t="n">
        <v>526</v>
      </c>
      <c r="B528" s="20">
        <f>A528/1440</f>
        <v/>
      </c>
      <c r="C528" s="2">
        <f>INT(A528/60)</f>
        <v/>
      </c>
      <c r="D528" s="2">
        <f>IF(C528&lt;6,"Night",IF(C528&lt;12,"Morning",IF(C528&lt;18,"Afternoon",IF(C528&lt;22,"Evening","Night"))))</f>
        <v/>
      </c>
    </row>
    <row r="529">
      <c r="A529" s="2" t="n">
        <v>527</v>
      </c>
      <c r="B529" s="20">
        <f>A529/1440</f>
        <v/>
      </c>
      <c r="C529" s="2">
        <f>INT(A529/60)</f>
        <v/>
      </c>
      <c r="D529" s="2">
        <f>IF(C529&lt;6,"Night",IF(C529&lt;12,"Morning",IF(C529&lt;18,"Afternoon",IF(C529&lt;22,"Evening","Night"))))</f>
        <v/>
      </c>
    </row>
    <row r="530">
      <c r="A530" s="2" t="n">
        <v>528</v>
      </c>
      <c r="B530" s="20">
        <f>A530/1440</f>
        <v/>
      </c>
      <c r="C530" s="2">
        <f>INT(A530/60)</f>
        <v/>
      </c>
      <c r="D530" s="2">
        <f>IF(C530&lt;6,"Night",IF(C530&lt;12,"Morning",IF(C530&lt;18,"Afternoon",IF(C530&lt;22,"Evening","Night"))))</f>
        <v/>
      </c>
    </row>
    <row r="531">
      <c r="A531" s="2" t="n">
        <v>529</v>
      </c>
      <c r="B531" s="20">
        <f>A531/1440</f>
        <v/>
      </c>
      <c r="C531" s="2">
        <f>INT(A531/60)</f>
        <v/>
      </c>
      <c r="D531" s="2">
        <f>IF(C531&lt;6,"Night",IF(C531&lt;12,"Morning",IF(C531&lt;18,"Afternoon",IF(C531&lt;22,"Evening","Night"))))</f>
        <v/>
      </c>
    </row>
    <row r="532">
      <c r="A532" s="2" t="n">
        <v>530</v>
      </c>
      <c r="B532" s="20">
        <f>A532/1440</f>
        <v/>
      </c>
      <c r="C532" s="2">
        <f>INT(A532/60)</f>
        <v/>
      </c>
      <c r="D532" s="2">
        <f>IF(C532&lt;6,"Night",IF(C532&lt;12,"Morning",IF(C532&lt;18,"Afternoon",IF(C532&lt;22,"Evening","Night"))))</f>
        <v/>
      </c>
    </row>
    <row r="533">
      <c r="A533" s="2" t="n">
        <v>531</v>
      </c>
      <c r="B533" s="20">
        <f>A533/1440</f>
        <v/>
      </c>
      <c r="C533" s="2">
        <f>INT(A533/60)</f>
        <v/>
      </c>
      <c r="D533" s="2">
        <f>IF(C533&lt;6,"Night",IF(C533&lt;12,"Morning",IF(C533&lt;18,"Afternoon",IF(C533&lt;22,"Evening","Night"))))</f>
        <v/>
      </c>
    </row>
    <row r="534">
      <c r="A534" s="2" t="n">
        <v>532</v>
      </c>
      <c r="B534" s="20">
        <f>A534/1440</f>
        <v/>
      </c>
      <c r="C534" s="2">
        <f>INT(A534/60)</f>
        <v/>
      </c>
      <c r="D534" s="2">
        <f>IF(C534&lt;6,"Night",IF(C534&lt;12,"Morning",IF(C534&lt;18,"Afternoon",IF(C534&lt;22,"Evening","Night"))))</f>
        <v/>
      </c>
    </row>
    <row r="535">
      <c r="A535" s="2" t="n">
        <v>533</v>
      </c>
      <c r="B535" s="20">
        <f>A535/1440</f>
        <v/>
      </c>
      <c r="C535" s="2">
        <f>INT(A535/60)</f>
        <v/>
      </c>
      <c r="D535" s="2">
        <f>IF(C535&lt;6,"Night",IF(C535&lt;12,"Morning",IF(C535&lt;18,"Afternoon",IF(C535&lt;22,"Evening","Night"))))</f>
        <v/>
      </c>
    </row>
    <row r="536">
      <c r="A536" s="2" t="n">
        <v>534</v>
      </c>
      <c r="B536" s="20">
        <f>A536/1440</f>
        <v/>
      </c>
      <c r="C536" s="2">
        <f>INT(A536/60)</f>
        <v/>
      </c>
      <c r="D536" s="2">
        <f>IF(C536&lt;6,"Night",IF(C536&lt;12,"Morning",IF(C536&lt;18,"Afternoon",IF(C536&lt;22,"Evening","Night"))))</f>
        <v/>
      </c>
    </row>
    <row r="537">
      <c r="A537" s="2" t="n">
        <v>535</v>
      </c>
      <c r="B537" s="20">
        <f>A537/1440</f>
        <v/>
      </c>
      <c r="C537" s="2">
        <f>INT(A537/60)</f>
        <v/>
      </c>
      <c r="D537" s="2">
        <f>IF(C537&lt;6,"Night",IF(C537&lt;12,"Morning",IF(C537&lt;18,"Afternoon",IF(C537&lt;22,"Evening","Night"))))</f>
        <v/>
      </c>
    </row>
    <row r="538">
      <c r="A538" s="2" t="n">
        <v>536</v>
      </c>
      <c r="B538" s="20">
        <f>A538/1440</f>
        <v/>
      </c>
      <c r="C538" s="2">
        <f>INT(A538/60)</f>
        <v/>
      </c>
      <c r="D538" s="2">
        <f>IF(C538&lt;6,"Night",IF(C538&lt;12,"Morning",IF(C538&lt;18,"Afternoon",IF(C538&lt;22,"Evening","Night"))))</f>
        <v/>
      </c>
    </row>
    <row r="539">
      <c r="A539" s="2" t="n">
        <v>537</v>
      </c>
      <c r="B539" s="20">
        <f>A539/1440</f>
        <v/>
      </c>
      <c r="C539" s="2">
        <f>INT(A539/60)</f>
        <v/>
      </c>
      <c r="D539" s="2">
        <f>IF(C539&lt;6,"Night",IF(C539&lt;12,"Morning",IF(C539&lt;18,"Afternoon",IF(C539&lt;22,"Evening","Night"))))</f>
        <v/>
      </c>
    </row>
    <row r="540">
      <c r="A540" s="2" t="n">
        <v>538</v>
      </c>
      <c r="B540" s="20">
        <f>A540/1440</f>
        <v/>
      </c>
      <c r="C540" s="2">
        <f>INT(A540/60)</f>
        <v/>
      </c>
      <c r="D540" s="2">
        <f>IF(C540&lt;6,"Night",IF(C540&lt;12,"Morning",IF(C540&lt;18,"Afternoon",IF(C540&lt;22,"Evening","Night"))))</f>
        <v/>
      </c>
    </row>
    <row r="541">
      <c r="A541" s="2" t="n">
        <v>539</v>
      </c>
      <c r="B541" s="20">
        <f>A541/1440</f>
        <v/>
      </c>
      <c r="C541" s="2">
        <f>INT(A541/60)</f>
        <v/>
      </c>
      <c r="D541" s="2">
        <f>IF(C541&lt;6,"Night",IF(C541&lt;12,"Morning",IF(C541&lt;18,"Afternoon",IF(C541&lt;22,"Evening","Night"))))</f>
        <v/>
      </c>
    </row>
    <row r="542">
      <c r="A542" s="2" t="n">
        <v>540</v>
      </c>
      <c r="B542" s="20">
        <f>A542/1440</f>
        <v/>
      </c>
      <c r="C542" s="2">
        <f>INT(A542/60)</f>
        <v/>
      </c>
      <c r="D542" s="2">
        <f>IF(C542&lt;6,"Night",IF(C542&lt;12,"Morning",IF(C542&lt;18,"Afternoon",IF(C542&lt;22,"Evening","Night"))))</f>
        <v/>
      </c>
    </row>
    <row r="543">
      <c r="A543" s="2" t="n">
        <v>541</v>
      </c>
      <c r="B543" s="20">
        <f>A543/1440</f>
        <v/>
      </c>
      <c r="C543" s="2">
        <f>INT(A543/60)</f>
        <v/>
      </c>
      <c r="D543" s="2">
        <f>IF(C543&lt;6,"Night",IF(C543&lt;12,"Morning",IF(C543&lt;18,"Afternoon",IF(C543&lt;22,"Evening","Night"))))</f>
        <v/>
      </c>
    </row>
    <row r="544">
      <c r="A544" s="2" t="n">
        <v>542</v>
      </c>
      <c r="B544" s="20">
        <f>A544/1440</f>
        <v/>
      </c>
      <c r="C544" s="2">
        <f>INT(A544/60)</f>
        <v/>
      </c>
      <c r="D544" s="2">
        <f>IF(C544&lt;6,"Night",IF(C544&lt;12,"Morning",IF(C544&lt;18,"Afternoon",IF(C544&lt;22,"Evening","Night"))))</f>
        <v/>
      </c>
    </row>
    <row r="545">
      <c r="A545" s="2" t="n">
        <v>543</v>
      </c>
      <c r="B545" s="20">
        <f>A545/1440</f>
        <v/>
      </c>
      <c r="C545" s="2">
        <f>INT(A545/60)</f>
        <v/>
      </c>
      <c r="D545" s="2">
        <f>IF(C545&lt;6,"Night",IF(C545&lt;12,"Morning",IF(C545&lt;18,"Afternoon",IF(C545&lt;22,"Evening","Night"))))</f>
        <v/>
      </c>
    </row>
    <row r="546">
      <c r="A546" s="2" t="n">
        <v>544</v>
      </c>
      <c r="B546" s="20">
        <f>A546/1440</f>
        <v/>
      </c>
      <c r="C546" s="2">
        <f>INT(A546/60)</f>
        <v/>
      </c>
      <c r="D546" s="2">
        <f>IF(C546&lt;6,"Night",IF(C546&lt;12,"Morning",IF(C546&lt;18,"Afternoon",IF(C546&lt;22,"Evening","Night"))))</f>
        <v/>
      </c>
    </row>
    <row r="547">
      <c r="A547" s="2" t="n">
        <v>545</v>
      </c>
      <c r="B547" s="20">
        <f>A547/1440</f>
        <v/>
      </c>
      <c r="C547" s="2">
        <f>INT(A547/60)</f>
        <v/>
      </c>
      <c r="D547" s="2">
        <f>IF(C547&lt;6,"Night",IF(C547&lt;12,"Morning",IF(C547&lt;18,"Afternoon",IF(C547&lt;22,"Evening","Night"))))</f>
        <v/>
      </c>
    </row>
    <row r="548">
      <c r="A548" s="2" t="n">
        <v>546</v>
      </c>
      <c r="B548" s="20">
        <f>A548/1440</f>
        <v/>
      </c>
      <c r="C548" s="2">
        <f>INT(A548/60)</f>
        <v/>
      </c>
      <c r="D548" s="2">
        <f>IF(C548&lt;6,"Night",IF(C548&lt;12,"Morning",IF(C548&lt;18,"Afternoon",IF(C548&lt;22,"Evening","Night"))))</f>
        <v/>
      </c>
    </row>
    <row r="549">
      <c r="A549" s="2" t="n">
        <v>547</v>
      </c>
      <c r="B549" s="20">
        <f>A549/1440</f>
        <v/>
      </c>
      <c r="C549" s="2">
        <f>INT(A549/60)</f>
        <v/>
      </c>
      <c r="D549" s="2">
        <f>IF(C549&lt;6,"Night",IF(C549&lt;12,"Morning",IF(C549&lt;18,"Afternoon",IF(C549&lt;22,"Evening","Night"))))</f>
        <v/>
      </c>
    </row>
    <row r="550">
      <c r="A550" s="2" t="n">
        <v>548</v>
      </c>
      <c r="B550" s="20">
        <f>A550/1440</f>
        <v/>
      </c>
      <c r="C550" s="2">
        <f>INT(A550/60)</f>
        <v/>
      </c>
      <c r="D550" s="2">
        <f>IF(C550&lt;6,"Night",IF(C550&lt;12,"Morning",IF(C550&lt;18,"Afternoon",IF(C550&lt;22,"Evening","Night"))))</f>
        <v/>
      </c>
    </row>
    <row r="551">
      <c r="A551" s="2" t="n">
        <v>549</v>
      </c>
      <c r="B551" s="20">
        <f>A551/1440</f>
        <v/>
      </c>
      <c r="C551" s="2">
        <f>INT(A551/60)</f>
        <v/>
      </c>
      <c r="D551" s="2">
        <f>IF(C551&lt;6,"Night",IF(C551&lt;12,"Morning",IF(C551&lt;18,"Afternoon",IF(C551&lt;22,"Evening","Night"))))</f>
        <v/>
      </c>
    </row>
    <row r="552">
      <c r="A552" s="2" t="n">
        <v>550</v>
      </c>
      <c r="B552" s="20">
        <f>A552/1440</f>
        <v/>
      </c>
      <c r="C552" s="2">
        <f>INT(A552/60)</f>
        <v/>
      </c>
      <c r="D552" s="2">
        <f>IF(C552&lt;6,"Night",IF(C552&lt;12,"Morning",IF(C552&lt;18,"Afternoon",IF(C552&lt;22,"Evening","Night"))))</f>
        <v/>
      </c>
    </row>
    <row r="553">
      <c r="A553" s="2" t="n">
        <v>551</v>
      </c>
      <c r="B553" s="20">
        <f>A553/1440</f>
        <v/>
      </c>
      <c r="C553" s="2">
        <f>INT(A553/60)</f>
        <v/>
      </c>
      <c r="D553" s="2">
        <f>IF(C553&lt;6,"Night",IF(C553&lt;12,"Morning",IF(C553&lt;18,"Afternoon",IF(C553&lt;22,"Evening","Night"))))</f>
        <v/>
      </c>
    </row>
    <row r="554">
      <c r="A554" s="2" t="n">
        <v>552</v>
      </c>
      <c r="B554" s="20">
        <f>A554/1440</f>
        <v/>
      </c>
      <c r="C554" s="2">
        <f>INT(A554/60)</f>
        <v/>
      </c>
      <c r="D554" s="2">
        <f>IF(C554&lt;6,"Night",IF(C554&lt;12,"Morning",IF(C554&lt;18,"Afternoon",IF(C554&lt;22,"Evening","Night"))))</f>
        <v/>
      </c>
    </row>
    <row r="555">
      <c r="A555" s="2" t="n">
        <v>553</v>
      </c>
      <c r="B555" s="20">
        <f>A555/1440</f>
        <v/>
      </c>
      <c r="C555" s="2">
        <f>INT(A555/60)</f>
        <v/>
      </c>
      <c r="D555" s="2">
        <f>IF(C555&lt;6,"Night",IF(C555&lt;12,"Morning",IF(C555&lt;18,"Afternoon",IF(C555&lt;22,"Evening","Night"))))</f>
        <v/>
      </c>
    </row>
    <row r="556">
      <c r="A556" s="2" t="n">
        <v>554</v>
      </c>
      <c r="B556" s="20">
        <f>A556/1440</f>
        <v/>
      </c>
      <c r="C556" s="2">
        <f>INT(A556/60)</f>
        <v/>
      </c>
      <c r="D556" s="2">
        <f>IF(C556&lt;6,"Night",IF(C556&lt;12,"Morning",IF(C556&lt;18,"Afternoon",IF(C556&lt;22,"Evening","Night"))))</f>
        <v/>
      </c>
    </row>
    <row r="557">
      <c r="A557" s="2" t="n">
        <v>555</v>
      </c>
      <c r="B557" s="20">
        <f>A557/1440</f>
        <v/>
      </c>
      <c r="C557" s="2">
        <f>INT(A557/60)</f>
        <v/>
      </c>
      <c r="D557" s="2">
        <f>IF(C557&lt;6,"Night",IF(C557&lt;12,"Morning",IF(C557&lt;18,"Afternoon",IF(C557&lt;22,"Evening","Night"))))</f>
        <v/>
      </c>
    </row>
    <row r="558">
      <c r="A558" s="2" t="n">
        <v>556</v>
      </c>
      <c r="B558" s="20">
        <f>A558/1440</f>
        <v/>
      </c>
      <c r="C558" s="2">
        <f>INT(A558/60)</f>
        <v/>
      </c>
      <c r="D558" s="2">
        <f>IF(C558&lt;6,"Night",IF(C558&lt;12,"Morning",IF(C558&lt;18,"Afternoon",IF(C558&lt;22,"Evening","Night"))))</f>
        <v/>
      </c>
    </row>
    <row r="559">
      <c r="A559" s="2" t="n">
        <v>557</v>
      </c>
      <c r="B559" s="20">
        <f>A559/1440</f>
        <v/>
      </c>
      <c r="C559" s="2">
        <f>INT(A559/60)</f>
        <v/>
      </c>
      <c r="D559" s="2">
        <f>IF(C559&lt;6,"Night",IF(C559&lt;12,"Morning",IF(C559&lt;18,"Afternoon",IF(C559&lt;22,"Evening","Night"))))</f>
        <v/>
      </c>
    </row>
    <row r="560">
      <c r="A560" s="2" t="n">
        <v>558</v>
      </c>
      <c r="B560" s="20">
        <f>A560/1440</f>
        <v/>
      </c>
      <c r="C560" s="2">
        <f>INT(A560/60)</f>
        <v/>
      </c>
      <c r="D560" s="2">
        <f>IF(C560&lt;6,"Night",IF(C560&lt;12,"Morning",IF(C560&lt;18,"Afternoon",IF(C560&lt;22,"Evening","Night"))))</f>
        <v/>
      </c>
    </row>
    <row r="561">
      <c r="A561" s="2" t="n">
        <v>559</v>
      </c>
      <c r="B561" s="20">
        <f>A561/1440</f>
        <v/>
      </c>
      <c r="C561" s="2">
        <f>INT(A561/60)</f>
        <v/>
      </c>
      <c r="D561" s="2">
        <f>IF(C561&lt;6,"Night",IF(C561&lt;12,"Morning",IF(C561&lt;18,"Afternoon",IF(C561&lt;22,"Evening","Night"))))</f>
        <v/>
      </c>
    </row>
    <row r="562">
      <c r="A562" s="2" t="n">
        <v>560</v>
      </c>
      <c r="B562" s="20">
        <f>A562/1440</f>
        <v/>
      </c>
      <c r="C562" s="2">
        <f>INT(A562/60)</f>
        <v/>
      </c>
      <c r="D562" s="2">
        <f>IF(C562&lt;6,"Night",IF(C562&lt;12,"Morning",IF(C562&lt;18,"Afternoon",IF(C562&lt;22,"Evening","Night"))))</f>
        <v/>
      </c>
    </row>
    <row r="563">
      <c r="A563" s="2" t="n">
        <v>561</v>
      </c>
      <c r="B563" s="20">
        <f>A563/1440</f>
        <v/>
      </c>
      <c r="C563" s="2">
        <f>INT(A563/60)</f>
        <v/>
      </c>
      <c r="D563" s="2">
        <f>IF(C563&lt;6,"Night",IF(C563&lt;12,"Morning",IF(C563&lt;18,"Afternoon",IF(C563&lt;22,"Evening","Night"))))</f>
        <v/>
      </c>
    </row>
    <row r="564">
      <c r="A564" s="2" t="n">
        <v>562</v>
      </c>
      <c r="B564" s="20">
        <f>A564/1440</f>
        <v/>
      </c>
      <c r="C564" s="2">
        <f>INT(A564/60)</f>
        <v/>
      </c>
      <c r="D564" s="2">
        <f>IF(C564&lt;6,"Night",IF(C564&lt;12,"Morning",IF(C564&lt;18,"Afternoon",IF(C564&lt;22,"Evening","Night"))))</f>
        <v/>
      </c>
    </row>
    <row r="565">
      <c r="A565" s="2" t="n">
        <v>563</v>
      </c>
      <c r="B565" s="20">
        <f>A565/1440</f>
        <v/>
      </c>
      <c r="C565" s="2">
        <f>INT(A565/60)</f>
        <v/>
      </c>
      <c r="D565" s="2">
        <f>IF(C565&lt;6,"Night",IF(C565&lt;12,"Morning",IF(C565&lt;18,"Afternoon",IF(C565&lt;22,"Evening","Night"))))</f>
        <v/>
      </c>
    </row>
    <row r="566">
      <c r="A566" s="2" t="n">
        <v>564</v>
      </c>
      <c r="B566" s="20">
        <f>A566/1440</f>
        <v/>
      </c>
      <c r="C566" s="2">
        <f>INT(A566/60)</f>
        <v/>
      </c>
      <c r="D566" s="2">
        <f>IF(C566&lt;6,"Night",IF(C566&lt;12,"Morning",IF(C566&lt;18,"Afternoon",IF(C566&lt;22,"Evening","Night"))))</f>
        <v/>
      </c>
    </row>
    <row r="567">
      <c r="A567" s="2" t="n">
        <v>565</v>
      </c>
      <c r="B567" s="20">
        <f>A567/1440</f>
        <v/>
      </c>
      <c r="C567" s="2">
        <f>INT(A567/60)</f>
        <v/>
      </c>
      <c r="D567" s="2">
        <f>IF(C567&lt;6,"Night",IF(C567&lt;12,"Morning",IF(C567&lt;18,"Afternoon",IF(C567&lt;22,"Evening","Night"))))</f>
        <v/>
      </c>
    </row>
    <row r="568">
      <c r="A568" s="2" t="n">
        <v>566</v>
      </c>
      <c r="B568" s="20">
        <f>A568/1440</f>
        <v/>
      </c>
      <c r="C568" s="2">
        <f>INT(A568/60)</f>
        <v/>
      </c>
      <c r="D568" s="2">
        <f>IF(C568&lt;6,"Night",IF(C568&lt;12,"Morning",IF(C568&lt;18,"Afternoon",IF(C568&lt;22,"Evening","Night"))))</f>
        <v/>
      </c>
    </row>
    <row r="569">
      <c r="A569" s="2" t="n">
        <v>567</v>
      </c>
      <c r="B569" s="20">
        <f>A569/1440</f>
        <v/>
      </c>
      <c r="C569" s="2">
        <f>INT(A569/60)</f>
        <v/>
      </c>
      <c r="D569" s="2">
        <f>IF(C569&lt;6,"Night",IF(C569&lt;12,"Morning",IF(C569&lt;18,"Afternoon",IF(C569&lt;22,"Evening","Night"))))</f>
        <v/>
      </c>
    </row>
    <row r="570">
      <c r="A570" s="2" t="n">
        <v>568</v>
      </c>
      <c r="B570" s="20">
        <f>A570/1440</f>
        <v/>
      </c>
      <c r="C570" s="2">
        <f>INT(A570/60)</f>
        <v/>
      </c>
      <c r="D570" s="2">
        <f>IF(C570&lt;6,"Night",IF(C570&lt;12,"Morning",IF(C570&lt;18,"Afternoon",IF(C570&lt;22,"Evening","Night"))))</f>
        <v/>
      </c>
    </row>
    <row r="571">
      <c r="A571" s="2" t="n">
        <v>569</v>
      </c>
      <c r="B571" s="20">
        <f>A571/1440</f>
        <v/>
      </c>
      <c r="C571" s="2">
        <f>INT(A571/60)</f>
        <v/>
      </c>
      <c r="D571" s="2">
        <f>IF(C571&lt;6,"Night",IF(C571&lt;12,"Morning",IF(C571&lt;18,"Afternoon",IF(C571&lt;22,"Evening","Night"))))</f>
        <v/>
      </c>
    </row>
    <row r="572">
      <c r="A572" s="2" t="n">
        <v>570</v>
      </c>
      <c r="B572" s="20">
        <f>A572/1440</f>
        <v/>
      </c>
      <c r="C572" s="2">
        <f>INT(A572/60)</f>
        <v/>
      </c>
      <c r="D572" s="2">
        <f>IF(C572&lt;6,"Night",IF(C572&lt;12,"Morning",IF(C572&lt;18,"Afternoon",IF(C572&lt;22,"Evening","Night"))))</f>
        <v/>
      </c>
    </row>
    <row r="573">
      <c r="A573" s="2" t="n">
        <v>571</v>
      </c>
      <c r="B573" s="20">
        <f>A573/1440</f>
        <v/>
      </c>
      <c r="C573" s="2">
        <f>INT(A573/60)</f>
        <v/>
      </c>
      <c r="D573" s="2">
        <f>IF(C573&lt;6,"Night",IF(C573&lt;12,"Morning",IF(C573&lt;18,"Afternoon",IF(C573&lt;22,"Evening","Night"))))</f>
        <v/>
      </c>
    </row>
    <row r="574">
      <c r="A574" s="2" t="n">
        <v>572</v>
      </c>
      <c r="B574" s="20">
        <f>A574/1440</f>
        <v/>
      </c>
      <c r="C574" s="2">
        <f>INT(A574/60)</f>
        <v/>
      </c>
      <c r="D574" s="2">
        <f>IF(C574&lt;6,"Night",IF(C574&lt;12,"Morning",IF(C574&lt;18,"Afternoon",IF(C574&lt;22,"Evening","Night"))))</f>
        <v/>
      </c>
    </row>
    <row r="575">
      <c r="A575" s="2" t="n">
        <v>573</v>
      </c>
      <c r="B575" s="20">
        <f>A575/1440</f>
        <v/>
      </c>
      <c r="C575" s="2">
        <f>INT(A575/60)</f>
        <v/>
      </c>
      <c r="D575" s="2">
        <f>IF(C575&lt;6,"Night",IF(C575&lt;12,"Morning",IF(C575&lt;18,"Afternoon",IF(C575&lt;22,"Evening","Night"))))</f>
        <v/>
      </c>
    </row>
    <row r="576">
      <c r="A576" s="2" t="n">
        <v>574</v>
      </c>
      <c r="B576" s="20">
        <f>A576/1440</f>
        <v/>
      </c>
      <c r="C576" s="2">
        <f>INT(A576/60)</f>
        <v/>
      </c>
      <c r="D576" s="2">
        <f>IF(C576&lt;6,"Night",IF(C576&lt;12,"Morning",IF(C576&lt;18,"Afternoon",IF(C576&lt;22,"Evening","Night"))))</f>
        <v/>
      </c>
    </row>
    <row r="577">
      <c r="A577" s="2" t="n">
        <v>575</v>
      </c>
      <c r="B577" s="20">
        <f>A577/1440</f>
        <v/>
      </c>
      <c r="C577" s="2">
        <f>INT(A577/60)</f>
        <v/>
      </c>
      <c r="D577" s="2">
        <f>IF(C577&lt;6,"Night",IF(C577&lt;12,"Morning",IF(C577&lt;18,"Afternoon",IF(C577&lt;22,"Evening","Night"))))</f>
        <v/>
      </c>
    </row>
    <row r="578">
      <c r="A578" s="2" t="n">
        <v>576</v>
      </c>
      <c r="B578" s="20">
        <f>A578/1440</f>
        <v/>
      </c>
      <c r="C578" s="2">
        <f>INT(A578/60)</f>
        <v/>
      </c>
      <c r="D578" s="2">
        <f>IF(C578&lt;6,"Night",IF(C578&lt;12,"Morning",IF(C578&lt;18,"Afternoon",IF(C578&lt;22,"Evening","Night"))))</f>
        <v/>
      </c>
    </row>
    <row r="579">
      <c r="A579" s="2" t="n">
        <v>577</v>
      </c>
      <c r="B579" s="20">
        <f>A579/1440</f>
        <v/>
      </c>
      <c r="C579" s="2">
        <f>INT(A579/60)</f>
        <v/>
      </c>
      <c r="D579" s="2">
        <f>IF(C579&lt;6,"Night",IF(C579&lt;12,"Morning",IF(C579&lt;18,"Afternoon",IF(C579&lt;22,"Evening","Night"))))</f>
        <v/>
      </c>
    </row>
    <row r="580">
      <c r="A580" s="2" t="n">
        <v>578</v>
      </c>
      <c r="B580" s="20">
        <f>A580/1440</f>
        <v/>
      </c>
      <c r="C580" s="2">
        <f>INT(A580/60)</f>
        <v/>
      </c>
      <c r="D580" s="2">
        <f>IF(C580&lt;6,"Night",IF(C580&lt;12,"Morning",IF(C580&lt;18,"Afternoon",IF(C580&lt;22,"Evening","Night"))))</f>
        <v/>
      </c>
    </row>
    <row r="581">
      <c r="A581" s="2" t="n">
        <v>579</v>
      </c>
      <c r="B581" s="20">
        <f>A581/1440</f>
        <v/>
      </c>
      <c r="C581" s="2">
        <f>INT(A581/60)</f>
        <v/>
      </c>
      <c r="D581" s="2">
        <f>IF(C581&lt;6,"Night",IF(C581&lt;12,"Morning",IF(C581&lt;18,"Afternoon",IF(C581&lt;22,"Evening","Night"))))</f>
        <v/>
      </c>
    </row>
    <row r="582">
      <c r="A582" s="2" t="n">
        <v>580</v>
      </c>
      <c r="B582" s="20">
        <f>A582/1440</f>
        <v/>
      </c>
      <c r="C582" s="2">
        <f>INT(A582/60)</f>
        <v/>
      </c>
      <c r="D582" s="2">
        <f>IF(C582&lt;6,"Night",IF(C582&lt;12,"Morning",IF(C582&lt;18,"Afternoon",IF(C582&lt;22,"Evening","Night"))))</f>
        <v/>
      </c>
    </row>
    <row r="583">
      <c r="A583" s="2" t="n">
        <v>581</v>
      </c>
      <c r="B583" s="20">
        <f>A583/1440</f>
        <v/>
      </c>
      <c r="C583" s="2">
        <f>INT(A583/60)</f>
        <v/>
      </c>
      <c r="D583" s="2">
        <f>IF(C583&lt;6,"Night",IF(C583&lt;12,"Morning",IF(C583&lt;18,"Afternoon",IF(C583&lt;22,"Evening","Night"))))</f>
        <v/>
      </c>
    </row>
    <row r="584">
      <c r="A584" s="2" t="n">
        <v>582</v>
      </c>
      <c r="B584" s="20">
        <f>A584/1440</f>
        <v/>
      </c>
      <c r="C584" s="2">
        <f>INT(A584/60)</f>
        <v/>
      </c>
      <c r="D584" s="2">
        <f>IF(C584&lt;6,"Night",IF(C584&lt;12,"Morning",IF(C584&lt;18,"Afternoon",IF(C584&lt;22,"Evening","Night"))))</f>
        <v/>
      </c>
    </row>
    <row r="585">
      <c r="A585" s="2" t="n">
        <v>583</v>
      </c>
      <c r="B585" s="20">
        <f>A585/1440</f>
        <v/>
      </c>
      <c r="C585" s="2">
        <f>INT(A585/60)</f>
        <v/>
      </c>
      <c r="D585" s="2">
        <f>IF(C585&lt;6,"Night",IF(C585&lt;12,"Morning",IF(C585&lt;18,"Afternoon",IF(C585&lt;22,"Evening","Night"))))</f>
        <v/>
      </c>
    </row>
    <row r="586">
      <c r="A586" s="2" t="n">
        <v>584</v>
      </c>
      <c r="B586" s="20">
        <f>A586/1440</f>
        <v/>
      </c>
      <c r="C586" s="2">
        <f>INT(A586/60)</f>
        <v/>
      </c>
      <c r="D586" s="2">
        <f>IF(C586&lt;6,"Night",IF(C586&lt;12,"Morning",IF(C586&lt;18,"Afternoon",IF(C586&lt;22,"Evening","Night"))))</f>
        <v/>
      </c>
    </row>
    <row r="587">
      <c r="A587" s="2" t="n">
        <v>585</v>
      </c>
      <c r="B587" s="20">
        <f>A587/1440</f>
        <v/>
      </c>
      <c r="C587" s="2">
        <f>INT(A587/60)</f>
        <v/>
      </c>
      <c r="D587" s="2">
        <f>IF(C587&lt;6,"Night",IF(C587&lt;12,"Morning",IF(C587&lt;18,"Afternoon",IF(C587&lt;22,"Evening","Night"))))</f>
        <v/>
      </c>
    </row>
    <row r="588">
      <c r="A588" s="2" t="n">
        <v>586</v>
      </c>
      <c r="B588" s="20">
        <f>A588/1440</f>
        <v/>
      </c>
      <c r="C588" s="2">
        <f>INT(A588/60)</f>
        <v/>
      </c>
      <c r="D588" s="2">
        <f>IF(C588&lt;6,"Night",IF(C588&lt;12,"Morning",IF(C588&lt;18,"Afternoon",IF(C588&lt;22,"Evening","Night"))))</f>
        <v/>
      </c>
    </row>
    <row r="589">
      <c r="A589" s="2" t="n">
        <v>587</v>
      </c>
      <c r="B589" s="20">
        <f>A589/1440</f>
        <v/>
      </c>
      <c r="C589" s="2">
        <f>INT(A589/60)</f>
        <v/>
      </c>
      <c r="D589" s="2">
        <f>IF(C589&lt;6,"Night",IF(C589&lt;12,"Morning",IF(C589&lt;18,"Afternoon",IF(C589&lt;22,"Evening","Night"))))</f>
        <v/>
      </c>
    </row>
    <row r="590">
      <c r="A590" s="2" t="n">
        <v>588</v>
      </c>
      <c r="B590" s="20">
        <f>A590/1440</f>
        <v/>
      </c>
      <c r="C590" s="2">
        <f>INT(A590/60)</f>
        <v/>
      </c>
      <c r="D590" s="2">
        <f>IF(C590&lt;6,"Night",IF(C590&lt;12,"Morning",IF(C590&lt;18,"Afternoon",IF(C590&lt;22,"Evening","Night"))))</f>
        <v/>
      </c>
    </row>
    <row r="591">
      <c r="A591" s="2" t="n">
        <v>589</v>
      </c>
      <c r="B591" s="20">
        <f>A591/1440</f>
        <v/>
      </c>
      <c r="C591" s="2">
        <f>INT(A591/60)</f>
        <v/>
      </c>
      <c r="D591" s="2">
        <f>IF(C591&lt;6,"Night",IF(C591&lt;12,"Morning",IF(C591&lt;18,"Afternoon",IF(C591&lt;22,"Evening","Night"))))</f>
        <v/>
      </c>
    </row>
    <row r="592">
      <c r="A592" s="2" t="n">
        <v>590</v>
      </c>
      <c r="B592" s="20">
        <f>A592/1440</f>
        <v/>
      </c>
      <c r="C592" s="2">
        <f>INT(A592/60)</f>
        <v/>
      </c>
      <c r="D592" s="2">
        <f>IF(C592&lt;6,"Night",IF(C592&lt;12,"Morning",IF(C592&lt;18,"Afternoon",IF(C592&lt;22,"Evening","Night"))))</f>
        <v/>
      </c>
    </row>
    <row r="593">
      <c r="A593" s="2" t="n">
        <v>591</v>
      </c>
      <c r="B593" s="20">
        <f>A593/1440</f>
        <v/>
      </c>
      <c r="C593" s="2">
        <f>INT(A593/60)</f>
        <v/>
      </c>
      <c r="D593" s="2">
        <f>IF(C593&lt;6,"Night",IF(C593&lt;12,"Morning",IF(C593&lt;18,"Afternoon",IF(C593&lt;22,"Evening","Night"))))</f>
        <v/>
      </c>
    </row>
    <row r="594">
      <c r="A594" s="2" t="n">
        <v>592</v>
      </c>
      <c r="B594" s="20">
        <f>A594/1440</f>
        <v/>
      </c>
      <c r="C594" s="2">
        <f>INT(A594/60)</f>
        <v/>
      </c>
      <c r="D594" s="2">
        <f>IF(C594&lt;6,"Night",IF(C594&lt;12,"Morning",IF(C594&lt;18,"Afternoon",IF(C594&lt;22,"Evening","Night"))))</f>
        <v/>
      </c>
    </row>
    <row r="595">
      <c r="A595" s="2" t="n">
        <v>593</v>
      </c>
      <c r="B595" s="20">
        <f>A595/1440</f>
        <v/>
      </c>
      <c r="C595" s="2">
        <f>INT(A595/60)</f>
        <v/>
      </c>
      <c r="D595" s="2">
        <f>IF(C595&lt;6,"Night",IF(C595&lt;12,"Morning",IF(C595&lt;18,"Afternoon",IF(C595&lt;22,"Evening","Night"))))</f>
        <v/>
      </c>
    </row>
    <row r="596">
      <c r="A596" s="2" t="n">
        <v>594</v>
      </c>
      <c r="B596" s="20">
        <f>A596/1440</f>
        <v/>
      </c>
      <c r="C596" s="2">
        <f>INT(A596/60)</f>
        <v/>
      </c>
      <c r="D596" s="2">
        <f>IF(C596&lt;6,"Night",IF(C596&lt;12,"Morning",IF(C596&lt;18,"Afternoon",IF(C596&lt;22,"Evening","Night"))))</f>
        <v/>
      </c>
    </row>
    <row r="597">
      <c r="A597" s="2" t="n">
        <v>595</v>
      </c>
      <c r="B597" s="20">
        <f>A597/1440</f>
        <v/>
      </c>
      <c r="C597" s="2">
        <f>INT(A597/60)</f>
        <v/>
      </c>
      <c r="D597" s="2">
        <f>IF(C597&lt;6,"Night",IF(C597&lt;12,"Morning",IF(C597&lt;18,"Afternoon",IF(C597&lt;22,"Evening","Night"))))</f>
        <v/>
      </c>
    </row>
    <row r="598">
      <c r="A598" s="2" t="n">
        <v>596</v>
      </c>
      <c r="B598" s="20">
        <f>A598/1440</f>
        <v/>
      </c>
      <c r="C598" s="2">
        <f>INT(A598/60)</f>
        <v/>
      </c>
      <c r="D598" s="2">
        <f>IF(C598&lt;6,"Night",IF(C598&lt;12,"Morning",IF(C598&lt;18,"Afternoon",IF(C598&lt;22,"Evening","Night"))))</f>
        <v/>
      </c>
    </row>
    <row r="599">
      <c r="A599" s="2" t="n">
        <v>597</v>
      </c>
      <c r="B599" s="20">
        <f>A599/1440</f>
        <v/>
      </c>
      <c r="C599" s="2">
        <f>INT(A599/60)</f>
        <v/>
      </c>
      <c r="D599" s="2">
        <f>IF(C599&lt;6,"Night",IF(C599&lt;12,"Morning",IF(C599&lt;18,"Afternoon",IF(C599&lt;22,"Evening","Night"))))</f>
        <v/>
      </c>
    </row>
    <row r="600">
      <c r="A600" s="2" t="n">
        <v>598</v>
      </c>
      <c r="B600" s="20">
        <f>A600/1440</f>
        <v/>
      </c>
      <c r="C600" s="2">
        <f>INT(A600/60)</f>
        <v/>
      </c>
      <c r="D600" s="2">
        <f>IF(C600&lt;6,"Night",IF(C600&lt;12,"Morning",IF(C600&lt;18,"Afternoon",IF(C600&lt;22,"Evening","Night"))))</f>
        <v/>
      </c>
    </row>
    <row r="601">
      <c r="A601" s="2" t="n">
        <v>599</v>
      </c>
      <c r="B601" s="20">
        <f>A601/1440</f>
        <v/>
      </c>
      <c r="C601" s="2">
        <f>INT(A601/60)</f>
        <v/>
      </c>
      <c r="D601" s="2">
        <f>IF(C601&lt;6,"Night",IF(C601&lt;12,"Morning",IF(C601&lt;18,"Afternoon",IF(C601&lt;22,"Evening","Night"))))</f>
        <v/>
      </c>
    </row>
    <row r="602">
      <c r="A602" s="2" t="n">
        <v>600</v>
      </c>
      <c r="B602" s="20">
        <f>A602/1440</f>
        <v/>
      </c>
      <c r="C602" s="2">
        <f>INT(A602/60)</f>
        <v/>
      </c>
      <c r="D602" s="2">
        <f>IF(C602&lt;6,"Night",IF(C602&lt;12,"Morning",IF(C602&lt;18,"Afternoon",IF(C602&lt;22,"Evening","Night"))))</f>
        <v/>
      </c>
    </row>
    <row r="603">
      <c r="A603" s="2" t="n">
        <v>601</v>
      </c>
      <c r="B603" s="20">
        <f>A603/1440</f>
        <v/>
      </c>
      <c r="C603" s="2">
        <f>INT(A603/60)</f>
        <v/>
      </c>
      <c r="D603" s="2">
        <f>IF(C603&lt;6,"Night",IF(C603&lt;12,"Morning",IF(C603&lt;18,"Afternoon",IF(C603&lt;22,"Evening","Night"))))</f>
        <v/>
      </c>
    </row>
    <row r="604">
      <c r="A604" s="2" t="n">
        <v>602</v>
      </c>
      <c r="B604" s="20">
        <f>A604/1440</f>
        <v/>
      </c>
      <c r="C604" s="2">
        <f>INT(A604/60)</f>
        <v/>
      </c>
      <c r="D604" s="2">
        <f>IF(C604&lt;6,"Night",IF(C604&lt;12,"Morning",IF(C604&lt;18,"Afternoon",IF(C604&lt;22,"Evening","Night"))))</f>
        <v/>
      </c>
    </row>
    <row r="605">
      <c r="A605" s="2" t="n">
        <v>603</v>
      </c>
      <c r="B605" s="20">
        <f>A605/1440</f>
        <v/>
      </c>
      <c r="C605" s="2">
        <f>INT(A605/60)</f>
        <v/>
      </c>
      <c r="D605" s="2">
        <f>IF(C605&lt;6,"Night",IF(C605&lt;12,"Morning",IF(C605&lt;18,"Afternoon",IF(C605&lt;22,"Evening","Night"))))</f>
        <v/>
      </c>
    </row>
    <row r="606">
      <c r="A606" s="2" t="n">
        <v>604</v>
      </c>
      <c r="B606" s="20">
        <f>A606/1440</f>
        <v/>
      </c>
      <c r="C606" s="2">
        <f>INT(A606/60)</f>
        <v/>
      </c>
      <c r="D606" s="2">
        <f>IF(C606&lt;6,"Night",IF(C606&lt;12,"Morning",IF(C606&lt;18,"Afternoon",IF(C606&lt;22,"Evening","Night"))))</f>
        <v/>
      </c>
    </row>
    <row r="607">
      <c r="A607" s="2" t="n">
        <v>605</v>
      </c>
      <c r="B607" s="20">
        <f>A607/1440</f>
        <v/>
      </c>
      <c r="C607" s="2">
        <f>INT(A607/60)</f>
        <v/>
      </c>
      <c r="D607" s="2">
        <f>IF(C607&lt;6,"Night",IF(C607&lt;12,"Morning",IF(C607&lt;18,"Afternoon",IF(C607&lt;22,"Evening","Night"))))</f>
        <v/>
      </c>
    </row>
    <row r="608">
      <c r="A608" s="2" t="n">
        <v>606</v>
      </c>
      <c r="B608" s="20">
        <f>A608/1440</f>
        <v/>
      </c>
      <c r="C608" s="2">
        <f>INT(A608/60)</f>
        <v/>
      </c>
      <c r="D608" s="2">
        <f>IF(C608&lt;6,"Night",IF(C608&lt;12,"Morning",IF(C608&lt;18,"Afternoon",IF(C608&lt;22,"Evening","Night"))))</f>
        <v/>
      </c>
    </row>
    <row r="609">
      <c r="A609" s="2" t="n">
        <v>607</v>
      </c>
      <c r="B609" s="20">
        <f>A609/1440</f>
        <v/>
      </c>
      <c r="C609" s="2">
        <f>INT(A609/60)</f>
        <v/>
      </c>
      <c r="D609" s="2">
        <f>IF(C609&lt;6,"Night",IF(C609&lt;12,"Morning",IF(C609&lt;18,"Afternoon",IF(C609&lt;22,"Evening","Night"))))</f>
        <v/>
      </c>
    </row>
    <row r="610">
      <c r="A610" s="2" t="n">
        <v>608</v>
      </c>
      <c r="B610" s="20">
        <f>A610/1440</f>
        <v/>
      </c>
      <c r="C610" s="2">
        <f>INT(A610/60)</f>
        <v/>
      </c>
      <c r="D610" s="2">
        <f>IF(C610&lt;6,"Night",IF(C610&lt;12,"Morning",IF(C610&lt;18,"Afternoon",IF(C610&lt;22,"Evening","Night"))))</f>
        <v/>
      </c>
    </row>
    <row r="611">
      <c r="A611" s="2" t="n">
        <v>609</v>
      </c>
      <c r="B611" s="20">
        <f>A611/1440</f>
        <v/>
      </c>
      <c r="C611" s="2">
        <f>INT(A611/60)</f>
        <v/>
      </c>
      <c r="D611" s="2">
        <f>IF(C611&lt;6,"Night",IF(C611&lt;12,"Morning",IF(C611&lt;18,"Afternoon",IF(C611&lt;22,"Evening","Night"))))</f>
        <v/>
      </c>
    </row>
    <row r="612">
      <c r="A612" s="2" t="n">
        <v>610</v>
      </c>
      <c r="B612" s="20">
        <f>A612/1440</f>
        <v/>
      </c>
      <c r="C612" s="2">
        <f>INT(A612/60)</f>
        <v/>
      </c>
      <c r="D612" s="2">
        <f>IF(C612&lt;6,"Night",IF(C612&lt;12,"Morning",IF(C612&lt;18,"Afternoon",IF(C612&lt;22,"Evening","Night"))))</f>
        <v/>
      </c>
    </row>
    <row r="613">
      <c r="A613" s="2" t="n">
        <v>611</v>
      </c>
      <c r="B613" s="20">
        <f>A613/1440</f>
        <v/>
      </c>
      <c r="C613" s="2">
        <f>INT(A613/60)</f>
        <v/>
      </c>
      <c r="D613" s="2">
        <f>IF(C613&lt;6,"Night",IF(C613&lt;12,"Morning",IF(C613&lt;18,"Afternoon",IF(C613&lt;22,"Evening","Night"))))</f>
        <v/>
      </c>
    </row>
    <row r="614">
      <c r="A614" s="2" t="n">
        <v>612</v>
      </c>
      <c r="B614" s="20">
        <f>A614/1440</f>
        <v/>
      </c>
      <c r="C614" s="2">
        <f>INT(A614/60)</f>
        <v/>
      </c>
      <c r="D614" s="2">
        <f>IF(C614&lt;6,"Night",IF(C614&lt;12,"Morning",IF(C614&lt;18,"Afternoon",IF(C614&lt;22,"Evening","Night"))))</f>
        <v/>
      </c>
    </row>
    <row r="615">
      <c r="A615" s="2" t="n">
        <v>613</v>
      </c>
      <c r="B615" s="20">
        <f>A615/1440</f>
        <v/>
      </c>
      <c r="C615" s="2">
        <f>INT(A615/60)</f>
        <v/>
      </c>
      <c r="D615" s="2">
        <f>IF(C615&lt;6,"Night",IF(C615&lt;12,"Morning",IF(C615&lt;18,"Afternoon",IF(C615&lt;22,"Evening","Night"))))</f>
        <v/>
      </c>
    </row>
    <row r="616">
      <c r="A616" s="2" t="n">
        <v>614</v>
      </c>
      <c r="B616" s="20">
        <f>A616/1440</f>
        <v/>
      </c>
      <c r="C616" s="2">
        <f>INT(A616/60)</f>
        <v/>
      </c>
      <c r="D616" s="2">
        <f>IF(C616&lt;6,"Night",IF(C616&lt;12,"Morning",IF(C616&lt;18,"Afternoon",IF(C616&lt;22,"Evening","Night"))))</f>
        <v/>
      </c>
    </row>
    <row r="617">
      <c r="A617" s="2" t="n">
        <v>615</v>
      </c>
      <c r="B617" s="20">
        <f>A617/1440</f>
        <v/>
      </c>
      <c r="C617" s="2">
        <f>INT(A617/60)</f>
        <v/>
      </c>
      <c r="D617" s="2">
        <f>IF(C617&lt;6,"Night",IF(C617&lt;12,"Morning",IF(C617&lt;18,"Afternoon",IF(C617&lt;22,"Evening","Night"))))</f>
        <v/>
      </c>
    </row>
    <row r="618">
      <c r="A618" s="2" t="n">
        <v>616</v>
      </c>
      <c r="B618" s="20">
        <f>A618/1440</f>
        <v/>
      </c>
      <c r="C618" s="2">
        <f>INT(A618/60)</f>
        <v/>
      </c>
      <c r="D618" s="2">
        <f>IF(C618&lt;6,"Night",IF(C618&lt;12,"Morning",IF(C618&lt;18,"Afternoon",IF(C618&lt;22,"Evening","Night"))))</f>
        <v/>
      </c>
    </row>
    <row r="619">
      <c r="A619" s="2" t="n">
        <v>617</v>
      </c>
      <c r="B619" s="20">
        <f>A619/1440</f>
        <v/>
      </c>
      <c r="C619" s="2">
        <f>INT(A619/60)</f>
        <v/>
      </c>
      <c r="D619" s="2">
        <f>IF(C619&lt;6,"Night",IF(C619&lt;12,"Morning",IF(C619&lt;18,"Afternoon",IF(C619&lt;22,"Evening","Night"))))</f>
        <v/>
      </c>
    </row>
    <row r="620">
      <c r="A620" s="2" t="n">
        <v>618</v>
      </c>
      <c r="B620" s="20">
        <f>A620/1440</f>
        <v/>
      </c>
      <c r="C620" s="2">
        <f>INT(A620/60)</f>
        <v/>
      </c>
      <c r="D620" s="2">
        <f>IF(C620&lt;6,"Night",IF(C620&lt;12,"Morning",IF(C620&lt;18,"Afternoon",IF(C620&lt;22,"Evening","Night"))))</f>
        <v/>
      </c>
    </row>
    <row r="621">
      <c r="A621" s="2" t="n">
        <v>619</v>
      </c>
      <c r="B621" s="20">
        <f>A621/1440</f>
        <v/>
      </c>
      <c r="C621" s="2">
        <f>INT(A621/60)</f>
        <v/>
      </c>
      <c r="D621" s="2">
        <f>IF(C621&lt;6,"Night",IF(C621&lt;12,"Morning",IF(C621&lt;18,"Afternoon",IF(C621&lt;22,"Evening","Night"))))</f>
        <v/>
      </c>
    </row>
    <row r="622">
      <c r="A622" s="2" t="n">
        <v>620</v>
      </c>
      <c r="B622" s="20">
        <f>A622/1440</f>
        <v/>
      </c>
      <c r="C622" s="2">
        <f>INT(A622/60)</f>
        <v/>
      </c>
      <c r="D622" s="2">
        <f>IF(C622&lt;6,"Night",IF(C622&lt;12,"Morning",IF(C622&lt;18,"Afternoon",IF(C622&lt;22,"Evening","Night"))))</f>
        <v/>
      </c>
    </row>
    <row r="623">
      <c r="A623" s="2" t="n">
        <v>621</v>
      </c>
      <c r="B623" s="20">
        <f>A623/1440</f>
        <v/>
      </c>
      <c r="C623" s="2">
        <f>INT(A623/60)</f>
        <v/>
      </c>
      <c r="D623" s="2">
        <f>IF(C623&lt;6,"Night",IF(C623&lt;12,"Morning",IF(C623&lt;18,"Afternoon",IF(C623&lt;22,"Evening","Night"))))</f>
        <v/>
      </c>
    </row>
    <row r="624">
      <c r="A624" s="2" t="n">
        <v>622</v>
      </c>
      <c r="B624" s="20">
        <f>A624/1440</f>
        <v/>
      </c>
      <c r="C624" s="2">
        <f>INT(A624/60)</f>
        <v/>
      </c>
      <c r="D624" s="2">
        <f>IF(C624&lt;6,"Night",IF(C624&lt;12,"Morning",IF(C624&lt;18,"Afternoon",IF(C624&lt;22,"Evening","Night"))))</f>
        <v/>
      </c>
    </row>
    <row r="625">
      <c r="A625" s="2" t="n">
        <v>623</v>
      </c>
      <c r="B625" s="20">
        <f>A625/1440</f>
        <v/>
      </c>
      <c r="C625" s="2">
        <f>INT(A625/60)</f>
        <v/>
      </c>
      <c r="D625" s="2">
        <f>IF(C625&lt;6,"Night",IF(C625&lt;12,"Morning",IF(C625&lt;18,"Afternoon",IF(C625&lt;22,"Evening","Night"))))</f>
        <v/>
      </c>
    </row>
    <row r="626">
      <c r="A626" s="2" t="n">
        <v>624</v>
      </c>
      <c r="B626" s="20">
        <f>A626/1440</f>
        <v/>
      </c>
      <c r="C626" s="2">
        <f>INT(A626/60)</f>
        <v/>
      </c>
      <c r="D626" s="2">
        <f>IF(C626&lt;6,"Night",IF(C626&lt;12,"Morning",IF(C626&lt;18,"Afternoon",IF(C626&lt;22,"Evening","Night"))))</f>
        <v/>
      </c>
    </row>
    <row r="627">
      <c r="A627" s="2" t="n">
        <v>625</v>
      </c>
      <c r="B627" s="20">
        <f>A627/1440</f>
        <v/>
      </c>
      <c r="C627" s="2">
        <f>INT(A627/60)</f>
        <v/>
      </c>
      <c r="D627" s="2">
        <f>IF(C627&lt;6,"Night",IF(C627&lt;12,"Morning",IF(C627&lt;18,"Afternoon",IF(C627&lt;22,"Evening","Night"))))</f>
        <v/>
      </c>
    </row>
    <row r="628">
      <c r="A628" s="2" t="n">
        <v>626</v>
      </c>
      <c r="B628" s="20">
        <f>A628/1440</f>
        <v/>
      </c>
      <c r="C628" s="2">
        <f>INT(A628/60)</f>
        <v/>
      </c>
      <c r="D628" s="2">
        <f>IF(C628&lt;6,"Night",IF(C628&lt;12,"Morning",IF(C628&lt;18,"Afternoon",IF(C628&lt;22,"Evening","Night"))))</f>
        <v/>
      </c>
    </row>
    <row r="629">
      <c r="A629" s="2" t="n">
        <v>627</v>
      </c>
      <c r="B629" s="20">
        <f>A629/1440</f>
        <v/>
      </c>
      <c r="C629" s="2">
        <f>INT(A629/60)</f>
        <v/>
      </c>
      <c r="D629" s="2">
        <f>IF(C629&lt;6,"Night",IF(C629&lt;12,"Morning",IF(C629&lt;18,"Afternoon",IF(C629&lt;22,"Evening","Night"))))</f>
        <v/>
      </c>
    </row>
    <row r="630">
      <c r="A630" s="2" t="n">
        <v>628</v>
      </c>
      <c r="B630" s="20">
        <f>A630/1440</f>
        <v/>
      </c>
      <c r="C630" s="2">
        <f>INT(A630/60)</f>
        <v/>
      </c>
      <c r="D630" s="2">
        <f>IF(C630&lt;6,"Night",IF(C630&lt;12,"Morning",IF(C630&lt;18,"Afternoon",IF(C630&lt;22,"Evening","Night"))))</f>
        <v/>
      </c>
    </row>
    <row r="631">
      <c r="A631" s="2" t="n">
        <v>629</v>
      </c>
      <c r="B631" s="20">
        <f>A631/1440</f>
        <v/>
      </c>
      <c r="C631" s="2">
        <f>INT(A631/60)</f>
        <v/>
      </c>
      <c r="D631" s="2">
        <f>IF(C631&lt;6,"Night",IF(C631&lt;12,"Morning",IF(C631&lt;18,"Afternoon",IF(C631&lt;22,"Evening","Night"))))</f>
        <v/>
      </c>
    </row>
    <row r="632">
      <c r="A632" s="2" t="n">
        <v>630</v>
      </c>
      <c r="B632" s="20">
        <f>A632/1440</f>
        <v/>
      </c>
      <c r="C632" s="2">
        <f>INT(A632/60)</f>
        <v/>
      </c>
      <c r="D632" s="2">
        <f>IF(C632&lt;6,"Night",IF(C632&lt;12,"Morning",IF(C632&lt;18,"Afternoon",IF(C632&lt;22,"Evening","Night"))))</f>
        <v/>
      </c>
    </row>
    <row r="633">
      <c r="A633" s="2" t="n">
        <v>631</v>
      </c>
      <c r="B633" s="20">
        <f>A633/1440</f>
        <v/>
      </c>
      <c r="C633" s="2">
        <f>INT(A633/60)</f>
        <v/>
      </c>
      <c r="D633" s="2">
        <f>IF(C633&lt;6,"Night",IF(C633&lt;12,"Morning",IF(C633&lt;18,"Afternoon",IF(C633&lt;22,"Evening","Night"))))</f>
        <v/>
      </c>
    </row>
    <row r="634">
      <c r="A634" s="2" t="n">
        <v>632</v>
      </c>
      <c r="B634" s="20">
        <f>A634/1440</f>
        <v/>
      </c>
      <c r="C634" s="2">
        <f>INT(A634/60)</f>
        <v/>
      </c>
      <c r="D634" s="2">
        <f>IF(C634&lt;6,"Night",IF(C634&lt;12,"Morning",IF(C634&lt;18,"Afternoon",IF(C634&lt;22,"Evening","Night"))))</f>
        <v/>
      </c>
    </row>
    <row r="635">
      <c r="A635" s="2" t="n">
        <v>633</v>
      </c>
      <c r="B635" s="20">
        <f>A635/1440</f>
        <v/>
      </c>
      <c r="C635" s="2">
        <f>INT(A635/60)</f>
        <v/>
      </c>
      <c r="D635" s="2">
        <f>IF(C635&lt;6,"Night",IF(C635&lt;12,"Morning",IF(C635&lt;18,"Afternoon",IF(C635&lt;22,"Evening","Night"))))</f>
        <v/>
      </c>
    </row>
    <row r="636">
      <c r="A636" s="2" t="n">
        <v>634</v>
      </c>
      <c r="B636" s="20">
        <f>A636/1440</f>
        <v/>
      </c>
      <c r="C636" s="2">
        <f>INT(A636/60)</f>
        <v/>
      </c>
      <c r="D636" s="2">
        <f>IF(C636&lt;6,"Night",IF(C636&lt;12,"Morning",IF(C636&lt;18,"Afternoon",IF(C636&lt;22,"Evening","Night"))))</f>
        <v/>
      </c>
    </row>
    <row r="637">
      <c r="A637" s="2" t="n">
        <v>635</v>
      </c>
      <c r="B637" s="20">
        <f>A637/1440</f>
        <v/>
      </c>
      <c r="C637" s="2">
        <f>INT(A637/60)</f>
        <v/>
      </c>
      <c r="D637" s="2">
        <f>IF(C637&lt;6,"Night",IF(C637&lt;12,"Morning",IF(C637&lt;18,"Afternoon",IF(C637&lt;22,"Evening","Night"))))</f>
        <v/>
      </c>
    </row>
    <row r="638">
      <c r="A638" s="2" t="n">
        <v>636</v>
      </c>
      <c r="B638" s="20">
        <f>A638/1440</f>
        <v/>
      </c>
      <c r="C638" s="2">
        <f>INT(A638/60)</f>
        <v/>
      </c>
      <c r="D638" s="2">
        <f>IF(C638&lt;6,"Night",IF(C638&lt;12,"Morning",IF(C638&lt;18,"Afternoon",IF(C638&lt;22,"Evening","Night"))))</f>
        <v/>
      </c>
    </row>
    <row r="639">
      <c r="A639" s="2" t="n">
        <v>637</v>
      </c>
      <c r="B639" s="20">
        <f>A639/1440</f>
        <v/>
      </c>
      <c r="C639" s="2">
        <f>INT(A639/60)</f>
        <v/>
      </c>
      <c r="D639" s="2">
        <f>IF(C639&lt;6,"Night",IF(C639&lt;12,"Morning",IF(C639&lt;18,"Afternoon",IF(C639&lt;22,"Evening","Night"))))</f>
        <v/>
      </c>
    </row>
    <row r="640">
      <c r="A640" s="2" t="n">
        <v>638</v>
      </c>
      <c r="B640" s="20">
        <f>A640/1440</f>
        <v/>
      </c>
      <c r="C640" s="2">
        <f>INT(A640/60)</f>
        <v/>
      </c>
      <c r="D640" s="2">
        <f>IF(C640&lt;6,"Night",IF(C640&lt;12,"Morning",IF(C640&lt;18,"Afternoon",IF(C640&lt;22,"Evening","Night"))))</f>
        <v/>
      </c>
    </row>
    <row r="641">
      <c r="A641" s="2" t="n">
        <v>639</v>
      </c>
      <c r="B641" s="20">
        <f>A641/1440</f>
        <v/>
      </c>
      <c r="C641" s="2">
        <f>INT(A641/60)</f>
        <v/>
      </c>
      <c r="D641" s="2">
        <f>IF(C641&lt;6,"Night",IF(C641&lt;12,"Morning",IF(C641&lt;18,"Afternoon",IF(C641&lt;22,"Evening","Night"))))</f>
        <v/>
      </c>
    </row>
    <row r="642">
      <c r="A642" s="2" t="n">
        <v>640</v>
      </c>
      <c r="B642" s="20">
        <f>A642/1440</f>
        <v/>
      </c>
      <c r="C642" s="2">
        <f>INT(A642/60)</f>
        <v/>
      </c>
      <c r="D642" s="2">
        <f>IF(C642&lt;6,"Night",IF(C642&lt;12,"Morning",IF(C642&lt;18,"Afternoon",IF(C642&lt;22,"Evening","Night"))))</f>
        <v/>
      </c>
    </row>
    <row r="643">
      <c r="A643" s="2" t="n">
        <v>641</v>
      </c>
      <c r="B643" s="20">
        <f>A643/1440</f>
        <v/>
      </c>
      <c r="C643" s="2">
        <f>INT(A643/60)</f>
        <v/>
      </c>
      <c r="D643" s="2">
        <f>IF(C643&lt;6,"Night",IF(C643&lt;12,"Morning",IF(C643&lt;18,"Afternoon",IF(C643&lt;22,"Evening","Night"))))</f>
        <v/>
      </c>
    </row>
    <row r="644">
      <c r="A644" s="2" t="n">
        <v>642</v>
      </c>
      <c r="B644" s="20">
        <f>A644/1440</f>
        <v/>
      </c>
      <c r="C644" s="2">
        <f>INT(A644/60)</f>
        <v/>
      </c>
      <c r="D644" s="2">
        <f>IF(C644&lt;6,"Night",IF(C644&lt;12,"Morning",IF(C644&lt;18,"Afternoon",IF(C644&lt;22,"Evening","Night"))))</f>
        <v/>
      </c>
    </row>
    <row r="645">
      <c r="A645" s="2" t="n">
        <v>643</v>
      </c>
      <c r="B645" s="20">
        <f>A645/1440</f>
        <v/>
      </c>
      <c r="C645" s="2">
        <f>INT(A645/60)</f>
        <v/>
      </c>
      <c r="D645" s="2">
        <f>IF(C645&lt;6,"Night",IF(C645&lt;12,"Morning",IF(C645&lt;18,"Afternoon",IF(C645&lt;22,"Evening","Night"))))</f>
        <v/>
      </c>
    </row>
    <row r="646">
      <c r="A646" s="2" t="n">
        <v>644</v>
      </c>
      <c r="B646" s="20">
        <f>A646/1440</f>
        <v/>
      </c>
      <c r="C646" s="2">
        <f>INT(A646/60)</f>
        <v/>
      </c>
      <c r="D646" s="2">
        <f>IF(C646&lt;6,"Night",IF(C646&lt;12,"Morning",IF(C646&lt;18,"Afternoon",IF(C646&lt;22,"Evening","Night"))))</f>
        <v/>
      </c>
    </row>
    <row r="647">
      <c r="A647" s="2" t="n">
        <v>645</v>
      </c>
      <c r="B647" s="20">
        <f>A647/1440</f>
        <v/>
      </c>
      <c r="C647" s="2">
        <f>INT(A647/60)</f>
        <v/>
      </c>
      <c r="D647" s="2">
        <f>IF(C647&lt;6,"Night",IF(C647&lt;12,"Morning",IF(C647&lt;18,"Afternoon",IF(C647&lt;22,"Evening","Night"))))</f>
        <v/>
      </c>
    </row>
    <row r="648">
      <c r="A648" s="2" t="n">
        <v>646</v>
      </c>
      <c r="B648" s="20">
        <f>A648/1440</f>
        <v/>
      </c>
      <c r="C648" s="2">
        <f>INT(A648/60)</f>
        <v/>
      </c>
      <c r="D648" s="2">
        <f>IF(C648&lt;6,"Night",IF(C648&lt;12,"Morning",IF(C648&lt;18,"Afternoon",IF(C648&lt;22,"Evening","Night"))))</f>
        <v/>
      </c>
    </row>
    <row r="649">
      <c r="A649" s="2" t="n">
        <v>647</v>
      </c>
      <c r="B649" s="20">
        <f>A649/1440</f>
        <v/>
      </c>
      <c r="C649" s="2">
        <f>INT(A649/60)</f>
        <v/>
      </c>
      <c r="D649" s="2">
        <f>IF(C649&lt;6,"Night",IF(C649&lt;12,"Morning",IF(C649&lt;18,"Afternoon",IF(C649&lt;22,"Evening","Night"))))</f>
        <v/>
      </c>
    </row>
    <row r="650">
      <c r="A650" s="2" t="n">
        <v>648</v>
      </c>
      <c r="B650" s="20">
        <f>A650/1440</f>
        <v/>
      </c>
      <c r="C650" s="2">
        <f>INT(A650/60)</f>
        <v/>
      </c>
      <c r="D650" s="2">
        <f>IF(C650&lt;6,"Night",IF(C650&lt;12,"Morning",IF(C650&lt;18,"Afternoon",IF(C650&lt;22,"Evening","Night"))))</f>
        <v/>
      </c>
    </row>
    <row r="651">
      <c r="A651" s="2" t="n">
        <v>649</v>
      </c>
      <c r="B651" s="20">
        <f>A651/1440</f>
        <v/>
      </c>
      <c r="C651" s="2">
        <f>INT(A651/60)</f>
        <v/>
      </c>
      <c r="D651" s="2">
        <f>IF(C651&lt;6,"Night",IF(C651&lt;12,"Morning",IF(C651&lt;18,"Afternoon",IF(C651&lt;22,"Evening","Night"))))</f>
        <v/>
      </c>
    </row>
    <row r="652">
      <c r="A652" s="2" t="n">
        <v>650</v>
      </c>
      <c r="B652" s="20">
        <f>A652/1440</f>
        <v/>
      </c>
      <c r="C652" s="2">
        <f>INT(A652/60)</f>
        <v/>
      </c>
      <c r="D652" s="2">
        <f>IF(C652&lt;6,"Night",IF(C652&lt;12,"Morning",IF(C652&lt;18,"Afternoon",IF(C652&lt;22,"Evening","Night"))))</f>
        <v/>
      </c>
    </row>
    <row r="653">
      <c r="A653" s="2" t="n">
        <v>651</v>
      </c>
      <c r="B653" s="20">
        <f>A653/1440</f>
        <v/>
      </c>
      <c r="C653" s="2">
        <f>INT(A653/60)</f>
        <v/>
      </c>
      <c r="D653" s="2">
        <f>IF(C653&lt;6,"Night",IF(C653&lt;12,"Morning",IF(C653&lt;18,"Afternoon",IF(C653&lt;22,"Evening","Night"))))</f>
        <v/>
      </c>
    </row>
    <row r="654">
      <c r="A654" s="2" t="n">
        <v>652</v>
      </c>
      <c r="B654" s="20">
        <f>A654/1440</f>
        <v/>
      </c>
      <c r="C654" s="2">
        <f>INT(A654/60)</f>
        <v/>
      </c>
      <c r="D654" s="2">
        <f>IF(C654&lt;6,"Night",IF(C654&lt;12,"Morning",IF(C654&lt;18,"Afternoon",IF(C654&lt;22,"Evening","Night"))))</f>
        <v/>
      </c>
    </row>
    <row r="655">
      <c r="A655" s="2" t="n">
        <v>653</v>
      </c>
      <c r="B655" s="20">
        <f>A655/1440</f>
        <v/>
      </c>
      <c r="C655" s="2">
        <f>INT(A655/60)</f>
        <v/>
      </c>
      <c r="D655" s="2">
        <f>IF(C655&lt;6,"Night",IF(C655&lt;12,"Morning",IF(C655&lt;18,"Afternoon",IF(C655&lt;22,"Evening","Night"))))</f>
        <v/>
      </c>
    </row>
    <row r="656">
      <c r="A656" s="2" t="n">
        <v>654</v>
      </c>
      <c r="B656" s="20">
        <f>A656/1440</f>
        <v/>
      </c>
      <c r="C656" s="2">
        <f>INT(A656/60)</f>
        <v/>
      </c>
      <c r="D656" s="2">
        <f>IF(C656&lt;6,"Night",IF(C656&lt;12,"Morning",IF(C656&lt;18,"Afternoon",IF(C656&lt;22,"Evening","Night"))))</f>
        <v/>
      </c>
    </row>
    <row r="657">
      <c r="A657" s="2" t="n">
        <v>655</v>
      </c>
      <c r="B657" s="20">
        <f>A657/1440</f>
        <v/>
      </c>
      <c r="C657" s="2">
        <f>INT(A657/60)</f>
        <v/>
      </c>
      <c r="D657" s="2">
        <f>IF(C657&lt;6,"Night",IF(C657&lt;12,"Morning",IF(C657&lt;18,"Afternoon",IF(C657&lt;22,"Evening","Night"))))</f>
        <v/>
      </c>
    </row>
    <row r="658">
      <c r="A658" s="2" t="n">
        <v>656</v>
      </c>
      <c r="B658" s="20">
        <f>A658/1440</f>
        <v/>
      </c>
      <c r="C658" s="2">
        <f>INT(A658/60)</f>
        <v/>
      </c>
      <c r="D658" s="2">
        <f>IF(C658&lt;6,"Night",IF(C658&lt;12,"Morning",IF(C658&lt;18,"Afternoon",IF(C658&lt;22,"Evening","Night"))))</f>
        <v/>
      </c>
    </row>
    <row r="659">
      <c r="A659" s="2" t="n">
        <v>657</v>
      </c>
      <c r="B659" s="20">
        <f>A659/1440</f>
        <v/>
      </c>
      <c r="C659" s="2">
        <f>INT(A659/60)</f>
        <v/>
      </c>
      <c r="D659" s="2">
        <f>IF(C659&lt;6,"Night",IF(C659&lt;12,"Morning",IF(C659&lt;18,"Afternoon",IF(C659&lt;22,"Evening","Night"))))</f>
        <v/>
      </c>
    </row>
    <row r="660">
      <c r="A660" s="2" t="n">
        <v>658</v>
      </c>
      <c r="B660" s="20">
        <f>A660/1440</f>
        <v/>
      </c>
      <c r="C660" s="2">
        <f>INT(A660/60)</f>
        <v/>
      </c>
      <c r="D660" s="2">
        <f>IF(C660&lt;6,"Night",IF(C660&lt;12,"Morning",IF(C660&lt;18,"Afternoon",IF(C660&lt;22,"Evening","Night"))))</f>
        <v/>
      </c>
    </row>
    <row r="661">
      <c r="A661" s="2" t="n">
        <v>659</v>
      </c>
      <c r="B661" s="20">
        <f>A661/1440</f>
        <v/>
      </c>
      <c r="C661" s="2">
        <f>INT(A661/60)</f>
        <v/>
      </c>
      <c r="D661" s="2">
        <f>IF(C661&lt;6,"Night",IF(C661&lt;12,"Morning",IF(C661&lt;18,"Afternoon",IF(C661&lt;22,"Evening","Night"))))</f>
        <v/>
      </c>
    </row>
    <row r="662">
      <c r="A662" s="2" t="n">
        <v>660</v>
      </c>
      <c r="B662" s="20">
        <f>A662/1440</f>
        <v/>
      </c>
      <c r="C662" s="2">
        <f>INT(A662/60)</f>
        <v/>
      </c>
      <c r="D662" s="2">
        <f>IF(C662&lt;6,"Night",IF(C662&lt;12,"Morning",IF(C662&lt;18,"Afternoon",IF(C662&lt;22,"Evening","Night"))))</f>
        <v/>
      </c>
    </row>
    <row r="663">
      <c r="A663" s="2" t="n">
        <v>661</v>
      </c>
      <c r="B663" s="20">
        <f>A663/1440</f>
        <v/>
      </c>
      <c r="C663" s="2">
        <f>INT(A663/60)</f>
        <v/>
      </c>
      <c r="D663" s="2">
        <f>IF(C663&lt;6,"Night",IF(C663&lt;12,"Morning",IF(C663&lt;18,"Afternoon",IF(C663&lt;22,"Evening","Night"))))</f>
        <v/>
      </c>
    </row>
    <row r="664">
      <c r="A664" s="2" t="n">
        <v>662</v>
      </c>
      <c r="B664" s="20">
        <f>A664/1440</f>
        <v/>
      </c>
      <c r="C664" s="2">
        <f>INT(A664/60)</f>
        <v/>
      </c>
      <c r="D664" s="2">
        <f>IF(C664&lt;6,"Night",IF(C664&lt;12,"Morning",IF(C664&lt;18,"Afternoon",IF(C664&lt;22,"Evening","Night"))))</f>
        <v/>
      </c>
    </row>
    <row r="665">
      <c r="A665" s="2" t="n">
        <v>663</v>
      </c>
      <c r="B665" s="20">
        <f>A665/1440</f>
        <v/>
      </c>
      <c r="C665" s="2">
        <f>INT(A665/60)</f>
        <v/>
      </c>
      <c r="D665" s="2">
        <f>IF(C665&lt;6,"Night",IF(C665&lt;12,"Morning",IF(C665&lt;18,"Afternoon",IF(C665&lt;22,"Evening","Night"))))</f>
        <v/>
      </c>
    </row>
    <row r="666">
      <c r="A666" s="2" t="n">
        <v>664</v>
      </c>
      <c r="B666" s="20">
        <f>A666/1440</f>
        <v/>
      </c>
      <c r="C666" s="2">
        <f>INT(A666/60)</f>
        <v/>
      </c>
      <c r="D666" s="2">
        <f>IF(C666&lt;6,"Night",IF(C666&lt;12,"Morning",IF(C666&lt;18,"Afternoon",IF(C666&lt;22,"Evening","Night"))))</f>
        <v/>
      </c>
    </row>
    <row r="667">
      <c r="A667" s="2" t="n">
        <v>665</v>
      </c>
      <c r="B667" s="20">
        <f>A667/1440</f>
        <v/>
      </c>
      <c r="C667" s="2">
        <f>INT(A667/60)</f>
        <v/>
      </c>
      <c r="D667" s="2">
        <f>IF(C667&lt;6,"Night",IF(C667&lt;12,"Morning",IF(C667&lt;18,"Afternoon",IF(C667&lt;22,"Evening","Night"))))</f>
        <v/>
      </c>
    </row>
    <row r="668">
      <c r="A668" s="2" t="n">
        <v>666</v>
      </c>
      <c r="B668" s="20">
        <f>A668/1440</f>
        <v/>
      </c>
      <c r="C668" s="2">
        <f>INT(A668/60)</f>
        <v/>
      </c>
      <c r="D668" s="2">
        <f>IF(C668&lt;6,"Night",IF(C668&lt;12,"Morning",IF(C668&lt;18,"Afternoon",IF(C668&lt;22,"Evening","Night"))))</f>
        <v/>
      </c>
    </row>
    <row r="669">
      <c r="A669" s="2" t="n">
        <v>667</v>
      </c>
      <c r="B669" s="20">
        <f>A669/1440</f>
        <v/>
      </c>
      <c r="C669" s="2">
        <f>INT(A669/60)</f>
        <v/>
      </c>
      <c r="D669" s="2">
        <f>IF(C669&lt;6,"Night",IF(C669&lt;12,"Morning",IF(C669&lt;18,"Afternoon",IF(C669&lt;22,"Evening","Night"))))</f>
        <v/>
      </c>
    </row>
    <row r="670">
      <c r="A670" s="2" t="n">
        <v>668</v>
      </c>
      <c r="B670" s="20">
        <f>A670/1440</f>
        <v/>
      </c>
      <c r="C670" s="2">
        <f>INT(A670/60)</f>
        <v/>
      </c>
      <c r="D670" s="2">
        <f>IF(C670&lt;6,"Night",IF(C670&lt;12,"Morning",IF(C670&lt;18,"Afternoon",IF(C670&lt;22,"Evening","Night"))))</f>
        <v/>
      </c>
    </row>
    <row r="671">
      <c r="A671" s="2" t="n">
        <v>669</v>
      </c>
      <c r="B671" s="20">
        <f>A671/1440</f>
        <v/>
      </c>
      <c r="C671" s="2">
        <f>INT(A671/60)</f>
        <v/>
      </c>
      <c r="D671" s="2">
        <f>IF(C671&lt;6,"Night",IF(C671&lt;12,"Morning",IF(C671&lt;18,"Afternoon",IF(C671&lt;22,"Evening","Night"))))</f>
        <v/>
      </c>
    </row>
    <row r="672">
      <c r="A672" s="2" t="n">
        <v>670</v>
      </c>
      <c r="B672" s="20">
        <f>A672/1440</f>
        <v/>
      </c>
      <c r="C672" s="2">
        <f>INT(A672/60)</f>
        <v/>
      </c>
      <c r="D672" s="2">
        <f>IF(C672&lt;6,"Night",IF(C672&lt;12,"Morning",IF(C672&lt;18,"Afternoon",IF(C672&lt;22,"Evening","Night"))))</f>
        <v/>
      </c>
    </row>
    <row r="673">
      <c r="A673" s="2" t="n">
        <v>671</v>
      </c>
      <c r="B673" s="20">
        <f>A673/1440</f>
        <v/>
      </c>
      <c r="C673" s="2">
        <f>INT(A673/60)</f>
        <v/>
      </c>
      <c r="D673" s="2">
        <f>IF(C673&lt;6,"Night",IF(C673&lt;12,"Morning",IF(C673&lt;18,"Afternoon",IF(C673&lt;22,"Evening","Night"))))</f>
        <v/>
      </c>
    </row>
    <row r="674">
      <c r="A674" s="2" t="n">
        <v>672</v>
      </c>
      <c r="B674" s="20">
        <f>A674/1440</f>
        <v/>
      </c>
      <c r="C674" s="2">
        <f>INT(A674/60)</f>
        <v/>
      </c>
      <c r="D674" s="2">
        <f>IF(C674&lt;6,"Night",IF(C674&lt;12,"Morning",IF(C674&lt;18,"Afternoon",IF(C674&lt;22,"Evening","Night"))))</f>
        <v/>
      </c>
    </row>
    <row r="675">
      <c r="A675" s="2" t="n">
        <v>673</v>
      </c>
      <c r="B675" s="20">
        <f>A675/1440</f>
        <v/>
      </c>
      <c r="C675" s="2">
        <f>INT(A675/60)</f>
        <v/>
      </c>
      <c r="D675" s="2">
        <f>IF(C675&lt;6,"Night",IF(C675&lt;12,"Morning",IF(C675&lt;18,"Afternoon",IF(C675&lt;22,"Evening","Night"))))</f>
        <v/>
      </c>
    </row>
    <row r="676">
      <c r="A676" s="2" t="n">
        <v>674</v>
      </c>
      <c r="B676" s="20">
        <f>A676/1440</f>
        <v/>
      </c>
      <c r="C676" s="2">
        <f>INT(A676/60)</f>
        <v/>
      </c>
      <c r="D676" s="2">
        <f>IF(C676&lt;6,"Night",IF(C676&lt;12,"Morning",IF(C676&lt;18,"Afternoon",IF(C676&lt;22,"Evening","Night"))))</f>
        <v/>
      </c>
    </row>
    <row r="677">
      <c r="A677" s="2" t="n">
        <v>675</v>
      </c>
      <c r="B677" s="20">
        <f>A677/1440</f>
        <v/>
      </c>
      <c r="C677" s="2">
        <f>INT(A677/60)</f>
        <v/>
      </c>
      <c r="D677" s="2">
        <f>IF(C677&lt;6,"Night",IF(C677&lt;12,"Morning",IF(C677&lt;18,"Afternoon",IF(C677&lt;22,"Evening","Night"))))</f>
        <v/>
      </c>
    </row>
    <row r="678">
      <c r="A678" s="2" t="n">
        <v>676</v>
      </c>
      <c r="B678" s="20">
        <f>A678/1440</f>
        <v/>
      </c>
      <c r="C678" s="2">
        <f>INT(A678/60)</f>
        <v/>
      </c>
      <c r="D678" s="2">
        <f>IF(C678&lt;6,"Night",IF(C678&lt;12,"Morning",IF(C678&lt;18,"Afternoon",IF(C678&lt;22,"Evening","Night"))))</f>
        <v/>
      </c>
    </row>
    <row r="679">
      <c r="A679" s="2" t="n">
        <v>677</v>
      </c>
      <c r="B679" s="20">
        <f>A679/1440</f>
        <v/>
      </c>
      <c r="C679" s="2">
        <f>INT(A679/60)</f>
        <v/>
      </c>
      <c r="D679" s="2">
        <f>IF(C679&lt;6,"Night",IF(C679&lt;12,"Morning",IF(C679&lt;18,"Afternoon",IF(C679&lt;22,"Evening","Night"))))</f>
        <v/>
      </c>
    </row>
    <row r="680">
      <c r="A680" s="2" t="n">
        <v>678</v>
      </c>
      <c r="B680" s="20">
        <f>A680/1440</f>
        <v/>
      </c>
      <c r="C680" s="2">
        <f>INT(A680/60)</f>
        <v/>
      </c>
      <c r="D680" s="2">
        <f>IF(C680&lt;6,"Night",IF(C680&lt;12,"Morning",IF(C680&lt;18,"Afternoon",IF(C680&lt;22,"Evening","Night"))))</f>
        <v/>
      </c>
    </row>
    <row r="681">
      <c r="A681" s="2" t="n">
        <v>679</v>
      </c>
      <c r="B681" s="20">
        <f>A681/1440</f>
        <v/>
      </c>
      <c r="C681" s="2">
        <f>INT(A681/60)</f>
        <v/>
      </c>
      <c r="D681" s="2">
        <f>IF(C681&lt;6,"Night",IF(C681&lt;12,"Morning",IF(C681&lt;18,"Afternoon",IF(C681&lt;22,"Evening","Night"))))</f>
        <v/>
      </c>
    </row>
    <row r="682">
      <c r="A682" s="2" t="n">
        <v>680</v>
      </c>
      <c r="B682" s="20">
        <f>A682/1440</f>
        <v/>
      </c>
      <c r="C682" s="2">
        <f>INT(A682/60)</f>
        <v/>
      </c>
      <c r="D682" s="2">
        <f>IF(C682&lt;6,"Night",IF(C682&lt;12,"Morning",IF(C682&lt;18,"Afternoon",IF(C682&lt;22,"Evening","Night"))))</f>
        <v/>
      </c>
    </row>
    <row r="683">
      <c r="A683" s="2" t="n">
        <v>681</v>
      </c>
      <c r="B683" s="20">
        <f>A683/1440</f>
        <v/>
      </c>
      <c r="C683" s="2">
        <f>INT(A683/60)</f>
        <v/>
      </c>
      <c r="D683" s="2">
        <f>IF(C683&lt;6,"Night",IF(C683&lt;12,"Morning",IF(C683&lt;18,"Afternoon",IF(C683&lt;22,"Evening","Night"))))</f>
        <v/>
      </c>
    </row>
    <row r="684">
      <c r="A684" s="2" t="n">
        <v>682</v>
      </c>
      <c r="B684" s="20">
        <f>A684/1440</f>
        <v/>
      </c>
      <c r="C684" s="2">
        <f>INT(A684/60)</f>
        <v/>
      </c>
      <c r="D684" s="2">
        <f>IF(C684&lt;6,"Night",IF(C684&lt;12,"Morning",IF(C684&lt;18,"Afternoon",IF(C684&lt;22,"Evening","Night"))))</f>
        <v/>
      </c>
    </row>
    <row r="685">
      <c r="A685" s="2" t="n">
        <v>683</v>
      </c>
      <c r="B685" s="20">
        <f>A685/1440</f>
        <v/>
      </c>
      <c r="C685" s="2">
        <f>INT(A685/60)</f>
        <v/>
      </c>
      <c r="D685" s="2">
        <f>IF(C685&lt;6,"Night",IF(C685&lt;12,"Morning",IF(C685&lt;18,"Afternoon",IF(C685&lt;22,"Evening","Night"))))</f>
        <v/>
      </c>
    </row>
    <row r="686">
      <c r="A686" s="2" t="n">
        <v>684</v>
      </c>
      <c r="B686" s="20">
        <f>A686/1440</f>
        <v/>
      </c>
      <c r="C686" s="2">
        <f>INT(A686/60)</f>
        <v/>
      </c>
      <c r="D686" s="2">
        <f>IF(C686&lt;6,"Night",IF(C686&lt;12,"Morning",IF(C686&lt;18,"Afternoon",IF(C686&lt;22,"Evening","Night"))))</f>
        <v/>
      </c>
    </row>
    <row r="687">
      <c r="A687" s="2" t="n">
        <v>685</v>
      </c>
      <c r="B687" s="20">
        <f>A687/1440</f>
        <v/>
      </c>
      <c r="C687" s="2">
        <f>INT(A687/60)</f>
        <v/>
      </c>
      <c r="D687" s="2">
        <f>IF(C687&lt;6,"Night",IF(C687&lt;12,"Morning",IF(C687&lt;18,"Afternoon",IF(C687&lt;22,"Evening","Night"))))</f>
        <v/>
      </c>
    </row>
    <row r="688">
      <c r="A688" s="2" t="n">
        <v>686</v>
      </c>
      <c r="B688" s="20">
        <f>A688/1440</f>
        <v/>
      </c>
      <c r="C688" s="2">
        <f>INT(A688/60)</f>
        <v/>
      </c>
      <c r="D688" s="2">
        <f>IF(C688&lt;6,"Night",IF(C688&lt;12,"Morning",IF(C688&lt;18,"Afternoon",IF(C688&lt;22,"Evening","Night"))))</f>
        <v/>
      </c>
    </row>
    <row r="689">
      <c r="A689" s="2" t="n">
        <v>687</v>
      </c>
      <c r="B689" s="20">
        <f>A689/1440</f>
        <v/>
      </c>
      <c r="C689" s="2">
        <f>INT(A689/60)</f>
        <v/>
      </c>
      <c r="D689" s="2">
        <f>IF(C689&lt;6,"Night",IF(C689&lt;12,"Morning",IF(C689&lt;18,"Afternoon",IF(C689&lt;22,"Evening","Night"))))</f>
        <v/>
      </c>
    </row>
    <row r="690">
      <c r="A690" s="2" t="n">
        <v>688</v>
      </c>
      <c r="B690" s="20">
        <f>A690/1440</f>
        <v/>
      </c>
      <c r="C690" s="2">
        <f>INT(A690/60)</f>
        <v/>
      </c>
      <c r="D690" s="2">
        <f>IF(C690&lt;6,"Night",IF(C690&lt;12,"Morning",IF(C690&lt;18,"Afternoon",IF(C690&lt;22,"Evening","Night"))))</f>
        <v/>
      </c>
    </row>
    <row r="691">
      <c r="A691" s="2" t="n">
        <v>689</v>
      </c>
      <c r="B691" s="20">
        <f>A691/1440</f>
        <v/>
      </c>
      <c r="C691" s="2">
        <f>INT(A691/60)</f>
        <v/>
      </c>
      <c r="D691" s="2">
        <f>IF(C691&lt;6,"Night",IF(C691&lt;12,"Morning",IF(C691&lt;18,"Afternoon",IF(C691&lt;22,"Evening","Night"))))</f>
        <v/>
      </c>
    </row>
    <row r="692">
      <c r="A692" s="2" t="n">
        <v>690</v>
      </c>
      <c r="B692" s="20">
        <f>A692/1440</f>
        <v/>
      </c>
      <c r="C692" s="2">
        <f>INT(A692/60)</f>
        <v/>
      </c>
      <c r="D692" s="2">
        <f>IF(C692&lt;6,"Night",IF(C692&lt;12,"Morning",IF(C692&lt;18,"Afternoon",IF(C692&lt;22,"Evening","Night"))))</f>
        <v/>
      </c>
    </row>
    <row r="693">
      <c r="A693" s="2" t="n">
        <v>691</v>
      </c>
      <c r="B693" s="20">
        <f>A693/1440</f>
        <v/>
      </c>
      <c r="C693" s="2">
        <f>INT(A693/60)</f>
        <v/>
      </c>
      <c r="D693" s="2">
        <f>IF(C693&lt;6,"Night",IF(C693&lt;12,"Morning",IF(C693&lt;18,"Afternoon",IF(C693&lt;22,"Evening","Night"))))</f>
        <v/>
      </c>
    </row>
    <row r="694">
      <c r="A694" s="2" t="n">
        <v>692</v>
      </c>
      <c r="B694" s="20">
        <f>A694/1440</f>
        <v/>
      </c>
      <c r="C694" s="2">
        <f>INT(A694/60)</f>
        <v/>
      </c>
      <c r="D694" s="2">
        <f>IF(C694&lt;6,"Night",IF(C694&lt;12,"Morning",IF(C694&lt;18,"Afternoon",IF(C694&lt;22,"Evening","Night"))))</f>
        <v/>
      </c>
    </row>
    <row r="695">
      <c r="A695" s="2" t="n">
        <v>693</v>
      </c>
      <c r="B695" s="20">
        <f>A695/1440</f>
        <v/>
      </c>
      <c r="C695" s="2">
        <f>INT(A695/60)</f>
        <v/>
      </c>
      <c r="D695" s="2">
        <f>IF(C695&lt;6,"Night",IF(C695&lt;12,"Morning",IF(C695&lt;18,"Afternoon",IF(C695&lt;22,"Evening","Night"))))</f>
        <v/>
      </c>
    </row>
    <row r="696">
      <c r="A696" s="2" t="n">
        <v>694</v>
      </c>
      <c r="B696" s="20">
        <f>A696/1440</f>
        <v/>
      </c>
      <c r="C696" s="2">
        <f>INT(A696/60)</f>
        <v/>
      </c>
      <c r="D696" s="2">
        <f>IF(C696&lt;6,"Night",IF(C696&lt;12,"Morning",IF(C696&lt;18,"Afternoon",IF(C696&lt;22,"Evening","Night"))))</f>
        <v/>
      </c>
    </row>
    <row r="697">
      <c r="A697" s="2" t="n">
        <v>695</v>
      </c>
      <c r="B697" s="20">
        <f>A697/1440</f>
        <v/>
      </c>
      <c r="C697" s="2">
        <f>INT(A697/60)</f>
        <v/>
      </c>
      <c r="D697" s="2">
        <f>IF(C697&lt;6,"Night",IF(C697&lt;12,"Morning",IF(C697&lt;18,"Afternoon",IF(C697&lt;22,"Evening","Night"))))</f>
        <v/>
      </c>
    </row>
    <row r="698">
      <c r="A698" s="2" t="n">
        <v>696</v>
      </c>
      <c r="B698" s="20">
        <f>A698/1440</f>
        <v/>
      </c>
      <c r="C698" s="2">
        <f>INT(A698/60)</f>
        <v/>
      </c>
      <c r="D698" s="2">
        <f>IF(C698&lt;6,"Night",IF(C698&lt;12,"Morning",IF(C698&lt;18,"Afternoon",IF(C698&lt;22,"Evening","Night"))))</f>
        <v/>
      </c>
    </row>
    <row r="699">
      <c r="A699" s="2" t="n">
        <v>697</v>
      </c>
      <c r="B699" s="20">
        <f>A699/1440</f>
        <v/>
      </c>
      <c r="C699" s="2">
        <f>INT(A699/60)</f>
        <v/>
      </c>
      <c r="D699" s="2">
        <f>IF(C699&lt;6,"Night",IF(C699&lt;12,"Morning",IF(C699&lt;18,"Afternoon",IF(C699&lt;22,"Evening","Night"))))</f>
        <v/>
      </c>
    </row>
    <row r="700">
      <c r="A700" s="2" t="n">
        <v>698</v>
      </c>
      <c r="B700" s="20">
        <f>A700/1440</f>
        <v/>
      </c>
      <c r="C700" s="2">
        <f>INT(A700/60)</f>
        <v/>
      </c>
      <c r="D700" s="2">
        <f>IF(C700&lt;6,"Night",IF(C700&lt;12,"Morning",IF(C700&lt;18,"Afternoon",IF(C700&lt;22,"Evening","Night"))))</f>
        <v/>
      </c>
    </row>
    <row r="701">
      <c r="A701" s="2" t="n">
        <v>699</v>
      </c>
      <c r="B701" s="20">
        <f>A701/1440</f>
        <v/>
      </c>
      <c r="C701" s="2">
        <f>INT(A701/60)</f>
        <v/>
      </c>
      <c r="D701" s="2">
        <f>IF(C701&lt;6,"Night",IF(C701&lt;12,"Morning",IF(C701&lt;18,"Afternoon",IF(C701&lt;22,"Evening","Night"))))</f>
        <v/>
      </c>
    </row>
    <row r="702">
      <c r="A702" s="2" t="n">
        <v>700</v>
      </c>
      <c r="B702" s="20">
        <f>A702/1440</f>
        <v/>
      </c>
      <c r="C702" s="2">
        <f>INT(A702/60)</f>
        <v/>
      </c>
      <c r="D702" s="2">
        <f>IF(C702&lt;6,"Night",IF(C702&lt;12,"Morning",IF(C702&lt;18,"Afternoon",IF(C702&lt;22,"Evening","Night"))))</f>
        <v/>
      </c>
    </row>
    <row r="703">
      <c r="A703" s="2" t="n">
        <v>701</v>
      </c>
      <c r="B703" s="20">
        <f>A703/1440</f>
        <v/>
      </c>
      <c r="C703" s="2">
        <f>INT(A703/60)</f>
        <v/>
      </c>
      <c r="D703" s="2">
        <f>IF(C703&lt;6,"Night",IF(C703&lt;12,"Morning",IF(C703&lt;18,"Afternoon",IF(C703&lt;22,"Evening","Night"))))</f>
        <v/>
      </c>
    </row>
    <row r="704">
      <c r="A704" s="2" t="n">
        <v>702</v>
      </c>
      <c r="B704" s="20">
        <f>A704/1440</f>
        <v/>
      </c>
      <c r="C704" s="2">
        <f>INT(A704/60)</f>
        <v/>
      </c>
      <c r="D704" s="2">
        <f>IF(C704&lt;6,"Night",IF(C704&lt;12,"Morning",IF(C704&lt;18,"Afternoon",IF(C704&lt;22,"Evening","Night"))))</f>
        <v/>
      </c>
    </row>
    <row r="705">
      <c r="A705" s="2" t="n">
        <v>703</v>
      </c>
      <c r="B705" s="20">
        <f>A705/1440</f>
        <v/>
      </c>
      <c r="C705" s="2">
        <f>INT(A705/60)</f>
        <v/>
      </c>
      <c r="D705" s="2">
        <f>IF(C705&lt;6,"Night",IF(C705&lt;12,"Morning",IF(C705&lt;18,"Afternoon",IF(C705&lt;22,"Evening","Night"))))</f>
        <v/>
      </c>
    </row>
    <row r="706">
      <c r="A706" s="2" t="n">
        <v>704</v>
      </c>
      <c r="B706" s="20">
        <f>A706/1440</f>
        <v/>
      </c>
      <c r="C706" s="2">
        <f>INT(A706/60)</f>
        <v/>
      </c>
      <c r="D706" s="2">
        <f>IF(C706&lt;6,"Night",IF(C706&lt;12,"Morning",IF(C706&lt;18,"Afternoon",IF(C706&lt;22,"Evening","Night"))))</f>
        <v/>
      </c>
    </row>
    <row r="707">
      <c r="A707" s="2" t="n">
        <v>705</v>
      </c>
      <c r="B707" s="20">
        <f>A707/1440</f>
        <v/>
      </c>
      <c r="C707" s="2">
        <f>INT(A707/60)</f>
        <v/>
      </c>
      <c r="D707" s="2">
        <f>IF(C707&lt;6,"Night",IF(C707&lt;12,"Morning",IF(C707&lt;18,"Afternoon",IF(C707&lt;22,"Evening","Night"))))</f>
        <v/>
      </c>
    </row>
    <row r="708">
      <c r="A708" s="2" t="n">
        <v>706</v>
      </c>
      <c r="B708" s="20">
        <f>A708/1440</f>
        <v/>
      </c>
      <c r="C708" s="2">
        <f>INT(A708/60)</f>
        <v/>
      </c>
      <c r="D708" s="2">
        <f>IF(C708&lt;6,"Night",IF(C708&lt;12,"Morning",IF(C708&lt;18,"Afternoon",IF(C708&lt;22,"Evening","Night"))))</f>
        <v/>
      </c>
    </row>
    <row r="709">
      <c r="A709" s="2" t="n">
        <v>707</v>
      </c>
      <c r="B709" s="20">
        <f>A709/1440</f>
        <v/>
      </c>
      <c r="C709" s="2">
        <f>INT(A709/60)</f>
        <v/>
      </c>
      <c r="D709" s="2">
        <f>IF(C709&lt;6,"Night",IF(C709&lt;12,"Morning",IF(C709&lt;18,"Afternoon",IF(C709&lt;22,"Evening","Night"))))</f>
        <v/>
      </c>
    </row>
    <row r="710">
      <c r="A710" s="2" t="n">
        <v>708</v>
      </c>
      <c r="B710" s="20">
        <f>A710/1440</f>
        <v/>
      </c>
      <c r="C710" s="2">
        <f>INT(A710/60)</f>
        <v/>
      </c>
      <c r="D710" s="2">
        <f>IF(C710&lt;6,"Night",IF(C710&lt;12,"Morning",IF(C710&lt;18,"Afternoon",IF(C710&lt;22,"Evening","Night"))))</f>
        <v/>
      </c>
    </row>
    <row r="711">
      <c r="A711" s="2" t="n">
        <v>709</v>
      </c>
      <c r="B711" s="20">
        <f>A711/1440</f>
        <v/>
      </c>
      <c r="C711" s="2">
        <f>INT(A711/60)</f>
        <v/>
      </c>
      <c r="D711" s="2">
        <f>IF(C711&lt;6,"Night",IF(C711&lt;12,"Morning",IF(C711&lt;18,"Afternoon",IF(C711&lt;22,"Evening","Night"))))</f>
        <v/>
      </c>
    </row>
    <row r="712">
      <c r="A712" s="2" t="n">
        <v>710</v>
      </c>
      <c r="B712" s="20">
        <f>A712/1440</f>
        <v/>
      </c>
      <c r="C712" s="2">
        <f>INT(A712/60)</f>
        <v/>
      </c>
      <c r="D712" s="2">
        <f>IF(C712&lt;6,"Night",IF(C712&lt;12,"Morning",IF(C712&lt;18,"Afternoon",IF(C712&lt;22,"Evening","Night"))))</f>
        <v/>
      </c>
    </row>
    <row r="713">
      <c r="A713" s="2" t="n">
        <v>711</v>
      </c>
      <c r="B713" s="20">
        <f>A713/1440</f>
        <v/>
      </c>
      <c r="C713" s="2">
        <f>INT(A713/60)</f>
        <v/>
      </c>
      <c r="D713" s="2">
        <f>IF(C713&lt;6,"Night",IF(C713&lt;12,"Morning",IF(C713&lt;18,"Afternoon",IF(C713&lt;22,"Evening","Night"))))</f>
        <v/>
      </c>
    </row>
    <row r="714">
      <c r="A714" s="2" t="n">
        <v>712</v>
      </c>
      <c r="B714" s="20">
        <f>A714/1440</f>
        <v/>
      </c>
      <c r="C714" s="2">
        <f>INT(A714/60)</f>
        <v/>
      </c>
      <c r="D714" s="2">
        <f>IF(C714&lt;6,"Night",IF(C714&lt;12,"Morning",IF(C714&lt;18,"Afternoon",IF(C714&lt;22,"Evening","Night"))))</f>
        <v/>
      </c>
    </row>
    <row r="715">
      <c r="A715" s="2" t="n">
        <v>713</v>
      </c>
      <c r="B715" s="20">
        <f>A715/1440</f>
        <v/>
      </c>
      <c r="C715" s="2">
        <f>INT(A715/60)</f>
        <v/>
      </c>
      <c r="D715" s="2">
        <f>IF(C715&lt;6,"Night",IF(C715&lt;12,"Morning",IF(C715&lt;18,"Afternoon",IF(C715&lt;22,"Evening","Night"))))</f>
        <v/>
      </c>
    </row>
    <row r="716">
      <c r="A716" s="2" t="n">
        <v>714</v>
      </c>
      <c r="B716" s="20">
        <f>A716/1440</f>
        <v/>
      </c>
      <c r="C716" s="2">
        <f>INT(A716/60)</f>
        <v/>
      </c>
      <c r="D716" s="2">
        <f>IF(C716&lt;6,"Night",IF(C716&lt;12,"Morning",IF(C716&lt;18,"Afternoon",IF(C716&lt;22,"Evening","Night"))))</f>
        <v/>
      </c>
    </row>
    <row r="717">
      <c r="A717" s="2" t="n">
        <v>715</v>
      </c>
      <c r="B717" s="20">
        <f>A717/1440</f>
        <v/>
      </c>
      <c r="C717" s="2">
        <f>INT(A717/60)</f>
        <v/>
      </c>
      <c r="D717" s="2">
        <f>IF(C717&lt;6,"Night",IF(C717&lt;12,"Morning",IF(C717&lt;18,"Afternoon",IF(C717&lt;22,"Evening","Night"))))</f>
        <v/>
      </c>
    </row>
    <row r="718">
      <c r="A718" s="2" t="n">
        <v>716</v>
      </c>
      <c r="B718" s="20">
        <f>A718/1440</f>
        <v/>
      </c>
      <c r="C718" s="2">
        <f>INT(A718/60)</f>
        <v/>
      </c>
      <c r="D718" s="2">
        <f>IF(C718&lt;6,"Night",IF(C718&lt;12,"Morning",IF(C718&lt;18,"Afternoon",IF(C718&lt;22,"Evening","Night"))))</f>
        <v/>
      </c>
    </row>
    <row r="719">
      <c r="A719" s="2" t="n">
        <v>717</v>
      </c>
      <c r="B719" s="20">
        <f>A719/1440</f>
        <v/>
      </c>
      <c r="C719" s="2">
        <f>INT(A719/60)</f>
        <v/>
      </c>
      <c r="D719" s="2">
        <f>IF(C719&lt;6,"Night",IF(C719&lt;12,"Morning",IF(C719&lt;18,"Afternoon",IF(C719&lt;22,"Evening","Night"))))</f>
        <v/>
      </c>
    </row>
    <row r="720">
      <c r="A720" s="2" t="n">
        <v>718</v>
      </c>
      <c r="B720" s="20">
        <f>A720/1440</f>
        <v/>
      </c>
      <c r="C720" s="2">
        <f>INT(A720/60)</f>
        <v/>
      </c>
      <c r="D720" s="2">
        <f>IF(C720&lt;6,"Night",IF(C720&lt;12,"Morning",IF(C720&lt;18,"Afternoon",IF(C720&lt;22,"Evening","Night"))))</f>
        <v/>
      </c>
    </row>
    <row r="721">
      <c r="A721" s="2" t="n">
        <v>719</v>
      </c>
      <c r="B721" s="20">
        <f>A721/1440</f>
        <v/>
      </c>
      <c r="C721" s="2">
        <f>INT(A721/60)</f>
        <v/>
      </c>
      <c r="D721" s="2">
        <f>IF(C721&lt;6,"Night",IF(C721&lt;12,"Morning",IF(C721&lt;18,"Afternoon",IF(C721&lt;22,"Evening","Night"))))</f>
        <v/>
      </c>
    </row>
    <row r="722">
      <c r="A722" s="2" t="n">
        <v>720</v>
      </c>
      <c r="B722" s="20">
        <f>A722/1440</f>
        <v/>
      </c>
      <c r="C722" s="2">
        <f>INT(A722/60)</f>
        <v/>
      </c>
      <c r="D722" s="2">
        <f>IF(C722&lt;6,"Night",IF(C722&lt;12,"Morning",IF(C722&lt;18,"Afternoon",IF(C722&lt;22,"Evening","Night"))))</f>
        <v/>
      </c>
    </row>
    <row r="723">
      <c r="A723" s="2" t="n">
        <v>721</v>
      </c>
      <c r="B723" s="20">
        <f>A723/1440</f>
        <v/>
      </c>
      <c r="C723" s="2">
        <f>INT(A723/60)</f>
        <v/>
      </c>
      <c r="D723" s="2">
        <f>IF(C723&lt;6,"Night",IF(C723&lt;12,"Morning",IF(C723&lt;18,"Afternoon",IF(C723&lt;22,"Evening","Night"))))</f>
        <v/>
      </c>
    </row>
    <row r="724">
      <c r="A724" s="2" t="n">
        <v>722</v>
      </c>
      <c r="B724" s="20">
        <f>A724/1440</f>
        <v/>
      </c>
      <c r="C724" s="2">
        <f>INT(A724/60)</f>
        <v/>
      </c>
      <c r="D724" s="2">
        <f>IF(C724&lt;6,"Night",IF(C724&lt;12,"Morning",IF(C724&lt;18,"Afternoon",IF(C724&lt;22,"Evening","Night"))))</f>
        <v/>
      </c>
    </row>
    <row r="725">
      <c r="A725" s="2" t="n">
        <v>723</v>
      </c>
      <c r="B725" s="20">
        <f>A725/1440</f>
        <v/>
      </c>
      <c r="C725" s="2">
        <f>INT(A725/60)</f>
        <v/>
      </c>
      <c r="D725" s="2">
        <f>IF(C725&lt;6,"Night",IF(C725&lt;12,"Morning",IF(C725&lt;18,"Afternoon",IF(C725&lt;22,"Evening","Night"))))</f>
        <v/>
      </c>
    </row>
    <row r="726">
      <c r="A726" s="2" t="n">
        <v>724</v>
      </c>
      <c r="B726" s="20">
        <f>A726/1440</f>
        <v/>
      </c>
      <c r="C726" s="2">
        <f>INT(A726/60)</f>
        <v/>
      </c>
      <c r="D726" s="2">
        <f>IF(C726&lt;6,"Night",IF(C726&lt;12,"Morning",IF(C726&lt;18,"Afternoon",IF(C726&lt;22,"Evening","Night"))))</f>
        <v/>
      </c>
    </row>
    <row r="727">
      <c r="A727" s="2" t="n">
        <v>725</v>
      </c>
      <c r="B727" s="20">
        <f>A727/1440</f>
        <v/>
      </c>
      <c r="C727" s="2">
        <f>INT(A727/60)</f>
        <v/>
      </c>
      <c r="D727" s="2">
        <f>IF(C727&lt;6,"Night",IF(C727&lt;12,"Morning",IF(C727&lt;18,"Afternoon",IF(C727&lt;22,"Evening","Night"))))</f>
        <v/>
      </c>
    </row>
    <row r="728">
      <c r="A728" s="2" t="n">
        <v>726</v>
      </c>
      <c r="B728" s="20">
        <f>A728/1440</f>
        <v/>
      </c>
      <c r="C728" s="2">
        <f>INT(A728/60)</f>
        <v/>
      </c>
      <c r="D728" s="2">
        <f>IF(C728&lt;6,"Night",IF(C728&lt;12,"Morning",IF(C728&lt;18,"Afternoon",IF(C728&lt;22,"Evening","Night"))))</f>
        <v/>
      </c>
    </row>
    <row r="729">
      <c r="A729" s="2" t="n">
        <v>727</v>
      </c>
      <c r="B729" s="20">
        <f>A729/1440</f>
        <v/>
      </c>
      <c r="C729" s="2">
        <f>INT(A729/60)</f>
        <v/>
      </c>
      <c r="D729" s="2">
        <f>IF(C729&lt;6,"Night",IF(C729&lt;12,"Morning",IF(C729&lt;18,"Afternoon",IF(C729&lt;22,"Evening","Night"))))</f>
        <v/>
      </c>
    </row>
    <row r="730">
      <c r="A730" s="2" t="n">
        <v>728</v>
      </c>
      <c r="B730" s="20">
        <f>A730/1440</f>
        <v/>
      </c>
      <c r="C730" s="2">
        <f>INT(A730/60)</f>
        <v/>
      </c>
      <c r="D730" s="2">
        <f>IF(C730&lt;6,"Night",IF(C730&lt;12,"Morning",IF(C730&lt;18,"Afternoon",IF(C730&lt;22,"Evening","Night"))))</f>
        <v/>
      </c>
    </row>
    <row r="731">
      <c r="A731" s="2" t="n">
        <v>729</v>
      </c>
      <c r="B731" s="20">
        <f>A731/1440</f>
        <v/>
      </c>
      <c r="C731" s="2">
        <f>INT(A731/60)</f>
        <v/>
      </c>
      <c r="D731" s="2">
        <f>IF(C731&lt;6,"Night",IF(C731&lt;12,"Morning",IF(C731&lt;18,"Afternoon",IF(C731&lt;22,"Evening","Night"))))</f>
        <v/>
      </c>
    </row>
    <row r="732">
      <c r="A732" s="2" t="n">
        <v>730</v>
      </c>
      <c r="B732" s="20">
        <f>A732/1440</f>
        <v/>
      </c>
      <c r="C732" s="2">
        <f>INT(A732/60)</f>
        <v/>
      </c>
      <c r="D732" s="2">
        <f>IF(C732&lt;6,"Night",IF(C732&lt;12,"Morning",IF(C732&lt;18,"Afternoon",IF(C732&lt;22,"Evening","Night"))))</f>
        <v/>
      </c>
    </row>
    <row r="733">
      <c r="A733" s="2" t="n">
        <v>731</v>
      </c>
      <c r="B733" s="20">
        <f>A733/1440</f>
        <v/>
      </c>
      <c r="C733" s="2">
        <f>INT(A733/60)</f>
        <v/>
      </c>
      <c r="D733" s="2">
        <f>IF(C733&lt;6,"Night",IF(C733&lt;12,"Morning",IF(C733&lt;18,"Afternoon",IF(C733&lt;22,"Evening","Night"))))</f>
        <v/>
      </c>
    </row>
    <row r="734">
      <c r="A734" s="2" t="n">
        <v>732</v>
      </c>
      <c r="B734" s="20">
        <f>A734/1440</f>
        <v/>
      </c>
      <c r="C734" s="2">
        <f>INT(A734/60)</f>
        <v/>
      </c>
      <c r="D734" s="2">
        <f>IF(C734&lt;6,"Night",IF(C734&lt;12,"Morning",IF(C734&lt;18,"Afternoon",IF(C734&lt;22,"Evening","Night"))))</f>
        <v/>
      </c>
    </row>
    <row r="735">
      <c r="A735" s="2" t="n">
        <v>733</v>
      </c>
      <c r="B735" s="20">
        <f>A735/1440</f>
        <v/>
      </c>
      <c r="C735" s="2">
        <f>INT(A735/60)</f>
        <v/>
      </c>
      <c r="D735" s="2">
        <f>IF(C735&lt;6,"Night",IF(C735&lt;12,"Morning",IF(C735&lt;18,"Afternoon",IF(C735&lt;22,"Evening","Night"))))</f>
        <v/>
      </c>
    </row>
    <row r="736">
      <c r="A736" s="2" t="n">
        <v>734</v>
      </c>
      <c r="B736" s="20">
        <f>A736/1440</f>
        <v/>
      </c>
      <c r="C736" s="2">
        <f>INT(A736/60)</f>
        <v/>
      </c>
      <c r="D736" s="2">
        <f>IF(C736&lt;6,"Night",IF(C736&lt;12,"Morning",IF(C736&lt;18,"Afternoon",IF(C736&lt;22,"Evening","Night"))))</f>
        <v/>
      </c>
    </row>
    <row r="737">
      <c r="A737" s="2" t="n">
        <v>735</v>
      </c>
      <c r="B737" s="20">
        <f>A737/1440</f>
        <v/>
      </c>
      <c r="C737" s="2">
        <f>INT(A737/60)</f>
        <v/>
      </c>
      <c r="D737" s="2">
        <f>IF(C737&lt;6,"Night",IF(C737&lt;12,"Morning",IF(C737&lt;18,"Afternoon",IF(C737&lt;22,"Evening","Night"))))</f>
        <v/>
      </c>
    </row>
    <row r="738">
      <c r="A738" s="2" t="n">
        <v>736</v>
      </c>
      <c r="B738" s="20">
        <f>A738/1440</f>
        <v/>
      </c>
      <c r="C738" s="2">
        <f>INT(A738/60)</f>
        <v/>
      </c>
      <c r="D738" s="2">
        <f>IF(C738&lt;6,"Night",IF(C738&lt;12,"Morning",IF(C738&lt;18,"Afternoon",IF(C738&lt;22,"Evening","Night"))))</f>
        <v/>
      </c>
    </row>
    <row r="739">
      <c r="A739" s="2" t="n">
        <v>737</v>
      </c>
      <c r="B739" s="20">
        <f>A739/1440</f>
        <v/>
      </c>
      <c r="C739" s="2">
        <f>INT(A739/60)</f>
        <v/>
      </c>
      <c r="D739" s="2">
        <f>IF(C739&lt;6,"Night",IF(C739&lt;12,"Morning",IF(C739&lt;18,"Afternoon",IF(C739&lt;22,"Evening","Night"))))</f>
        <v/>
      </c>
    </row>
    <row r="740">
      <c r="A740" s="2" t="n">
        <v>738</v>
      </c>
      <c r="B740" s="20">
        <f>A740/1440</f>
        <v/>
      </c>
      <c r="C740" s="2">
        <f>INT(A740/60)</f>
        <v/>
      </c>
      <c r="D740" s="2">
        <f>IF(C740&lt;6,"Night",IF(C740&lt;12,"Morning",IF(C740&lt;18,"Afternoon",IF(C740&lt;22,"Evening","Night"))))</f>
        <v/>
      </c>
    </row>
    <row r="741">
      <c r="A741" s="2" t="n">
        <v>739</v>
      </c>
      <c r="B741" s="20">
        <f>A741/1440</f>
        <v/>
      </c>
      <c r="C741" s="2">
        <f>INT(A741/60)</f>
        <v/>
      </c>
      <c r="D741" s="2">
        <f>IF(C741&lt;6,"Night",IF(C741&lt;12,"Morning",IF(C741&lt;18,"Afternoon",IF(C741&lt;22,"Evening","Night"))))</f>
        <v/>
      </c>
    </row>
    <row r="742">
      <c r="A742" s="2" t="n">
        <v>740</v>
      </c>
      <c r="B742" s="20">
        <f>A742/1440</f>
        <v/>
      </c>
      <c r="C742" s="2">
        <f>INT(A742/60)</f>
        <v/>
      </c>
      <c r="D742" s="2">
        <f>IF(C742&lt;6,"Night",IF(C742&lt;12,"Morning",IF(C742&lt;18,"Afternoon",IF(C742&lt;22,"Evening","Night"))))</f>
        <v/>
      </c>
    </row>
    <row r="743">
      <c r="A743" s="2" t="n">
        <v>741</v>
      </c>
      <c r="B743" s="20">
        <f>A743/1440</f>
        <v/>
      </c>
      <c r="C743" s="2">
        <f>INT(A743/60)</f>
        <v/>
      </c>
      <c r="D743" s="2">
        <f>IF(C743&lt;6,"Night",IF(C743&lt;12,"Morning",IF(C743&lt;18,"Afternoon",IF(C743&lt;22,"Evening","Night"))))</f>
        <v/>
      </c>
    </row>
    <row r="744">
      <c r="A744" s="2" t="n">
        <v>742</v>
      </c>
      <c r="B744" s="20">
        <f>A744/1440</f>
        <v/>
      </c>
      <c r="C744" s="2">
        <f>INT(A744/60)</f>
        <v/>
      </c>
      <c r="D744" s="2">
        <f>IF(C744&lt;6,"Night",IF(C744&lt;12,"Morning",IF(C744&lt;18,"Afternoon",IF(C744&lt;22,"Evening","Night"))))</f>
        <v/>
      </c>
    </row>
    <row r="745">
      <c r="A745" s="2" t="n">
        <v>743</v>
      </c>
      <c r="B745" s="20">
        <f>A745/1440</f>
        <v/>
      </c>
      <c r="C745" s="2">
        <f>INT(A745/60)</f>
        <v/>
      </c>
      <c r="D745" s="2">
        <f>IF(C745&lt;6,"Night",IF(C745&lt;12,"Morning",IF(C745&lt;18,"Afternoon",IF(C745&lt;22,"Evening","Night"))))</f>
        <v/>
      </c>
    </row>
    <row r="746">
      <c r="A746" s="2" t="n">
        <v>744</v>
      </c>
      <c r="B746" s="20">
        <f>A746/1440</f>
        <v/>
      </c>
      <c r="C746" s="2">
        <f>INT(A746/60)</f>
        <v/>
      </c>
      <c r="D746" s="2">
        <f>IF(C746&lt;6,"Night",IF(C746&lt;12,"Morning",IF(C746&lt;18,"Afternoon",IF(C746&lt;22,"Evening","Night"))))</f>
        <v/>
      </c>
    </row>
    <row r="747">
      <c r="A747" s="2" t="n">
        <v>745</v>
      </c>
      <c r="B747" s="20">
        <f>A747/1440</f>
        <v/>
      </c>
      <c r="C747" s="2">
        <f>INT(A747/60)</f>
        <v/>
      </c>
      <c r="D747" s="2">
        <f>IF(C747&lt;6,"Night",IF(C747&lt;12,"Morning",IF(C747&lt;18,"Afternoon",IF(C747&lt;22,"Evening","Night"))))</f>
        <v/>
      </c>
    </row>
    <row r="748">
      <c r="A748" s="2" t="n">
        <v>746</v>
      </c>
      <c r="B748" s="20">
        <f>A748/1440</f>
        <v/>
      </c>
      <c r="C748" s="2">
        <f>INT(A748/60)</f>
        <v/>
      </c>
      <c r="D748" s="2">
        <f>IF(C748&lt;6,"Night",IF(C748&lt;12,"Morning",IF(C748&lt;18,"Afternoon",IF(C748&lt;22,"Evening","Night"))))</f>
        <v/>
      </c>
    </row>
    <row r="749">
      <c r="A749" s="2" t="n">
        <v>747</v>
      </c>
      <c r="B749" s="20">
        <f>A749/1440</f>
        <v/>
      </c>
      <c r="C749" s="2">
        <f>INT(A749/60)</f>
        <v/>
      </c>
      <c r="D749" s="2">
        <f>IF(C749&lt;6,"Night",IF(C749&lt;12,"Morning",IF(C749&lt;18,"Afternoon",IF(C749&lt;22,"Evening","Night"))))</f>
        <v/>
      </c>
    </row>
    <row r="750">
      <c r="A750" s="2" t="n">
        <v>748</v>
      </c>
      <c r="B750" s="20">
        <f>A750/1440</f>
        <v/>
      </c>
      <c r="C750" s="2">
        <f>INT(A750/60)</f>
        <v/>
      </c>
      <c r="D750" s="2">
        <f>IF(C750&lt;6,"Night",IF(C750&lt;12,"Morning",IF(C750&lt;18,"Afternoon",IF(C750&lt;22,"Evening","Night"))))</f>
        <v/>
      </c>
    </row>
    <row r="751">
      <c r="A751" s="2" t="n">
        <v>749</v>
      </c>
      <c r="B751" s="20">
        <f>A751/1440</f>
        <v/>
      </c>
      <c r="C751" s="2">
        <f>INT(A751/60)</f>
        <v/>
      </c>
      <c r="D751" s="2">
        <f>IF(C751&lt;6,"Night",IF(C751&lt;12,"Morning",IF(C751&lt;18,"Afternoon",IF(C751&lt;22,"Evening","Night"))))</f>
        <v/>
      </c>
    </row>
    <row r="752">
      <c r="A752" s="2" t="n">
        <v>750</v>
      </c>
      <c r="B752" s="20">
        <f>A752/1440</f>
        <v/>
      </c>
      <c r="C752" s="2">
        <f>INT(A752/60)</f>
        <v/>
      </c>
      <c r="D752" s="2">
        <f>IF(C752&lt;6,"Night",IF(C752&lt;12,"Morning",IF(C752&lt;18,"Afternoon",IF(C752&lt;22,"Evening","Night"))))</f>
        <v/>
      </c>
    </row>
    <row r="753">
      <c r="A753" s="2" t="n">
        <v>751</v>
      </c>
      <c r="B753" s="20">
        <f>A753/1440</f>
        <v/>
      </c>
      <c r="C753" s="2">
        <f>INT(A753/60)</f>
        <v/>
      </c>
      <c r="D753" s="2">
        <f>IF(C753&lt;6,"Night",IF(C753&lt;12,"Morning",IF(C753&lt;18,"Afternoon",IF(C753&lt;22,"Evening","Night"))))</f>
        <v/>
      </c>
    </row>
    <row r="754">
      <c r="A754" s="2" t="n">
        <v>752</v>
      </c>
      <c r="B754" s="20">
        <f>A754/1440</f>
        <v/>
      </c>
      <c r="C754" s="2">
        <f>INT(A754/60)</f>
        <v/>
      </c>
      <c r="D754" s="2">
        <f>IF(C754&lt;6,"Night",IF(C754&lt;12,"Morning",IF(C754&lt;18,"Afternoon",IF(C754&lt;22,"Evening","Night"))))</f>
        <v/>
      </c>
    </row>
    <row r="755">
      <c r="A755" s="2" t="n">
        <v>753</v>
      </c>
      <c r="B755" s="20">
        <f>A755/1440</f>
        <v/>
      </c>
      <c r="C755" s="2">
        <f>INT(A755/60)</f>
        <v/>
      </c>
      <c r="D755" s="2">
        <f>IF(C755&lt;6,"Night",IF(C755&lt;12,"Morning",IF(C755&lt;18,"Afternoon",IF(C755&lt;22,"Evening","Night"))))</f>
        <v/>
      </c>
    </row>
    <row r="756">
      <c r="A756" s="2" t="n">
        <v>754</v>
      </c>
      <c r="B756" s="20">
        <f>A756/1440</f>
        <v/>
      </c>
      <c r="C756" s="2">
        <f>INT(A756/60)</f>
        <v/>
      </c>
      <c r="D756" s="2">
        <f>IF(C756&lt;6,"Night",IF(C756&lt;12,"Morning",IF(C756&lt;18,"Afternoon",IF(C756&lt;22,"Evening","Night"))))</f>
        <v/>
      </c>
    </row>
    <row r="757">
      <c r="A757" s="2" t="n">
        <v>755</v>
      </c>
      <c r="B757" s="20">
        <f>A757/1440</f>
        <v/>
      </c>
      <c r="C757" s="2">
        <f>INT(A757/60)</f>
        <v/>
      </c>
      <c r="D757" s="2">
        <f>IF(C757&lt;6,"Night",IF(C757&lt;12,"Morning",IF(C757&lt;18,"Afternoon",IF(C757&lt;22,"Evening","Night"))))</f>
        <v/>
      </c>
    </row>
    <row r="758">
      <c r="A758" s="2" t="n">
        <v>756</v>
      </c>
      <c r="B758" s="20">
        <f>A758/1440</f>
        <v/>
      </c>
      <c r="C758" s="2">
        <f>INT(A758/60)</f>
        <v/>
      </c>
      <c r="D758" s="2">
        <f>IF(C758&lt;6,"Night",IF(C758&lt;12,"Morning",IF(C758&lt;18,"Afternoon",IF(C758&lt;22,"Evening","Night"))))</f>
        <v/>
      </c>
    </row>
    <row r="759">
      <c r="A759" s="2" t="n">
        <v>757</v>
      </c>
      <c r="B759" s="20">
        <f>A759/1440</f>
        <v/>
      </c>
      <c r="C759" s="2">
        <f>INT(A759/60)</f>
        <v/>
      </c>
      <c r="D759" s="2">
        <f>IF(C759&lt;6,"Night",IF(C759&lt;12,"Morning",IF(C759&lt;18,"Afternoon",IF(C759&lt;22,"Evening","Night"))))</f>
        <v/>
      </c>
    </row>
    <row r="760">
      <c r="A760" s="2" t="n">
        <v>758</v>
      </c>
      <c r="B760" s="20">
        <f>A760/1440</f>
        <v/>
      </c>
      <c r="C760" s="2">
        <f>INT(A760/60)</f>
        <v/>
      </c>
      <c r="D760" s="2">
        <f>IF(C760&lt;6,"Night",IF(C760&lt;12,"Morning",IF(C760&lt;18,"Afternoon",IF(C760&lt;22,"Evening","Night"))))</f>
        <v/>
      </c>
    </row>
    <row r="761">
      <c r="A761" s="2" t="n">
        <v>759</v>
      </c>
      <c r="B761" s="20">
        <f>A761/1440</f>
        <v/>
      </c>
      <c r="C761" s="2">
        <f>INT(A761/60)</f>
        <v/>
      </c>
      <c r="D761" s="2">
        <f>IF(C761&lt;6,"Night",IF(C761&lt;12,"Morning",IF(C761&lt;18,"Afternoon",IF(C761&lt;22,"Evening","Night"))))</f>
        <v/>
      </c>
    </row>
    <row r="762">
      <c r="A762" s="2" t="n">
        <v>760</v>
      </c>
      <c r="B762" s="20">
        <f>A762/1440</f>
        <v/>
      </c>
      <c r="C762" s="2">
        <f>INT(A762/60)</f>
        <v/>
      </c>
      <c r="D762" s="2">
        <f>IF(C762&lt;6,"Night",IF(C762&lt;12,"Morning",IF(C762&lt;18,"Afternoon",IF(C762&lt;22,"Evening","Night"))))</f>
        <v/>
      </c>
    </row>
    <row r="763">
      <c r="A763" s="2" t="n">
        <v>761</v>
      </c>
      <c r="B763" s="20">
        <f>A763/1440</f>
        <v/>
      </c>
      <c r="C763" s="2">
        <f>INT(A763/60)</f>
        <v/>
      </c>
      <c r="D763" s="2">
        <f>IF(C763&lt;6,"Night",IF(C763&lt;12,"Morning",IF(C763&lt;18,"Afternoon",IF(C763&lt;22,"Evening","Night"))))</f>
        <v/>
      </c>
    </row>
    <row r="764">
      <c r="A764" s="2" t="n">
        <v>762</v>
      </c>
      <c r="B764" s="20">
        <f>A764/1440</f>
        <v/>
      </c>
      <c r="C764" s="2">
        <f>INT(A764/60)</f>
        <v/>
      </c>
      <c r="D764" s="2">
        <f>IF(C764&lt;6,"Night",IF(C764&lt;12,"Morning",IF(C764&lt;18,"Afternoon",IF(C764&lt;22,"Evening","Night"))))</f>
        <v/>
      </c>
    </row>
    <row r="765">
      <c r="A765" s="2" t="n">
        <v>763</v>
      </c>
      <c r="B765" s="20">
        <f>A765/1440</f>
        <v/>
      </c>
      <c r="C765" s="2">
        <f>INT(A765/60)</f>
        <v/>
      </c>
      <c r="D765" s="2">
        <f>IF(C765&lt;6,"Night",IF(C765&lt;12,"Morning",IF(C765&lt;18,"Afternoon",IF(C765&lt;22,"Evening","Night"))))</f>
        <v/>
      </c>
    </row>
    <row r="766">
      <c r="A766" s="2" t="n">
        <v>764</v>
      </c>
      <c r="B766" s="20">
        <f>A766/1440</f>
        <v/>
      </c>
      <c r="C766" s="2">
        <f>INT(A766/60)</f>
        <v/>
      </c>
      <c r="D766" s="2">
        <f>IF(C766&lt;6,"Night",IF(C766&lt;12,"Morning",IF(C766&lt;18,"Afternoon",IF(C766&lt;22,"Evening","Night"))))</f>
        <v/>
      </c>
    </row>
    <row r="767">
      <c r="A767" s="2" t="n">
        <v>765</v>
      </c>
      <c r="B767" s="20">
        <f>A767/1440</f>
        <v/>
      </c>
      <c r="C767" s="2">
        <f>INT(A767/60)</f>
        <v/>
      </c>
      <c r="D767" s="2">
        <f>IF(C767&lt;6,"Night",IF(C767&lt;12,"Morning",IF(C767&lt;18,"Afternoon",IF(C767&lt;22,"Evening","Night"))))</f>
        <v/>
      </c>
    </row>
    <row r="768">
      <c r="A768" s="2" t="n">
        <v>766</v>
      </c>
      <c r="B768" s="20">
        <f>A768/1440</f>
        <v/>
      </c>
      <c r="C768" s="2">
        <f>INT(A768/60)</f>
        <v/>
      </c>
      <c r="D768" s="2">
        <f>IF(C768&lt;6,"Night",IF(C768&lt;12,"Morning",IF(C768&lt;18,"Afternoon",IF(C768&lt;22,"Evening","Night"))))</f>
        <v/>
      </c>
    </row>
    <row r="769">
      <c r="A769" s="2" t="n">
        <v>767</v>
      </c>
      <c r="B769" s="20">
        <f>A769/1440</f>
        <v/>
      </c>
      <c r="C769" s="2">
        <f>INT(A769/60)</f>
        <v/>
      </c>
      <c r="D769" s="2">
        <f>IF(C769&lt;6,"Night",IF(C769&lt;12,"Morning",IF(C769&lt;18,"Afternoon",IF(C769&lt;22,"Evening","Night"))))</f>
        <v/>
      </c>
    </row>
    <row r="770">
      <c r="A770" s="2" t="n">
        <v>768</v>
      </c>
      <c r="B770" s="20">
        <f>A770/1440</f>
        <v/>
      </c>
      <c r="C770" s="2">
        <f>INT(A770/60)</f>
        <v/>
      </c>
      <c r="D770" s="2">
        <f>IF(C770&lt;6,"Night",IF(C770&lt;12,"Morning",IF(C770&lt;18,"Afternoon",IF(C770&lt;22,"Evening","Night"))))</f>
        <v/>
      </c>
    </row>
    <row r="771">
      <c r="A771" s="2" t="n">
        <v>769</v>
      </c>
      <c r="B771" s="20">
        <f>A771/1440</f>
        <v/>
      </c>
      <c r="C771" s="2">
        <f>INT(A771/60)</f>
        <v/>
      </c>
      <c r="D771" s="2">
        <f>IF(C771&lt;6,"Night",IF(C771&lt;12,"Morning",IF(C771&lt;18,"Afternoon",IF(C771&lt;22,"Evening","Night"))))</f>
        <v/>
      </c>
    </row>
    <row r="772">
      <c r="A772" s="2" t="n">
        <v>770</v>
      </c>
      <c r="B772" s="20">
        <f>A772/1440</f>
        <v/>
      </c>
      <c r="C772" s="2">
        <f>INT(A772/60)</f>
        <v/>
      </c>
      <c r="D772" s="2">
        <f>IF(C772&lt;6,"Night",IF(C772&lt;12,"Morning",IF(C772&lt;18,"Afternoon",IF(C772&lt;22,"Evening","Night"))))</f>
        <v/>
      </c>
    </row>
    <row r="773">
      <c r="A773" s="2" t="n">
        <v>771</v>
      </c>
      <c r="B773" s="20">
        <f>A773/1440</f>
        <v/>
      </c>
      <c r="C773" s="2">
        <f>INT(A773/60)</f>
        <v/>
      </c>
      <c r="D773" s="2">
        <f>IF(C773&lt;6,"Night",IF(C773&lt;12,"Morning",IF(C773&lt;18,"Afternoon",IF(C773&lt;22,"Evening","Night"))))</f>
        <v/>
      </c>
    </row>
    <row r="774">
      <c r="A774" s="2" t="n">
        <v>772</v>
      </c>
      <c r="B774" s="20">
        <f>A774/1440</f>
        <v/>
      </c>
      <c r="C774" s="2">
        <f>INT(A774/60)</f>
        <v/>
      </c>
      <c r="D774" s="2">
        <f>IF(C774&lt;6,"Night",IF(C774&lt;12,"Morning",IF(C774&lt;18,"Afternoon",IF(C774&lt;22,"Evening","Night"))))</f>
        <v/>
      </c>
    </row>
    <row r="775">
      <c r="A775" s="2" t="n">
        <v>773</v>
      </c>
      <c r="B775" s="20">
        <f>A775/1440</f>
        <v/>
      </c>
      <c r="C775" s="2">
        <f>INT(A775/60)</f>
        <v/>
      </c>
      <c r="D775" s="2">
        <f>IF(C775&lt;6,"Night",IF(C775&lt;12,"Morning",IF(C775&lt;18,"Afternoon",IF(C775&lt;22,"Evening","Night"))))</f>
        <v/>
      </c>
    </row>
    <row r="776">
      <c r="A776" s="2" t="n">
        <v>774</v>
      </c>
      <c r="B776" s="20">
        <f>A776/1440</f>
        <v/>
      </c>
      <c r="C776" s="2">
        <f>INT(A776/60)</f>
        <v/>
      </c>
      <c r="D776" s="2">
        <f>IF(C776&lt;6,"Night",IF(C776&lt;12,"Morning",IF(C776&lt;18,"Afternoon",IF(C776&lt;22,"Evening","Night"))))</f>
        <v/>
      </c>
    </row>
    <row r="777">
      <c r="A777" s="2" t="n">
        <v>775</v>
      </c>
      <c r="B777" s="20">
        <f>A777/1440</f>
        <v/>
      </c>
      <c r="C777" s="2">
        <f>INT(A777/60)</f>
        <v/>
      </c>
      <c r="D777" s="2">
        <f>IF(C777&lt;6,"Night",IF(C777&lt;12,"Morning",IF(C777&lt;18,"Afternoon",IF(C777&lt;22,"Evening","Night"))))</f>
        <v/>
      </c>
    </row>
    <row r="778">
      <c r="A778" s="2" t="n">
        <v>776</v>
      </c>
      <c r="B778" s="20">
        <f>A778/1440</f>
        <v/>
      </c>
      <c r="C778" s="2">
        <f>INT(A778/60)</f>
        <v/>
      </c>
      <c r="D778" s="2">
        <f>IF(C778&lt;6,"Night",IF(C778&lt;12,"Morning",IF(C778&lt;18,"Afternoon",IF(C778&lt;22,"Evening","Night"))))</f>
        <v/>
      </c>
    </row>
    <row r="779">
      <c r="A779" s="2" t="n">
        <v>777</v>
      </c>
      <c r="B779" s="20">
        <f>A779/1440</f>
        <v/>
      </c>
      <c r="C779" s="2">
        <f>INT(A779/60)</f>
        <v/>
      </c>
      <c r="D779" s="2">
        <f>IF(C779&lt;6,"Night",IF(C779&lt;12,"Morning",IF(C779&lt;18,"Afternoon",IF(C779&lt;22,"Evening","Night"))))</f>
        <v/>
      </c>
    </row>
    <row r="780">
      <c r="A780" s="2" t="n">
        <v>778</v>
      </c>
      <c r="B780" s="20">
        <f>A780/1440</f>
        <v/>
      </c>
      <c r="C780" s="2">
        <f>INT(A780/60)</f>
        <v/>
      </c>
      <c r="D780" s="2">
        <f>IF(C780&lt;6,"Night",IF(C780&lt;12,"Morning",IF(C780&lt;18,"Afternoon",IF(C780&lt;22,"Evening","Night"))))</f>
        <v/>
      </c>
    </row>
    <row r="781">
      <c r="A781" s="2" t="n">
        <v>779</v>
      </c>
      <c r="B781" s="20">
        <f>A781/1440</f>
        <v/>
      </c>
      <c r="C781" s="2">
        <f>INT(A781/60)</f>
        <v/>
      </c>
      <c r="D781" s="2">
        <f>IF(C781&lt;6,"Night",IF(C781&lt;12,"Morning",IF(C781&lt;18,"Afternoon",IF(C781&lt;22,"Evening","Night"))))</f>
        <v/>
      </c>
    </row>
    <row r="782">
      <c r="A782" s="2" t="n">
        <v>780</v>
      </c>
      <c r="B782" s="20">
        <f>A782/1440</f>
        <v/>
      </c>
      <c r="C782" s="2">
        <f>INT(A782/60)</f>
        <v/>
      </c>
      <c r="D782" s="2">
        <f>IF(C782&lt;6,"Night",IF(C782&lt;12,"Morning",IF(C782&lt;18,"Afternoon",IF(C782&lt;22,"Evening","Night"))))</f>
        <v/>
      </c>
    </row>
    <row r="783">
      <c r="A783" s="2" t="n">
        <v>781</v>
      </c>
      <c r="B783" s="20">
        <f>A783/1440</f>
        <v/>
      </c>
      <c r="C783" s="2">
        <f>INT(A783/60)</f>
        <v/>
      </c>
      <c r="D783" s="2">
        <f>IF(C783&lt;6,"Night",IF(C783&lt;12,"Morning",IF(C783&lt;18,"Afternoon",IF(C783&lt;22,"Evening","Night"))))</f>
        <v/>
      </c>
    </row>
    <row r="784">
      <c r="A784" s="2" t="n">
        <v>782</v>
      </c>
      <c r="B784" s="20">
        <f>A784/1440</f>
        <v/>
      </c>
      <c r="C784" s="2">
        <f>INT(A784/60)</f>
        <v/>
      </c>
      <c r="D784" s="2">
        <f>IF(C784&lt;6,"Night",IF(C784&lt;12,"Morning",IF(C784&lt;18,"Afternoon",IF(C784&lt;22,"Evening","Night"))))</f>
        <v/>
      </c>
    </row>
    <row r="785">
      <c r="A785" s="2" t="n">
        <v>783</v>
      </c>
      <c r="B785" s="20">
        <f>A785/1440</f>
        <v/>
      </c>
      <c r="C785" s="2">
        <f>INT(A785/60)</f>
        <v/>
      </c>
      <c r="D785" s="2">
        <f>IF(C785&lt;6,"Night",IF(C785&lt;12,"Morning",IF(C785&lt;18,"Afternoon",IF(C785&lt;22,"Evening","Night"))))</f>
        <v/>
      </c>
    </row>
    <row r="786">
      <c r="A786" s="2" t="n">
        <v>784</v>
      </c>
      <c r="B786" s="20">
        <f>A786/1440</f>
        <v/>
      </c>
      <c r="C786" s="2">
        <f>INT(A786/60)</f>
        <v/>
      </c>
      <c r="D786" s="2">
        <f>IF(C786&lt;6,"Night",IF(C786&lt;12,"Morning",IF(C786&lt;18,"Afternoon",IF(C786&lt;22,"Evening","Night"))))</f>
        <v/>
      </c>
    </row>
    <row r="787">
      <c r="A787" s="2" t="n">
        <v>785</v>
      </c>
      <c r="B787" s="20">
        <f>A787/1440</f>
        <v/>
      </c>
      <c r="C787" s="2">
        <f>INT(A787/60)</f>
        <v/>
      </c>
      <c r="D787" s="2">
        <f>IF(C787&lt;6,"Night",IF(C787&lt;12,"Morning",IF(C787&lt;18,"Afternoon",IF(C787&lt;22,"Evening","Night"))))</f>
        <v/>
      </c>
    </row>
    <row r="788">
      <c r="A788" s="2" t="n">
        <v>786</v>
      </c>
      <c r="B788" s="20">
        <f>A788/1440</f>
        <v/>
      </c>
      <c r="C788" s="2">
        <f>INT(A788/60)</f>
        <v/>
      </c>
      <c r="D788" s="2">
        <f>IF(C788&lt;6,"Night",IF(C788&lt;12,"Morning",IF(C788&lt;18,"Afternoon",IF(C788&lt;22,"Evening","Night"))))</f>
        <v/>
      </c>
    </row>
    <row r="789">
      <c r="A789" s="2" t="n">
        <v>787</v>
      </c>
      <c r="B789" s="20">
        <f>A789/1440</f>
        <v/>
      </c>
      <c r="C789" s="2">
        <f>INT(A789/60)</f>
        <v/>
      </c>
      <c r="D789" s="2">
        <f>IF(C789&lt;6,"Night",IF(C789&lt;12,"Morning",IF(C789&lt;18,"Afternoon",IF(C789&lt;22,"Evening","Night"))))</f>
        <v/>
      </c>
    </row>
    <row r="790">
      <c r="A790" s="2" t="n">
        <v>788</v>
      </c>
      <c r="B790" s="20">
        <f>A790/1440</f>
        <v/>
      </c>
      <c r="C790" s="2">
        <f>INT(A790/60)</f>
        <v/>
      </c>
      <c r="D790" s="2">
        <f>IF(C790&lt;6,"Night",IF(C790&lt;12,"Morning",IF(C790&lt;18,"Afternoon",IF(C790&lt;22,"Evening","Night"))))</f>
        <v/>
      </c>
    </row>
    <row r="791">
      <c r="A791" s="2" t="n">
        <v>789</v>
      </c>
      <c r="B791" s="20">
        <f>A791/1440</f>
        <v/>
      </c>
      <c r="C791" s="2">
        <f>INT(A791/60)</f>
        <v/>
      </c>
      <c r="D791" s="2">
        <f>IF(C791&lt;6,"Night",IF(C791&lt;12,"Morning",IF(C791&lt;18,"Afternoon",IF(C791&lt;22,"Evening","Night"))))</f>
        <v/>
      </c>
    </row>
    <row r="792">
      <c r="A792" s="2" t="n">
        <v>790</v>
      </c>
      <c r="B792" s="20">
        <f>A792/1440</f>
        <v/>
      </c>
      <c r="C792" s="2">
        <f>INT(A792/60)</f>
        <v/>
      </c>
      <c r="D792" s="2">
        <f>IF(C792&lt;6,"Night",IF(C792&lt;12,"Morning",IF(C792&lt;18,"Afternoon",IF(C792&lt;22,"Evening","Night"))))</f>
        <v/>
      </c>
    </row>
    <row r="793">
      <c r="A793" s="2" t="n">
        <v>791</v>
      </c>
      <c r="B793" s="20">
        <f>A793/1440</f>
        <v/>
      </c>
      <c r="C793" s="2">
        <f>INT(A793/60)</f>
        <v/>
      </c>
      <c r="D793" s="2">
        <f>IF(C793&lt;6,"Night",IF(C793&lt;12,"Morning",IF(C793&lt;18,"Afternoon",IF(C793&lt;22,"Evening","Night"))))</f>
        <v/>
      </c>
    </row>
    <row r="794">
      <c r="A794" s="2" t="n">
        <v>792</v>
      </c>
      <c r="B794" s="20">
        <f>A794/1440</f>
        <v/>
      </c>
      <c r="C794" s="2">
        <f>INT(A794/60)</f>
        <v/>
      </c>
      <c r="D794" s="2">
        <f>IF(C794&lt;6,"Night",IF(C794&lt;12,"Morning",IF(C794&lt;18,"Afternoon",IF(C794&lt;22,"Evening","Night"))))</f>
        <v/>
      </c>
    </row>
    <row r="795">
      <c r="A795" s="2" t="n">
        <v>793</v>
      </c>
      <c r="B795" s="20">
        <f>A795/1440</f>
        <v/>
      </c>
      <c r="C795" s="2">
        <f>INT(A795/60)</f>
        <v/>
      </c>
      <c r="D795" s="2">
        <f>IF(C795&lt;6,"Night",IF(C795&lt;12,"Morning",IF(C795&lt;18,"Afternoon",IF(C795&lt;22,"Evening","Night"))))</f>
        <v/>
      </c>
    </row>
    <row r="796">
      <c r="A796" s="2" t="n">
        <v>794</v>
      </c>
      <c r="B796" s="20">
        <f>A796/1440</f>
        <v/>
      </c>
      <c r="C796" s="2">
        <f>INT(A796/60)</f>
        <v/>
      </c>
      <c r="D796" s="2">
        <f>IF(C796&lt;6,"Night",IF(C796&lt;12,"Morning",IF(C796&lt;18,"Afternoon",IF(C796&lt;22,"Evening","Night"))))</f>
        <v/>
      </c>
    </row>
    <row r="797">
      <c r="A797" s="2" t="n">
        <v>795</v>
      </c>
      <c r="B797" s="20">
        <f>A797/1440</f>
        <v/>
      </c>
      <c r="C797" s="2">
        <f>INT(A797/60)</f>
        <v/>
      </c>
      <c r="D797" s="2">
        <f>IF(C797&lt;6,"Night",IF(C797&lt;12,"Morning",IF(C797&lt;18,"Afternoon",IF(C797&lt;22,"Evening","Night"))))</f>
        <v/>
      </c>
    </row>
    <row r="798">
      <c r="A798" s="2" t="n">
        <v>796</v>
      </c>
      <c r="B798" s="20">
        <f>A798/1440</f>
        <v/>
      </c>
      <c r="C798" s="2">
        <f>INT(A798/60)</f>
        <v/>
      </c>
      <c r="D798" s="2">
        <f>IF(C798&lt;6,"Night",IF(C798&lt;12,"Morning",IF(C798&lt;18,"Afternoon",IF(C798&lt;22,"Evening","Night"))))</f>
        <v/>
      </c>
    </row>
    <row r="799">
      <c r="A799" s="2" t="n">
        <v>797</v>
      </c>
      <c r="B799" s="20">
        <f>A799/1440</f>
        <v/>
      </c>
      <c r="C799" s="2">
        <f>INT(A799/60)</f>
        <v/>
      </c>
      <c r="D799" s="2">
        <f>IF(C799&lt;6,"Night",IF(C799&lt;12,"Morning",IF(C799&lt;18,"Afternoon",IF(C799&lt;22,"Evening","Night"))))</f>
        <v/>
      </c>
    </row>
    <row r="800">
      <c r="A800" s="2" t="n">
        <v>798</v>
      </c>
      <c r="B800" s="20">
        <f>A800/1440</f>
        <v/>
      </c>
      <c r="C800" s="2">
        <f>INT(A800/60)</f>
        <v/>
      </c>
      <c r="D800" s="2">
        <f>IF(C800&lt;6,"Night",IF(C800&lt;12,"Morning",IF(C800&lt;18,"Afternoon",IF(C800&lt;22,"Evening","Night"))))</f>
        <v/>
      </c>
    </row>
    <row r="801">
      <c r="A801" s="2" t="n">
        <v>799</v>
      </c>
      <c r="B801" s="20">
        <f>A801/1440</f>
        <v/>
      </c>
      <c r="C801" s="2">
        <f>INT(A801/60)</f>
        <v/>
      </c>
      <c r="D801" s="2">
        <f>IF(C801&lt;6,"Night",IF(C801&lt;12,"Morning",IF(C801&lt;18,"Afternoon",IF(C801&lt;22,"Evening","Night"))))</f>
        <v/>
      </c>
    </row>
    <row r="802">
      <c r="A802" s="2" t="n">
        <v>800</v>
      </c>
      <c r="B802" s="20">
        <f>A802/1440</f>
        <v/>
      </c>
      <c r="C802" s="2">
        <f>INT(A802/60)</f>
        <v/>
      </c>
      <c r="D802" s="2">
        <f>IF(C802&lt;6,"Night",IF(C802&lt;12,"Morning",IF(C802&lt;18,"Afternoon",IF(C802&lt;22,"Evening","Night"))))</f>
        <v/>
      </c>
    </row>
    <row r="803">
      <c r="A803" s="2" t="n">
        <v>801</v>
      </c>
      <c r="B803" s="20">
        <f>A803/1440</f>
        <v/>
      </c>
      <c r="C803" s="2">
        <f>INT(A803/60)</f>
        <v/>
      </c>
      <c r="D803" s="2">
        <f>IF(C803&lt;6,"Night",IF(C803&lt;12,"Morning",IF(C803&lt;18,"Afternoon",IF(C803&lt;22,"Evening","Night"))))</f>
        <v/>
      </c>
    </row>
    <row r="804">
      <c r="A804" s="2" t="n">
        <v>802</v>
      </c>
      <c r="B804" s="20">
        <f>A804/1440</f>
        <v/>
      </c>
      <c r="C804" s="2">
        <f>INT(A804/60)</f>
        <v/>
      </c>
      <c r="D804" s="2">
        <f>IF(C804&lt;6,"Night",IF(C804&lt;12,"Morning",IF(C804&lt;18,"Afternoon",IF(C804&lt;22,"Evening","Night"))))</f>
        <v/>
      </c>
    </row>
    <row r="805">
      <c r="A805" s="2" t="n">
        <v>803</v>
      </c>
      <c r="B805" s="20">
        <f>A805/1440</f>
        <v/>
      </c>
      <c r="C805" s="2">
        <f>INT(A805/60)</f>
        <v/>
      </c>
      <c r="D805" s="2">
        <f>IF(C805&lt;6,"Night",IF(C805&lt;12,"Morning",IF(C805&lt;18,"Afternoon",IF(C805&lt;22,"Evening","Night"))))</f>
        <v/>
      </c>
    </row>
    <row r="806">
      <c r="A806" s="2" t="n">
        <v>804</v>
      </c>
      <c r="B806" s="20">
        <f>A806/1440</f>
        <v/>
      </c>
      <c r="C806" s="2">
        <f>INT(A806/60)</f>
        <v/>
      </c>
      <c r="D806" s="2">
        <f>IF(C806&lt;6,"Night",IF(C806&lt;12,"Morning",IF(C806&lt;18,"Afternoon",IF(C806&lt;22,"Evening","Night"))))</f>
        <v/>
      </c>
    </row>
    <row r="807">
      <c r="A807" s="2" t="n">
        <v>805</v>
      </c>
      <c r="B807" s="20">
        <f>A807/1440</f>
        <v/>
      </c>
      <c r="C807" s="2">
        <f>INT(A807/60)</f>
        <v/>
      </c>
      <c r="D807" s="2">
        <f>IF(C807&lt;6,"Night",IF(C807&lt;12,"Morning",IF(C807&lt;18,"Afternoon",IF(C807&lt;22,"Evening","Night"))))</f>
        <v/>
      </c>
    </row>
    <row r="808">
      <c r="A808" s="2" t="n">
        <v>806</v>
      </c>
      <c r="B808" s="20">
        <f>A808/1440</f>
        <v/>
      </c>
      <c r="C808" s="2">
        <f>INT(A808/60)</f>
        <v/>
      </c>
      <c r="D808" s="2">
        <f>IF(C808&lt;6,"Night",IF(C808&lt;12,"Morning",IF(C808&lt;18,"Afternoon",IF(C808&lt;22,"Evening","Night"))))</f>
        <v/>
      </c>
    </row>
    <row r="809">
      <c r="A809" s="2" t="n">
        <v>807</v>
      </c>
      <c r="B809" s="20">
        <f>A809/1440</f>
        <v/>
      </c>
      <c r="C809" s="2">
        <f>INT(A809/60)</f>
        <v/>
      </c>
      <c r="D809" s="2">
        <f>IF(C809&lt;6,"Night",IF(C809&lt;12,"Morning",IF(C809&lt;18,"Afternoon",IF(C809&lt;22,"Evening","Night"))))</f>
        <v/>
      </c>
    </row>
    <row r="810">
      <c r="A810" s="2" t="n">
        <v>808</v>
      </c>
      <c r="B810" s="20">
        <f>A810/1440</f>
        <v/>
      </c>
      <c r="C810" s="2">
        <f>INT(A810/60)</f>
        <v/>
      </c>
      <c r="D810" s="2">
        <f>IF(C810&lt;6,"Night",IF(C810&lt;12,"Morning",IF(C810&lt;18,"Afternoon",IF(C810&lt;22,"Evening","Night"))))</f>
        <v/>
      </c>
    </row>
    <row r="811">
      <c r="A811" s="2" t="n">
        <v>809</v>
      </c>
      <c r="B811" s="20">
        <f>A811/1440</f>
        <v/>
      </c>
      <c r="C811" s="2">
        <f>INT(A811/60)</f>
        <v/>
      </c>
      <c r="D811" s="2">
        <f>IF(C811&lt;6,"Night",IF(C811&lt;12,"Morning",IF(C811&lt;18,"Afternoon",IF(C811&lt;22,"Evening","Night"))))</f>
        <v/>
      </c>
    </row>
    <row r="812">
      <c r="A812" s="2" t="n">
        <v>810</v>
      </c>
      <c r="B812" s="20">
        <f>A812/1440</f>
        <v/>
      </c>
      <c r="C812" s="2">
        <f>INT(A812/60)</f>
        <v/>
      </c>
      <c r="D812" s="2">
        <f>IF(C812&lt;6,"Night",IF(C812&lt;12,"Morning",IF(C812&lt;18,"Afternoon",IF(C812&lt;22,"Evening","Night"))))</f>
        <v/>
      </c>
    </row>
    <row r="813">
      <c r="A813" s="2" t="n">
        <v>811</v>
      </c>
      <c r="B813" s="20">
        <f>A813/1440</f>
        <v/>
      </c>
      <c r="C813" s="2">
        <f>INT(A813/60)</f>
        <v/>
      </c>
      <c r="D813" s="2">
        <f>IF(C813&lt;6,"Night",IF(C813&lt;12,"Morning",IF(C813&lt;18,"Afternoon",IF(C813&lt;22,"Evening","Night"))))</f>
        <v/>
      </c>
    </row>
    <row r="814">
      <c r="A814" s="2" t="n">
        <v>812</v>
      </c>
      <c r="B814" s="20">
        <f>A814/1440</f>
        <v/>
      </c>
      <c r="C814" s="2">
        <f>INT(A814/60)</f>
        <v/>
      </c>
      <c r="D814" s="2">
        <f>IF(C814&lt;6,"Night",IF(C814&lt;12,"Morning",IF(C814&lt;18,"Afternoon",IF(C814&lt;22,"Evening","Night"))))</f>
        <v/>
      </c>
    </row>
    <row r="815">
      <c r="A815" s="2" t="n">
        <v>813</v>
      </c>
      <c r="B815" s="20">
        <f>A815/1440</f>
        <v/>
      </c>
      <c r="C815" s="2">
        <f>INT(A815/60)</f>
        <v/>
      </c>
      <c r="D815" s="2">
        <f>IF(C815&lt;6,"Night",IF(C815&lt;12,"Morning",IF(C815&lt;18,"Afternoon",IF(C815&lt;22,"Evening","Night"))))</f>
        <v/>
      </c>
    </row>
    <row r="816">
      <c r="A816" s="2" t="n">
        <v>814</v>
      </c>
      <c r="B816" s="20">
        <f>A816/1440</f>
        <v/>
      </c>
      <c r="C816" s="2">
        <f>INT(A816/60)</f>
        <v/>
      </c>
      <c r="D816" s="2">
        <f>IF(C816&lt;6,"Night",IF(C816&lt;12,"Morning",IF(C816&lt;18,"Afternoon",IF(C816&lt;22,"Evening","Night"))))</f>
        <v/>
      </c>
    </row>
    <row r="817">
      <c r="A817" s="2" t="n">
        <v>815</v>
      </c>
      <c r="B817" s="20">
        <f>A817/1440</f>
        <v/>
      </c>
      <c r="C817" s="2">
        <f>INT(A817/60)</f>
        <v/>
      </c>
      <c r="D817" s="2">
        <f>IF(C817&lt;6,"Night",IF(C817&lt;12,"Morning",IF(C817&lt;18,"Afternoon",IF(C817&lt;22,"Evening","Night"))))</f>
        <v/>
      </c>
    </row>
    <row r="818">
      <c r="A818" s="2" t="n">
        <v>816</v>
      </c>
      <c r="B818" s="20">
        <f>A818/1440</f>
        <v/>
      </c>
      <c r="C818" s="2">
        <f>INT(A818/60)</f>
        <v/>
      </c>
      <c r="D818" s="2">
        <f>IF(C818&lt;6,"Night",IF(C818&lt;12,"Morning",IF(C818&lt;18,"Afternoon",IF(C818&lt;22,"Evening","Night"))))</f>
        <v/>
      </c>
    </row>
    <row r="819">
      <c r="A819" s="2" t="n">
        <v>817</v>
      </c>
      <c r="B819" s="20">
        <f>A819/1440</f>
        <v/>
      </c>
      <c r="C819" s="2">
        <f>INT(A819/60)</f>
        <v/>
      </c>
      <c r="D819" s="2">
        <f>IF(C819&lt;6,"Night",IF(C819&lt;12,"Morning",IF(C819&lt;18,"Afternoon",IF(C819&lt;22,"Evening","Night"))))</f>
        <v/>
      </c>
    </row>
    <row r="820">
      <c r="A820" s="2" t="n">
        <v>818</v>
      </c>
      <c r="B820" s="20">
        <f>A820/1440</f>
        <v/>
      </c>
      <c r="C820" s="2">
        <f>INT(A820/60)</f>
        <v/>
      </c>
      <c r="D820" s="2">
        <f>IF(C820&lt;6,"Night",IF(C820&lt;12,"Morning",IF(C820&lt;18,"Afternoon",IF(C820&lt;22,"Evening","Night"))))</f>
        <v/>
      </c>
    </row>
    <row r="821">
      <c r="A821" s="2" t="n">
        <v>819</v>
      </c>
      <c r="B821" s="20">
        <f>A821/1440</f>
        <v/>
      </c>
      <c r="C821" s="2">
        <f>INT(A821/60)</f>
        <v/>
      </c>
      <c r="D821" s="2">
        <f>IF(C821&lt;6,"Night",IF(C821&lt;12,"Morning",IF(C821&lt;18,"Afternoon",IF(C821&lt;22,"Evening","Night"))))</f>
        <v/>
      </c>
    </row>
    <row r="822">
      <c r="A822" s="2" t="n">
        <v>820</v>
      </c>
      <c r="B822" s="20">
        <f>A822/1440</f>
        <v/>
      </c>
      <c r="C822" s="2">
        <f>INT(A822/60)</f>
        <v/>
      </c>
      <c r="D822" s="2">
        <f>IF(C822&lt;6,"Night",IF(C822&lt;12,"Morning",IF(C822&lt;18,"Afternoon",IF(C822&lt;22,"Evening","Night"))))</f>
        <v/>
      </c>
    </row>
    <row r="823">
      <c r="A823" s="2" t="n">
        <v>821</v>
      </c>
      <c r="B823" s="20">
        <f>A823/1440</f>
        <v/>
      </c>
      <c r="C823" s="2">
        <f>INT(A823/60)</f>
        <v/>
      </c>
      <c r="D823" s="2">
        <f>IF(C823&lt;6,"Night",IF(C823&lt;12,"Morning",IF(C823&lt;18,"Afternoon",IF(C823&lt;22,"Evening","Night"))))</f>
        <v/>
      </c>
    </row>
    <row r="824">
      <c r="A824" s="2" t="n">
        <v>822</v>
      </c>
      <c r="B824" s="20">
        <f>A824/1440</f>
        <v/>
      </c>
      <c r="C824" s="2">
        <f>INT(A824/60)</f>
        <v/>
      </c>
      <c r="D824" s="2">
        <f>IF(C824&lt;6,"Night",IF(C824&lt;12,"Morning",IF(C824&lt;18,"Afternoon",IF(C824&lt;22,"Evening","Night"))))</f>
        <v/>
      </c>
    </row>
    <row r="825">
      <c r="A825" s="2" t="n">
        <v>823</v>
      </c>
      <c r="B825" s="20">
        <f>A825/1440</f>
        <v/>
      </c>
      <c r="C825" s="2">
        <f>INT(A825/60)</f>
        <v/>
      </c>
      <c r="D825" s="2">
        <f>IF(C825&lt;6,"Night",IF(C825&lt;12,"Morning",IF(C825&lt;18,"Afternoon",IF(C825&lt;22,"Evening","Night"))))</f>
        <v/>
      </c>
    </row>
    <row r="826">
      <c r="A826" s="2" t="n">
        <v>824</v>
      </c>
      <c r="B826" s="20">
        <f>A826/1440</f>
        <v/>
      </c>
      <c r="C826" s="2">
        <f>INT(A826/60)</f>
        <v/>
      </c>
      <c r="D826" s="2">
        <f>IF(C826&lt;6,"Night",IF(C826&lt;12,"Morning",IF(C826&lt;18,"Afternoon",IF(C826&lt;22,"Evening","Night"))))</f>
        <v/>
      </c>
    </row>
    <row r="827">
      <c r="A827" s="2" t="n">
        <v>825</v>
      </c>
      <c r="B827" s="20">
        <f>A827/1440</f>
        <v/>
      </c>
      <c r="C827" s="2">
        <f>INT(A827/60)</f>
        <v/>
      </c>
      <c r="D827" s="2">
        <f>IF(C827&lt;6,"Night",IF(C827&lt;12,"Morning",IF(C827&lt;18,"Afternoon",IF(C827&lt;22,"Evening","Night"))))</f>
        <v/>
      </c>
    </row>
    <row r="828">
      <c r="A828" s="2" t="n">
        <v>826</v>
      </c>
      <c r="B828" s="20">
        <f>A828/1440</f>
        <v/>
      </c>
      <c r="C828" s="2">
        <f>INT(A828/60)</f>
        <v/>
      </c>
      <c r="D828" s="2">
        <f>IF(C828&lt;6,"Night",IF(C828&lt;12,"Morning",IF(C828&lt;18,"Afternoon",IF(C828&lt;22,"Evening","Night"))))</f>
        <v/>
      </c>
    </row>
    <row r="829">
      <c r="A829" s="2" t="n">
        <v>827</v>
      </c>
      <c r="B829" s="20">
        <f>A829/1440</f>
        <v/>
      </c>
      <c r="C829" s="2">
        <f>INT(A829/60)</f>
        <v/>
      </c>
      <c r="D829" s="2">
        <f>IF(C829&lt;6,"Night",IF(C829&lt;12,"Morning",IF(C829&lt;18,"Afternoon",IF(C829&lt;22,"Evening","Night"))))</f>
        <v/>
      </c>
    </row>
    <row r="830">
      <c r="A830" s="2" t="n">
        <v>828</v>
      </c>
      <c r="B830" s="20">
        <f>A830/1440</f>
        <v/>
      </c>
      <c r="C830" s="2">
        <f>INT(A830/60)</f>
        <v/>
      </c>
      <c r="D830" s="2">
        <f>IF(C830&lt;6,"Night",IF(C830&lt;12,"Morning",IF(C830&lt;18,"Afternoon",IF(C830&lt;22,"Evening","Night"))))</f>
        <v/>
      </c>
    </row>
    <row r="831">
      <c r="A831" s="2" t="n">
        <v>829</v>
      </c>
      <c r="B831" s="20">
        <f>A831/1440</f>
        <v/>
      </c>
      <c r="C831" s="2">
        <f>INT(A831/60)</f>
        <v/>
      </c>
      <c r="D831" s="2">
        <f>IF(C831&lt;6,"Night",IF(C831&lt;12,"Morning",IF(C831&lt;18,"Afternoon",IF(C831&lt;22,"Evening","Night"))))</f>
        <v/>
      </c>
    </row>
    <row r="832">
      <c r="A832" s="2" t="n">
        <v>830</v>
      </c>
      <c r="B832" s="20">
        <f>A832/1440</f>
        <v/>
      </c>
      <c r="C832" s="2">
        <f>INT(A832/60)</f>
        <v/>
      </c>
      <c r="D832" s="2">
        <f>IF(C832&lt;6,"Night",IF(C832&lt;12,"Morning",IF(C832&lt;18,"Afternoon",IF(C832&lt;22,"Evening","Night"))))</f>
        <v/>
      </c>
    </row>
    <row r="833">
      <c r="A833" s="2" t="n">
        <v>831</v>
      </c>
      <c r="B833" s="20">
        <f>A833/1440</f>
        <v/>
      </c>
      <c r="C833" s="2">
        <f>INT(A833/60)</f>
        <v/>
      </c>
      <c r="D833" s="2">
        <f>IF(C833&lt;6,"Night",IF(C833&lt;12,"Morning",IF(C833&lt;18,"Afternoon",IF(C833&lt;22,"Evening","Night"))))</f>
        <v/>
      </c>
    </row>
    <row r="834">
      <c r="A834" s="2" t="n">
        <v>832</v>
      </c>
      <c r="B834" s="20">
        <f>A834/1440</f>
        <v/>
      </c>
      <c r="C834" s="2">
        <f>INT(A834/60)</f>
        <v/>
      </c>
      <c r="D834" s="2">
        <f>IF(C834&lt;6,"Night",IF(C834&lt;12,"Morning",IF(C834&lt;18,"Afternoon",IF(C834&lt;22,"Evening","Night"))))</f>
        <v/>
      </c>
    </row>
    <row r="835">
      <c r="A835" s="2" t="n">
        <v>833</v>
      </c>
      <c r="B835" s="20">
        <f>A835/1440</f>
        <v/>
      </c>
      <c r="C835" s="2">
        <f>INT(A835/60)</f>
        <v/>
      </c>
      <c r="D835" s="2">
        <f>IF(C835&lt;6,"Night",IF(C835&lt;12,"Morning",IF(C835&lt;18,"Afternoon",IF(C835&lt;22,"Evening","Night"))))</f>
        <v/>
      </c>
    </row>
    <row r="836">
      <c r="A836" s="2" t="n">
        <v>834</v>
      </c>
      <c r="B836" s="20">
        <f>A836/1440</f>
        <v/>
      </c>
      <c r="C836" s="2">
        <f>INT(A836/60)</f>
        <v/>
      </c>
      <c r="D836" s="2">
        <f>IF(C836&lt;6,"Night",IF(C836&lt;12,"Morning",IF(C836&lt;18,"Afternoon",IF(C836&lt;22,"Evening","Night"))))</f>
        <v/>
      </c>
    </row>
    <row r="837">
      <c r="A837" s="2" t="n">
        <v>835</v>
      </c>
      <c r="B837" s="20">
        <f>A837/1440</f>
        <v/>
      </c>
      <c r="C837" s="2">
        <f>INT(A837/60)</f>
        <v/>
      </c>
      <c r="D837" s="2">
        <f>IF(C837&lt;6,"Night",IF(C837&lt;12,"Morning",IF(C837&lt;18,"Afternoon",IF(C837&lt;22,"Evening","Night"))))</f>
        <v/>
      </c>
    </row>
    <row r="838">
      <c r="A838" s="2" t="n">
        <v>836</v>
      </c>
      <c r="B838" s="20">
        <f>A838/1440</f>
        <v/>
      </c>
      <c r="C838" s="2">
        <f>INT(A838/60)</f>
        <v/>
      </c>
      <c r="D838" s="2">
        <f>IF(C838&lt;6,"Night",IF(C838&lt;12,"Morning",IF(C838&lt;18,"Afternoon",IF(C838&lt;22,"Evening","Night"))))</f>
        <v/>
      </c>
    </row>
    <row r="839">
      <c r="A839" s="2" t="n">
        <v>837</v>
      </c>
      <c r="B839" s="20">
        <f>A839/1440</f>
        <v/>
      </c>
      <c r="C839" s="2">
        <f>INT(A839/60)</f>
        <v/>
      </c>
      <c r="D839" s="2">
        <f>IF(C839&lt;6,"Night",IF(C839&lt;12,"Morning",IF(C839&lt;18,"Afternoon",IF(C839&lt;22,"Evening","Night"))))</f>
        <v/>
      </c>
    </row>
    <row r="840">
      <c r="A840" s="2" t="n">
        <v>838</v>
      </c>
      <c r="B840" s="20">
        <f>A840/1440</f>
        <v/>
      </c>
      <c r="C840" s="2">
        <f>INT(A840/60)</f>
        <v/>
      </c>
      <c r="D840" s="2">
        <f>IF(C840&lt;6,"Night",IF(C840&lt;12,"Morning",IF(C840&lt;18,"Afternoon",IF(C840&lt;22,"Evening","Night"))))</f>
        <v/>
      </c>
    </row>
    <row r="841">
      <c r="A841" s="2" t="n">
        <v>839</v>
      </c>
      <c r="B841" s="20">
        <f>A841/1440</f>
        <v/>
      </c>
      <c r="C841" s="2">
        <f>INT(A841/60)</f>
        <v/>
      </c>
      <c r="D841" s="2">
        <f>IF(C841&lt;6,"Night",IF(C841&lt;12,"Morning",IF(C841&lt;18,"Afternoon",IF(C841&lt;22,"Evening","Night"))))</f>
        <v/>
      </c>
    </row>
    <row r="842">
      <c r="A842" s="2" t="n">
        <v>840</v>
      </c>
      <c r="B842" s="20">
        <f>A842/1440</f>
        <v/>
      </c>
      <c r="C842" s="2">
        <f>INT(A842/60)</f>
        <v/>
      </c>
      <c r="D842" s="2">
        <f>IF(C842&lt;6,"Night",IF(C842&lt;12,"Morning",IF(C842&lt;18,"Afternoon",IF(C842&lt;22,"Evening","Night"))))</f>
        <v/>
      </c>
    </row>
    <row r="843">
      <c r="A843" s="2" t="n">
        <v>841</v>
      </c>
      <c r="B843" s="20">
        <f>A843/1440</f>
        <v/>
      </c>
      <c r="C843" s="2">
        <f>INT(A843/60)</f>
        <v/>
      </c>
      <c r="D843" s="2">
        <f>IF(C843&lt;6,"Night",IF(C843&lt;12,"Morning",IF(C843&lt;18,"Afternoon",IF(C843&lt;22,"Evening","Night"))))</f>
        <v/>
      </c>
    </row>
    <row r="844">
      <c r="A844" s="2" t="n">
        <v>842</v>
      </c>
      <c r="B844" s="20">
        <f>A844/1440</f>
        <v/>
      </c>
      <c r="C844" s="2">
        <f>INT(A844/60)</f>
        <v/>
      </c>
      <c r="D844" s="2">
        <f>IF(C844&lt;6,"Night",IF(C844&lt;12,"Morning",IF(C844&lt;18,"Afternoon",IF(C844&lt;22,"Evening","Night"))))</f>
        <v/>
      </c>
    </row>
    <row r="845">
      <c r="A845" s="2" t="n">
        <v>843</v>
      </c>
      <c r="B845" s="20">
        <f>A845/1440</f>
        <v/>
      </c>
      <c r="C845" s="2">
        <f>INT(A845/60)</f>
        <v/>
      </c>
      <c r="D845" s="2">
        <f>IF(C845&lt;6,"Night",IF(C845&lt;12,"Morning",IF(C845&lt;18,"Afternoon",IF(C845&lt;22,"Evening","Night"))))</f>
        <v/>
      </c>
    </row>
    <row r="846">
      <c r="A846" s="2" t="n">
        <v>844</v>
      </c>
      <c r="B846" s="20">
        <f>A846/1440</f>
        <v/>
      </c>
      <c r="C846" s="2">
        <f>INT(A846/60)</f>
        <v/>
      </c>
      <c r="D846" s="2">
        <f>IF(C846&lt;6,"Night",IF(C846&lt;12,"Morning",IF(C846&lt;18,"Afternoon",IF(C846&lt;22,"Evening","Night"))))</f>
        <v/>
      </c>
    </row>
    <row r="847">
      <c r="A847" s="2" t="n">
        <v>845</v>
      </c>
      <c r="B847" s="20">
        <f>A847/1440</f>
        <v/>
      </c>
      <c r="C847" s="2">
        <f>INT(A847/60)</f>
        <v/>
      </c>
      <c r="D847" s="2">
        <f>IF(C847&lt;6,"Night",IF(C847&lt;12,"Morning",IF(C847&lt;18,"Afternoon",IF(C847&lt;22,"Evening","Night"))))</f>
        <v/>
      </c>
    </row>
    <row r="848">
      <c r="A848" s="2" t="n">
        <v>846</v>
      </c>
      <c r="B848" s="20">
        <f>A848/1440</f>
        <v/>
      </c>
      <c r="C848" s="2">
        <f>INT(A848/60)</f>
        <v/>
      </c>
      <c r="D848" s="2">
        <f>IF(C848&lt;6,"Night",IF(C848&lt;12,"Morning",IF(C848&lt;18,"Afternoon",IF(C848&lt;22,"Evening","Night"))))</f>
        <v/>
      </c>
    </row>
    <row r="849">
      <c r="A849" s="2" t="n">
        <v>847</v>
      </c>
      <c r="B849" s="20">
        <f>A849/1440</f>
        <v/>
      </c>
      <c r="C849" s="2">
        <f>INT(A849/60)</f>
        <v/>
      </c>
      <c r="D849" s="2">
        <f>IF(C849&lt;6,"Night",IF(C849&lt;12,"Morning",IF(C849&lt;18,"Afternoon",IF(C849&lt;22,"Evening","Night"))))</f>
        <v/>
      </c>
    </row>
    <row r="850">
      <c r="A850" s="2" t="n">
        <v>848</v>
      </c>
      <c r="B850" s="20">
        <f>A850/1440</f>
        <v/>
      </c>
      <c r="C850" s="2">
        <f>INT(A850/60)</f>
        <v/>
      </c>
      <c r="D850" s="2">
        <f>IF(C850&lt;6,"Night",IF(C850&lt;12,"Morning",IF(C850&lt;18,"Afternoon",IF(C850&lt;22,"Evening","Night"))))</f>
        <v/>
      </c>
    </row>
    <row r="851">
      <c r="A851" s="2" t="n">
        <v>849</v>
      </c>
      <c r="B851" s="20">
        <f>A851/1440</f>
        <v/>
      </c>
      <c r="C851" s="2">
        <f>INT(A851/60)</f>
        <v/>
      </c>
      <c r="D851" s="2">
        <f>IF(C851&lt;6,"Night",IF(C851&lt;12,"Morning",IF(C851&lt;18,"Afternoon",IF(C851&lt;22,"Evening","Night"))))</f>
        <v/>
      </c>
    </row>
    <row r="852">
      <c r="A852" s="2" t="n">
        <v>850</v>
      </c>
      <c r="B852" s="20">
        <f>A852/1440</f>
        <v/>
      </c>
      <c r="C852" s="2">
        <f>INT(A852/60)</f>
        <v/>
      </c>
      <c r="D852" s="2">
        <f>IF(C852&lt;6,"Night",IF(C852&lt;12,"Morning",IF(C852&lt;18,"Afternoon",IF(C852&lt;22,"Evening","Night"))))</f>
        <v/>
      </c>
    </row>
    <row r="853">
      <c r="A853" s="2" t="n">
        <v>851</v>
      </c>
      <c r="B853" s="20">
        <f>A853/1440</f>
        <v/>
      </c>
      <c r="C853" s="2">
        <f>INT(A853/60)</f>
        <v/>
      </c>
      <c r="D853" s="2">
        <f>IF(C853&lt;6,"Night",IF(C853&lt;12,"Morning",IF(C853&lt;18,"Afternoon",IF(C853&lt;22,"Evening","Night"))))</f>
        <v/>
      </c>
    </row>
    <row r="854">
      <c r="A854" s="2" t="n">
        <v>852</v>
      </c>
      <c r="B854" s="20">
        <f>A854/1440</f>
        <v/>
      </c>
      <c r="C854" s="2">
        <f>INT(A854/60)</f>
        <v/>
      </c>
      <c r="D854" s="2">
        <f>IF(C854&lt;6,"Night",IF(C854&lt;12,"Morning",IF(C854&lt;18,"Afternoon",IF(C854&lt;22,"Evening","Night"))))</f>
        <v/>
      </c>
    </row>
    <row r="855">
      <c r="A855" s="2" t="n">
        <v>853</v>
      </c>
      <c r="B855" s="20">
        <f>A855/1440</f>
        <v/>
      </c>
      <c r="C855" s="2">
        <f>INT(A855/60)</f>
        <v/>
      </c>
      <c r="D855" s="2">
        <f>IF(C855&lt;6,"Night",IF(C855&lt;12,"Morning",IF(C855&lt;18,"Afternoon",IF(C855&lt;22,"Evening","Night"))))</f>
        <v/>
      </c>
    </row>
    <row r="856">
      <c r="A856" s="2" t="n">
        <v>854</v>
      </c>
      <c r="B856" s="20">
        <f>A856/1440</f>
        <v/>
      </c>
      <c r="C856" s="2">
        <f>INT(A856/60)</f>
        <v/>
      </c>
      <c r="D856" s="2">
        <f>IF(C856&lt;6,"Night",IF(C856&lt;12,"Morning",IF(C856&lt;18,"Afternoon",IF(C856&lt;22,"Evening","Night"))))</f>
        <v/>
      </c>
    </row>
    <row r="857">
      <c r="A857" s="2" t="n">
        <v>855</v>
      </c>
      <c r="B857" s="20">
        <f>A857/1440</f>
        <v/>
      </c>
      <c r="C857" s="2">
        <f>INT(A857/60)</f>
        <v/>
      </c>
      <c r="D857" s="2">
        <f>IF(C857&lt;6,"Night",IF(C857&lt;12,"Morning",IF(C857&lt;18,"Afternoon",IF(C857&lt;22,"Evening","Night"))))</f>
        <v/>
      </c>
    </row>
    <row r="858">
      <c r="A858" s="2" t="n">
        <v>856</v>
      </c>
      <c r="B858" s="20">
        <f>A858/1440</f>
        <v/>
      </c>
      <c r="C858" s="2">
        <f>INT(A858/60)</f>
        <v/>
      </c>
      <c r="D858" s="2">
        <f>IF(C858&lt;6,"Night",IF(C858&lt;12,"Morning",IF(C858&lt;18,"Afternoon",IF(C858&lt;22,"Evening","Night"))))</f>
        <v/>
      </c>
    </row>
    <row r="859">
      <c r="A859" s="2" t="n">
        <v>857</v>
      </c>
      <c r="B859" s="20">
        <f>A859/1440</f>
        <v/>
      </c>
      <c r="C859" s="2">
        <f>INT(A859/60)</f>
        <v/>
      </c>
      <c r="D859" s="2">
        <f>IF(C859&lt;6,"Night",IF(C859&lt;12,"Morning",IF(C859&lt;18,"Afternoon",IF(C859&lt;22,"Evening","Night"))))</f>
        <v/>
      </c>
    </row>
    <row r="860">
      <c r="A860" s="2" t="n">
        <v>858</v>
      </c>
      <c r="B860" s="20">
        <f>A860/1440</f>
        <v/>
      </c>
      <c r="C860" s="2">
        <f>INT(A860/60)</f>
        <v/>
      </c>
      <c r="D860" s="2">
        <f>IF(C860&lt;6,"Night",IF(C860&lt;12,"Morning",IF(C860&lt;18,"Afternoon",IF(C860&lt;22,"Evening","Night"))))</f>
        <v/>
      </c>
    </row>
    <row r="861">
      <c r="A861" s="2" t="n">
        <v>859</v>
      </c>
      <c r="B861" s="20">
        <f>A861/1440</f>
        <v/>
      </c>
      <c r="C861" s="2">
        <f>INT(A861/60)</f>
        <v/>
      </c>
      <c r="D861" s="2">
        <f>IF(C861&lt;6,"Night",IF(C861&lt;12,"Morning",IF(C861&lt;18,"Afternoon",IF(C861&lt;22,"Evening","Night"))))</f>
        <v/>
      </c>
    </row>
    <row r="862">
      <c r="A862" s="2" t="n">
        <v>860</v>
      </c>
      <c r="B862" s="20">
        <f>A862/1440</f>
        <v/>
      </c>
      <c r="C862" s="2">
        <f>INT(A862/60)</f>
        <v/>
      </c>
      <c r="D862" s="2">
        <f>IF(C862&lt;6,"Night",IF(C862&lt;12,"Morning",IF(C862&lt;18,"Afternoon",IF(C862&lt;22,"Evening","Night"))))</f>
        <v/>
      </c>
    </row>
    <row r="863">
      <c r="A863" s="2" t="n">
        <v>861</v>
      </c>
      <c r="B863" s="20">
        <f>A863/1440</f>
        <v/>
      </c>
      <c r="C863" s="2">
        <f>INT(A863/60)</f>
        <v/>
      </c>
      <c r="D863" s="2">
        <f>IF(C863&lt;6,"Night",IF(C863&lt;12,"Morning",IF(C863&lt;18,"Afternoon",IF(C863&lt;22,"Evening","Night"))))</f>
        <v/>
      </c>
    </row>
    <row r="864">
      <c r="A864" s="2" t="n">
        <v>862</v>
      </c>
      <c r="B864" s="20">
        <f>A864/1440</f>
        <v/>
      </c>
      <c r="C864" s="2">
        <f>INT(A864/60)</f>
        <v/>
      </c>
      <c r="D864" s="2">
        <f>IF(C864&lt;6,"Night",IF(C864&lt;12,"Morning",IF(C864&lt;18,"Afternoon",IF(C864&lt;22,"Evening","Night"))))</f>
        <v/>
      </c>
    </row>
    <row r="865">
      <c r="A865" s="2" t="n">
        <v>863</v>
      </c>
      <c r="B865" s="20">
        <f>A865/1440</f>
        <v/>
      </c>
      <c r="C865" s="2">
        <f>INT(A865/60)</f>
        <v/>
      </c>
      <c r="D865" s="2">
        <f>IF(C865&lt;6,"Night",IF(C865&lt;12,"Morning",IF(C865&lt;18,"Afternoon",IF(C865&lt;22,"Evening","Night"))))</f>
        <v/>
      </c>
    </row>
    <row r="866">
      <c r="A866" s="2" t="n">
        <v>864</v>
      </c>
      <c r="B866" s="20">
        <f>A866/1440</f>
        <v/>
      </c>
      <c r="C866" s="2">
        <f>INT(A866/60)</f>
        <v/>
      </c>
      <c r="D866" s="2">
        <f>IF(C866&lt;6,"Night",IF(C866&lt;12,"Morning",IF(C866&lt;18,"Afternoon",IF(C866&lt;22,"Evening","Night"))))</f>
        <v/>
      </c>
    </row>
    <row r="867">
      <c r="A867" s="2" t="n">
        <v>865</v>
      </c>
      <c r="B867" s="20">
        <f>A867/1440</f>
        <v/>
      </c>
      <c r="C867" s="2">
        <f>INT(A867/60)</f>
        <v/>
      </c>
      <c r="D867" s="2">
        <f>IF(C867&lt;6,"Night",IF(C867&lt;12,"Morning",IF(C867&lt;18,"Afternoon",IF(C867&lt;22,"Evening","Night"))))</f>
        <v/>
      </c>
    </row>
    <row r="868">
      <c r="A868" s="2" t="n">
        <v>866</v>
      </c>
      <c r="B868" s="20">
        <f>A868/1440</f>
        <v/>
      </c>
      <c r="C868" s="2">
        <f>INT(A868/60)</f>
        <v/>
      </c>
      <c r="D868" s="2">
        <f>IF(C868&lt;6,"Night",IF(C868&lt;12,"Morning",IF(C868&lt;18,"Afternoon",IF(C868&lt;22,"Evening","Night"))))</f>
        <v/>
      </c>
    </row>
    <row r="869">
      <c r="A869" s="2" t="n">
        <v>867</v>
      </c>
      <c r="B869" s="20">
        <f>A869/1440</f>
        <v/>
      </c>
      <c r="C869" s="2">
        <f>INT(A869/60)</f>
        <v/>
      </c>
      <c r="D869" s="2">
        <f>IF(C869&lt;6,"Night",IF(C869&lt;12,"Morning",IF(C869&lt;18,"Afternoon",IF(C869&lt;22,"Evening","Night"))))</f>
        <v/>
      </c>
    </row>
    <row r="870">
      <c r="A870" s="2" t="n">
        <v>868</v>
      </c>
      <c r="B870" s="20">
        <f>A870/1440</f>
        <v/>
      </c>
      <c r="C870" s="2">
        <f>INT(A870/60)</f>
        <v/>
      </c>
      <c r="D870" s="2">
        <f>IF(C870&lt;6,"Night",IF(C870&lt;12,"Morning",IF(C870&lt;18,"Afternoon",IF(C870&lt;22,"Evening","Night"))))</f>
        <v/>
      </c>
    </row>
    <row r="871">
      <c r="A871" s="2" t="n">
        <v>869</v>
      </c>
      <c r="B871" s="20">
        <f>A871/1440</f>
        <v/>
      </c>
      <c r="C871" s="2">
        <f>INT(A871/60)</f>
        <v/>
      </c>
      <c r="D871" s="2">
        <f>IF(C871&lt;6,"Night",IF(C871&lt;12,"Morning",IF(C871&lt;18,"Afternoon",IF(C871&lt;22,"Evening","Night"))))</f>
        <v/>
      </c>
    </row>
    <row r="872">
      <c r="A872" s="2" t="n">
        <v>870</v>
      </c>
      <c r="B872" s="20">
        <f>A872/1440</f>
        <v/>
      </c>
      <c r="C872" s="2">
        <f>INT(A872/60)</f>
        <v/>
      </c>
      <c r="D872" s="2">
        <f>IF(C872&lt;6,"Night",IF(C872&lt;12,"Morning",IF(C872&lt;18,"Afternoon",IF(C872&lt;22,"Evening","Night"))))</f>
        <v/>
      </c>
    </row>
    <row r="873">
      <c r="A873" s="2" t="n">
        <v>871</v>
      </c>
      <c r="B873" s="20">
        <f>A873/1440</f>
        <v/>
      </c>
      <c r="C873" s="2">
        <f>INT(A873/60)</f>
        <v/>
      </c>
      <c r="D873" s="2">
        <f>IF(C873&lt;6,"Night",IF(C873&lt;12,"Morning",IF(C873&lt;18,"Afternoon",IF(C873&lt;22,"Evening","Night"))))</f>
        <v/>
      </c>
    </row>
    <row r="874">
      <c r="A874" s="2" t="n">
        <v>872</v>
      </c>
      <c r="B874" s="20">
        <f>A874/1440</f>
        <v/>
      </c>
      <c r="C874" s="2">
        <f>INT(A874/60)</f>
        <v/>
      </c>
      <c r="D874" s="2">
        <f>IF(C874&lt;6,"Night",IF(C874&lt;12,"Morning",IF(C874&lt;18,"Afternoon",IF(C874&lt;22,"Evening","Night"))))</f>
        <v/>
      </c>
    </row>
    <row r="875">
      <c r="A875" s="2" t="n">
        <v>873</v>
      </c>
      <c r="B875" s="20">
        <f>A875/1440</f>
        <v/>
      </c>
      <c r="C875" s="2">
        <f>INT(A875/60)</f>
        <v/>
      </c>
      <c r="D875" s="2">
        <f>IF(C875&lt;6,"Night",IF(C875&lt;12,"Morning",IF(C875&lt;18,"Afternoon",IF(C875&lt;22,"Evening","Night"))))</f>
        <v/>
      </c>
    </row>
    <row r="876">
      <c r="A876" s="2" t="n">
        <v>874</v>
      </c>
      <c r="B876" s="20">
        <f>A876/1440</f>
        <v/>
      </c>
      <c r="C876" s="2">
        <f>INT(A876/60)</f>
        <v/>
      </c>
      <c r="D876" s="2">
        <f>IF(C876&lt;6,"Night",IF(C876&lt;12,"Morning",IF(C876&lt;18,"Afternoon",IF(C876&lt;22,"Evening","Night"))))</f>
        <v/>
      </c>
    </row>
    <row r="877">
      <c r="A877" s="2" t="n">
        <v>875</v>
      </c>
      <c r="B877" s="20">
        <f>A877/1440</f>
        <v/>
      </c>
      <c r="C877" s="2">
        <f>INT(A877/60)</f>
        <v/>
      </c>
      <c r="D877" s="2">
        <f>IF(C877&lt;6,"Night",IF(C877&lt;12,"Morning",IF(C877&lt;18,"Afternoon",IF(C877&lt;22,"Evening","Night"))))</f>
        <v/>
      </c>
    </row>
    <row r="878">
      <c r="A878" s="2" t="n">
        <v>876</v>
      </c>
      <c r="B878" s="20">
        <f>A878/1440</f>
        <v/>
      </c>
      <c r="C878" s="2">
        <f>INT(A878/60)</f>
        <v/>
      </c>
      <c r="D878" s="2">
        <f>IF(C878&lt;6,"Night",IF(C878&lt;12,"Morning",IF(C878&lt;18,"Afternoon",IF(C878&lt;22,"Evening","Night"))))</f>
        <v/>
      </c>
    </row>
    <row r="879">
      <c r="A879" s="2" t="n">
        <v>877</v>
      </c>
      <c r="B879" s="20">
        <f>A879/1440</f>
        <v/>
      </c>
      <c r="C879" s="2">
        <f>INT(A879/60)</f>
        <v/>
      </c>
      <c r="D879" s="2">
        <f>IF(C879&lt;6,"Night",IF(C879&lt;12,"Morning",IF(C879&lt;18,"Afternoon",IF(C879&lt;22,"Evening","Night"))))</f>
        <v/>
      </c>
    </row>
    <row r="880">
      <c r="A880" s="2" t="n">
        <v>878</v>
      </c>
      <c r="B880" s="20">
        <f>A880/1440</f>
        <v/>
      </c>
      <c r="C880" s="2">
        <f>INT(A880/60)</f>
        <v/>
      </c>
      <c r="D880" s="2">
        <f>IF(C880&lt;6,"Night",IF(C880&lt;12,"Morning",IF(C880&lt;18,"Afternoon",IF(C880&lt;22,"Evening","Night"))))</f>
        <v/>
      </c>
    </row>
    <row r="881">
      <c r="A881" s="2" t="n">
        <v>879</v>
      </c>
      <c r="B881" s="20">
        <f>A881/1440</f>
        <v/>
      </c>
      <c r="C881" s="2">
        <f>INT(A881/60)</f>
        <v/>
      </c>
      <c r="D881" s="2">
        <f>IF(C881&lt;6,"Night",IF(C881&lt;12,"Morning",IF(C881&lt;18,"Afternoon",IF(C881&lt;22,"Evening","Night"))))</f>
        <v/>
      </c>
    </row>
    <row r="882">
      <c r="A882" s="2" t="n">
        <v>880</v>
      </c>
      <c r="B882" s="20">
        <f>A882/1440</f>
        <v/>
      </c>
      <c r="C882" s="2">
        <f>INT(A882/60)</f>
        <v/>
      </c>
      <c r="D882" s="2">
        <f>IF(C882&lt;6,"Night",IF(C882&lt;12,"Morning",IF(C882&lt;18,"Afternoon",IF(C882&lt;22,"Evening","Night"))))</f>
        <v/>
      </c>
    </row>
    <row r="883">
      <c r="A883" s="2" t="n">
        <v>881</v>
      </c>
      <c r="B883" s="20">
        <f>A883/1440</f>
        <v/>
      </c>
      <c r="C883" s="2">
        <f>INT(A883/60)</f>
        <v/>
      </c>
      <c r="D883" s="2">
        <f>IF(C883&lt;6,"Night",IF(C883&lt;12,"Morning",IF(C883&lt;18,"Afternoon",IF(C883&lt;22,"Evening","Night"))))</f>
        <v/>
      </c>
    </row>
    <row r="884">
      <c r="A884" s="2" t="n">
        <v>882</v>
      </c>
      <c r="B884" s="20">
        <f>A884/1440</f>
        <v/>
      </c>
      <c r="C884" s="2">
        <f>INT(A884/60)</f>
        <v/>
      </c>
      <c r="D884" s="2">
        <f>IF(C884&lt;6,"Night",IF(C884&lt;12,"Morning",IF(C884&lt;18,"Afternoon",IF(C884&lt;22,"Evening","Night"))))</f>
        <v/>
      </c>
    </row>
    <row r="885">
      <c r="A885" s="2" t="n">
        <v>883</v>
      </c>
      <c r="B885" s="20">
        <f>A885/1440</f>
        <v/>
      </c>
      <c r="C885" s="2">
        <f>INT(A885/60)</f>
        <v/>
      </c>
      <c r="D885" s="2">
        <f>IF(C885&lt;6,"Night",IF(C885&lt;12,"Morning",IF(C885&lt;18,"Afternoon",IF(C885&lt;22,"Evening","Night"))))</f>
        <v/>
      </c>
    </row>
    <row r="886">
      <c r="A886" s="2" t="n">
        <v>884</v>
      </c>
      <c r="B886" s="20">
        <f>A886/1440</f>
        <v/>
      </c>
      <c r="C886" s="2">
        <f>INT(A886/60)</f>
        <v/>
      </c>
      <c r="D886" s="2">
        <f>IF(C886&lt;6,"Night",IF(C886&lt;12,"Morning",IF(C886&lt;18,"Afternoon",IF(C886&lt;22,"Evening","Night"))))</f>
        <v/>
      </c>
    </row>
    <row r="887">
      <c r="A887" s="2" t="n">
        <v>885</v>
      </c>
      <c r="B887" s="20">
        <f>A887/1440</f>
        <v/>
      </c>
      <c r="C887" s="2">
        <f>INT(A887/60)</f>
        <v/>
      </c>
      <c r="D887" s="2">
        <f>IF(C887&lt;6,"Night",IF(C887&lt;12,"Morning",IF(C887&lt;18,"Afternoon",IF(C887&lt;22,"Evening","Night"))))</f>
        <v/>
      </c>
    </row>
    <row r="888">
      <c r="A888" s="2" t="n">
        <v>886</v>
      </c>
      <c r="B888" s="20">
        <f>A888/1440</f>
        <v/>
      </c>
      <c r="C888" s="2">
        <f>INT(A888/60)</f>
        <v/>
      </c>
      <c r="D888" s="2">
        <f>IF(C888&lt;6,"Night",IF(C888&lt;12,"Morning",IF(C888&lt;18,"Afternoon",IF(C888&lt;22,"Evening","Night"))))</f>
        <v/>
      </c>
    </row>
    <row r="889">
      <c r="A889" s="2" t="n">
        <v>887</v>
      </c>
      <c r="B889" s="20">
        <f>A889/1440</f>
        <v/>
      </c>
      <c r="C889" s="2">
        <f>INT(A889/60)</f>
        <v/>
      </c>
      <c r="D889" s="2">
        <f>IF(C889&lt;6,"Night",IF(C889&lt;12,"Morning",IF(C889&lt;18,"Afternoon",IF(C889&lt;22,"Evening","Night"))))</f>
        <v/>
      </c>
    </row>
    <row r="890">
      <c r="A890" s="2" t="n">
        <v>888</v>
      </c>
      <c r="B890" s="20">
        <f>A890/1440</f>
        <v/>
      </c>
      <c r="C890" s="2">
        <f>INT(A890/60)</f>
        <v/>
      </c>
      <c r="D890" s="2">
        <f>IF(C890&lt;6,"Night",IF(C890&lt;12,"Morning",IF(C890&lt;18,"Afternoon",IF(C890&lt;22,"Evening","Night"))))</f>
        <v/>
      </c>
    </row>
    <row r="891">
      <c r="A891" s="2" t="n">
        <v>889</v>
      </c>
      <c r="B891" s="20">
        <f>A891/1440</f>
        <v/>
      </c>
      <c r="C891" s="2">
        <f>INT(A891/60)</f>
        <v/>
      </c>
      <c r="D891" s="2">
        <f>IF(C891&lt;6,"Night",IF(C891&lt;12,"Morning",IF(C891&lt;18,"Afternoon",IF(C891&lt;22,"Evening","Night"))))</f>
        <v/>
      </c>
    </row>
    <row r="892">
      <c r="A892" s="2" t="n">
        <v>890</v>
      </c>
      <c r="B892" s="20">
        <f>A892/1440</f>
        <v/>
      </c>
      <c r="C892" s="2">
        <f>INT(A892/60)</f>
        <v/>
      </c>
      <c r="D892" s="2">
        <f>IF(C892&lt;6,"Night",IF(C892&lt;12,"Morning",IF(C892&lt;18,"Afternoon",IF(C892&lt;22,"Evening","Night"))))</f>
        <v/>
      </c>
    </row>
    <row r="893">
      <c r="A893" s="2" t="n">
        <v>891</v>
      </c>
      <c r="B893" s="20">
        <f>A893/1440</f>
        <v/>
      </c>
      <c r="C893" s="2">
        <f>INT(A893/60)</f>
        <v/>
      </c>
      <c r="D893" s="2">
        <f>IF(C893&lt;6,"Night",IF(C893&lt;12,"Morning",IF(C893&lt;18,"Afternoon",IF(C893&lt;22,"Evening","Night"))))</f>
        <v/>
      </c>
    </row>
    <row r="894">
      <c r="A894" s="2" t="n">
        <v>892</v>
      </c>
      <c r="B894" s="20">
        <f>A894/1440</f>
        <v/>
      </c>
      <c r="C894" s="2">
        <f>INT(A894/60)</f>
        <v/>
      </c>
      <c r="D894" s="2">
        <f>IF(C894&lt;6,"Night",IF(C894&lt;12,"Morning",IF(C894&lt;18,"Afternoon",IF(C894&lt;22,"Evening","Night"))))</f>
        <v/>
      </c>
    </row>
    <row r="895">
      <c r="A895" s="2" t="n">
        <v>893</v>
      </c>
      <c r="B895" s="20">
        <f>A895/1440</f>
        <v/>
      </c>
      <c r="C895" s="2">
        <f>INT(A895/60)</f>
        <v/>
      </c>
      <c r="D895" s="2">
        <f>IF(C895&lt;6,"Night",IF(C895&lt;12,"Morning",IF(C895&lt;18,"Afternoon",IF(C895&lt;22,"Evening","Night"))))</f>
        <v/>
      </c>
    </row>
    <row r="896">
      <c r="A896" s="2" t="n">
        <v>894</v>
      </c>
      <c r="B896" s="20">
        <f>A896/1440</f>
        <v/>
      </c>
      <c r="C896" s="2">
        <f>INT(A896/60)</f>
        <v/>
      </c>
      <c r="D896" s="2">
        <f>IF(C896&lt;6,"Night",IF(C896&lt;12,"Morning",IF(C896&lt;18,"Afternoon",IF(C896&lt;22,"Evening","Night"))))</f>
        <v/>
      </c>
    </row>
    <row r="897">
      <c r="A897" s="2" t="n">
        <v>895</v>
      </c>
      <c r="B897" s="20">
        <f>A897/1440</f>
        <v/>
      </c>
      <c r="C897" s="2">
        <f>INT(A897/60)</f>
        <v/>
      </c>
      <c r="D897" s="2">
        <f>IF(C897&lt;6,"Night",IF(C897&lt;12,"Morning",IF(C897&lt;18,"Afternoon",IF(C897&lt;22,"Evening","Night"))))</f>
        <v/>
      </c>
    </row>
    <row r="898">
      <c r="A898" s="2" t="n">
        <v>896</v>
      </c>
      <c r="B898" s="20">
        <f>A898/1440</f>
        <v/>
      </c>
      <c r="C898" s="2">
        <f>INT(A898/60)</f>
        <v/>
      </c>
      <c r="D898" s="2">
        <f>IF(C898&lt;6,"Night",IF(C898&lt;12,"Morning",IF(C898&lt;18,"Afternoon",IF(C898&lt;22,"Evening","Night"))))</f>
        <v/>
      </c>
    </row>
    <row r="899">
      <c r="A899" s="2" t="n">
        <v>897</v>
      </c>
      <c r="B899" s="20">
        <f>A899/1440</f>
        <v/>
      </c>
      <c r="C899" s="2">
        <f>INT(A899/60)</f>
        <v/>
      </c>
      <c r="D899" s="2">
        <f>IF(C899&lt;6,"Night",IF(C899&lt;12,"Morning",IF(C899&lt;18,"Afternoon",IF(C899&lt;22,"Evening","Night"))))</f>
        <v/>
      </c>
    </row>
    <row r="900">
      <c r="A900" s="2" t="n">
        <v>898</v>
      </c>
      <c r="B900" s="20">
        <f>A900/1440</f>
        <v/>
      </c>
      <c r="C900" s="2">
        <f>INT(A900/60)</f>
        <v/>
      </c>
      <c r="D900" s="2">
        <f>IF(C900&lt;6,"Night",IF(C900&lt;12,"Morning",IF(C900&lt;18,"Afternoon",IF(C900&lt;22,"Evening","Night"))))</f>
        <v/>
      </c>
    </row>
    <row r="901">
      <c r="A901" s="2" t="n">
        <v>899</v>
      </c>
      <c r="B901" s="20">
        <f>A901/1440</f>
        <v/>
      </c>
      <c r="C901" s="2">
        <f>INT(A901/60)</f>
        <v/>
      </c>
      <c r="D901" s="2">
        <f>IF(C901&lt;6,"Night",IF(C901&lt;12,"Morning",IF(C901&lt;18,"Afternoon",IF(C901&lt;22,"Evening","Night"))))</f>
        <v/>
      </c>
    </row>
    <row r="902">
      <c r="A902" s="2" t="n">
        <v>900</v>
      </c>
      <c r="B902" s="20">
        <f>A902/1440</f>
        <v/>
      </c>
      <c r="C902" s="2">
        <f>INT(A902/60)</f>
        <v/>
      </c>
      <c r="D902" s="2">
        <f>IF(C902&lt;6,"Night",IF(C902&lt;12,"Morning",IF(C902&lt;18,"Afternoon",IF(C902&lt;22,"Evening","Night"))))</f>
        <v/>
      </c>
    </row>
    <row r="903">
      <c r="A903" s="2" t="n">
        <v>901</v>
      </c>
      <c r="B903" s="20">
        <f>A903/1440</f>
        <v/>
      </c>
      <c r="C903" s="2">
        <f>INT(A903/60)</f>
        <v/>
      </c>
      <c r="D903" s="2">
        <f>IF(C903&lt;6,"Night",IF(C903&lt;12,"Morning",IF(C903&lt;18,"Afternoon",IF(C903&lt;22,"Evening","Night"))))</f>
        <v/>
      </c>
    </row>
    <row r="904">
      <c r="A904" s="2" t="n">
        <v>902</v>
      </c>
      <c r="B904" s="20">
        <f>A904/1440</f>
        <v/>
      </c>
      <c r="C904" s="2">
        <f>INT(A904/60)</f>
        <v/>
      </c>
      <c r="D904" s="2">
        <f>IF(C904&lt;6,"Night",IF(C904&lt;12,"Morning",IF(C904&lt;18,"Afternoon",IF(C904&lt;22,"Evening","Night"))))</f>
        <v/>
      </c>
    </row>
    <row r="905">
      <c r="A905" s="2" t="n">
        <v>903</v>
      </c>
      <c r="B905" s="20">
        <f>A905/1440</f>
        <v/>
      </c>
      <c r="C905" s="2">
        <f>INT(A905/60)</f>
        <v/>
      </c>
      <c r="D905" s="2">
        <f>IF(C905&lt;6,"Night",IF(C905&lt;12,"Morning",IF(C905&lt;18,"Afternoon",IF(C905&lt;22,"Evening","Night"))))</f>
        <v/>
      </c>
    </row>
    <row r="906">
      <c r="A906" s="2" t="n">
        <v>904</v>
      </c>
      <c r="B906" s="20">
        <f>A906/1440</f>
        <v/>
      </c>
      <c r="C906" s="2">
        <f>INT(A906/60)</f>
        <v/>
      </c>
      <c r="D906" s="2">
        <f>IF(C906&lt;6,"Night",IF(C906&lt;12,"Morning",IF(C906&lt;18,"Afternoon",IF(C906&lt;22,"Evening","Night"))))</f>
        <v/>
      </c>
    </row>
    <row r="907">
      <c r="A907" s="2" t="n">
        <v>905</v>
      </c>
      <c r="B907" s="20">
        <f>A907/1440</f>
        <v/>
      </c>
      <c r="C907" s="2">
        <f>INT(A907/60)</f>
        <v/>
      </c>
      <c r="D907" s="2">
        <f>IF(C907&lt;6,"Night",IF(C907&lt;12,"Morning",IF(C907&lt;18,"Afternoon",IF(C907&lt;22,"Evening","Night"))))</f>
        <v/>
      </c>
    </row>
    <row r="908">
      <c r="A908" s="2" t="n">
        <v>906</v>
      </c>
      <c r="B908" s="20">
        <f>A908/1440</f>
        <v/>
      </c>
      <c r="C908" s="2">
        <f>INT(A908/60)</f>
        <v/>
      </c>
      <c r="D908" s="2">
        <f>IF(C908&lt;6,"Night",IF(C908&lt;12,"Morning",IF(C908&lt;18,"Afternoon",IF(C908&lt;22,"Evening","Night"))))</f>
        <v/>
      </c>
    </row>
    <row r="909">
      <c r="A909" s="2" t="n">
        <v>907</v>
      </c>
      <c r="B909" s="20">
        <f>A909/1440</f>
        <v/>
      </c>
      <c r="C909" s="2">
        <f>INT(A909/60)</f>
        <v/>
      </c>
      <c r="D909" s="2">
        <f>IF(C909&lt;6,"Night",IF(C909&lt;12,"Morning",IF(C909&lt;18,"Afternoon",IF(C909&lt;22,"Evening","Night"))))</f>
        <v/>
      </c>
    </row>
    <row r="910">
      <c r="A910" s="2" t="n">
        <v>908</v>
      </c>
      <c r="B910" s="20">
        <f>A910/1440</f>
        <v/>
      </c>
      <c r="C910" s="2">
        <f>INT(A910/60)</f>
        <v/>
      </c>
      <c r="D910" s="2">
        <f>IF(C910&lt;6,"Night",IF(C910&lt;12,"Morning",IF(C910&lt;18,"Afternoon",IF(C910&lt;22,"Evening","Night"))))</f>
        <v/>
      </c>
    </row>
    <row r="911">
      <c r="A911" s="2" t="n">
        <v>909</v>
      </c>
      <c r="B911" s="20">
        <f>A911/1440</f>
        <v/>
      </c>
      <c r="C911" s="2">
        <f>INT(A911/60)</f>
        <v/>
      </c>
      <c r="D911" s="2">
        <f>IF(C911&lt;6,"Night",IF(C911&lt;12,"Morning",IF(C911&lt;18,"Afternoon",IF(C911&lt;22,"Evening","Night"))))</f>
        <v/>
      </c>
    </row>
    <row r="912">
      <c r="A912" s="2" t="n">
        <v>910</v>
      </c>
      <c r="B912" s="20">
        <f>A912/1440</f>
        <v/>
      </c>
      <c r="C912" s="2">
        <f>INT(A912/60)</f>
        <v/>
      </c>
      <c r="D912" s="2">
        <f>IF(C912&lt;6,"Night",IF(C912&lt;12,"Morning",IF(C912&lt;18,"Afternoon",IF(C912&lt;22,"Evening","Night"))))</f>
        <v/>
      </c>
    </row>
    <row r="913">
      <c r="A913" s="2" t="n">
        <v>911</v>
      </c>
      <c r="B913" s="20">
        <f>A913/1440</f>
        <v/>
      </c>
      <c r="C913" s="2">
        <f>INT(A913/60)</f>
        <v/>
      </c>
      <c r="D913" s="2">
        <f>IF(C913&lt;6,"Night",IF(C913&lt;12,"Morning",IF(C913&lt;18,"Afternoon",IF(C913&lt;22,"Evening","Night"))))</f>
        <v/>
      </c>
    </row>
    <row r="914">
      <c r="A914" s="2" t="n">
        <v>912</v>
      </c>
      <c r="B914" s="20">
        <f>A914/1440</f>
        <v/>
      </c>
      <c r="C914" s="2">
        <f>INT(A914/60)</f>
        <v/>
      </c>
      <c r="D914" s="2">
        <f>IF(C914&lt;6,"Night",IF(C914&lt;12,"Morning",IF(C914&lt;18,"Afternoon",IF(C914&lt;22,"Evening","Night"))))</f>
        <v/>
      </c>
    </row>
    <row r="915">
      <c r="A915" s="2" t="n">
        <v>913</v>
      </c>
      <c r="B915" s="20">
        <f>A915/1440</f>
        <v/>
      </c>
      <c r="C915" s="2">
        <f>INT(A915/60)</f>
        <v/>
      </c>
      <c r="D915" s="2">
        <f>IF(C915&lt;6,"Night",IF(C915&lt;12,"Morning",IF(C915&lt;18,"Afternoon",IF(C915&lt;22,"Evening","Night"))))</f>
        <v/>
      </c>
    </row>
    <row r="916">
      <c r="A916" s="2" t="n">
        <v>914</v>
      </c>
      <c r="B916" s="20">
        <f>A916/1440</f>
        <v/>
      </c>
      <c r="C916" s="2">
        <f>INT(A916/60)</f>
        <v/>
      </c>
      <c r="D916" s="2">
        <f>IF(C916&lt;6,"Night",IF(C916&lt;12,"Morning",IF(C916&lt;18,"Afternoon",IF(C916&lt;22,"Evening","Night"))))</f>
        <v/>
      </c>
    </row>
    <row r="917">
      <c r="A917" s="2" t="n">
        <v>915</v>
      </c>
      <c r="B917" s="20">
        <f>A917/1440</f>
        <v/>
      </c>
      <c r="C917" s="2">
        <f>INT(A917/60)</f>
        <v/>
      </c>
      <c r="D917" s="2">
        <f>IF(C917&lt;6,"Night",IF(C917&lt;12,"Morning",IF(C917&lt;18,"Afternoon",IF(C917&lt;22,"Evening","Night"))))</f>
        <v/>
      </c>
    </row>
    <row r="918">
      <c r="A918" s="2" t="n">
        <v>916</v>
      </c>
      <c r="B918" s="20">
        <f>A918/1440</f>
        <v/>
      </c>
      <c r="C918" s="2">
        <f>INT(A918/60)</f>
        <v/>
      </c>
      <c r="D918" s="2">
        <f>IF(C918&lt;6,"Night",IF(C918&lt;12,"Morning",IF(C918&lt;18,"Afternoon",IF(C918&lt;22,"Evening","Night"))))</f>
        <v/>
      </c>
    </row>
    <row r="919">
      <c r="A919" s="2" t="n">
        <v>917</v>
      </c>
      <c r="B919" s="20">
        <f>A919/1440</f>
        <v/>
      </c>
      <c r="C919" s="2">
        <f>INT(A919/60)</f>
        <v/>
      </c>
      <c r="D919" s="2">
        <f>IF(C919&lt;6,"Night",IF(C919&lt;12,"Morning",IF(C919&lt;18,"Afternoon",IF(C919&lt;22,"Evening","Night"))))</f>
        <v/>
      </c>
    </row>
    <row r="920">
      <c r="A920" s="2" t="n">
        <v>918</v>
      </c>
      <c r="B920" s="20">
        <f>A920/1440</f>
        <v/>
      </c>
      <c r="C920" s="2">
        <f>INT(A920/60)</f>
        <v/>
      </c>
      <c r="D920" s="2">
        <f>IF(C920&lt;6,"Night",IF(C920&lt;12,"Morning",IF(C920&lt;18,"Afternoon",IF(C920&lt;22,"Evening","Night"))))</f>
        <v/>
      </c>
    </row>
    <row r="921">
      <c r="A921" s="2" t="n">
        <v>919</v>
      </c>
      <c r="B921" s="20">
        <f>A921/1440</f>
        <v/>
      </c>
      <c r="C921" s="2">
        <f>INT(A921/60)</f>
        <v/>
      </c>
      <c r="D921" s="2">
        <f>IF(C921&lt;6,"Night",IF(C921&lt;12,"Morning",IF(C921&lt;18,"Afternoon",IF(C921&lt;22,"Evening","Night"))))</f>
        <v/>
      </c>
    </row>
    <row r="922">
      <c r="A922" s="2" t="n">
        <v>920</v>
      </c>
      <c r="B922" s="20">
        <f>A922/1440</f>
        <v/>
      </c>
      <c r="C922" s="2">
        <f>INT(A922/60)</f>
        <v/>
      </c>
      <c r="D922" s="2">
        <f>IF(C922&lt;6,"Night",IF(C922&lt;12,"Morning",IF(C922&lt;18,"Afternoon",IF(C922&lt;22,"Evening","Night"))))</f>
        <v/>
      </c>
    </row>
    <row r="923">
      <c r="A923" s="2" t="n">
        <v>921</v>
      </c>
      <c r="B923" s="20">
        <f>A923/1440</f>
        <v/>
      </c>
      <c r="C923" s="2">
        <f>INT(A923/60)</f>
        <v/>
      </c>
      <c r="D923" s="2">
        <f>IF(C923&lt;6,"Night",IF(C923&lt;12,"Morning",IF(C923&lt;18,"Afternoon",IF(C923&lt;22,"Evening","Night"))))</f>
        <v/>
      </c>
    </row>
    <row r="924">
      <c r="A924" s="2" t="n">
        <v>922</v>
      </c>
      <c r="B924" s="20">
        <f>A924/1440</f>
        <v/>
      </c>
      <c r="C924" s="2">
        <f>INT(A924/60)</f>
        <v/>
      </c>
      <c r="D924" s="2">
        <f>IF(C924&lt;6,"Night",IF(C924&lt;12,"Morning",IF(C924&lt;18,"Afternoon",IF(C924&lt;22,"Evening","Night"))))</f>
        <v/>
      </c>
    </row>
    <row r="925">
      <c r="A925" s="2" t="n">
        <v>923</v>
      </c>
      <c r="B925" s="20">
        <f>A925/1440</f>
        <v/>
      </c>
      <c r="C925" s="2">
        <f>INT(A925/60)</f>
        <v/>
      </c>
      <c r="D925" s="2">
        <f>IF(C925&lt;6,"Night",IF(C925&lt;12,"Morning",IF(C925&lt;18,"Afternoon",IF(C925&lt;22,"Evening","Night"))))</f>
        <v/>
      </c>
    </row>
    <row r="926">
      <c r="A926" s="2" t="n">
        <v>924</v>
      </c>
      <c r="B926" s="20">
        <f>A926/1440</f>
        <v/>
      </c>
      <c r="C926" s="2">
        <f>INT(A926/60)</f>
        <v/>
      </c>
      <c r="D926" s="2">
        <f>IF(C926&lt;6,"Night",IF(C926&lt;12,"Morning",IF(C926&lt;18,"Afternoon",IF(C926&lt;22,"Evening","Night"))))</f>
        <v/>
      </c>
    </row>
    <row r="927">
      <c r="A927" s="2" t="n">
        <v>925</v>
      </c>
      <c r="B927" s="20">
        <f>A927/1440</f>
        <v/>
      </c>
      <c r="C927" s="2">
        <f>INT(A927/60)</f>
        <v/>
      </c>
      <c r="D927" s="2">
        <f>IF(C927&lt;6,"Night",IF(C927&lt;12,"Morning",IF(C927&lt;18,"Afternoon",IF(C927&lt;22,"Evening","Night"))))</f>
        <v/>
      </c>
    </row>
    <row r="928">
      <c r="A928" s="2" t="n">
        <v>926</v>
      </c>
      <c r="B928" s="20">
        <f>A928/1440</f>
        <v/>
      </c>
      <c r="C928" s="2">
        <f>INT(A928/60)</f>
        <v/>
      </c>
      <c r="D928" s="2">
        <f>IF(C928&lt;6,"Night",IF(C928&lt;12,"Morning",IF(C928&lt;18,"Afternoon",IF(C928&lt;22,"Evening","Night"))))</f>
        <v/>
      </c>
    </row>
    <row r="929">
      <c r="A929" s="2" t="n">
        <v>927</v>
      </c>
      <c r="B929" s="20">
        <f>A929/1440</f>
        <v/>
      </c>
      <c r="C929" s="2">
        <f>INT(A929/60)</f>
        <v/>
      </c>
      <c r="D929" s="2">
        <f>IF(C929&lt;6,"Night",IF(C929&lt;12,"Morning",IF(C929&lt;18,"Afternoon",IF(C929&lt;22,"Evening","Night"))))</f>
        <v/>
      </c>
    </row>
    <row r="930">
      <c r="A930" s="2" t="n">
        <v>928</v>
      </c>
      <c r="B930" s="20">
        <f>A930/1440</f>
        <v/>
      </c>
      <c r="C930" s="2">
        <f>INT(A930/60)</f>
        <v/>
      </c>
      <c r="D930" s="2">
        <f>IF(C930&lt;6,"Night",IF(C930&lt;12,"Morning",IF(C930&lt;18,"Afternoon",IF(C930&lt;22,"Evening","Night"))))</f>
        <v/>
      </c>
    </row>
    <row r="931">
      <c r="A931" s="2" t="n">
        <v>929</v>
      </c>
      <c r="B931" s="20">
        <f>A931/1440</f>
        <v/>
      </c>
      <c r="C931" s="2">
        <f>INT(A931/60)</f>
        <v/>
      </c>
      <c r="D931" s="2">
        <f>IF(C931&lt;6,"Night",IF(C931&lt;12,"Morning",IF(C931&lt;18,"Afternoon",IF(C931&lt;22,"Evening","Night"))))</f>
        <v/>
      </c>
    </row>
    <row r="932">
      <c r="A932" s="2" t="n">
        <v>930</v>
      </c>
      <c r="B932" s="20">
        <f>A932/1440</f>
        <v/>
      </c>
      <c r="C932" s="2">
        <f>INT(A932/60)</f>
        <v/>
      </c>
      <c r="D932" s="2">
        <f>IF(C932&lt;6,"Night",IF(C932&lt;12,"Morning",IF(C932&lt;18,"Afternoon",IF(C932&lt;22,"Evening","Night"))))</f>
        <v/>
      </c>
    </row>
    <row r="933">
      <c r="A933" s="2" t="n">
        <v>931</v>
      </c>
      <c r="B933" s="20">
        <f>A933/1440</f>
        <v/>
      </c>
      <c r="C933" s="2">
        <f>INT(A933/60)</f>
        <v/>
      </c>
      <c r="D933" s="2">
        <f>IF(C933&lt;6,"Night",IF(C933&lt;12,"Morning",IF(C933&lt;18,"Afternoon",IF(C933&lt;22,"Evening","Night"))))</f>
        <v/>
      </c>
    </row>
    <row r="934">
      <c r="A934" s="2" t="n">
        <v>932</v>
      </c>
      <c r="B934" s="20">
        <f>A934/1440</f>
        <v/>
      </c>
      <c r="C934" s="2">
        <f>INT(A934/60)</f>
        <v/>
      </c>
      <c r="D934" s="2">
        <f>IF(C934&lt;6,"Night",IF(C934&lt;12,"Morning",IF(C934&lt;18,"Afternoon",IF(C934&lt;22,"Evening","Night"))))</f>
        <v/>
      </c>
    </row>
    <row r="935">
      <c r="A935" s="2" t="n">
        <v>933</v>
      </c>
      <c r="B935" s="20">
        <f>A935/1440</f>
        <v/>
      </c>
      <c r="C935" s="2">
        <f>INT(A935/60)</f>
        <v/>
      </c>
      <c r="D935" s="2">
        <f>IF(C935&lt;6,"Night",IF(C935&lt;12,"Morning",IF(C935&lt;18,"Afternoon",IF(C935&lt;22,"Evening","Night"))))</f>
        <v/>
      </c>
    </row>
    <row r="936">
      <c r="A936" s="2" t="n">
        <v>934</v>
      </c>
      <c r="B936" s="20">
        <f>A936/1440</f>
        <v/>
      </c>
      <c r="C936" s="2">
        <f>INT(A936/60)</f>
        <v/>
      </c>
      <c r="D936" s="2">
        <f>IF(C936&lt;6,"Night",IF(C936&lt;12,"Morning",IF(C936&lt;18,"Afternoon",IF(C936&lt;22,"Evening","Night"))))</f>
        <v/>
      </c>
    </row>
    <row r="937">
      <c r="A937" s="2" t="n">
        <v>935</v>
      </c>
      <c r="B937" s="20">
        <f>A937/1440</f>
        <v/>
      </c>
      <c r="C937" s="2">
        <f>INT(A937/60)</f>
        <v/>
      </c>
      <c r="D937" s="2">
        <f>IF(C937&lt;6,"Night",IF(C937&lt;12,"Morning",IF(C937&lt;18,"Afternoon",IF(C937&lt;22,"Evening","Night"))))</f>
        <v/>
      </c>
    </row>
    <row r="938">
      <c r="A938" s="2" t="n">
        <v>936</v>
      </c>
      <c r="B938" s="20">
        <f>A938/1440</f>
        <v/>
      </c>
      <c r="C938" s="2">
        <f>INT(A938/60)</f>
        <v/>
      </c>
      <c r="D938" s="2">
        <f>IF(C938&lt;6,"Night",IF(C938&lt;12,"Morning",IF(C938&lt;18,"Afternoon",IF(C938&lt;22,"Evening","Night"))))</f>
        <v/>
      </c>
    </row>
    <row r="939">
      <c r="A939" s="2" t="n">
        <v>937</v>
      </c>
      <c r="B939" s="20">
        <f>A939/1440</f>
        <v/>
      </c>
      <c r="C939" s="2">
        <f>INT(A939/60)</f>
        <v/>
      </c>
      <c r="D939" s="2">
        <f>IF(C939&lt;6,"Night",IF(C939&lt;12,"Morning",IF(C939&lt;18,"Afternoon",IF(C939&lt;22,"Evening","Night"))))</f>
        <v/>
      </c>
    </row>
    <row r="940">
      <c r="A940" s="2" t="n">
        <v>938</v>
      </c>
      <c r="B940" s="20">
        <f>A940/1440</f>
        <v/>
      </c>
      <c r="C940" s="2">
        <f>INT(A940/60)</f>
        <v/>
      </c>
      <c r="D940" s="2">
        <f>IF(C940&lt;6,"Night",IF(C940&lt;12,"Morning",IF(C940&lt;18,"Afternoon",IF(C940&lt;22,"Evening","Night"))))</f>
        <v/>
      </c>
    </row>
    <row r="941">
      <c r="A941" s="2" t="n">
        <v>939</v>
      </c>
      <c r="B941" s="20">
        <f>A941/1440</f>
        <v/>
      </c>
      <c r="C941" s="2">
        <f>INT(A941/60)</f>
        <v/>
      </c>
      <c r="D941" s="2">
        <f>IF(C941&lt;6,"Night",IF(C941&lt;12,"Morning",IF(C941&lt;18,"Afternoon",IF(C941&lt;22,"Evening","Night"))))</f>
        <v/>
      </c>
    </row>
    <row r="942">
      <c r="A942" s="2" t="n">
        <v>940</v>
      </c>
      <c r="B942" s="20">
        <f>A942/1440</f>
        <v/>
      </c>
      <c r="C942" s="2">
        <f>INT(A942/60)</f>
        <v/>
      </c>
      <c r="D942" s="2">
        <f>IF(C942&lt;6,"Night",IF(C942&lt;12,"Morning",IF(C942&lt;18,"Afternoon",IF(C942&lt;22,"Evening","Night"))))</f>
        <v/>
      </c>
    </row>
    <row r="943">
      <c r="A943" s="2" t="n">
        <v>941</v>
      </c>
      <c r="B943" s="20">
        <f>A943/1440</f>
        <v/>
      </c>
      <c r="C943" s="2">
        <f>INT(A943/60)</f>
        <v/>
      </c>
      <c r="D943" s="2">
        <f>IF(C943&lt;6,"Night",IF(C943&lt;12,"Morning",IF(C943&lt;18,"Afternoon",IF(C943&lt;22,"Evening","Night"))))</f>
        <v/>
      </c>
    </row>
    <row r="944">
      <c r="A944" s="2" t="n">
        <v>942</v>
      </c>
      <c r="B944" s="20">
        <f>A944/1440</f>
        <v/>
      </c>
      <c r="C944" s="2">
        <f>INT(A944/60)</f>
        <v/>
      </c>
      <c r="D944" s="2">
        <f>IF(C944&lt;6,"Night",IF(C944&lt;12,"Morning",IF(C944&lt;18,"Afternoon",IF(C944&lt;22,"Evening","Night"))))</f>
        <v/>
      </c>
    </row>
    <row r="945">
      <c r="A945" s="2" t="n">
        <v>943</v>
      </c>
      <c r="B945" s="20">
        <f>A945/1440</f>
        <v/>
      </c>
      <c r="C945" s="2">
        <f>INT(A945/60)</f>
        <v/>
      </c>
      <c r="D945" s="2">
        <f>IF(C945&lt;6,"Night",IF(C945&lt;12,"Morning",IF(C945&lt;18,"Afternoon",IF(C945&lt;22,"Evening","Night"))))</f>
        <v/>
      </c>
    </row>
    <row r="946">
      <c r="A946" s="2" t="n">
        <v>944</v>
      </c>
      <c r="B946" s="20">
        <f>A946/1440</f>
        <v/>
      </c>
      <c r="C946" s="2">
        <f>INT(A946/60)</f>
        <v/>
      </c>
      <c r="D946" s="2">
        <f>IF(C946&lt;6,"Night",IF(C946&lt;12,"Morning",IF(C946&lt;18,"Afternoon",IF(C946&lt;22,"Evening","Night"))))</f>
        <v/>
      </c>
    </row>
    <row r="947">
      <c r="A947" s="2" t="n">
        <v>945</v>
      </c>
      <c r="B947" s="20">
        <f>A947/1440</f>
        <v/>
      </c>
      <c r="C947" s="2">
        <f>INT(A947/60)</f>
        <v/>
      </c>
      <c r="D947" s="2">
        <f>IF(C947&lt;6,"Night",IF(C947&lt;12,"Morning",IF(C947&lt;18,"Afternoon",IF(C947&lt;22,"Evening","Night"))))</f>
        <v/>
      </c>
    </row>
    <row r="948">
      <c r="A948" s="2" t="n">
        <v>946</v>
      </c>
      <c r="B948" s="20">
        <f>A948/1440</f>
        <v/>
      </c>
      <c r="C948" s="2">
        <f>INT(A948/60)</f>
        <v/>
      </c>
      <c r="D948" s="2">
        <f>IF(C948&lt;6,"Night",IF(C948&lt;12,"Morning",IF(C948&lt;18,"Afternoon",IF(C948&lt;22,"Evening","Night"))))</f>
        <v/>
      </c>
    </row>
    <row r="949">
      <c r="A949" s="2" t="n">
        <v>947</v>
      </c>
      <c r="B949" s="20">
        <f>A949/1440</f>
        <v/>
      </c>
      <c r="C949" s="2">
        <f>INT(A949/60)</f>
        <v/>
      </c>
      <c r="D949" s="2">
        <f>IF(C949&lt;6,"Night",IF(C949&lt;12,"Morning",IF(C949&lt;18,"Afternoon",IF(C949&lt;22,"Evening","Night"))))</f>
        <v/>
      </c>
    </row>
    <row r="950">
      <c r="A950" s="2" t="n">
        <v>948</v>
      </c>
      <c r="B950" s="20">
        <f>A950/1440</f>
        <v/>
      </c>
      <c r="C950" s="2">
        <f>INT(A950/60)</f>
        <v/>
      </c>
      <c r="D950" s="2">
        <f>IF(C950&lt;6,"Night",IF(C950&lt;12,"Morning",IF(C950&lt;18,"Afternoon",IF(C950&lt;22,"Evening","Night"))))</f>
        <v/>
      </c>
    </row>
    <row r="951">
      <c r="A951" s="2" t="n">
        <v>949</v>
      </c>
      <c r="B951" s="20">
        <f>A951/1440</f>
        <v/>
      </c>
      <c r="C951" s="2">
        <f>INT(A951/60)</f>
        <v/>
      </c>
      <c r="D951" s="2">
        <f>IF(C951&lt;6,"Night",IF(C951&lt;12,"Morning",IF(C951&lt;18,"Afternoon",IF(C951&lt;22,"Evening","Night"))))</f>
        <v/>
      </c>
    </row>
    <row r="952">
      <c r="A952" s="2" t="n">
        <v>950</v>
      </c>
      <c r="B952" s="20">
        <f>A952/1440</f>
        <v/>
      </c>
      <c r="C952" s="2">
        <f>INT(A952/60)</f>
        <v/>
      </c>
      <c r="D952" s="2">
        <f>IF(C952&lt;6,"Night",IF(C952&lt;12,"Morning",IF(C952&lt;18,"Afternoon",IF(C952&lt;22,"Evening","Night"))))</f>
        <v/>
      </c>
    </row>
    <row r="953">
      <c r="A953" s="2" t="n">
        <v>951</v>
      </c>
      <c r="B953" s="20">
        <f>A953/1440</f>
        <v/>
      </c>
      <c r="C953" s="2">
        <f>INT(A953/60)</f>
        <v/>
      </c>
      <c r="D953" s="2">
        <f>IF(C953&lt;6,"Night",IF(C953&lt;12,"Morning",IF(C953&lt;18,"Afternoon",IF(C953&lt;22,"Evening","Night"))))</f>
        <v/>
      </c>
    </row>
    <row r="954">
      <c r="A954" s="2" t="n">
        <v>952</v>
      </c>
      <c r="B954" s="20">
        <f>A954/1440</f>
        <v/>
      </c>
      <c r="C954" s="2">
        <f>INT(A954/60)</f>
        <v/>
      </c>
      <c r="D954" s="2">
        <f>IF(C954&lt;6,"Night",IF(C954&lt;12,"Morning",IF(C954&lt;18,"Afternoon",IF(C954&lt;22,"Evening","Night"))))</f>
        <v/>
      </c>
    </row>
    <row r="955">
      <c r="A955" s="2" t="n">
        <v>953</v>
      </c>
      <c r="B955" s="20">
        <f>A955/1440</f>
        <v/>
      </c>
      <c r="C955" s="2">
        <f>INT(A955/60)</f>
        <v/>
      </c>
      <c r="D955" s="2">
        <f>IF(C955&lt;6,"Night",IF(C955&lt;12,"Morning",IF(C955&lt;18,"Afternoon",IF(C955&lt;22,"Evening","Night"))))</f>
        <v/>
      </c>
    </row>
    <row r="956">
      <c r="A956" s="2" t="n">
        <v>954</v>
      </c>
      <c r="B956" s="20">
        <f>A956/1440</f>
        <v/>
      </c>
      <c r="C956" s="2">
        <f>INT(A956/60)</f>
        <v/>
      </c>
      <c r="D956" s="2">
        <f>IF(C956&lt;6,"Night",IF(C956&lt;12,"Morning",IF(C956&lt;18,"Afternoon",IF(C956&lt;22,"Evening","Night"))))</f>
        <v/>
      </c>
    </row>
    <row r="957">
      <c r="A957" s="2" t="n">
        <v>955</v>
      </c>
      <c r="B957" s="20">
        <f>A957/1440</f>
        <v/>
      </c>
      <c r="C957" s="2">
        <f>INT(A957/60)</f>
        <v/>
      </c>
      <c r="D957" s="2">
        <f>IF(C957&lt;6,"Night",IF(C957&lt;12,"Morning",IF(C957&lt;18,"Afternoon",IF(C957&lt;22,"Evening","Night"))))</f>
        <v/>
      </c>
    </row>
    <row r="958">
      <c r="A958" s="2" t="n">
        <v>956</v>
      </c>
      <c r="B958" s="20">
        <f>A958/1440</f>
        <v/>
      </c>
      <c r="C958" s="2">
        <f>INT(A958/60)</f>
        <v/>
      </c>
      <c r="D958" s="2">
        <f>IF(C958&lt;6,"Night",IF(C958&lt;12,"Morning",IF(C958&lt;18,"Afternoon",IF(C958&lt;22,"Evening","Night"))))</f>
        <v/>
      </c>
    </row>
    <row r="959">
      <c r="A959" s="2" t="n">
        <v>957</v>
      </c>
      <c r="B959" s="20">
        <f>A959/1440</f>
        <v/>
      </c>
      <c r="C959" s="2">
        <f>INT(A959/60)</f>
        <v/>
      </c>
      <c r="D959" s="2">
        <f>IF(C959&lt;6,"Night",IF(C959&lt;12,"Morning",IF(C959&lt;18,"Afternoon",IF(C959&lt;22,"Evening","Night"))))</f>
        <v/>
      </c>
    </row>
    <row r="960">
      <c r="A960" s="2" t="n">
        <v>958</v>
      </c>
      <c r="B960" s="20">
        <f>A960/1440</f>
        <v/>
      </c>
      <c r="C960" s="2">
        <f>INT(A960/60)</f>
        <v/>
      </c>
      <c r="D960" s="2">
        <f>IF(C960&lt;6,"Night",IF(C960&lt;12,"Morning",IF(C960&lt;18,"Afternoon",IF(C960&lt;22,"Evening","Night"))))</f>
        <v/>
      </c>
    </row>
    <row r="961">
      <c r="A961" s="2" t="n">
        <v>959</v>
      </c>
      <c r="B961" s="20">
        <f>A961/1440</f>
        <v/>
      </c>
      <c r="C961" s="2">
        <f>INT(A961/60)</f>
        <v/>
      </c>
      <c r="D961" s="2">
        <f>IF(C961&lt;6,"Night",IF(C961&lt;12,"Morning",IF(C961&lt;18,"Afternoon",IF(C961&lt;22,"Evening","Night"))))</f>
        <v/>
      </c>
    </row>
    <row r="962">
      <c r="A962" s="2" t="n">
        <v>960</v>
      </c>
      <c r="B962" s="20">
        <f>A962/1440</f>
        <v/>
      </c>
      <c r="C962" s="2">
        <f>INT(A962/60)</f>
        <v/>
      </c>
      <c r="D962" s="2">
        <f>IF(C962&lt;6,"Night",IF(C962&lt;12,"Morning",IF(C962&lt;18,"Afternoon",IF(C962&lt;22,"Evening","Night"))))</f>
        <v/>
      </c>
    </row>
    <row r="963">
      <c r="A963" s="2" t="n">
        <v>961</v>
      </c>
      <c r="B963" s="20">
        <f>A963/1440</f>
        <v/>
      </c>
      <c r="C963" s="2">
        <f>INT(A963/60)</f>
        <v/>
      </c>
      <c r="D963" s="2">
        <f>IF(C963&lt;6,"Night",IF(C963&lt;12,"Morning",IF(C963&lt;18,"Afternoon",IF(C963&lt;22,"Evening","Night"))))</f>
        <v/>
      </c>
    </row>
    <row r="964">
      <c r="A964" s="2" t="n">
        <v>962</v>
      </c>
      <c r="B964" s="20">
        <f>A964/1440</f>
        <v/>
      </c>
      <c r="C964" s="2">
        <f>INT(A964/60)</f>
        <v/>
      </c>
      <c r="D964" s="2">
        <f>IF(C964&lt;6,"Night",IF(C964&lt;12,"Morning",IF(C964&lt;18,"Afternoon",IF(C964&lt;22,"Evening","Night"))))</f>
        <v/>
      </c>
    </row>
    <row r="965">
      <c r="A965" s="2" t="n">
        <v>963</v>
      </c>
      <c r="B965" s="20">
        <f>A965/1440</f>
        <v/>
      </c>
      <c r="C965" s="2">
        <f>INT(A965/60)</f>
        <v/>
      </c>
      <c r="D965" s="2">
        <f>IF(C965&lt;6,"Night",IF(C965&lt;12,"Morning",IF(C965&lt;18,"Afternoon",IF(C965&lt;22,"Evening","Night"))))</f>
        <v/>
      </c>
    </row>
    <row r="966">
      <c r="A966" s="2" t="n">
        <v>964</v>
      </c>
      <c r="B966" s="20">
        <f>A966/1440</f>
        <v/>
      </c>
      <c r="C966" s="2">
        <f>INT(A966/60)</f>
        <v/>
      </c>
      <c r="D966" s="2">
        <f>IF(C966&lt;6,"Night",IF(C966&lt;12,"Morning",IF(C966&lt;18,"Afternoon",IF(C966&lt;22,"Evening","Night"))))</f>
        <v/>
      </c>
    </row>
    <row r="967">
      <c r="A967" s="2" t="n">
        <v>965</v>
      </c>
      <c r="B967" s="20">
        <f>A967/1440</f>
        <v/>
      </c>
      <c r="C967" s="2">
        <f>INT(A967/60)</f>
        <v/>
      </c>
      <c r="D967" s="2">
        <f>IF(C967&lt;6,"Night",IF(C967&lt;12,"Morning",IF(C967&lt;18,"Afternoon",IF(C967&lt;22,"Evening","Night"))))</f>
        <v/>
      </c>
    </row>
    <row r="968">
      <c r="A968" s="2" t="n">
        <v>966</v>
      </c>
      <c r="B968" s="20">
        <f>A968/1440</f>
        <v/>
      </c>
      <c r="C968" s="2">
        <f>INT(A968/60)</f>
        <v/>
      </c>
      <c r="D968" s="2">
        <f>IF(C968&lt;6,"Night",IF(C968&lt;12,"Morning",IF(C968&lt;18,"Afternoon",IF(C968&lt;22,"Evening","Night"))))</f>
        <v/>
      </c>
    </row>
    <row r="969">
      <c r="A969" s="2" t="n">
        <v>967</v>
      </c>
      <c r="B969" s="20">
        <f>A969/1440</f>
        <v/>
      </c>
      <c r="C969" s="2">
        <f>INT(A969/60)</f>
        <v/>
      </c>
      <c r="D969" s="2">
        <f>IF(C969&lt;6,"Night",IF(C969&lt;12,"Morning",IF(C969&lt;18,"Afternoon",IF(C969&lt;22,"Evening","Night"))))</f>
        <v/>
      </c>
    </row>
    <row r="970">
      <c r="A970" s="2" t="n">
        <v>968</v>
      </c>
      <c r="B970" s="20">
        <f>A970/1440</f>
        <v/>
      </c>
      <c r="C970" s="2">
        <f>INT(A970/60)</f>
        <v/>
      </c>
      <c r="D970" s="2">
        <f>IF(C970&lt;6,"Night",IF(C970&lt;12,"Morning",IF(C970&lt;18,"Afternoon",IF(C970&lt;22,"Evening","Night"))))</f>
        <v/>
      </c>
    </row>
    <row r="971">
      <c r="A971" s="2" t="n">
        <v>969</v>
      </c>
      <c r="B971" s="20">
        <f>A971/1440</f>
        <v/>
      </c>
      <c r="C971" s="2">
        <f>INT(A971/60)</f>
        <v/>
      </c>
      <c r="D971" s="2">
        <f>IF(C971&lt;6,"Night",IF(C971&lt;12,"Morning",IF(C971&lt;18,"Afternoon",IF(C971&lt;22,"Evening","Night"))))</f>
        <v/>
      </c>
    </row>
    <row r="972">
      <c r="A972" s="2" t="n">
        <v>970</v>
      </c>
      <c r="B972" s="20">
        <f>A972/1440</f>
        <v/>
      </c>
      <c r="C972" s="2">
        <f>INT(A972/60)</f>
        <v/>
      </c>
      <c r="D972" s="2">
        <f>IF(C972&lt;6,"Night",IF(C972&lt;12,"Morning",IF(C972&lt;18,"Afternoon",IF(C972&lt;22,"Evening","Night"))))</f>
        <v/>
      </c>
    </row>
    <row r="973">
      <c r="A973" s="2" t="n">
        <v>971</v>
      </c>
      <c r="B973" s="20">
        <f>A973/1440</f>
        <v/>
      </c>
      <c r="C973" s="2">
        <f>INT(A973/60)</f>
        <v/>
      </c>
      <c r="D973" s="2">
        <f>IF(C973&lt;6,"Night",IF(C973&lt;12,"Morning",IF(C973&lt;18,"Afternoon",IF(C973&lt;22,"Evening","Night"))))</f>
        <v/>
      </c>
    </row>
    <row r="974">
      <c r="A974" s="2" t="n">
        <v>972</v>
      </c>
      <c r="B974" s="20">
        <f>A974/1440</f>
        <v/>
      </c>
      <c r="C974" s="2">
        <f>INT(A974/60)</f>
        <v/>
      </c>
      <c r="D974" s="2">
        <f>IF(C974&lt;6,"Night",IF(C974&lt;12,"Morning",IF(C974&lt;18,"Afternoon",IF(C974&lt;22,"Evening","Night"))))</f>
        <v/>
      </c>
    </row>
    <row r="975">
      <c r="A975" s="2" t="n">
        <v>973</v>
      </c>
      <c r="B975" s="20">
        <f>A975/1440</f>
        <v/>
      </c>
      <c r="C975" s="2">
        <f>INT(A975/60)</f>
        <v/>
      </c>
      <c r="D975" s="2">
        <f>IF(C975&lt;6,"Night",IF(C975&lt;12,"Morning",IF(C975&lt;18,"Afternoon",IF(C975&lt;22,"Evening","Night"))))</f>
        <v/>
      </c>
    </row>
    <row r="976">
      <c r="A976" s="2" t="n">
        <v>974</v>
      </c>
      <c r="B976" s="20">
        <f>A976/1440</f>
        <v/>
      </c>
      <c r="C976" s="2">
        <f>INT(A976/60)</f>
        <v/>
      </c>
      <c r="D976" s="2">
        <f>IF(C976&lt;6,"Night",IF(C976&lt;12,"Morning",IF(C976&lt;18,"Afternoon",IF(C976&lt;22,"Evening","Night"))))</f>
        <v/>
      </c>
    </row>
    <row r="977">
      <c r="A977" s="2" t="n">
        <v>975</v>
      </c>
      <c r="B977" s="20">
        <f>A977/1440</f>
        <v/>
      </c>
      <c r="C977" s="2">
        <f>INT(A977/60)</f>
        <v/>
      </c>
      <c r="D977" s="2">
        <f>IF(C977&lt;6,"Night",IF(C977&lt;12,"Morning",IF(C977&lt;18,"Afternoon",IF(C977&lt;22,"Evening","Night"))))</f>
        <v/>
      </c>
    </row>
    <row r="978">
      <c r="A978" s="2" t="n">
        <v>976</v>
      </c>
      <c r="B978" s="20">
        <f>A978/1440</f>
        <v/>
      </c>
      <c r="C978" s="2">
        <f>INT(A978/60)</f>
        <v/>
      </c>
      <c r="D978" s="2">
        <f>IF(C978&lt;6,"Night",IF(C978&lt;12,"Morning",IF(C978&lt;18,"Afternoon",IF(C978&lt;22,"Evening","Night"))))</f>
        <v/>
      </c>
    </row>
    <row r="979">
      <c r="A979" s="2" t="n">
        <v>977</v>
      </c>
      <c r="B979" s="20">
        <f>A979/1440</f>
        <v/>
      </c>
      <c r="C979" s="2">
        <f>INT(A979/60)</f>
        <v/>
      </c>
      <c r="D979" s="2">
        <f>IF(C979&lt;6,"Night",IF(C979&lt;12,"Morning",IF(C979&lt;18,"Afternoon",IF(C979&lt;22,"Evening","Night"))))</f>
        <v/>
      </c>
    </row>
    <row r="980">
      <c r="A980" s="2" t="n">
        <v>978</v>
      </c>
      <c r="B980" s="20">
        <f>A980/1440</f>
        <v/>
      </c>
      <c r="C980" s="2">
        <f>INT(A980/60)</f>
        <v/>
      </c>
      <c r="D980" s="2">
        <f>IF(C980&lt;6,"Night",IF(C980&lt;12,"Morning",IF(C980&lt;18,"Afternoon",IF(C980&lt;22,"Evening","Night"))))</f>
        <v/>
      </c>
    </row>
    <row r="981">
      <c r="A981" s="2" t="n">
        <v>979</v>
      </c>
      <c r="B981" s="20">
        <f>A981/1440</f>
        <v/>
      </c>
      <c r="C981" s="2">
        <f>INT(A981/60)</f>
        <v/>
      </c>
      <c r="D981" s="2">
        <f>IF(C981&lt;6,"Night",IF(C981&lt;12,"Morning",IF(C981&lt;18,"Afternoon",IF(C981&lt;22,"Evening","Night"))))</f>
        <v/>
      </c>
    </row>
    <row r="982">
      <c r="A982" s="2" t="n">
        <v>980</v>
      </c>
      <c r="B982" s="20">
        <f>A982/1440</f>
        <v/>
      </c>
      <c r="C982" s="2">
        <f>INT(A982/60)</f>
        <v/>
      </c>
      <c r="D982" s="2">
        <f>IF(C982&lt;6,"Night",IF(C982&lt;12,"Morning",IF(C982&lt;18,"Afternoon",IF(C982&lt;22,"Evening","Night"))))</f>
        <v/>
      </c>
    </row>
    <row r="983">
      <c r="A983" s="2" t="n">
        <v>981</v>
      </c>
      <c r="B983" s="20">
        <f>A983/1440</f>
        <v/>
      </c>
      <c r="C983" s="2">
        <f>INT(A983/60)</f>
        <v/>
      </c>
      <c r="D983" s="2">
        <f>IF(C983&lt;6,"Night",IF(C983&lt;12,"Morning",IF(C983&lt;18,"Afternoon",IF(C983&lt;22,"Evening","Night"))))</f>
        <v/>
      </c>
    </row>
    <row r="984">
      <c r="A984" s="2" t="n">
        <v>982</v>
      </c>
      <c r="B984" s="20">
        <f>A984/1440</f>
        <v/>
      </c>
      <c r="C984" s="2">
        <f>INT(A984/60)</f>
        <v/>
      </c>
      <c r="D984" s="2">
        <f>IF(C984&lt;6,"Night",IF(C984&lt;12,"Morning",IF(C984&lt;18,"Afternoon",IF(C984&lt;22,"Evening","Night"))))</f>
        <v/>
      </c>
    </row>
    <row r="985">
      <c r="A985" s="2" t="n">
        <v>983</v>
      </c>
      <c r="B985" s="20">
        <f>A985/1440</f>
        <v/>
      </c>
      <c r="C985" s="2">
        <f>INT(A985/60)</f>
        <v/>
      </c>
      <c r="D985" s="2">
        <f>IF(C985&lt;6,"Night",IF(C985&lt;12,"Morning",IF(C985&lt;18,"Afternoon",IF(C985&lt;22,"Evening","Night"))))</f>
        <v/>
      </c>
    </row>
    <row r="986">
      <c r="A986" s="2" t="n">
        <v>984</v>
      </c>
      <c r="B986" s="20">
        <f>A986/1440</f>
        <v/>
      </c>
      <c r="C986" s="2">
        <f>INT(A986/60)</f>
        <v/>
      </c>
      <c r="D986" s="2">
        <f>IF(C986&lt;6,"Night",IF(C986&lt;12,"Morning",IF(C986&lt;18,"Afternoon",IF(C986&lt;22,"Evening","Night"))))</f>
        <v/>
      </c>
    </row>
    <row r="987">
      <c r="A987" s="2" t="n">
        <v>985</v>
      </c>
      <c r="B987" s="20">
        <f>A987/1440</f>
        <v/>
      </c>
      <c r="C987" s="2">
        <f>INT(A987/60)</f>
        <v/>
      </c>
      <c r="D987" s="2">
        <f>IF(C987&lt;6,"Night",IF(C987&lt;12,"Morning",IF(C987&lt;18,"Afternoon",IF(C987&lt;22,"Evening","Night"))))</f>
        <v/>
      </c>
    </row>
    <row r="988">
      <c r="A988" s="2" t="n">
        <v>986</v>
      </c>
      <c r="B988" s="20">
        <f>A988/1440</f>
        <v/>
      </c>
      <c r="C988" s="2">
        <f>INT(A988/60)</f>
        <v/>
      </c>
      <c r="D988" s="2">
        <f>IF(C988&lt;6,"Night",IF(C988&lt;12,"Morning",IF(C988&lt;18,"Afternoon",IF(C988&lt;22,"Evening","Night"))))</f>
        <v/>
      </c>
    </row>
    <row r="989">
      <c r="A989" s="2" t="n">
        <v>987</v>
      </c>
      <c r="B989" s="20">
        <f>A989/1440</f>
        <v/>
      </c>
      <c r="C989" s="2">
        <f>INT(A989/60)</f>
        <v/>
      </c>
      <c r="D989" s="2">
        <f>IF(C989&lt;6,"Night",IF(C989&lt;12,"Morning",IF(C989&lt;18,"Afternoon",IF(C989&lt;22,"Evening","Night"))))</f>
        <v/>
      </c>
    </row>
    <row r="990">
      <c r="A990" s="2" t="n">
        <v>988</v>
      </c>
      <c r="B990" s="20">
        <f>A990/1440</f>
        <v/>
      </c>
      <c r="C990" s="2">
        <f>INT(A990/60)</f>
        <v/>
      </c>
      <c r="D990" s="2">
        <f>IF(C990&lt;6,"Night",IF(C990&lt;12,"Morning",IF(C990&lt;18,"Afternoon",IF(C990&lt;22,"Evening","Night"))))</f>
        <v/>
      </c>
    </row>
    <row r="991">
      <c r="A991" s="2" t="n">
        <v>989</v>
      </c>
      <c r="B991" s="20">
        <f>A991/1440</f>
        <v/>
      </c>
      <c r="C991" s="2">
        <f>INT(A991/60)</f>
        <v/>
      </c>
      <c r="D991" s="2">
        <f>IF(C991&lt;6,"Night",IF(C991&lt;12,"Morning",IF(C991&lt;18,"Afternoon",IF(C991&lt;22,"Evening","Night"))))</f>
        <v/>
      </c>
    </row>
    <row r="992">
      <c r="A992" s="2" t="n">
        <v>990</v>
      </c>
      <c r="B992" s="20">
        <f>A992/1440</f>
        <v/>
      </c>
      <c r="C992" s="2">
        <f>INT(A992/60)</f>
        <v/>
      </c>
      <c r="D992" s="2">
        <f>IF(C992&lt;6,"Night",IF(C992&lt;12,"Morning",IF(C992&lt;18,"Afternoon",IF(C992&lt;22,"Evening","Night"))))</f>
        <v/>
      </c>
    </row>
    <row r="993">
      <c r="A993" s="2" t="n">
        <v>991</v>
      </c>
      <c r="B993" s="20">
        <f>A993/1440</f>
        <v/>
      </c>
      <c r="C993" s="2">
        <f>INT(A993/60)</f>
        <v/>
      </c>
      <c r="D993" s="2">
        <f>IF(C993&lt;6,"Night",IF(C993&lt;12,"Morning",IF(C993&lt;18,"Afternoon",IF(C993&lt;22,"Evening","Night"))))</f>
        <v/>
      </c>
    </row>
    <row r="994">
      <c r="A994" s="2" t="n">
        <v>992</v>
      </c>
      <c r="B994" s="20">
        <f>A994/1440</f>
        <v/>
      </c>
      <c r="C994" s="2">
        <f>INT(A994/60)</f>
        <v/>
      </c>
      <c r="D994" s="2">
        <f>IF(C994&lt;6,"Night",IF(C994&lt;12,"Morning",IF(C994&lt;18,"Afternoon",IF(C994&lt;22,"Evening","Night"))))</f>
        <v/>
      </c>
    </row>
    <row r="995">
      <c r="A995" s="2" t="n">
        <v>993</v>
      </c>
      <c r="B995" s="20">
        <f>A995/1440</f>
        <v/>
      </c>
      <c r="C995" s="2">
        <f>INT(A995/60)</f>
        <v/>
      </c>
      <c r="D995" s="2">
        <f>IF(C995&lt;6,"Night",IF(C995&lt;12,"Morning",IF(C995&lt;18,"Afternoon",IF(C995&lt;22,"Evening","Night"))))</f>
        <v/>
      </c>
    </row>
    <row r="996">
      <c r="A996" s="2" t="n">
        <v>994</v>
      </c>
      <c r="B996" s="20">
        <f>A996/1440</f>
        <v/>
      </c>
      <c r="C996" s="2">
        <f>INT(A996/60)</f>
        <v/>
      </c>
      <c r="D996" s="2">
        <f>IF(C996&lt;6,"Night",IF(C996&lt;12,"Morning",IF(C996&lt;18,"Afternoon",IF(C996&lt;22,"Evening","Night"))))</f>
        <v/>
      </c>
    </row>
    <row r="997">
      <c r="A997" s="2" t="n">
        <v>995</v>
      </c>
      <c r="B997" s="20">
        <f>A997/1440</f>
        <v/>
      </c>
      <c r="C997" s="2">
        <f>INT(A997/60)</f>
        <v/>
      </c>
      <c r="D997" s="2">
        <f>IF(C997&lt;6,"Night",IF(C997&lt;12,"Morning",IF(C997&lt;18,"Afternoon",IF(C997&lt;22,"Evening","Night"))))</f>
        <v/>
      </c>
    </row>
    <row r="998">
      <c r="A998" s="2" t="n">
        <v>996</v>
      </c>
      <c r="B998" s="20">
        <f>A998/1440</f>
        <v/>
      </c>
      <c r="C998" s="2">
        <f>INT(A998/60)</f>
        <v/>
      </c>
      <c r="D998" s="2">
        <f>IF(C998&lt;6,"Night",IF(C998&lt;12,"Morning",IF(C998&lt;18,"Afternoon",IF(C998&lt;22,"Evening","Night"))))</f>
        <v/>
      </c>
    </row>
    <row r="999">
      <c r="A999" s="2" t="n">
        <v>997</v>
      </c>
      <c r="B999" s="20">
        <f>A999/1440</f>
        <v/>
      </c>
      <c r="C999" s="2">
        <f>INT(A999/60)</f>
        <v/>
      </c>
      <c r="D999" s="2">
        <f>IF(C999&lt;6,"Night",IF(C999&lt;12,"Morning",IF(C999&lt;18,"Afternoon",IF(C999&lt;22,"Evening","Night"))))</f>
        <v/>
      </c>
    </row>
    <row r="1000">
      <c r="A1000" s="2" t="n">
        <v>998</v>
      </c>
      <c r="B1000" s="20">
        <f>A1000/1440</f>
        <v/>
      </c>
      <c r="C1000" s="2">
        <f>INT(A1000/60)</f>
        <v/>
      </c>
      <c r="D1000" s="2">
        <f>IF(C1000&lt;6,"Night",IF(C1000&lt;12,"Morning",IF(C1000&lt;18,"Afternoon",IF(C1000&lt;22,"Evening","Night"))))</f>
        <v/>
      </c>
    </row>
    <row r="1001">
      <c r="A1001" s="2" t="n">
        <v>999</v>
      </c>
      <c r="B1001" s="20">
        <f>A1001/1440</f>
        <v/>
      </c>
      <c r="C1001" s="2">
        <f>INT(A1001/60)</f>
        <v/>
      </c>
      <c r="D1001" s="2">
        <f>IF(C1001&lt;6,"Night",IF(C1001&lt;12,"Morning",IF(C1001&lt;18,"Afternoon",IF(C1001&lt;22,"Evening","Night"))))</f>
        <v/>
      </c>
    </row>
    <row r="1002">
      <c r="A1002" s="2" t="n">
        <v>1000</v>
      </c>
      <c r="B1002" s="20">
        <f>A1002/1440</f>
        <v/>
      </c>
      <c r="C1002" s="2">
        <f>INT(A1002/60)</f>
        <v/>
      </c>
      <c r="D1002" s="2">
        <f>IF(C1002&lt;6,"Night",IF(C1002&lt;12,"Morning",IF(C1002&lt;18,"Afternoon",IF(C1002&lt;22,"Evening","Night"))))</f>
        <v/>
      </c>
    </row>
    <row r="1003">
      <c r="A1003" s="2" t="n">
        <v>1001</v>
      </c>
      <c r="B1003" s="20">
        <f>A1003/1440</f>
        <v/>
      </c>
      <c r="C1003" s="2">
        <f>INT(A1003/60)</f>
        <v/>
      </c>
      <c r="D1003" s="2">
        <f>IF(C1003&lt;6,"Night",IF(C1003&lt;12,"Morning",IF(C1003&lt;18,"Afternoon",IF(C1003&lt;22,"Evening","Night"))))</f>
        <v/>
      </c>
    </row>
    <row r="1004">
      <c r="A1004" s="2" t="n">
        <v>1002</v>
      </c>
      <c r="B1004" s="20">
        <f>A1004/1440</f>
        <v/>
      </c>
      <c r="C1004" s="2">
        <f>INT(A1004/60)</f>
        <v/>
      </c>
      <c r="D1004" s="2">
        <f>IF(C1004&lt;6,"Night",IF(C1004&lt;12,"Morning",IF(C1004&lt;18,"Afternoon",IF(C1004&lt;22,"Evening","Night"))))</f>
        <v/>
      </c>
    </row>
    <row r="1005">
      <c r="A1005" s="2" t="n">
        <v>1003</v>
      </c>
      <c r="B1005" s="20">
        <f>A1005/1440</f>
        <v/>
      </c>
      <c r="C1005" s="2">
        <f>INT(A1005/60)</f>
        <v/>
      </c>
      <c r="D1005" s="2">
        <f>IF(C1005&lt;6,"Night",IF(C1005&lt;12,"Morning",IF(C1005&lt;18,"Afternoon",IF(C1005&lt;22,"Evening","Night"))))</f>
        <v/>
      </c>
    </row>
    <row r="1006">
      <c r="A1006" s="2" t="n">
        <v>1004</v>
      </c>
      <c r="B1006" s="20">
        <f>A1006/1440</f>
        <v/>
      </c>
      <c r="C1006" s="2">
        <f>INT(A1006/60)</f>
        <v/>
      </c>
      <c r="D1006" s="2">
        <f>IF(C1006&lt;6,"Night",IF(C1006&lt;12,"Morning",IF(C1006&lt;18,"Afternoon",IF(C1006&lt;22,"Evening","Night"))))</f>
        <v/>
      </c>
    </row>
    <row r="1007">
      <c r="A1007" s="2" t="n">
        <v>1005</v>
      </c>
      <c r="B1007" s="20">
        <f>A1007/1440</f>
        <v/>
      </c>
      <c r="C1007" s="2">
        <f>INT(A1007/60)</f>
        <v/>
      </c>
      <c r="D1007" s="2">
        <f>IF(C1007&lt;6,"Night",IF(C1007&lt;12,"Morning",IF(C1007&lt;18,"Afternoon",IF(C1007&lt;22,"Evening","Night"))))</f>
        <v/>
      </c>
    </row>
    <row r="1008">
      <c r="A1008" s="2" t="n">
        <v>1006</v>
      </c>
      <c r="B1008" s="20">
        <f>A1008/1440</f>
        <v/>
      </c>
      <c r="C1008" s="2">
        <f>INT(A1008/60)</f>
        <v/>
      </c>
      <c r="D1008" s="2">
        <f>IF(C1008&lt;6,"Night",IF(C1008&lt;12,"Morning",IF(C1008&lt;18,"Afternoon",IF(C1008&lt;22,"Evening","Night"))))</f>
        <v/>
      </c>
    </row>
    <row r="1009">
      <c r="A1009" s="2" t="n">
        <v>1007</v>
      </c>
      <c r="B1009" s="20">
        <f>A1009/1440</f>
        <v/>
      </c>
      <c r="C1009" s="2">
        <f>INT(A1009/60)</f>
        <v/>
      </c>
      <c r="D1009" s="2">
        <f>IF(C1009&lt;6,"Night",IF(C1009&lt;12,"Morning",IF(C1009&lt;18,"Afternoon",IF(C1009&lt;22,"Evening","Night"))))</f>
        <v/>
      </c>
    </row>
    <row r="1010">
      <c r="A1010" s="2" t="n">
        <v>1008</v>
      </c>
      <c r="B1010" s="20">
        <f>A1010/1440</f>
        <v/>
      </c>
      <c r="C1010" s="2">
        <f>INT(A1010/60)</f>
        <v/>
      </c>
      <c r="D1010" s="2">
        <f>IF(C1010&lt;6,"Night",IF(C1010&lt;12,"Morning",IF(C1010&lt;18,"Afternoon",IF(C1010&lt;22,"Evening","Night"))))</f>
        <v/>
      </c>
    </row>
    <row r="1011">
      <c r="A1011" s="2" t="n">
        <v>1009</v>
      </c>
      <c r="B1011" s="20">
        <f>A1011/1440</f>
        <v/>
      </c>
      <c r="C1011" s="2">
        <f>INT(A1011/60)</f>
        <v/>
      </c>
      <c r="D1011" s="2">
        <f>IF(C1011&lt;6,"Night",IF(C1011&lt;12,"Morning",IF(C1011&lt;18,"Afternoon",IF(C1011&lt;22,"Evening","Night"))))</f>
        <v/>
      </c>
    </row>
    <row r="1012">
      <c r="A1012" s="2" t="n">
        <v>1010</v>
      </c>
      <c r="B1012" s="20">
        <f>A1012/1440</f>
        <v/>
      </c>
      <c r="C1012" s="2">
        <f>INT(A1012/60)</f>
        <v/>
      </c>
      <c r="D1012" s="2">
        <f>IF(C1012&lt;6,"Night",IF(C1012&lt;12,"Morning",IF(C1012&lt;18,"Afternoon",IF(C1012&lt;22,"Evening","Night"))))</f>
        <v/>
      </c>
    </row>
    <row r="1013">
      <c r="A1013" s="2" t="n">
        <v>1011</v>
      </c>
      <c r="B1013" s="20">
        <f>A1013/1440</f>
        <v/>
      </c>
      <c r="C1013" s="2">
        <f>INT(A1013/60)</f>
        <v/>
      </c>
      <c r="D1013" s="2">
        <f>IF(C1013&lt;6,"Night",IF(C1013&lt;12,"Morning",IF(C1013&lt;18,"Afternoon",IF(C1013&lt;22,"Evening","Night"))))</f>
        <v/>
      </c>
    </row>
    <row r="1014">
      <c r="A1014" s="2" t="n">
        <v>1012</v>
      </c>
      <c r="B1014" s="20">
        <f>A1014/1440</f>
        <v/>
      </c>
      <c r="C1014" s="2">
        <f>INT(A1014/60)</f>
        <v/>
      </c>
      <c r="D1014" s="2">
        <f>IF(C1014&lt;6,"Night",IF(C1014&lt;12,"Morning",IF(C1014&lt;18,"Afternoon",IF(C1014&lt;22,"Evening","Night"))))</f>
        <v/>
      </c>
    </row>
    <row r="1015">
      <c r="A1015" s="2" t="n">
        <v>1013</v>
      </c>
      <c r="B1015" s="20">
        <f>A1015/1440</f>
        <v/>
      </c>
      <c r="C1015" s="2">
        <f>INT(A1015/60)</f>
        <v/>
      </c>
      <c r="D1015" s="2">
        <f>IF(C1015&lt;6,"Night",IF(C1015&lt;12,"Morning",IF(C1015&lt;18,"Afternoon",IF(C1015&lt;22,"Evening","Night"))))</f>
        <v/>
      </c>
    </row>
    <row r="1016">
      <c r="A1016" s="2" t="n">
        <v>1014</v>
      </c>
      <c r="B1016" s="20">
        <f>A1016/1440</f>
        <v/>
      </c>
      <c r="C1016" s="2">
        <f>INT(A1016/60)</f>
        <v/>
      </c>
      <c r="D1016" s="2">
        <f>IF(C1016&lt;6,"Night",IF(C1016&lt;12,"Morning",IF(C1016&lt;18,"Afternoon",IF(C1016&lt;22,"Evening","Night"))))</f>
        <v/>
      </c>
    </row>
    <row r="1017">
      <c r="A1017" s="2" t="n">
        <v>1015</v>
      </c>
      <c r="B1017" s="20">
        <f>A1017/1440</f>
        <v/>
      </c>
      <c r="C1017" s="2">
        <f>INT(A1017/60)</f>
        <v/>
      </c>
      <c r="D1017" s="2">
        <f>IF(C1017&lt;6,"Night",IF(C1017&lt;12,"Morning",IF(C1017&lt;18,"Afternoon",IF(C1017&lt;22,"Evening","Night"))))</f>
        <v/>
      </c>
    </row>
    <row r="1018">
      <c r="A1018" s="2" t="n">
        <v>1016</v>
      </c>
      <c r="B1018" s="20">
        <f>A1018/1440</f>
        <v/>
      </c>
      <c r="C1018" s="2">
        <f>INT(A1018/60)</f>
        <v/>
      </c>
      <c r="D1018" s="2">
        <f>IF(C1018&lt;6,"Night",IF(C1018&lt;12,"Morning",IF(C1018&lt;18,"Afternoon",IF(C1018&lt;22,"Evening","Night"))))</f>
        <v/>
      </c>
    </row>
    <row r="1019">
      <c r="A1019" s="2" t="n">
        <v>1017</v>
      </c>
      <c r="B1019" s="20">
        <f>A1019/1440</f>
        <v/>
      </c>
      <c r="C1019" s="2">
        <f>INT(A1019/60)</f>
        <v/>
      </c>
      <c r="D1019" s="2">
        <f>IF(C1019&lt;6,"Night",IF(C1019&lt;12,"Morning",IF(C1019&lt;18,"Afternoon",IF(C1019&lt;22,"Evening","Night"))))</f>
        <v/>
      </c>
    </row>
    <row r="1020">
      <c r="A1020" s="2" t="n">
        <v>1018</v>
      </c>
      <c r="B1020" s="20">
        <f>A1020/1440</f>
        <v/>
      </c>
      <c r="C1020" s="2">
        <f>INT(A1020/60)</f>
        <v/>
      </c>
      <c r="D1020" s="2">
        <f>IF(C1020&lt;6,"Night",IF(C1020&lt;12,"Morning",IF(C1020&lt;18,"Afternoon",IF(C1020&lt;22,"Evening","Night"))))</f>
        <v/>
      </c>
    </row>
    <row r="1021">
      <c r="A1021" s="2" t="n">
        <v>1019</v>
      </c>
      <c r="B1021" s="20">
        <f>A1021/1440</f>
        <v/>
      </c>
      <c r="C1021" s="2">
        <f>INT(A1021/60)</f>
        <v/>
      </c>
      <c r="D1021" s="2">
        <f>IF(C1021&lt;6,"Night",IF(C1021&lt;12,"Morning",IF(C1021&lt;18,"Afternoon",IF(C1021&lt;22,"Evening","Night"))))</f>
        <v/>
      </c>
    </row>
    <row r="1022">
      <c r="A1022" s="2" t="n">
        <v>1020</v>
      </c>
      <c r="B1022" s="20">
        <f>A1022/1440</f>
        <v/>
      </c>
      <c r="C1022" s="2">
        <f>INT(A1022/60)</f>
        <v/>
      </c>
      <c r="D1022" s="2">
        <f>IF(C1022&lt;6,"Night",IF(C1022&lt;12,"Morning",IF(C1022&lt;18,"Afternoon",IF(C1022&lt;22,"Evening","Night"))))</f>
        <v/>
      </c>
    </row>
    <row r="1023">
      <c r="A1023" s="2" t="n">
        <v>1021</v>
      </c>
      <c r="B1023" s="20">
        <f>A1023/1440</f>
        <v/>
      </c>
      <c r="C1023" s="2">
        <f>INT(A1023/60)</f>
        <v/>
      </c>
      <c r="D1023" s="2">
        <f>IF(C1023&lt;6,"Night",IF(C1023&lt;12,"Morning",IF(C1023&lt;18,"Afternoon",IF(C1023&lt;22,"Evening","Night"))))</f>
        <v/>
      </c>
    </row>
    <row r="1024">
      <c r="A1024" s="2" t="n">
        <v>1022</v>
      </c>
      <c r="B1024" s="20">
        <f>A1024/1440</f>
        <v/>
      </c>
      <c r="C1024" s="2">
        <f>INT(A1024/60)</f>
        <v/>
      </c>
      <c r="D1024" s="2">
        <f>IF(C1024&lt;6,"Night",IF(C1024&lt;12,"Morning",IF(C1024&lt;18,"Afternoon",IF(C1024&lt;22,"Evening","Night"))))</f>
        <v/>
      </c>
    </row>
    <row r="1025">
      <c r="A1025" s="2" t="n">
        <v>1023</v>
      </c>
      <c r="B1025" s="20">
        <f>A1025/1440</f>
        <v/>
      </c>
      <c r="C1025" s="2">
        <f>INT(A1025/60)</f>
        <v/>
      </c>
      <c r="D1025" s="2">
        <f>IF(C1025&lt;6,"Night",IF(C1025&lt;12,"Morning",IF(C1025&lt;18,"Afternoon",IF(C1025&lt;22,"Evening","Night"))))</f>
        <v/>
      </c>
    </row>
    <row r="1026">
      <c r="A1026" s="2" t="n">
        <v>1024</v>
      </c>
      <c r="B1026" s="20">
        <f>A1026/1440</f>
        <v/>
      </c>
      <c r="C1026" s="2">
        <f>INT(A1026/60)</f>
        <v/>
      </c>
      <c r="D1026" s="2">
        <f>IF(C1026&lt;6,"Night",IF(C1026&lt;12,"Morning",IF(C1026&lt;18,"Afternoon",IF(C1026&lt;22,"Evening","Night"))))</f>
        <v/>
      </c>
    </row>
    <row r="1027">
      <c r="A1027" s="2" t="n">
        <v>1025</v>
      </c>
      <c r="B1027" s="20">
        <f>A1027/1440</f>
        <v/>
      </c>
      <c r="C1027" s="2">
        <f>INT(A1027/60)</f>
        <v/>
      </c>
      <c r="D1027" s="2">
        <f>IF(C1027&lt;6,"Night",IF(C1027&lt;12,"Morning",IF(C1027&lt;18,"Afternoon",IF(C1027&lt;22,"Evening","Night"))))</f>
        <v/>
      </c>
    </row>
    <row r="1028">
      <c r="A1028" s="2" t="n">
        <v>1026</v>
      </c>
      <c r="B1028" s="20">
        <f>A1028/1440</f>
        <v/>
      </c>
      <c r="C1028" s="2">
        <f>INT(A1028/60)</f>
        <v/>
      </c>
      <c r="D1028" s="2">
        <f>IF(C1028&lt;6,"Night",IF(C1028&lt;12,"Morning",IF(C1028&lt;18,"Afternoon",IF(C1028&lt;22,"Evening","Night"))))</f>
        <v/>
      </c>
    </row>
    <row r="1029">
      <c r="A1029" s="2" t="n">
        <v>1027</v>
      </c>
      <c r="B1029" s="20">
        <f>A1029/1440</f>
        <v/>
      </c>
      <c r="C1029" s="2">
        <f>INT(A1029/60)</f>
        <v/>
      </c>
      <c r="D1029" s="2">
        <f>IF(C1029&lt;6,"Night",IF(C1029&lt;12,"Morning",IF(C1029&lt;18,"Afternoon",IF(C1029&lt;22,"Evening","Night"))))</f>
        <v/>
      </c>
    </row>
    <row r="1030">
      <c r="A1030" s="2" t="n">
        <v>1028</v>
      </c>
      <c r="B1030" s="20">
        <f>A1030/1440</f>
        <v/>
      </c>
      <c r="C1030" s="2">
        <f>INT(A1030/60)</f>
        <v/>
      </c>
      <c r="D1030" s="2">
        <f>IF(C1030&lt;6,"Night",IF(C1030&lt;12,"Morning",IF(C1030&lt;18,"Afternoon",IF(C1030&lt;22,"Evening","Night"))))</f>
        <v/>
      </c>
    </row>
    <row r="1031">
      <c r="A1031" s="2" t="n">
        <v>1029</v>
      </c>
      <c r="B1031" s="20">
        <f>A1031/1440</f>
        <v/>
      </c>
      <c r="C1031" s="2">
        <f>INT(A1031/60)</f>
        <v/>
      </c>
      <c r="D1031" s="2">
        <f>IF(C1031&lt;6,"Night",IF(C1031&lt;12,"Morning",IF(C1031&lt;18,"Afternoon",IF(C1031&lt;22,"Evening","Night"))))</f>
        <v/>
      </c>
    </row>
    <row r="1032">
      <c r="A1032" s="2" t="n">
        <v>1030</v>
      </c>
      <c r="B1032" s="20">
        <f>A1032/1440</f>
        <v/>
      </c>
      <c r="C1032" s="2">
        <f>INT(A1032/60)</f>
        <v/>
      </c>
      <c r="D1032" s="2">
        <f>IF(C1032&lt;6,"Night",IF(C1032&lt;12,"Morning",IF(C1032&lt;18,"Afternoon",IF(C1032&lt;22,"Evening","Night"))))</f>
        <v/>
      </c>
    </row>
    <row r="1033">
      <c r="A1033" s="2" t="n">
        <v>1031</v>
      </c>
      <c r="B1033" s="20">
        <f>A1033/1440</f>
        <v/>
      </c>
      <c r="C1033" s="2">
        <f>INT(A1033/60)</f>
        <v/>
      </c>
      <c r="D1033" s="2">
        <f>IF(C1033&lt;6,"Night",IF(C1033&lt;12,"Morning",IF(C1033&lt;18,"Afternoon",IF(C1033&lt;22,"Evening","Night"))))</f>
        <v/>
      </c>
    </row>
    <row r="1034">
      <c r="A1034" s="2" t="n">
        <v>1032</v>
      </c>
      <c r="B1034" s="20">
        <f>A1034/1440</f>
        <v/>
      </c>
      <c r="C1034" s="2">
        <f>INT(A1034/60)</f>
        <v/>
      </c>
      <c r="D1034" s="2">
        <f>IF(C1034&lt;6,"Night",IF(C1034&lt;12,"Morning",IF(C1034&lt;18,"Afternoon",IF(C1034&lt;22,"Evening","Night"))))</f>
        <v/>
      </c>
    </row>
    <row r="1035">
      <c r="A1035" s="2" t="n">
        <v>1033</v>
      </c>
      <c r="B1035" s="20">
        <f>A1035/1440</f>
        <v/>
      </c>
      <c r="C1035" s="2">
        <f>INT(A1035/60)</f>
        <v/>
      </c>
      <c r="D1035" s="2">
        <f>IF(C1035&lt;6,"Night",IF(C1035&lt;12,"Morning",IF(C1035&lt;18,"Afternoon",IF(C1035&lt;22,"Evening","Night"))))</f>
        <v/>
      </c>
    </row>
    <row r="1036">
      <c r="A1036" s="2" t="n">
        <v>1034</v>
      </c>
      <c r="B1036" s="20">
        <f>A1036/1440</f>
        <v/>
      </c>
      <c r="C1036" s="2">
        <f>INT(A1036/60)</f>
        <v/>
      </c>
      <c r="D1036" s="2">
        <f>IF(C1036&lt;6,"Night",IF(C1036&lt;12,"Morning",IF(C1036&lt;18,"Afternoon",IF(C1036&lt;22,"Evening","Night"))))</f>
        <v/>
      </c>
    </row>
    <row r="1037">
      <c r="A1037" s="2" t="n">
        <v>1035</v>
      </c>
      <c r="B1037" s="20">
        <f>A1037/1440</f>
        <v/>
      </c>
      <c r="C1037" s="2">
        <f>INT(A1037/60)</f>
        <v/>
      </c>
      <c r="D1037" s="2">
        <f>IF(C1037&lt;6,"Night",IF(C1037&lt;12,"Morning",IF(C1037&lt;18,"Afternoon",IF(C1037&lt;22,"Evening","Night"))))</f>
        <v/>
      </c>
    </row>
    <row r="1038">
      <c r="A1038" s="2" t="n">
        <v>1036</v>
      </c>
      <c r="B1038" s="20">
        <f>A1038/1440</f>
        <v/>
      </c>
      <c r="C1038" s="2">
        <f>INT(A1038/60)</f>
        <v/>
      </c>
      <c r="D1038" s="2">
        <f>IF(C1038&lt;6,"Night",IF(C1038&lt;12,"Morning",IF(C1038&lt;18,"Afternoon",IF(C1038&lt;22,"Evening","Night"))))</f>
        <v/>
      </c>
    </row>
    <row r="1039">
      <c r="A1039" s="2" t="n">
        <v>1037</v>
      </c>
      <c r="B1039" s="20">
        <f>A1039/1440</f>
        <v/>
      </c>
      <c r="C1039" s="2">
        <f>INT(A1039/60)</f>
        <v/>
      </c>
      <c r="D1039" s="2">
        <f>IF(C1039&lt;6,"Night",IF(C1039&lt;12,"Morning",IF(C1039&lt;18,"Afternoon",IF(C1039&lt;22,"Evening","Night"))))</f>
        <v/>
      </c>
    </row>
    <row r="1040">
      <c r="A1040" s="2" t="n">
        <v>1038</v>
      </c>
      <c r="B1040" s="20">
        <f>A1040/1440</f>
        <v/>
      </c>
      <c r="C1040" s="2">
        <f>INT(A1040/60)</f>
        <v/>
      </c>
      <c r="D1040" s="2">
        <f>IF(C1040&lt;6,"Night",IF(C1040&lt;12,"Morning",IF(C1040&lt;18,"Afternoon",IF(C1040&lt;22,"Evening","Night"))))</f>
        <v/>
      </c>
    </row>
    <row r="1041">
      <c r="A1041" s="2" t="n">
        <v>1039</v>
      </c>
      <c r="B1041" s="20">
        <f>A1041/1440</f>
        <v/>
      </c>
      <c r="C1041" s="2">
        <f>INT(A1041/60)</f>
        <v/>
      </c>
      <c r="D1041" s="2">
        <f>IF(C1041&lt;6,"Night",IF(C1041&lt;12,"Morning",IF(C1041&lt;18,"Afternoon",IF(C1041&lt;22,"Evening","Night"))))</f>
        <v/>
      </c>
    </row>
    <row r="1042">
      <c r="A1042" s="2" t="n">
        <v>1040</v>
      </c>
      <c r="B1042" s="20">
        <f>A1042/1440</f>
        <v/>
      </c>
      <c r="C1042" s="2">
        <f>INT(A1042/60)</f>
        <v/>
      </c>
      <c r="D1042" s="2">
        <f>IF(C1042&lt;6,"Night",IF(C1042&lt;12,"Morning",IF(C1042&lt;18,"Afternoon",IF(C1042&lt;22,"Evening","Night"))))</f>
        <v/>
      </c>
    </row>
    <row r="1043">
      <c r="A1043" s="2" t="n">
        <v>1041</v>
      </c>
      <c r="B1043" s="20">
        <f>A1043/1440</f>
        <v/>
      </c>
      <c r="C1043" s="2">
        <f>INT(A1043/60)</f>
        <v/>
      </c>
      <c r="D1043" s="2">
        <f>IF(C1043&lt;6,"Night",IF(C1043&lt;12,"Morning",IF(C1043&lt;18,"Afternoon",IF(C1043&lt;22,"Evening","Night"))))</f>
        <v/>
      </c>
    </row>
    <row r="1044">
      <c r="A1044" s="2" t="n">
        <v>1042</v>
      </c>
      <c r="B1044" s="20">
        <f>A1044/1440</f>
        <v/>
      </c>
      <c r="C1044" s="2">
        <f>INT(A1044/60)</f>
        <v/>
      </c>
      <c r="D1044" s="2">
        <f>IF(C1044&lt;6,"Night",IF(C1044&lt;12,"Morning",IF(C1044&lt;18,"Afternoon",IF(C1044&lt;22,"Evening","Night"))))</f>
        <v/>
      </c>
    </row>
    <row r="1045">
      <c r="A1045" s="2" t="n">
        <v>1043</v>
      </c>
      <c r="B1045" s="20">
        <f>A1045/1440</f>
        <v/>
      </c>
      <c r="C1045" s="2">
        <f>INT(A1045/60)</f>
        <v/>
      </c>
      <c r="D1045" s="2">
        <f>IF(C1045&lt;6,"Night",IF(C1045&lt;12,"Morning",IF(C1045&lt;18,"Afternoon",IF(C1045&lt;22,"Evening","Night"))))</f>
        <v/>
      </c>
    </row>
    <row r="1046">
      <c r="A1046" s="2" t="n">
        <v>1044</v>
      </c>
      <c r="B1046" s="20">
        <f>A1046/1440</f>
        <v/>
      </c>
      <c r="C1046" s="2">
        <f>INT(A1046/60)</f>
        <v/>
      </c>
      <c r="D1046" s="2">
        <f>IF(C1046&lt;6,"Night",IF(C1046&lt;12,"Morning",IF(C1046&lt;18,"Afternoon",IF(C1046&lt;22,"Evening","Night"))))</f>
        <v/>
      </c>
    </row>
    <row r="1047">
      <c r="A1047" s="2" t="n">
        <v>1045</v>
      </c>
      <c r="B1047" s="20">
        <f>A1047/1440</f>
        <v/>
      </c>
      <c r="C1047" s="2">
        <f>INT(A1047/60)</f>
        <v/>
      </c>
      <c r="D1047" s="2">
        <f>IF(C1047&lt;6,"Night",IF(C1047&lt;12,"Morning",IF(C1047&lt;18,"Afternoon",IF(C1047&lt;22,"Evening","Night"))))</f>
        <v/>
      </c>
    </row>
    <row r="1048">
      <c r="A1048" s="2" t="n">
        <v>1046</v>
      </c>
      <c r="B1048" s="20">
        <f>A1048/1440</f>
        <v/>
      </c>
      <c r="C1048" s="2">
        <f>INT(A1048/60)</f>
        <v/>
      </c>
      <c r="D1048" s="2">
        <f>IF(C1048&lt;6,"Night",IF(C1048&lt;12,"Morning",IF(C1048&lt;18,"Afternoon",IF(C1048&lt;22,"Evening","Night"))))</f>
        <v/>
      </c>
    </row>
    <row r="1049">
      <c r="A1049" s="2" t="n">
        <v>1047</v>
      </c>
      <c r="B1049" s="20">
        <f>A1049/1440</f>
        <v/>
      </c>
      <c r="C1049" s="2">
        <f>INT(A1049/60)</f>
        <v/>
      </c>
      <c r="D1049" s="2">
        <f>IF(C1049&lt;6,"Night",IF(C1049&lt;12,"Morning",IF(C1049&lt;18,"Afternoon",IF(C1049&lt;22,"Evening","Night"))))</f>
        <v/>
      </c>
    </row>
    <row r="1050">
      <c r="A1050" s="2" t="n">
        <v>1048</v>
      </c>
      <c r="B1050" s="20">
        <f>A1050/1440</f>
        <v/>
      </c>
      <c r="C1050" s="2">
        <f>INT(A1050/60)</f>
        <v/>
      </c>
      <c r="D1050" s="2">
        <f>IF(C1050&lt;6,"Night",IF(C1050&lt;12,"Morning",IF(C1050&lt;18,"Afternoon",IF(C1050&lt;22,"Evening","Night"))))</f>
        <v/>
      </c>
    </row>
    <row r="1051">
      <c r="A1051" s="2" t="n">
        <v>1049</v>
      </c>
      <c r="B1051" s="20">
        <f>A1051/1440</f>
        <v/>
      </c>
      <c r="C1051" s="2">
        <f>INT(A1051/60)</f>
        <v/>
      </c>
      <c r="D1051" s="2">
        <f>IF(C1051&lt;6,"Night",IF(C1051&lt;12,"Morning",IF(C1051&lt;18,"Afternoon",IF(C1051&lt;22,"Evening","Night"))))</f>
        <v/>
      </c>
    </row>
    <row r="1052">
      <c r="A1052" s="2" t="n">
        <v>1050</v>
      </c>
      <c r="B1052" s="20">
        <f>A1052/1440</f>
        <v/>
      </c>
      <c r="C1052" s="2">
        <f>INT(A1052/60)</f>
        <v/>
      </c>
      <c r="D1052" s="2">
        <f>IF(C1052&lt;6,"Night",IF(C1052&lt;12,"Morning",IF(C1052&lt;18,"Afternoon",IF(C1052&lt;22,"Evening","Night"))))</f>
        <v/>
      </c>
    </row>
    <row r="1053">
      <c r="A1053" s="2" t="n">
        <v>1051</v>
      </c>
      <c r="B1053" s="20">
        <f>A1053/1440</f>
        <v/>
      </c>
      <c r="C1053" s="2">
        <f>INT(A1053/60)</f>
        <v/>
      </c>
      <c r="D1053" s="2">
        <f>IF(C1053&lt;6,"Night",IF(C1053&lt;12,"Morning",IF(C1053&lt;18,"Afternoon",IF(C1053&lt;22,"Evening","Night"))))</f>
        <v/>
      </c>
    </row>
    <row r="1054">
      <c r="A1054" s="2" t="n">
        <v>1052</v>
      </c>
      <c r="B1054" s="20">
        <f>A1054/1440</f>
        <v/>
      </c>
      <c r="C1054" s="2">
        <f>INT(A1054/60)</f>
        <v/>
      </c>
      <c r="D1054" s="2">
        <f>IF(C1054&lt;6,"Night",IF(C1054&lt;12,"Morning",IF(C1054&lt;18,"Afternoon",IF(C1054&lt;22,"Evening","Night"))))</f>
        <v/>
      </c>
    </row>
    <row r="1055">
      <c r="A1055" s="2" t="n">
        <v>1053</v>
      </c>
      <c r="B1055" s="20">
        <f>A1055/1440</f>
        <v/>
      </c>
      <c r="C1055" s="2">
        <f>INT(A1055/60)</f>
        <v/>
      </c>
      <c r="D1055" s="2">
        <f>IF(C1055&lt;6,"Night",IF(C1055&lt;12,"Morning",IF(C1055&lt;18,"Afternoon",IF(C1055&lt;22,"Evening","Night"))))</f>
        <v/>
      </c>
    </row>
    <row r="1056">
      <c r="A1056" s="2" t="n">
        <v>1054</v>
      </c>
      <c r="B1056" s="20">
        <f>A1056/1440</f>
        <v/>
      </c>
      <c r="C1056" s="2">
        <f>INT(A1056/60)</f>
        <v/>
      </c>
      <c r="D1056" s="2">
        <f>IF(C1056&lt;6,"Night",IF(C1056&lt;12,"Morning",IF(C1056&lt;18,"Afternoon",IF(C1056&lt;22,"Evening","Night"))))</f>
        <v/>
      </c>
    </row>
    <row r="1057">
      <c r="A1057" s="2" t="n">
        <v>1055</v>
      </c>
      <c r="B1057" s="20">
        <f>A1057/1440</f>
        <v/>
      </c>
      <c r="C1057" s="2">
        <f>INT(A1057/60)</f>
        <v/>
      </c>
      <c r="D1057" s="2">
        <f>IF(C1057&lt;6,"Night",IF(C1057&lt;12,"Morning",IF(C1057&lt;18,"Afternoon",IF(C1057&lt;22,"Evening","Night"))))</f>
        <v/>
      </c>
    </row>
    <row r="1058">
      <c r="A1058" s="2" t="n">
        <v>1056</v>
      </c>
      <c r="B1058" s="20">
        <f>A1058/1440</f>
        <v/>
      </c>
      <c r="C1058" s="2">
        <f>INT(A1058/60)</f>
        <v/>
      </c>
      <c r="D1058" s="2">
        <f>IF(C1058&lt;6,"Night",IF(C1058&lt;12,"Morning",IF(C1058&lt;18,"Afternoon",IF(C1058&lt;22,"Evening","Night"))))</f>
        <v/>
      </c>
    </row>
    <row r="1059">
      <c r="A1059" s="2" t="n">
        <v>1057</v>
      </c>
      <c r="B1059" s="20">
        <f>A1059/1440</f>
        <v/>
      </c>
      <c r="C1059" s="2">
        <f>INT(A1059/60)</f>
        <v/>
      </c>
      <c r="D1059" s="2">
        <f>IF(C1059&lt;6,"Night",IF(C1059&lt;12,"Morning",IF(C1059&lt;18,"Afternoon",IF(C1059&lt;22,"Evening","Night"))))</f>
        <v/>
      </c>
    </row>
    <row r="1060">
      <c r="A1060" s="2" t="n">
        <v>1058</v>
      </c>
      <c r="B1060" s="20">
        <f>A1060/1440</f>
        <v/>
      </c>
      <c r="C1060" s="2">
        <f>INT(A1060/60)</f>
        <v/>
      </c>
      <c r="D1060" s="2">
        <f>IF(C1060&lt;6,"Night",IF(C1060&lt;12,"Morning",IF(C1060&lt;18,"Afternoon",IF(C1060&lt;22,"Evening","Night"))))</f>
        <v/>
      </c>
    </row>
    <row r="1061">
      <c r="A1061" s="2" t="n">
        <v>1059</v>
      </c>
      <c r="B1061" s="20">
        <f>A1061/1440</f>
        <v/>
      </c>
      <c r="C1061" s="2">
        <f>INT(A1061/60)</f>
        <v/>
      </c>
      <c r="D1061" s="2">
        <f>IF(C1061&lt;6,"Night",IF(C1061&lt;12,"Morning",IF(C1061&lt;18,"Afternoon",IF(C1061&lt;22,"Evening","Night"))))</f>
        <v/>
      </c>
    </row>
    <row r="1062">
      <c r="A1062" s="2" t="n">
        <v>1060</v>
      </c>
      <c r="B1062" s="20">
        <f>A1062/1440</f>
        <v/>
      </c>
      <c r="C1062" s="2">
        <f>INT(A1062/60)</f>
        <v/>
      </c>
      <c r="D1062" s="2">
        <f>IF(C1062&lt;6,"Night",IF(C1062&lt;12,"Morning",IF(C1062&lt;18,"Afternoon",IF(C1062&lt;22,"Evening","Night"))))</f>
        <v/>
      </c>
    </row>
    <row r="1063">
      <c r="A1063" s="2" t="n">
        <v>1061</v>
      </c>
      <c r="B1063" s="20">
        <f>A1063/1440</f>
        <v/>
      </c>
      <c r="C1063" s="2">
        <f>INT(A1063/60)</f>
        <v/>
      </c>
      <c r="D1063" s="2">
        <f>IF(C1063&lt;6,"Night",IF(C1063&lt;12,"Morning",IF(C1063&lt;18,"Afternoon",IF(C1063&lt;22,"Evening","Night"))))</f>
        <v/>
      </c>
    </row>
    <row r="1064">
      <c r="A1064" s="2" t="n">
        <v>1062</v>
      </c>
      <c r="B1064" s="20">
        <f>A1064/1440</f>
        <v/>
      </c>
      <c r="C1064" s="2">
        <f>INT(A1064/60)</f>
        <v/>
      </c>
      <c r="D1064" s="2">
        <f>IF(C1064&lt;6,"Night",IF(C1064&lt;12,"Morning",IF(C1064&lt;18,"Afternoon",IF(C1064&lt;22,"Evening","Night"))))</f>
        <v/>
      </c>
    </row>
    <row r="1065">
      <c r="A1065" s="2" t="n">
        <v>1063</v>
      </c>
      <c r="B1065" s="20">
        <f>A1065/1440</f>
        <v/>
      </c>
      <c r="C1065" s="2">
        <f>INT(A1065/60)</f>
        <v/>
      </c>
      <c r="D1065" s="2">
        <f>IF(C1065&lt;6,"Night",IF(C1065&lt;12,"Morning",IF(C1065&lt;18,"Afternoon",IF(C1065&lt;22,"Evening","Night"))))</f>
        <v/>
      </c>
    </row>
    <row r="1066">
      <c r="A1066" s="2" t="n">
        <v>1064</v>
      </c>
      <c r="B1066" s="20">
        <f>A1066/1440</f>
        <v/>
      </c>
      <c r="C1066" s="2">
        <f>INT(A1066/60)</f>
        <v/>
      </c>
      <c r="D1066" s="2">
        <f>IF(C1066&lt;6,"Night",IF(C1066&lt;12,"Morning",IF(C1066&lt;18,"Afternoon",IF(C1066&lt;22,"Evening","Night"))))</f>
        <v/>
      </c>
    </row>
    <row r="1067">
      <c r="A1067" s="2" t="n">
        <v>1065</v>
      </c>
      <c r="B1067" s="20">
        <f>A1067/1440</f>
        <v/>
      </c>
      <c r="C1067" s="2">
        <f>INT(A1067/60)</f>
        <v/>
      </c>
      <c r="D1067" s="2">
        <f>IF(C1067&lt;6,"Night",IF(C1067&lt;12,"Morning",IF(C1067&lt;18,"Afternoon",IF(C1067&lt;22,"Evening","Night"))))</f>
        <v/>
      </c>
    </row>
    <row r="1068">
      <c r="A1068" s="2" t="n">
        <v>1066</v>
      </c>
      <c r="B1068" s="20">
        <f>A1068/1440</f>
        <v/>
      </c>
      <c r="C1068" s="2">
        <f>INT(A1068/60)</f>
        <v/>
      </c>
      <c r="D1068" s="2">
        <f>IF(C1068&lt;6,"Night",IF(C1068&lt;12,"Morning",IF(C1068&lt;18,"Afternoon",IF(C1068&lt;22,"Evening","Night"))))</f>
        <v/>
      </c>
    </row>
    <row r="1069">
      <c r="A1069" s="2" t="n">
        <v>1067</v>
      </c>
      <c r="B1069" s="20">
        <f>A1069/1440</f>
        <v/>
      </c>
      <c r="C1069" s="2">
        <f>INT(A1069/60)</f>
        <v/>
      </c>
      <c r="D1069" s="2">
        <f>IF(C1069&lt;6,"Night",IF(C1069&lt;12,"Morning",IF(C1069&lt;18,"Afternoon",IF(C1069&lt;22,"Evening","Night"))))</f>
        <v/>
      </c>
    </row>
    <row r="1070">
      <c r="A1070" s="2" t="n">
        <v>1068</v>
      </c>
      <c r="B1070" s="20">
        <f>A1070/1440</f>
        <v/>
      </c>
      <c r="C1070" s="2">
        <f>INT(A1070/60)</f>
        <v/>
      </c>
      <c r="D1070" s="2">
        <f>IF(C1070&lt;6,"Night",IF(C1070&lt;12,"Morning",IF(C1070&lt;18,"Afternoon",IF(C1070&lt;22,"Evening","Night"))))</f>
        <v/>
      </c>
    </row>
    <row r="1071">
      <c r="A1071" s="2" t="n">
        <v>1069</v>
      </c>
      <c r="B1071" s="20">
        <f>A1071/1440</f>
        <v/>
      </c>
      <c r="C1071" s="2">
        <f>INT(A1071/60)</f>
        <v/>
      </c>
      <c r="D1071" s="2">
        <f>IF(C1071&lt;6,"Night",IF(C1071&lt;12,"Morning",IF(C1071&lt;18,"Afternoon",IF(C1071&lt;22,"Evening","Night"))))</f>
        <v/>
      </c>
    </row>
    <row r="1072">
      <c r="A1072" s="2" t="n">
        <v>1070</v>
      </c>
      <c r="B1072" s="20">
        <f>A1072/1440</f>
        <v/>
      </c>
      <c r="C1072" s="2">
        <f>INT(A1072/60)</f>
        <v/>
      </c>
      <c r="D1072" s="2">
        <f>IF(C1072&lt;6,"Night",IF(C1072&lt;12,"Morning",IF(C1072&lt;18,"Afternoon",IF(C1072&lt;22,"Evening","Night"))))</f>
        <v/>
      </c>
    </row>
    <row r="1073">
      <c r="A1073" s="2" t="n">
        <v>1071</v>
      </c>
      <c r="B1073" s="20">
        <f>A1073/1440</f>
        <v/>
      </c>
      <c r="C1073" s="2">
        <f>INT(A1073/60)</f>
        <v/>
      </c>
      <c r="D1073" s="2">
        <f>IF(C1073&lt;6,"Night",IF(C1073&lt;12,"Morning",IF(C1073&lt;18,"Afternoon",IF(C1073&lt;22,"Evening","Night"))))</f>
        <v/>
      </c>
    </row>
    <row r="1074">
      <c r="A1074" s="2" t="n">
        <v>1072</v>
      </c>
      <c r="B1074" s="20">
        <f>A1074/1440</f>
        <v/>
      </c>
      <c r="C1074" s="2">
        <f>INT(A1074/60)</f>
        <v/>
      </c>
      <c r="D1074" s="2">
        <f>IF(C1074&lt;6,"Night",IF(C1074&lt;12,"Morning",IF(C1074&lt;18,"Afternoon",IF(C1074&lt;22,"Evening","Night"))))</f>
        <v/>
      </c>
    </row>
    <row r="1075">
      <c r="A1075" s="2" t="n">
        <v>1073</v>
      </c>
      <c r="B1075" s="20">
        <f>A1075/1440</f>
        <v/>
      </c>
      <c r="C1075" s="2">
        <f>INT(A1075/60)</f>
        <v/>
      </c>
      <c r="D1075" s="2">
        <f>IF(C1075&lt;6,"Night",IF(C1075&lt;12,"Morning",IF(C1075&lt;18,"Afternoon",IF(C1075&lt;22,"Evening","Night"))))</f>
        <v/>
      </c>
    </row>
    <row r="1076">
      <c r="A1076" s="2" t="n">
        <v>1074</v>
      </c>
      <c r="B1076" s="20">
        <f>A1076/1440</f>
        <v/>
      </c>
      <c r="C1076" s="2">
        <f>INT(A1076/60)</f>
        <v/>
      </c>
      <c r="D1076" s="2">
        <f>IF(C1076&lt;6,"Night",IF(C1076&lt;12,"Morning",IF(C1076&lt;18,"Afternoon",IF(C1076&lt;22,"Evening","Night"))))</f>
        <v/>
      </c>
    </row>
    <row r="1077">
      <c r="A1077" s="2" t="n">
        <v>1075</v>
      </c>
      <c r="B1077" s="20">
        <f>A1077/1440</f>
        <v/>
      </c>
      <c r="C1077" s="2">
        <f>INT(A1077/60)</f>
        <v/>
      </c>
      <c r="D1077" s="2">
        <f>IF(C1077&lt;6,"Night",IF(C1077&lt;12,"Morning",IF(C1077&lt;18,"Afternoon",IF(C1077&lt;22,"Evening","Night"))))</f>
        <v/>
      </c>
    </row>
    <row r="1078">
      <c r="A1078" s="2" t="n">
        <v>1076</v>
      </c>
      <c r="B1078" s="20">
        <f>A1078/1440</f>
        <v/>
      </c>
      <c r="C1078" s="2">
        <f>INT(A1078/60)</f>
        <v/>
      </c>
      <c r="D1078" s="2">
        <f>IF(C1078&lt;6,"Night",IF(C1078&lt;12,"Morning",IF(C1078&lt;18,"Afternoon",IF(C1078&lt;22,"Evening","Night"))))</f>
        <v/>
      </c>
    </row>
    <row r="1079">
      <c r="A1079" s="2" t="n">
        <v>1077</v>
      </c>
      <c r="B1079" s="20">
        <f>A1079/1440</f>
        <v/>
      </c>
      <c r="C1079" s="2">
        <f>INT(A1079/60)</f>
        <v/>
      </c>
      <c r="D1079" s="2">
        <f>IF(C1079&lt;6,"Night",IF(C1079&lt;12,"Morning",IF(C1079&lt;18,"Afternoon",IF(C1079&lt;22,"Evening","Night"))))</f>
        <v/>
      </c>
    </row>
    <row r="1080">
      <c r="A1080" s="2" t="n">
        <v>1078</v>
      </c>
      <c r="B1080" s="20">
        <f>A1080/1440</f>
        <v/>
      </c>
      <c r="C1080" s="2">
        <f>INT(A1080/60)</f>
        <v/>
      </c>
      <c r="D1080" s="2">
        <f>IF(C1080&lt;6,"Night",IF(C1080&lt;12,"Morning",IF(C1080&lt;18,"Afternoon",IF(C1080&lt;22,"Evening","Night"))))</f>
        <v/>
      </c>
    </row>
    <row r="1081">
      <c r="A1081" s="2" t="n">
        <v>1079</v>
      </c>
      <c r="B1081" s="20">
        <f>A1081/1440</f>
        <v/>
      </c>
      <c r="C1081" s="2">
        <f>INT(A1081/60)</f>
        <v/>
      </c>
      <c r="D1081" s="2">
        <f>IF(C1081&lt;6,"Night",IF(C1081&lt;12,"Morning",IF(C1081&lt;18,"Afternoon",IF(C1081&lt;22,"Evening","Night"))))</f>
        <v/>
      </c>
    </row>
    <row r="1082">
      <c r="A1082" s="2" t="n">
        <v>1080</v>
      </c>
      <c r="B1082" s="20">
        <f>A1082/1440</f>
        <v/>
      </c>
      <c r="C1082" s="2">
        <f>INT(A1082/60)</f>
        <v/>
      </c>
      <c r="D1082" s="2">
        <f>IF(C1082&lt;6,"Night",IF(C1082&lt;12,"Morning",IF(C1082&lt;18,"Afternoon",IF(C1082&lt;22,"Evening","Night"))))</f>
        <v/>
      </c>
    </row>
    <row r="1083">
      <c r="A1083" s="2" t="n">
        <v>1081</v>
      </c>
      <c r="B1083" s="20">
        <f>A1083/1440</f>
        <v/>
      </c>
      <c r="C1083" s="2">
        <f>INT(A1083/60)</f>
        <v/>
      </c>
      <c r="D1083" s="2">
        <f>IF(C1083&lt;6,"Night",IF(C1083&lt;12,"Morning",IF(C1083&lt;18,"Afternoon",IF(C1083&lt;22,"Evening","Night"))))</f>
        <v/>
      </c>
    </row>
    <row r="1084">
      <c r="A1084" s="2" t="n">
        <v>1082</v>
      </c>
      <c r="B1084" s="20">
        <f>A1084/1440</f>
        <v/>
      </c>
      <c r="C1084" s="2">
        <f>INT(A1084/60)</f>
        <v/>
      </c>
      <c r="D1084" s="2">
        <f>IF(C1084&lt;6,"Night",IF(C1084&lt;12,"Morning",IF(C1084&lt;18,"Afternoon",IF(C1084&lt;22,"Evening","Night"))))</f>
        <v/>
      </c>
    </row>
    <row r="1085">
      <c r="A1085" s="2" t="n">
        <v>1083</v>
      </c>
      <c r="B1085" s="20">
        <f>A1085/1440</f>
        <v/>
      </c>
      <c r="C1085" s="2">
        <f>INT(A1085/60)</f>
        <v/>
      </c>
      <c r="D1085" s="2">
        <f>IF(C1085&lt;6,"Night",IF(C1085&lt;12,"Morning",IF(C1085&lt;18,"Afternoon",IF(C1085&lt;22,"Evening","Night"))))</f>
        <v/>
      </c>
    </row>
    <row r="1086">
      <c r="A1086" s="2" t="n">
        <v>1084</v>
      </c>
      <c r="B1086" s="20">
        <f>A1086/1440</f>
        <v/>
      </c>
      <c r="C1086" s="2">
        <f>INT(A1086/60)</f>
        <v/>
      </c>
      <c r="D1086" s="2">
        <f>IF(C1086&lt;6,"Night",IF(C1086&lt;12,"Morning",IF(C1086&lt;18,"Afternoon",IF(C1086&lt;22,"Evening","Night"))))</f>
        <v/>
      </c>
    </row>
    <row r="1087">
      <c r="A1087" s="2" t="n">
        <v>1085</v>
      </c>
      <c r="B1087" s="20">
        <f>A1087/1440</f>
        <v/>
      </c>
      <c r="C1087" s="2">
        <f>INT(A1087/60)</f>
        <v/>
      </c>
      <c r="D1087" s="2">
        <f>IF(C1087&lt;6,"Night",IF(C1087&lt;12,"Morning",IF(C1087&lt;18,"Afternoon",IF(C1087&lt;22,"Evening","Night"))))</f>
        <v/>
      </c>
    </row>
    <row r="1088">
      <c r="A1088" s="2" t="n">
        <v>1086</v>
      </c>
      <c r="B1088" s="20">
        <f>A1088/1440</f>
        <v/>
      </c>
      <c r="C1088" s="2">
        <f>INT(A1088/60)</f>
        <v/>
      </c>
      <c r="D1088" s="2">
        <f>IF(C1088&lt;6,"Night",IF(C1088&lt;12,"Morning",IF(C1088&lt;18,"Afternoon",IF(C1088&lt;22,"Evening","Night"))))</f>
        <v/>
      </c>
    </row>
    <row r="1089">
      <c r="A1089" s="2" t="n">
        <v>1087</v>
      </c>
      <c r="B1089" s="20">
        <f>A1089/1440</f>
        <v/>
      </c>
      <c r="C1089" s="2">
        <f>INT(A1089/60)</f>
        <v/>
      </c>
      <c r="D1089" s="2">
        <f>IF(C1089&lt;6,"Night",IF(C1089&lt;12,"Morning",IF(C1089&lt;18,"Afternoon",IF(C1089&lt;22,"Evening","Night"))))</f>
        <v/>
      </c>
    </row>
    <row r="1090">
      <c r="A1090" s="2" t="n">
        <v>1088</v>
      </c>
      <c r="B1090" s="20">
        <f>A1090/1440</f>
        <v/>
      </c>
      <c r="C1090" s="2">
        <f>INT(A1090/60)</f>
        <v/>
      </c>
      <c r="D1090" s="2">
        <f>IF(C1090&lt;6,"Night",IF(C1090&lt;12,"Morning",IF(C1090&lt;18,"Afternoon",IF(C1090&lt;22,"Evening","Night"))))</f>
        <v/>
      </c>
    </row>
    <row r="1091">
      <c r="A1091" s="2" t="n">
        <v>1089</v>
      </c>
      <c r="B1091" s="20">
        <f>A1091/1440</f>
        <v/>
      </c>
      <c r="C1091" s="2">
        <f>INT(A1091/60)</f>
        <v/>
      </c>
      <c r="D1091" s="2">
        <f>IF(C1091&lt;6,"Night",IF(C1091&lt;12,"Morning",IF(C1091&lt;18,"Afternoon",IF(C1091&lt;22,"Evening","Night"))))</f>
        <v/>
      </c>
    </row>
    <row r="1092">
      <c r="A1092" s="2" t="n">
        <v>1090</v>
      </c>
      <c r="B1092" s="20">
        <f>A1092/1440</f>
        <v/>
      </c>
      <c r="C1092" s="2">
        <f>INT(A1092/60)</f>
        <v/>
      </c>
      <c r="D1092" s="2">
        <f>IF(C1092&lt;6,"Night",IF(C1092&lt;12,"Morning",IF(C1092&lt;18,"Afternoon",IF(C1092&lt;22,"Evening","Night"))))</f>
        <v/>
      </c>
    </row>
    <row r="1093">
      <c r="A1093" s="2" t="n">
        <v>1091</v>
      </c>
      <c r="B1093" s="20">
        <f>A1093/1440</f>
        <v/>
      </c>
      <c r="C1093" s="2">
        <f>INT(A1093/60)</f>
        <v/>
      </c>
      <c r="D1093" s="2">
        <f>IF(C1093&lt;6,"Night",IF(C1093&lt;12,"Morning",IF(C1093&lt;18,"Afternoon",IF(C1093&lt;22,"Evening","Night"))))</f>
        <v/>
      </c>
    </row>
    <row r="1094">
      <c r="A1094" s="2" t="n">
        <v>1092</v>
      </c>
      <c r="B1094" s="20">
        <f>A1094/1440</f>
        <v/>
      </c>
      <c r="C1094" s="2">
        <f>INT(A1094/60)</f>
        <v/>
      </c>
      <c r="D1094" s="2">
        <f>IF(C1094&lt;6,"Night",IF(C1094&lt;12,"Morning",IF(C1094&lt;18,"Afternoon",IF(C1094&lt;22,"Evening","Night"))))</f>
        <v/>
      </c>
    </row>
    <row r="1095">
      <c r="A1095" s="2" t="n">
        <v>1093</v>
      </c>
      <c r="B1095" s="20">
        <f>A1095/1440</f>
        <v/>
      </c>
      <c r="C1095" s="2">
        <f>INT(A1095/60)</f>
        <v/>
      </c>
      <c r="D1095" s="2">
        <f>IF(C1095&lt;6,"Night",IF(C1095&lt;12,"Morning",IF(C1095&lt;18,"Afternoon",IF(C1095&lt;22,"Evening","Night"))))</f>
        <v/>
      </c>
    </row>
    <row r="1096">
      <c r="A1096" s="2" t="n">
        <v>1094</v>
      </c>
      <c r="B1096" s="20">
        <f>A1096/1440</f>
        <v/>
      </c>
      <c r="C1096" s="2">
        <f>INT(A1096/60)</f>
        <v/>
      </c>
      <c r="D1096" s="2">
        <f>IF(C1096&lt;6,"Night",IF(C1096&lt;12,"Morning",IF(C1096&lt;18,"Afternoon",IF(C1096&lt;22,"Evening","Night"))))</f>
        <v/>
      </c>
    </row>
    <row r="1097">
      <c r="A1097" s="2" t="n">
        <v>1095</v>
      </c>
      <c r="B1097" s="20">
        <f>A1097/1440</f>
        <v/>
      </c>
      <c r="C1097" s="2">
        <f>INT(A1097/60)</f>
        <v/>
      </c>
      <c r="D1097" s="2">
        <f>IF(C1097&lt;6,"Night",IF(C1097&lt;12,"Morning",IF(C1097&lt;18,"Afternoon",IF(C1097&lt;22,"Evening","Night"))))</f>
        <v/>
      </c>
    </row>
    <row r="1098">
      <c r="A1098" s="2" t="n">
        <v>1096</v>
      </c>
      <c r="B1098" s="20">
        <f>A1098/1440</f>
        <v/>
      </c>
      <c r="C1098" s="2">
        <f>INT(A1098/60)</f>
        <v/>
      </c>
      <c r="D1098" s="2">
        <f>IF(C1098&lt;6,"Night",IF(C1098&lt;12,"Morning",IF(C1098&lt;18,"Afternoon",IF(C1098&lt;22,"Evening","Night"))))</f>
        <v/>
      </c>
    </row>
    <row r="1099">
      <c r="A1099" s="2" t="n">
        <v>1097</v>
      </c>
      <c r="B1099" s="20">
        <f>A1099/1440</f>
        <v/>
      </c>
      <c r="C1099" s="2">
        <f>INT(A1099/60)</f>
        <v/>
      </c>
      <c r="D1099" s="2">
        <f>IF(C1099&lt;6,"Night",IF(C1099&lt;12,"Morning",IF(C1099&lt;18,"Afternoon",IF(C1099&lt;22,"Evening","Night"))))</f>
        <v/>
      </c>
    </row>
    <row r="1100">
      <c r="A1100" s="2" t="n">
        <v>1098</v>
      </c>
      <c r="B1100" s="20">
        <f>A1100/1440</f>
        <v/>
      </c>
      <c r="C1100" s="2">
        <f>INT(A1100/60)</f>
        <v/>
      </c>
      <c r="D1100" s="2">
        <f>IF(C1100&lt;6,"Night",IF(C1100&lt;12,"Morning",IF(C1100&lt;18,"Afternoon",IF(C1100&lt;22,"Evening","Night"))))</f>
        <v/>
      </c>
    </row>
    <row r="1101">
      <c r="A1101" s="2" t="n">
        <v>1099</v>
      </c>
      <c r="B1101" s="20">
        <f>A1101/1440</f>
        <v/>
      </c>
      <c r="C1101" s="2">
        <f>INT(A1101/60)</f>
        <v/>
      </c>
      <c r="D1101" s="2">
        <f>IF(C1101&lt;6,"Night",IF(C1101&lt;12,"Morning",IF(C1101&lt;18,"Afternoon",IF(C1101&lt;22,"Evening","Night"))))</f>
        <v/>
      </c>
    </row>
    <row r="1102">
      <c r="A1102" s="2" t="n">
        <v>1100</v>
      </c>
      <c r="B1102" s="20">
        <f>A1102/1440</f>
        <v/>
      </c>
      <c r="C1102" s="2">
        <f>INT(A1102/60)</f>
        <v/>
      </c>
      <c r="D1102" s="2">
        <f>IF(C1102&lt;6,"Night",IF(C1102&lt;12,"Morning",IF(C1102&lt;18,"Afternoon",IF(C1102&lt;22,"Evening","Night"))))</f>
        <v/>
      </c>
    </row>
    <row r="1103">
      <c r="A1103" s="2" t="n">
        <v>1101</v>
      </c>
      <c r="B1103" s="20">
        <f>A1103/1440</f>
        <v/>
      </c>
      <c r="C1103" s="2">
        <f>INT(A1103/60)</f>
        <v/>
      </c>
      <c r="D1103" s="2">
        <f>IF(C1103&lt;6,"Night",IF(C1103&lt;12,"Morning",IF(C1103&lt;18,"Afternoon",IF(C1103&lt;22,"Evening","Night"))))</f>
        <v/>
      </c>
    </row>
    <row r="1104">
      <c r="A1104" s="2" t="n">
        <v>1102</v>
      </c>
      <c r="B1104" s="20">
        <f>A1104/1440</f>
        <v/>
      </c>
      <c r="C1104" s="2">
        <f>INT(A1104/60)</f>
        <v/>
      </c>
      <c r="D1104" s="2">
        <f>IF(C1104&lt;6,"Night",IF(C1104&lt;12,"Morning",IF(C1104&lt;18,"Afternoon",IF(C1104&lt;22,"Evening","Night"))))</f>
        <v/>
      </c>
    </row>
    <row r="1105">
      <c r="A1105" s="2" t="n">
        <v>1103</v>
      </c>
      <c r="B1105" s="20">
        <f>A1105/1440</f>
        <v/>
      </c>
      <c r="C1105" s="2">
        <f>INT(A1105/60)</f>
        <v/>
      </c>
      <c r="D1105" s="2">
        <f>IF(C1105&lt;6,"Night",IF(C1105&lt;12,"Morning",IF(C1105&lt;18,"Afternoon",IF(C1105&lt;22,"Evening","Night"))))</f>
        <v/>
      </c>
    </row>
    <row r="1106">
      <c r="A1106" s="2" t="n">
        <v>1104</v>
      </c>
      <c r="B1106" s="20">
        <f>A1106/1440</f>
        <v/>
      </c>
      <c r="C1106" s="2">
        <f>INT(A1106/60)</f>
        <v/>
      </c>
      <c r="D1106" s="2">
        <f>IF(C1106&lt;6,"Night",IF(C1106&lt;12,"Morning",IF(C1106&lt;18,"Afternoon",IF(C1106&lt;22,"Evening","Night"))))</f>
        <v/>
      </c>
    </row>
    <row r="1107">
      <c r="A1107" s="2" t="n">
        <v>1105</v>
      </c>
      <c r="B1107" s="20">
        <f>A1107/1440</f>
        <v/>
      </c>
      <c r="C1107" s="2">
        <f>INT(A1107/60)</f>
        <v/>
      </c>
      <c r="D1107" s="2">
        <f>IF(C1107&lt;6,"Night",IF(C1107&lt;12,"Morning",IF(C1107&lt;18,"Afternoon",IF(C1107&lt;22,"Evening","Night"))))</f>
        <v/>
      </c>
    </row>
    <row r="1108">
      <c r="A1108" s="2" t="n">
        <v>1106</v>
      </c>
      <c r="B1108" s="20">
        <f>A1108/1440</f>
        <v/>
      </c>
      <c r="C1108" s="2">
        <f>INT(A1108/60)</f>
        <v/>
      </c>
      <c r="D1108" s="2">
        <f>IF(C1108&lt;6,"Night",IF(C1108&lt;12,"Morning",IF(C1108&lt;18,"Afternoon",IF(C1108&lt;22,"Evening","Night"))))</f>
        <v/>
      </c>
    </row>
    <row r="1109">
      <c r="A1109" s="2" t="n">
        <v>1107</v>
      </c>
      <c r="B1109" s="20">
        <f>A1109/1440</f>
        <v/>
      </c>
      <c r="C1109" s="2">
        <f>INT(A1109/60)</f>
        <v/>
      </c>
      <c r="D1109" s="2">
        <f>IF(C1109&lt;6,"Night",IF(C1109&lt;12,"Morning",IF(C1109&lt;18,"Afternoon",IF(C1109&lt;22,"Evening","Night"))))</f>
        <v/>
      </c>
    </row>
    <row r="1110">
      <c r="A1110" s="2" t="n">
        <v>1108</v>
      </c>
      <c r="B1110" s="20">
        <f>A1110/1440</f>
        <v/>
      </c>
      <c r="C1110" s="2">
        <f>INT(A1110/60)</f>
        <v/>
      </c>
      <c r="D1110" s="2">
        <f>IF(C1110&lt;6,"Night",IF(C1110&lt;12,"Morning",IF(C1110&lt;18,"Afternoon",IF(C1110&lt;22,"Evening","Night"))))</f>
        <v/>
      </c>
    </row>
    <row r="1111">
      <c r="A1111" s="2" t="n">
        <v>1109</v>
      </c>
      <c r="B1111" s="20">
        <f>A1111/1440</f>
        <v/>
      </c>
      <c r="C1111" s="2">
        <f>INT(A1111/60)</f>
        <v/>
      </c>
      <c r="D1111" s="2">
        <f>IF(C1111&lt;6,"Night",IF(C1111&lt;12,"Morning",IF(C1111&lt;18,"Afternoon",IF(C1111&lt;22,"Evening","Night"))))</f>
        <v/>
      </c>
    </row>
    <row r="1112">
      <c r="A1112" s="2" t="n">
        <v>1110</v>
      </c>
      <c r="B1112" s="20">
        <f>A1112/1440</f>
        <v/>
      </c>
      <c r="C1112" s="2">
        <f>INT(A1112/60)</f>
        <v/>
      </c>
      <c r="D1112" s="2">
        <f>IF(C1112&lt;6,"Night",IF(C1112&lt;12,"Morning",IF(C1112&lt;18,"Afternoon",IF(C1112&lt;22,"Evening","Night"))))</f>
        <v/>
      </c>
    </row>
    <row r="1113">
      <c r="A1113" s="2" t="n">
        <v>1111</v>
      </c>
      <c r="B1113" s="20">
        <f>A1113/1440</f>
        <v/>
      </c>
      <c r="C1113" s="2">
        <f>INT(A1113/60)</f>
        <v/>
      </c>
      <c r="D1113" s="2">
        <f>IF(C1113&lt;6,"Night",IF(C1113&lt;12,"Morning",IF(C1113&lt;18,"Afternoon",IF(C1113&lt;22,"Evening","Night"))))</f>
        <v/>
      </c>
    </row>
    <row r="1114">
      <c r="A1114" s="2" t="n">
        <v>1112</v>
      </c>
      <c r="B1114" s="20">
        <f>A1114/1440</f>
        <v/>
      </c>
      <c r="C1114" s="2">
        <f>INT(A1114/60)</f>
        <v/>
      </c>
      <c r="D1114" s="2">
        <f>IF(C1114&lt;6,"Night",IF(C1114&lt;12,"Morning",IF(C1114&lt;18,"Afternoon",IF(C1114&lt;22,"Evening","Night"))))</f>
        <v/>
      </c>
    </row>
    <row r="1115">
      <c r="A1115" s="2" t="n">
        <v>1113</v>
      </c>
      <c r="B1115" s="20">
        <f>A1115/1440</f>
        <v/>
      </c>
      <c r="C1115" s="2">
        <f>INT(A1115/60)</f>
        <v/>
      </c>
      <c r="D1115" s="2">
        <f>IF(C1115&lt;6,"Night",IF(C1115&lt;12,"Morning",IF(C1115&lt;18,"Afternoon",IF(C1115&lt;22,"Evening","Night"))))</f>
        <v/>
      </c>
    </row>
    <row r="1116">
      <c r="A1116" s="2" t="n">
        <v>1114</v>
      </c>
      <c r="B1116" s="20">
        <f>A1116/1440</f>
        <v/>
      </c>
      <c r="C1116" s="2">
        <f>INT(A1116/60)</f>
        <v/>
      </c>
      <c r="D1116" s="2">
        <f>IF(C1116&lt;6,"Night",IF(C1116&lt;12,"Morning",IF(C1116&lt;18,"Afternoon",IF(C1116&lt;22,"Evening","Night"))))</f>
        <v/>
      </c>
    </row>
    <row r="1117">
      <c r="A1117" s="2" t="n">
        <v>1115</v>
      </c>
      <c r="B1117" s="20">
        <f>A1117/1440</f>
        <v/>
      </c>
      <c r="C1117" s="2">
        <f>INT(A1117/60)</f>
        <v/>
      </c>
      <c r="D1117" s="2">
        <f>IF(C1117&lt;6,"Night",IF(C1117&lt;12,"Morning",IF(C1117&lt;18,"Afternoon",IF(C1117&lt;22,"Evening","Night"))))</f>
        <v/>
      </c>
    </row>
    <row r="1118">
      <c r="A1118" s="2" t="n">
        <v>1116</v>
      </c>
      <c r="B1118" s="20">
        <f>A1118/1440</f>
        <v/>
      </c>
      <c r="C1118" s="2">
        <f>INT(A1118/60)</f>
        <v/>
      </c>
      <c r="D1118" s="2">
        <f>IF(C1118&lt;6,"Night",IF(C1118&lt;12,"Morning",IF(C1118&lt;18,"Afternoon",IF(C1118&lt;22,"Evening","Night"))))</f>
        <v/>
      </c>
    </row>
    <row r="1119">
      <c r="A1119" s="2" t="n">
        <v>1117</v>
      </c>
      <c r="B1119" s="20">
        <f>A1119/1440</f>
        <v/>
      </c>
      <c r="C1119" s="2">
        <f>INT(A1119/60)</f>
        <v/>
      </c>
      <c r="D1119" s="2">
        <f>IF(C1119&lt;6,"Night",IF(C1119&lt;12,"Morning",IF(C1119&lt;18,"Afternoon",IF(C1119&lt;22,"Evening","Night"))))</f>
        <v/>
      </c>
    </row>
    <row r="1120">
      <c r="A1120" s="2" t="n">
        <v>1118</v>
      </c>
      <c r="B1120" s="20">
        <f>A1120/1440</f>
        <v/>
      </c>
      <c r="C1120" s="2">
        <f>INT(A1120/60)</f>
        <v/>
      </c>
      <c r="D1120" s="2">
        <f>IF(C1120&lt;6,"Night",IF(C1120&lt;12,"Morning",IF(C1120&lt;18,"Afternoon",IF(C1120&lt;22,"Evening","Night"))))</f>
        <v/>
      </c>
    </row>
    <row r="1121">
      <c r="A1121" s="2" t="n">
        <v>1119</v>
      </c>
      <c r="B1121" s="20">
        <f>A1121/1440</f>
        <v/>
      </c>
      <c r="C1121" s="2">
        <f>INT(A1121/60)</f>
        <v/>
      </c>
      <c r="D1121" s="2">
        <f>IF(C1121&lt;6,"Night",IF(C1121&lt;12,"Morning",IF(C1121&lt;18,"Afternoon",IF(C1121&lt;22,"Evening","Night"))))</f>
        <v/>
      </c>
    </row>
    <row r="1122">
      <c r="A1122" s="2" t="n">
        <v>1120</v>
      </c>
      <c r="B1122" s="20">
        <f>A1122/1440</f>
        <v/>
      </c>
      <c r="C1122" s="2">
        <f>INT(A1122/60)</f>
        <v/>
      </c>
      <c r="D1122" s="2">
        <f>IF(C1122&lt;6,"Night",IF(C1122&lt;12,"Morning",IF(C1122&lt;18,"Afternoon",IF(C1122&lt;22,"Evening","Night"))))</f>
        <v/>
      </c>
    </row>
    <row r="1123">
      <c r="A1123" s="2" t="n">
        <v>1121</v>
      </c>
      <c r="B1123" s="20">
        <f>A1123/1440</f>
        <v/>
      </c>
      <c r="C1123" s="2">
        <f>INT(A1123/60)</f>
        <v/>
      </c>
      <c r="D1123" s="2">
        <f>IF(C1123&lt;6,"Night",IF(C1123&lt;12,"Morning",IF(C1123&lt;18,"Afternoon",IF(C1123&lt;22,"Evening","Night"))))</f>
        <v/>
      </c>
    </row>
    <row r="1124">
      <c r="A1124" s="2" t="n">
        <v>1122</v>
      </c>
      <c r="B1124" s="20">
        <f>A1124/1440</f>
        <v/>
      </c>
      <c r="C1124" s="2">
        <f>INT(A1124/60)</f>
        <v/>
      </c>
      <c r="D1124" s="2">
        <f>IF(C1124&lt;6,"Night",IF(C1124&lt;12,"Morning",IF(C1124&lt;18,"Afternoon",IF(C1124&lt;22,"Evening","Night"))))</f>
        <v/>
      </c>
    </row>
    <row r="1125">
      <c r="A1125" s="2" t="n">
        <v>1123</v>
      </c>
      <c r="B1125" s="20">
        <f>A1125/1440</f>
        <v/>
      </c>
      <c r="C1125" s="2">
        <f>INT(A1125/60)</f>
        <v/>
      </c>
      <c r="D1125" s="2">
        <f>IF(C1125&lt;6,"Night",IF(C1125&lt;12,"Morning",IF(C1125&lt;18,"Afternoon",IF(C1125&lt;22,"Evening","Night"))))</f>
        <v/>
      </c>
    </row>
    <row r="1126">
      <c r="A1126" s="2" t="n">
        <v>1124</v>
      </c>
      <c r="B1126" s="20">
        <f>A1126/1440</f>
        <v/>
      </c>
      <c r="C1126" s="2">
        <f>INT(A1126/60)</f>
        <v/>
      </c>
      <c r="D1126" s="2">
        <f>IF(C1126&lt;6,"Night",IF(C1126&lt;12,"Morning",IF(C1126&lt;18,"Afternoon",IF(C1126&lt;22,"Evening","Night"))))</f>
        <v/>
      </c>
    </row>
    <row r="1127">
      <c r="A1127" s="2" t="n">
        <v>1125</v>
      </c>
      <c r="B1127" s="20">
        <f>A1127/1440</f>
        <v/>
      </c>
      <c r="C1127" s="2">
        <f>INT(A1127/60)</f>
        <v/>
      </c>
      <c r="D1127" s="2">
        <f>IF(C1127&lt;6,"Night",IF(C1127&lt;12,"Morning",IF(C1127&lt;18,"Afternoon",IF(C1127&lt;22,"Evening","Night"))))</f>
        <v/>
      </c>
    </row>
    <row r="1128">
      <c r="A1128" s="2" t="n">
        <v>1126</v>
      </c>
      <c r="B1128" s="20">
        <f>A1128/1440</f>
        <v/>
      </c>
      <c r="C1128" s="2">
        <f>INT(A1128/60)</f>
        <v/>
      </c>
      <c r="D1128" s="2">
        <f>IF(C1128&lt;6,"Night",IF(C1128&lt;12,"Morning",IF(C1128&lt;18,"Afternoon",IF(C1128&lt;22,"Evening","Night"))))</f>
        <v/>
      </c>
    </row>
    <row r="1129">
      <c r="A1129" s="2" t="n">
        <v>1127</v>
      </c>
      <c r="B1129" s="20">
        <f>A1129/1440</f>
        <v/>
      </c>
      <c r="C1129" s="2">
        <f>INT(A1129/60)</f>
        <v/>
      </c>
      <c r="D1129" s="2">
        <f>IF(C1129&lt;6,"Night",IF(C1129&lt;12,"Morning",IF(C1129&lt;18,"Afternoon",IF(C1129&lt;22,"Evening","Night"))))</f>
        <v/>
      </c>
    </row>
    <row r="1130">
      <c r="A1130" s="2" t="n">
        <v>1128</v>
      </c>
      <c r="B1130" s="20">
        <f>A1130/1440</f>
        <v/>
      </c>
      <c r="C1130" s="2">
        <f>INT(A1130/60)</f>
        <v/>
      </c>
      <c r="D1130" s="2">
        <f>IF(C1130&lt;6,"Night",IF(C1130&lt;12,"Morning",IF(C1130&lt;18,"Afternoon",IF(C1130&lt;22,"Evening","Night"))))</f>
        <v/>
      </c>
    </row>
    <row r="1131">
      <c r="A1131" s="2" t="n">
        <v>1129</v>
      </c>
      <c r="B1131" s="20">
        <f>A1131/1440</f>
        <v/>
      </c>
      <c r="C1131" s="2">
        <f>INT(A1131/60)</f>
        <v/>
      </c>
      <c r="D1131" s="2">
        <f>IF(C1131&lt;6,"Night",IF(C1131&lt;12,"Morning",IF(C1131&lt;18,"Afternoon",IF(C1131&lt;22,"Evening","Night"))))</f>
        <v/>
      </c>
    </row>
    <row r="1132">
      <c r="A1132" s="2" t="n">
        <v>1130</v>
      </c>
      <c r="B1132" s="20">
        <f>A1132/1440</f>
        <v/>
      </c>
      <c r="C1132" s="2">
        <f>INT(A1132/60)</f>
        <v/>
      </c>
      <c r="D1132" s="2">
        <f>IF(C1132&lt;6,"Night",IF(C1132&lt;12,"Morning",IF(C1132&lt;18,"Afternoon",IF(C1132&lt;22,"Evening","Night"))))</f>
        <v/>
      </c>
    </row>
    <row r="1133">
      <c r="A1133" s="2" t="n">
        <v>1131</v>
      </c>
      <c r="B1133" s="20">
        <f>A1133/1440</f>
        <v/>
      </c>
      <c r="C1133" s="2">
        <f>INT(A1133/60)</f>
        <v/>
      </c>
      <c r="D1133" s="2">
        <f>IF(C1133&lt;6,"Night",IF(C1133&lt;12,"Morning",IF(C1133&lt;18,"Afternoon",IF(C1133&lt;22,"Evening","Night"))))</f>
        <v/>
      </c>
    </row>
    <row r="1134">
      <c r="A1134" s="2" t="n">
        <v>1132</v>
      </c>
      <c r="B1134" s="20">
        <f>A1134/1440</f>
        <v/>
      </c>
      <c r="C1134" s="2">
        <f>INT(A1134/60)</f>
        <v/>
      </c>
      <c r="D1134" s="2">
        <f>IF(C1134&lt;6,"Night",IF(C1134&lt;12,"Morning",IF(C1134&lt;18,"Afternoon",IF(C1134&lt;22,"Evening","Night"))))</f>
        <v/>
      </c>
    </row>
    <row r="1135">
      <c r="A1135" s="2" t="n">
        <v>1133</v>
      </c>
      <c r="B1135" s="20">
        <f>A1135/1440</f>
        <v/>
      </c>
      <c r="C1135" s="2">
        <f>INT(A1135/60)</f>
        <v/>
      </c>
      <c r="D1135" s="2">
        <f>IF(C1135&lt;6,"Night",IF(C1135&lt;12,"Morning",IF(C1135&lt;18,"Afternoon",IF(C1135&lt;22,"Evening","Night"))))</f>
        <v/>
      </c>
    </row>
    <row r="1136">
      <c r="A1136" s="2" t="n">
        <v>1134</v>
      </c>
      <c r="B1136" s="20">
        <f>A1136/1440</f>
        <v/>
      </c>
      <c r="C1136" s="2">
        <f>INT(A1136/60)</f>
        <v/>
      </c>
      <c r="D1136" s="2">
        <f>IF(C1136&lt;6,"Night",IF(C1136&lt;12,"Morning",IF(C1136&lt;18,"Afternoon",IF(C1136&lt;22,"Evening","Night"))))</f>
        <v/>
      </c>
    </row>
    <row r="1137">
      <c r="A1137" s="2" t="n">
        <v>1135</v>
      </c>
      <c r="B1137" s="20">
        <f>A1137/1440</f>
        <v/>
      </c>
      <c r="C1137" s="2">
        <f>INT(A1137/60)</f>
        <v/>
      </c>
      <c r="D1137" s="2">
        <f>IF(C1137&lt;6,"Night",IF(C1137&lt;12,"Morning",IF(C1137&lt;18,"Afternoon",IF(C1137&lt;22,"Evening","Night"))))</f>
        <v/>
      </c>
    </row>
    <row r="1138">
      <c r="A1138" s="2" t="n">
        <v>1136</v>
      </c>
      <c r="B1138" s="20">
        <f>A1138/1440</f>
        <v/>
      </c>
      <c r="C1138" s="2">
        <f>INT(A1138/60)</f>
        <v/>
      </c>
      <c r="D1138" s="2">
        <f>IF(C1138&lt;6,"Night",IF(C1138&lt;12,"Morning",IF(C1138&lt;18,"Afternoon",IF(C1138&lt;22,"Evening","Night"))))</f>
        <v/>
      </c>
    </row>
    <row r="1139">
      <c r="A1139" s="2" t="n">
        <v>1137</v>
      </c>
      <c r="B1139" s="20">
        <f>A1139/1440</f>
        <v/>
      </c>
      <c r="C1139" s="2">
        <f>INT(A1139/60)</f>
        <v/>
      </c>
      <c r="D1139" s="2">
        <f>IF(C1139&lt;6,"Night",IF(C1139&lt;12,"Morning",IF(C1139&lt;18,"Afternoon",IF(C1139&lt;22,"Evening","Night"))))</f>
        <v/>
      </c>
    </row>
    <row r="1140">
      <c r="A1140" s="2" t="n">
        <v>1138</v>
      </c>
      <c r="B1140" s="20">
        <f>A1140/1440</f>
        <v/>
      </c>
      <c r="C1140" s="2">
        <f>INT(A1140/60)</f>
        <v/>
      </c>
      <c r="D1140" s="2">
        <f>IF(C1140&lt;6,"Night",IF(C1140&lt;12,"Morning",IF(C1140&lt;18,"Afternoon",IF(C1140&lt;22,"Evening","Night"))))</f>
        <v/>
      </c>
    </row>
    <row r="1141">
      <c r="A1141" s="2" t="n">
        <v>1139</v>
      </c>
      <c r="B1141" s="20">
        <f>A1141/1440</f>
        <v/>
      </c>
      <c r="C1141" s="2">
        <f>INT(A1141/60)</f>
        <v/>
      </c>
      <c r="D1141" s="2">
        <f>IF(C1141&lt;6,"Night",IF(C1141&lt;12,"Morning",IF(C1141&lt;18,"Afternoon",IF(C1141&lt;22,"Evening","Night"))))</f>
        <v/>
      </c>
    </row>
    <row r="1142">
      <c r="A1142" s="2" t="n">
        <v>1140</v>
      </c>
      <c r="B1142" s="20">
        <f>A1142/1440</f>
        <v/>
      </c>
      <c r="C1142" s="2">
        <f>INT(A1142/60)</f>
        <v/>
      </c>
      <c r="D1142" s="2">
        <f>IF(C1142&lt;6,"Night",IF(C1142&lt;12,"Morning",IF(C1142&lt;18,"Afternoon",IF(C1142&lt;22,"Evening","Night"))))</f>
        <v/>
      </c>
    </row>
    <row r="1143">
      <c r="A1143" s="2" t="n">
        <v>1141</v>
      </c>
      <c r="B1143" s="20">
        <f>A1143/1440</f>
        <v/>
      </c>
      <c r="C1143" s="2">
        <f>INT(A1143/60)</f>
        <v/>
      </c>
      <c r="D1143" s="2">
        <f>IF(C1143&lt;6,"Night",IF(C1143&lt;12,"Morning",IF(C1143&lt;18,"Afternoon",IF(C1143&lt;22,"Evening","Night"))))</f>
        <v/>
      </c>
    </row>
    <row r="1144">
      <c r="A1144" s="2" t="n">
        <v>1142</v>
      </c>
      <c r="B1144" s="20">
        <f>A1144/1440</f>
        <v/>
      </c>
      <c r="C1144" s="2">
        <f>INT(A1144/60)</f>
        <v/>
      </c>
      <c r="D1144" s="2">
        <f>IF(C1144&lt;6,"Night",IF(C1144&lt;12,"Morning",IF(C1144&lt;18,"Afternoon",IF(C1144&lt;22,"Evening","Night"))))</f>
        <v/>
      </c>
    </row>
    <row r="1145">
      <c r="A1145" s="2" t="n">
        <v>1143</v>
      </c>
      <c r="B1145" s="20">
        <f>A1145/1440</f>
        <v/>
      </c>
      <c r="C1145" s="2">
        <f>INT(A1145/60)</f>
        <v/>
      </c>
      <c r="D1145" s="2">
        <f>IF(C1145&lt;6,"Night",IF(C1145&lt;12,"Morning",IF(C1145&lt;18,"Afternoon",IF(C1145&lt;22,"Evening","Night"))))</f>
        <v/>
      </c>
    </row>
    <row r="1146">
      <c r="A1146" s="2" t="n">
        <v>1144</v>
      </c>
      <c r="B1146" s="20">
        <f>A1146/1440</f>
        <v/>
      </c>
      <c r="C1146" s="2">
        <f>INT(A1146/60)</f>
        <v/>
      </c>
      <c r="D1146" s="2">
        <f>IF(C1146&lt;6,"Night",IF(C1146&lt;12,"Morning",IF(C1146&lt;18,"Afternoon",IF(C1146&lt;22,"Evening","Night"))))</f>
        <v/>
      </c>
    </row>
    <row r="1147">
      <c r="A1147" s="2" t="n">
        <v>1145</v>
      </c>
      <c r="B1147" s="20">
        <f>A1147/1440</f>
        <v/>
      </c>
      <c r="C1147" s="2">
        <f>INT(A1147/60)</f>
        <v/>
      </c>
      <c r="D1147" s="2">
        <f>IF(C1147&lt;6,"Night",IF(C1147&lt;12,"Morning",IF(C1147&lt;18,"Afternoon",IF(C1147&lt;22,"Evening","Night"))))</f>
        <v/>
      </c>
    </row>
    <row r="1148">
      <c r="A1148" s="2" t="n">
        <v>1146</v>
      </c>
      <c r="B1148" s="20">
        <f>A1148/1440</f>
        <v/>
      </c>
      <c r="C1148" s="2">
        <f>INT(A1148/60)</f>
        <v/>
      </c>
      <c r="D1148" s="2">
        <f>IF(C1148&lt;6,"Night",IF(C1148&lt;12,"Morning",IF(C1148&lt;18,"Afternoon",IF(C1148&lt;22,"Evening","Night"))))</f>
        <v/>
      </c>
    </row>
    <row r="1149">
      <c r="A1149" s="2" t="n">
        <v>1147</v>
      </c>
      <c r="B1149" s="20">
        <f>A1149/1440</f>
        <v/>
      </c>
      <c r="C1149" s="2">
        <f>INT(A1149/60)</f>
        <v/>
      </c>
      <c r="D1149" s="2">
        <f>IF(C1149&lt;6,"Night",IF(C1149&lt;12,"Morning",IF(C1149&lt;18,"Afternoon",IF(C1149&lt;22,"Evening","Night"))))</f>
        <v/>
      </c>
    </row>
    <row r="1150">
      <c r="A1150" s="2" t="n">
        <v>1148</v>
      </c>
      <c r="B1150" s="20">
        <f>A1150/1440</f>
        <v/>
      </c>
      <c r="C1150" s="2">
        <f>INT(A1150/60)</f>
        <v/>
      </c>
      <c r="D1150" s="2">
        <f>IF(C1150&lt;6,"Night",IF(C1150&lt;12,"Morning",IF(C1150&lt;18,"Afternoon",IF(C1150&lt;22,"Evening","Night"))))</f>
        <v/>
      </c>
    </row>
    <row r="1151">
      <c r="A1151" s="2" t="n">
        <v>1149</v>
      </c>
      <c r="B1151" s="20">
        <f>A1151/1440</f>
        <v/>
      </c>
      <c r="C1151" s="2">
        <f>INT(A1151/60)</f>
        <v/>
      </c>
      <c r="D1151" s="2">
        <f>IF(C1151&lt;6,"Night",IF(C1151&lt;12,"Morning",IF(C1151&lt;18,"Afternoon",IF(C1151&lt;22,"Evening","Night"))))</f>
        <v/>
      </c>
    </row>
    <row r="1152">
      <c r="A1152" s="2" t="n">
        <v>1150</v>
      </c>
      <c r="B1152" s="20">
        <f>A1152/1440</f>
        <v/>
      </c>
      <c r="C1152" s="2">
        <f>INT(A1152/60)</f>
        <v/>
      </c>
      <c r="D1152" s="2">
        <f>IF(C1152&lt;6,"Night",IF(C1152&lt;12,"Morning",IF(C1152&lt;18,"Afternoon",IF(C1152&lt;22,"Evening","Night"))))</f>
        <v/>
      </c>
    </row>
    <row r="1153">
      <c r="A1153" s="2" t="n">
        <v>1151</v>
      </c>
      <c r="B1153" s="20">
        <f>A1153/1440</f>
        <v/>
      </c>
      <c r="C1153" s="2">
        <f>INT(A1153/60)</f>
        <v/>
      </c>
      <c r="D1153" s="2">
        <f>IF(C1153&lt;6,"Night",IF(C1153&lt;12,"Morning",IF(C1153&lt;18,"Afternoon",IF(C1153&lt;22,"Evening","Night"))))</f>
        <v/>
      </c>
    </row>
    <row r="1154">
      <c r="A1154" s="2" t="n">
        <v>1152</v>
      </c>
      <c r="B1154" s="20">
        <f>A1154/1440</f>
        <v/>
      </c>
      <c r="C1154" s="2">
        <f>INT(A1154/60)</f>
        <v/>
      </c>
      <c r="D1154" s="2">
        <f>IF(C1154&lt;6,"Night",IF(C1154&lt;12,"Morning",IF(C1154&lt;18,"Afternoon",IF(C1154&lt;22,"Evening","Night"))))</f>
        <v/>
      </c>
    </row>
    <row r="1155">
      <c r="A1155" s="2" t="n">
        <v>1153</v>
      </c>
      <c r="B1155" s="20">
        <f>A1155/1440</f>
        <v/>
      </c>
      <c r="C1155" s="2">
        <f>INT(A1155/60)</f>
        <v/>
      </c>
      <c r="D1155" s="2">
        <f>IF(C1155&lt;6,"Night",IF(C1155&lt;12,"Morning",IF(C1155&lt;18,"Afternoon",IF(C1155&lt;22,"Evening","Night"))))</f>
        <v/>
      </c>
    </row>
    <row r="1156">
      <c r="A1156" s="2" t="n">
        <v>1154</v>
      </c>
      <c r="B1156" s="20">
        <f>A1156/1440</f>
        <v/>
      </c>
      <c r="C1156" s="2">
        <f>INT(A1156/60)</f>
        <v/>
      </c>
      <c r="D1156" s="2">
        <f>IF(C1156&lt;6,"Night",IF(C1156&lt;12,"Morning",IF(C1156&lt;18,"Afternoon",IF(C1156&lt;22,"Evening","Night"))))</f>
        <v/>
      </c>
    </row>
    <row r="1157">
      <c r="A1157" s="2" t="n">
        <v>1155</v>
      </c>
      <c r="B1157" s="20">
        <f>A1157/1440</f>
        <v/>
      </c>
      <c r="C1157" s="2">
        <f>INT(A1157/60)</f>
        <v/>
      </c>
      <c r="D1157" s="2">
        <f>IF(C1157&lt;6,"Night",IF(C1157&lt;12,"Morning",IF(C1157&lt;18,"Afternoon",IF(C1157&lt;22,"Evening","Night"))))</f>
        <v/>
      </c>
    </row>
    <row r="1158">
      <c r="A1158" s="2" t="n">
        <v>1156</v>
      </c>
      <c r="B1158" s="20">
        <f>A1158/1440</f>
        <v/>
      </c>
      <c r="C1158" s="2">
        <f>INT(A1158/60)</f>
        <v/>
      </c>
      <c r="D1158" s="2">
        <f>IF(C1158&lt;6,"Night",IF(C1158&lt;12,"Morning",IF(C1158&lt;18,"Afternoon",IF(C1158&lt;22,"Evening","Night"))))</f>
        <v/>
      </c>
    </row>
    <row r="1159">
      <c r="A1159" s="2" t="n">
        <v>1157</v>
      </c>
      <c r="B1159" s="20">
        <f>A1159/1440</f>
        <v/>
      </c>
      <c r="C1159" s="2">
        <f>INT(A1159/60)</f>
        <v/>
      </c>
      <c r="D1159" s="2">
        <f>IF(C1159&lt;6,"Night",IF(C1159&lt;12,"Morning",IF(C1159&lt;18,"Afternoon",IF(C1159&lt;22,"Evening","Night"))))</f>
        <v/>
      </c>
    </row>
    <row r="1160">
      <c r="A1160" s="2" t="n">
        <v>1158</v>
      </c>
      <c r="B1160" s="20">
        <f>A1160/1440</f>
        <v/>
      </c>
      <c r="C1160" s="2">
        <f>INT(A1160/60)</f>
        <v/>
      </c>
      <c r="D1160" s="2">
        <f>IF(C1160&lt;6,"Night",IF(C1160&lt;12,"Morning",IF(C1160&lt;18,"Afternoon",IF(C1160&lt;22,"Evening","Night"))))</f>
        <v/>
      </c>
    </row>
    <row r="1161">
      <c r="A1161" s="2" t="n">
        <v>1159</v>
      </c>
      <c r="B1161" s="20">
        <f>A1161/1440</f>
        <v/>
      </c>
      <c r="C1161" s="2">
        <f>INT(A1161/60)</f>
        <v/>
      </c>
      <c r="D1161" s="2">
        <f>IF(C1161&lt;6,"Night",IF(C1161&lt;12,"Morning",IF(C1161&lt;18,"Afternoon",IF(C1161&lt;22,"Evening","Night"))))</f>
        <v/>
      </c>
    </row>
    <row r="1162">
      <c r="A1162" s="2" t="n">
        <v>1160</v>
      </c>
      <c r="B1162" s="20">
        <f>A1162/1440</f>
        <v/>
      </c>
      <c r="C1162" s="2">
        <f>INT(A1162/60)</f>
        <v/>
      </c>
      <c r="D1162" s="2">
        <f>IF(C1162&lt;6,"Night",IF(C1162&lt;12,"Morning",IF(C1162&lt;18,"Afternoon",IF(C1162&lt;22,"Evening","Night"))))</f>
        <v/>
      </c>
    </row>
    <row r="1163">
      <c r="A1163" s="2" t="n">
        <v>1161</v>
      </c>
      <c r="B1163" s="20">
        <f>A1163/1440</f>
        <v/>
      </c>
      <c r="C1163" s="2">
        <f>INT(A1163/60)</f>
        <v/>
      </c>
      <c r="D1163" s="2">
        <f>IF(C1163&lt;6,"Night",IF(C1163&lt;12,"Morning",IF(C1163&lt;18,"Afternoon",IF(C1163&lt;22,"Evening","Night"))))</f>
        <v/>
      </c>
    </row>
    <row r="1164">
      <c r="A1164" s="2" t="n">
        <v>1162</v>
      </c>
      <c r="B1164" s="20">
        <f>A1164/1440</f>
        <v/>
      </c>
      <c r="C1164" s="2">
        <f>INT(A1164/60)</f>
        <v/>
      </c>
      <c r="D1164" s="2">
        <f>IF(C1164&lt;6,"Night",IF(C1164&lt;12,"Morning",IF(C1164&lt;18,"Afternoon",IF(C1164&lt;22,"Evening","Night"))))</f>
        <v/>
      </c>
    </row>
    <row r="1165">
      <c r="A1165" s="2" t="n">
        <v>1163</v>
      </c>
      <c r="B1165" s="20">
        <f>A1165/1440</f>
        <v/>
      </c>
      <c r="C1165" s="2">
        <f>INT(A1165/60)</f>
        <v/>
      </c>
      <c r="D1165" s="2">
        <f>IF(C1165&lt;6,"Night",IF(C1165&lt;12,"Morning",IF(C1165&lt;18,"Afternoon",IF(C1165&lt;22,"Evening","Night"))))</f>
        <v/>
      </c>
    </row>
    <row r="1166">
      <c r="A1166" s="2" t="n">
        <v>1164</v>
      </c>
      <c r="B1166" s="20">
        <f>A1166/1440</f>
        <v/>
      </c>
      <c r="C1166" s="2">
        <f>INT(A1166/60)</f>
        <v/>
      </c>
      <c r="D1166" s="2">
        <f>IF(C1166&lt;6,"Night",IF(C1166&lt;12,"Morning",IF(C1166&lt;18,"Afternoon",IF(C1166&lt;22,"Evening","Night"))))</f>
        <v/>
      </c>
    </row>
    <row r="1167">
      <c r="A1167" s="2" t="n">
        <v>1165</v>
      </c>
      <c r="B1167" s="20">
        <f>A1167/1440</f>
        <v/>
      </c>
      <c r="C1167" s="2">
        <f>INT(A1167/60)</f>
        <v/>
      </c>
      <c r="D1167" s="2">
        <f>IF(C1167&lt;6,"Night",IF(C1167&lt;12,"Morning",IF(C1167&lt;18,"Afternoon",IF(C1167&lt;22,"Evening","Night"))))</f>
        <v/>
      </c>
    </row>
    <row r="1168">
      <c r="A1168" s="2" t="n">
        <v>1166</v>
      </c>
      <c r="B1168" s="20">
        <f>A1168/1440</f>
        <v/>
      </c>
      <c r="C1168" s="2">
        <f>INT(A1168/60)</f>
        <v/>
      </c>
      <c r="D1168" s="2">
        <f>IF(C1168&lt;6,"Night",IF(C1168&lt;12,"Morning",IF(C1168&lt;18,"Afternoon",IF(C1168&lt;22,"Evening","Night"))))</f>
        <v/>
      </c>
    </row>
    <row r="1169">
      <c r="A1169" s="2" t="n">
        <v>1167</v>
      </c>
      <c r="B1169" s="20">
        <f>A1169/1440</f>
        <v/>
      </c>
      <c r="C1169" s="2">
        <f>INT(A1169/60)</f>
        <v/>
      </c>
      <c r="D1169" s="2">
        <f>IF(C1169&lt;6,"Night",IF(C1169&lt;12,"Morning",IF(C1169&lt;18,"Afternoon",IF(C1169&lt;22,"Evening","Night"))))</f>
        <v/>
      </c>
    </row>
    <row r="1170">
      <c r="A1170" s="2" t="n">
        <v>1168</v>
      </c>
      <c r="B1170" s="20">
        <f>A1170/1440</f>
        <v/>
      </c>
      <c r="C1170" s="2">
        <f>INT(A1170/60)</f>
        <v/>
      </c>
      <c r="D1170" s="2">
        <f>IF(C1170&lt;6,"Night",IF(C1170&lt;12,"Morning",IF(C1170&lt;18,"Afternoon",IF(C1170&lt;22,"Evening","Night"))))</f>
        <v/>
      </c>
    </row>
    <row r="1171">
      <c r="A1171" s="2" t="n">
        <v>1169</v>
      </c>
      <c r="B1171" s="20">
        <f>A1171/1440</f>
        <v/>
      </c>
      <c r="C1171" s="2">
        <f>INT(A1171/60)</f>
        <v/>
      </c>
      <c r="D1171" s="2">
        <f>IF(C1171&lt;6,"Night",IF(C1171&lt;12,"Morning",IF(C1171&lt;18,"Afternoon",IF(C1171&lt;22,"Evening","Night"))))</f>
        <v/>
      </c>
    </row>
    <row r="1172">
      <c r="A1172" s="2" t="n">
        <v>1170</v>
      </c>
      <c r="B1172" s="20">
        <f>A1172/1440</f>
        <v/>
      </c>
      <c r="C1172" s="2">
        <f>INT(A1172/60)</f>
        <v/>
      </c>
      <c r="D1172" s="2">
        <f>IF(C1172&lt;6,"Night",IF(C1172&lt;12,"Morning",IF(C1172&lt;18,"Afternoon",IF(C1172&lt;22,"Evening","Night"))))</f>
        <v/>
      </c>
    </row>
    <row r="1173">
      <c r="A1173" s="2" t="n">
        <v>1171</v>
      </c>
      <c r="B1173" s="20">
        <f>A1173/1440</f>
        <v/>
      </c>
      <c r="C1173" s="2">
        <f>INT(A1173/60)</f>
        <v/>
      </c>
      <c r="D1173" s="2">
        <f>IF(C1173&lt;6,"Night",IF(C1173&lt;12,"Morning",IF(C1173&lt;18,"Afternoon",IF(C1173&lt;22,"Evening","Night"))))</f>
        <v/>
      </c>
    </row>
    <row r="1174">
      <c r="A1174" s="2" t="n">
        <v>1172</v>
      </c>
      <c r="B1174" s="20">
        <f>A1174/1440</f>
        <v/>
      </c>
      <c r="C1174" s="2">
        <f>INT(A1174/60)</f>
        <v/>
      </c>
      <c r="D1174" s="2">
        <f>IF(C1174&lt;6,"Night",IF(C1174&lt;12,"Morning",IF(C1174&lt;18,"Afternoon",IF(C1174&lt;22,"Evening","Night"))))</f>
        <v/>
      </c>
    </row>
    <row r="1175">
      <c r="A1175" s="2" t="n">
        <v>1173</v>
      </c>
      <c r="B1175" s="20">
        <f>A1175/1440</f>
        <v/>
      </c>
      <c r="C1175" s="2">
        <f>INT(A1175/60)</f>
        <v/>
      </c>
      <c r="D1175" s="2">
        <f>IF(C1175&lt;6,"Night",IF(C1175&lt;12,"Morning",IF(C1175&lt;18,"Afternoon",IF(C1175&lt;22,"Evening","Night"))))</f>
        <v/>
      </c>
    </row>
    <row r="1176">
      <c r="A1176" s="2" t="n">
        <v>1174</v>
      </c>
      <c r="B1176" s="20">
        <f>A1176/1440</f>
        <v/>
      </c>
      <c r="C1176" s="2">
        <f>INT(A1176/60)</f>
        <v/>
      </c>
      <c r="D1176" s="2">
        <f>IF(C1176&lt;6,"Night",IF(C1176&lt;12,"Morning",IF(C1176&lt;18,"Afternoon",IF(C1176&lt;22,"Evening","Night"))))</f>
        <v/>
      </c>
    </row>
    <row r="1177">
      <c r="A1177" s="2" t="n">
        <v>1175</v>
      </c>
      <c r="B1177" s="20">
        <f>A1177/1440</f>
        <v/>
      </c>
      <c r="C1177" s="2">
        <f>INT(A1177/60)</f>
        <v/>
      </c>
      <c r="D1177" s="2">
        <f>IF(C1177&lt;6,"Night",IF(C1177&lt;12,"Morning",IF(C1177&lt;18,"Afternoon",IF(C1177&lt;22,"Evening","Night"))))</f>
        <v/>
      </c>
    </row>
    <row r="1178">
      <c r="A1178" s="2" t="n">
        <v>1176</v>
      </c>
      <c r="B1178" s="20">
        <f>A1178/1440</f>
        <v/>
      </c>
      <c r="C1178" s="2">
        <f>INT(A1178/60)</f>
        <v/>
      </c>
      <c r="D1178" s="2">
        <f>IF(C1178&lt;6,"Night",IF(C1178&lt;12,"Morning",IF(C1178&lt;18,"Afternoon",IF(C1178&lt;22,"Evening","Night"))))</f>
        <v/>
      </c>
    </row>
    <row r="1179">
      <c r="A1179" s="2" t="n">
        <v>1177</v>
      </c>
      <c r="B1179" s="20">
        <f>A1179/1440</f>
        <v/>
      </c>
      <c r="C1179" s="2">
        <f>INT(A1179/60)</f>
        <v/>
      </c>
      <c r="D1179" s="2">
        <f>IF(C1179&lt;6,"Night",IF(C1179&lt;12,"Morning",IF(C1179&lt;18,"Afternoon",IF(C1179&lt;22,"Evening","Night"))))</f>
        <v/>
      </c>
    </row>
    <row r="1180">
      <c r="A1180" s="2" t="n">
        <v>1178</v>
      </c>
      <c r="B1180" s="20">
        <f>A1180/1440</f>
        <v/>
      </c>
      <c r="C1180" s="2">
        <f>INT(A1180/60)</f>
        <v/>
      </c>
      <c r="D1180" s="2">
        <f>IF(C1180&lt;6,"Night",IF(C1180&lt;12,"Morning",IF(C1180&lt;18,"Afternoon",IF(C1180&lt;22,"Evening","Night"))))</f>
        <v/>
      </c>
    </row>
    <row r="1181">
      <c r="A1181" s="2" t="n">
        <v>1179</v>
      </c>
      <c r="B1181" s="20">
        <f>A1181/1440</f>
        <v/>
      </c>
      <c r="C1181" s="2">
        <f>INT(A1181/60)</f>
        <v/>
      </c>
      <c r="D1181" s="2">
        <f>IF(C1181&lt;6,"Night",IF(C1181&lt;12,"Morning",IF(C1181&lt;18,"Afternoon",IF(C1181&lt;22,"Evening","Night"))))</f>
        <v/>
      </c>
    </row>
    <row r="1182">
      <c r="A1182" s="2" t="n">
        <v>1180</v>
      </c>
      <c r="B1182" s="20">
        <f>A1182/1440</f>
        <v/>
      </c>
      <c r="C1182" s="2">
        <f>INT(A1182/60)</f>
        <v/>
      </c>
      <c r="D1182" s="2">
        <f>IF(C1182&lt;6,"Night",IF(C1182&lt;12,"Morning",IF(C1182&lt;18,"Afternoon",IF(C1182&lt;22,"Evening","Night"))))</f>
        <v/>
      </c>
    </row>
    <row r="1183">
      <c r="A1183" s="2" t="n">
        <v>1181</v>
      </c>
      <c r="B1183" s="20">
        <f>A1183/1440</f>
        <v/>
      </c>
      <c r="C1183" s="2">
        <f>INT(A1183/60)</f>
        <v/>
      </c>
      <c r="D1183" s="2">
        <f>IF(C1183&lt;6,"Night",IF(C1183&lt;12,"Morning",IF(C1183&lt;18,"Afternoon",IF(C1183&lt;22,"Evening","Night"))))</f>
        <v/>
      </c>
    </row>
    <row r="1184">
      <c r="A1184" s="2" t="n">
        <v>1182</v>
      </c>
      <c r="B1184" s="20">
        <f>A1184/1440</f>
        <v/>
      </c>
      <c r="C1184" s="2">
        <f>INT(A1184/60)</f>
        <v/>
      </c>
      <c r="D1184" s="2">
        <f>IF(C1184&lt;6,"Night",IF(C1184&lt;12,"Morning",IF(C1184&lt;18,"Afternoon",IF(C1184&lt;22,"Evening","Night"))))</f>
        <v/>
      </c>
    </row>
    <row r="1185">
      <c r="A1185" s="2" t="n">
        <v>1183</v>
      </c>
      <c r="B1185" s="20">
        <f>A1185/1440</f>
        <v/>
      </c>
      <c r="C1185" s="2">
        <f>INT(A1185/60)</f>
        <v/>
      </c>
      <c r="D1185" s="2">
        <f>IF(C1185&lt;6,"Night",IF(C1185&lt;12,"Morning",IF(C1185&lt;18,"Afternoon",IF(C1185&lt;22,"Evening","Night"))))</f>
        <v/>
      </c>
    </row>
    <row r="1186">
      <c r="A1186" s="2" t="n">
        <v>1184</v>
      </c>
      <c r="B1186" s="20">
        <f>A1186/1440</f>
        <v/>
      </c>
      <c r="C1186" s="2">
        <f>INT(A1186/60)</f>
        <v/>
      </c>
      <c r="D1186" s="2">
        <f>IF(C1186&lt;6,"Night",IF(C1186&lt;12,"Morning",IF(C1186&lt;18,"Afternoon",IF(C1186&lt;22,"Evening","Night"))))</f>
        <v/>
      </c>
    </row>
    <row r="1187">
      <c r="A1187" s="2" t="n">
        <v>1185</v>
      </c>
      <c r="B1187" s="20">
        <f>A1187/1440</f>
        <v/>
      </c>
      <c r="C1187" s="2">
        <f>INT(A1187/60)</f>
        <v/>
      </c>
      <c r="D1187" s="2">
        <f>IF(C1187&lt;6,"Night",IF(C1187&lt;12,"Morning",IF(C1187&lt;18,"Afternoon",IF(C1187&lt;22,"Evening","Night"))))</f>
        <v/>
      </c>
    </row>
    <row r="1188">
      <c r="A1188" s="2" t="n">
        <v>1186</v>
      </c>
      <c r="B1188" s="20">
        <f>A1188/1440</f>
        <v/>
      </c>
      <c r="C1188" s="2">
        <f>INT(A1188/60)</f>
        <v/>
      </c>
      <c r="D1188" s="2">
        <f>IF(C1188&lt;6,"Night",IF(C1188&lt;12,"Morning",IF(C1188&lt;18,"Afternoon",IF(C1188&lt;22,"Evening","Night"))))</f>
        <v/>
      </c>
    </row>
    <row r="1189">
      <c r="A1189" s="2" t="n">
        <v>1187</v>
      </c>
      <c r="B1189" s="20">
        <f>A1189/1440</f>
        <v/>
      </c>
      <c r="C1189" s="2">
        <f>INT(A1189/60)</f>
        <v/>
      </c>
      <c r="D1189" s="2">
        <f>IF(C1189&lt;6,"Night",IF(C1189&lt;12,"Morning",IF(C1189&lt;18,"Afternoon",IF(C1189&lt;22,"Evening","Night"))))</f>
        <v/>
      </c>
    </row>
    <row r="1190">
      <c r="A1190" s="2" t="n">
        <v>1188</v>
      </c>
      <c r="B1190" s="20">
        <f>A1190/1440</f>
        <v/>
      </c>
      <c r="C1190" s="2">
        <f>INT(A1190/60)</f>
        <v/>
      </c>
      <c r="D1190" s="2">
        <f>IF(C1190&lt;6,"Night",IF(C1190&lt;12,"Morning",IF(C1190&lt;18,"Afternoon",IF(C1190&lt;22,"Evening","Night"))))</f>
        <v/>
      </c>
    </row>
    <row r="1191">
      <c r="A1191" s="2" t="n">
        <v>1189</v>
      </c>
      <c r="B1191" s="20">
        <f>A1191/1440</f>
        <v/>
      </c>
      <c r="C1191" s="2">
        <f>INT(A1191/60)</f>
        <v/>
      </c>
      <c r="D1191" s="2">
        <f>IF(C1191&lt;6,"Night",IF(C1191&lt;12,"Morning",IF(C1191&lt;18,"Afternoon",IF(C1191&lt;22,"Evening","Night"))))</f>
        <v/>
      </c>
    </row>
    <row r="1192">
      <c r="A1192" s="2" t="n">
        <v>1190</v>
      </c>
      <c r="B1192" s="20">
        <f>A1192/1440</f>
        <v/>
      </c>
      <c r="C1192" s="2">
        <f>INT(A1192/60)</f>
        <v/>
      </c>
      <c r="D1192" s="2">
        <f>IF(C1192&lt;6,"Night",IF(C1192&lt;12,"Morning",IF(C1192&lt;18,"Afternoon",IF(C1192&lt;22,"Evening","Night"))))</f>
        <v/>
      </c>
    </row>
    <row r="1193">
      <c r="A1193" s="2" t="n">
        <v>1191</v>
      </c>
      <c r="B1193" s="20">
        <f>A1193/1440</f>
        <v/>
      </c>
      <c r="C1193" s="2">
        <f>INT(A1193/60)</f>
        <v/>
      </c>
      <c r="D1193" s="2">
        <f>IF(C1193&lt;6,"Night",IF(C1193&lt;12,"Morning",IF(C1193&lt;18,"Afternoon",IF(C1193&lt;22,"Evening","Night"))))</f>
        <v/>
      </c>
    </row>
    <row r="1194">
      <c r="A1194" s="2" t="n">
        <v>1192</v>
      </c>
      <c r="B1194" s="20">
        <f>A1194/1440</f>
        <v/>
      </c>
      <c r="C1194" s="2">
        <f>INT(A1194/60)</f>
        <v/>
      </c>
      <c r="D1194" s="2">
        <f>IF(C1194&lt;6,"Night",IF(C1194&lt;12,"Morning",IF(C1194&lt;18,"Afternoon",IF(C1194&lt;22,"Evening","Night"))))</f>
        <v/>
      </c>
    </row>
    <row r="1195">
      <c r="A1195" s="2" t="n">
        <v>1193</v>
      </c>
      <c r="B1195" s="20">
        <f>A1195/1440</f>
        <v/>
      </c>
      <c r="C1195" s="2">
        <f>INT(A1195/60)</f>
        <v/>
      </c>
      <c r="D1195" s="2">
        <f>IF(C1195&lt;6,"Night",IF(C1195&lt;12,"Morning",IF(C1195&lt;18,"Afternoon",IF(C1195&lt;22,"Evening","Night"))))</f>
        <v/>
      </c>
    </row>
    <row r="1196">
      <c r="A1196" s="2" t="n">
        <v>1194</v>
      </c>
      <c r="B1196" s="20">
        <f>A1196/1440</f>
        <v/>
      </c>
      <c r="C1196" s="2">
        <f>INT(A1196/60)</f>
        <v/>
      </c>
      <c r="D1196" s="2">
        <f>IF(C1196&lt;6,"Night",IF(C1196&lt;12,"Morning",IF(C1196&lt;18,"Afternoon",IF(C1196&lt;22,"Evening","Night"))))</f>
        <v/>
      </c>
    </row>
    <row r="1197">
      <c r="A1197" s="2" t="n">
        <v>1195</v>
      </c>
      <c r="B1197" s="20">
        <f>A1197/1440</f>
        <v/>
      </c>
      <c r="C1197" s="2">
        <f>INT(A1197/60)</f>
        <v/>
      </c>
      <c r="D1197" s="2">
        <f>IF(C1197&lt;6,"Night",IF(C1197&lt;12,"Morning",IF(C1197&lt;18,"Afternoon",IF(C1197&lt;22,"Evening","Night"))))</f>
        <v/>
      </c>
    </row>
    <row r="1198">
      <c r="A1198" s="2" t="n">
        <v>1196</v>
      </c>
      <c r="B1198" s="20">
        <f>A1198/1440</f>
        <v/>
      </c>
      <c r="C1198" s="2">
        <f>INT(A1198/60)</f>
        <v/>
      </c>
      <c r="D1198" s="2">
        <f>IF(C1198&lt;6,"Night",IF(C1198&lt;12,"Morning",IF(C1198&lt;18,"Afternoon",IF(C1198&lt;22,"Evening","Night"))))</f>
        <v/>
      </c>
    </row>
    <row r="1199">
      <c r="A1199" s="2" t="n">
        <v>1197</v>
      </c>
      <c r="B1199" s="20">
        <f>A1199/1440</f>
        <v/>
      </c>
      <c r="C1199" s="2">
        <f>INT(A1199/60)</f>
        <v/>
      </c>
      <c r="D1199" s="2">
        <f>IF(C1199&lt;6,"Night",IF(C1199&lt;12,"Morning",IF(C1199&lt;18,"Afternoon",IF(C1199&lt;22,"Evening","Night"))))</f>
        <v/>
      </c>
    </row>
    <row r="1200">
      <c r="A1200" s="2" t="n">
        <v>1198</v>
      </c>
      <c r="B1200" s="20">
        <f>A1200/1440</f>
        <v/>
      </c>
      <c r="C1200" s="2">
        <f>INT(A1200/60)</f>
        <v/>
      </c>
      <c r="D1200" s="2">
        <f>IF(C1200&lt;6,"Night",IF(C1200&lt;12,"Morning",IF(C1200&lt;18,"Afternoon",IF(C1200&lt;22,"Evening","Night"))))</f>
        <v/>
      </c>
    </row>
    <row r="1201">
      <c r="A1201" s="2" t="n">
        <v>1199</v>
      </c>
      <c r="B1201" s="20">
        <f>A1201/1440</f>
        <v/>
      </c>
      <c r="C1201" s="2">
        <f>INT(A1201/60)</f>
        <v/>
      </c>
      <c r="D1201" s="2">
        <f>IF(C1201&lt;6,"Night",IF(C1201&lt;12,"Morning",IF(C1201&lt;18,"Afternoon",IF(C1201&lt;22,"Evening","Night"))))</f>
        <v/>
      </c>
    </row>
    <row r="1202">
      <c r="A1202" s="2" t="n">
        <v>1200</v>
      </c>
      <c r="B1202" s="20">
        <f>A1202/1440</f>
        <v/>
      </c>
      <c r="C1202" s="2">
        <f>INT(A1202/60)</f>
        <v/>
      </c>
      <c r="D1202" s="2">
        <f>IF(C1202&lt;6,"Night",IF(C1202&lt;12,"Morning",IF(C1202&lt;18,"Afternoon",IF(C1202&lt;22,"Evening","Night"))))</f>
        <v/>
      </c>
    </row>
    <row r="1203">
      <c r="A1203" s="2" t="n">
        <v>1201</v>
      </c>
      <c r="B1203" s="20">
        <f>A1203/1440</f>
        <v/>
      </c>
      <c r="C1203" s="2">
        <f>INT(A1203/60)</f>
        <v/>
      </c>
      <c r="D1203" s="2">
        <f>IF(C1203&lt;6,"Night",IF(C1203&lt;12,"Morning",IF(C1203&lt;18,"Afternoon",IF(C1203&lt;22,"Evening","Night"))))</f>
        <v/>
      </c>
    </row>
    <row r="1204">
      <c r="A1204" s="2" t="n">
        <v>1202</v>
      </c>
      <c r="B1204" s="20">
        <f>A1204/1440</f>
        <v/>
      </c>
      <c r="C1204" s="2">
        <f>INT(A1204/60)</f>
        <v/>
      </c>
      <c r="D1204" s="2">
        <f>IF(C1204&lt;6,"Night",IF(C1204&lt;12,"Morning",IF(C1204&lt;18,"Afternoon",IF(C1204&lt;22,"Evening","Night"))))</f>
        <v/>
      </c>
    </row>
    <row r="1205">
      <c r="A1205" s="2" t="n">
        <v>1203</v>
      </c>
      <c r="B1205" s="20">
        <f>A1205/1440</f>
        <v/>
      </c>
      <c r="C1205" s="2">
        <f>INT(A1205/60)</f>
        <v/>
      </c>
      <c r="D1205" s="2">
        <f>IF(C1205&lt;6,"Night",IF(C1205&lt;12,"Morning",IF(C1205&lt;18,"Afternoon",IF(C1205&lt;22,"Evening","Night"))))</f>
        <v/>
      </c>
    </row>
    <row r="1206">
      <c r="A1206" s="2" t="n">
        <v>1204</v>
      </c>
      <c r="B1206" s="20">
        <f>A1206/1440</f>
        <v/>
      </c>
      <c r="C1206" s="2">
        <f>INT(A1206/60)</f>
        <v/>
      </c>
      <c r="D1206" s="2">
        <f>IF(C1206&lt;6,"Night",IF(C1206&lt;12,"Morning",IF(C1206&lt;18,"Afternoon",IF(C1206&lt;22,"Evening","Night"))))</f>
        <v/>
      </c>
    </row>
    <row r="1207">
      <c r="A1207" s="2" t="n">
        <v>1205</v>
      </c>
      <c r="B1207" s="20">
        <f>A1207/1440</f>
        <v/>
      </c>
      <c r="C1207" s="2">
        <f>INT(A1207/60)</f>
        <v/>
      </c>
      <c r="D1207" s="2">
        <f>IF(C1207&lt;6,"Night",IF(C1207&lt;12,"Morning",IF(C1207&lt;18,"Afternoon",IF(C1207&lt;22,"Evening","Night"))))</f>
        <v/>
      </c>
    </row>
    <row r="1208">
      <c r="A1208" s="2" t="n">
        <v>1206</v>
      </c>
      <c r="B1208" s="20">
        <f>A1208/1440</f>
        <v/>
      </c>
      <c r="C1208" s="2">
        <f>INT(A1208/60)</f>
        <v/>
      </c>
      <c r="D1208" s="2">
        <f>IF(C1208&lt;6,"Night",IF(C1208&lt;12,"Morning",IF(C1208&lt;18,"Afternoon",IF(C1208&lt;22,"Evening","Night"))))</f>
        <v/>
      </c>
    </row>
    <row r="1209">
      <c r="A1209" s="2" t="n">
        <v>1207</v>
      </c>
      <c r="B1209" s="20">
        <f>A1209/1440</f>
        <v/>
      </c>
      <c r="C1209" s="2">
        <f>INT(A1209/60)</f>
        <v/>
      </c>
      <c r="D1209" s="2">
        <f>IF(C1209&lt;6,"Night",IF(C1209&lt;12,"Morning",IF(C1209&lt;18,"Afternoon",IF(C1209&lt;22,"Evening","Night"))))</f>
        <v/>
      </c>
    </row>
    <row r="1210">
      <c r="A1210" s="2" t="n">
        <v>1208</v>
      </c>
      <c r="B1210" s="20">
        <f>A1210/1440</f>
        <v/>
      </c>
      <c r="C1210" s="2">
        <f>INT(A1210/60)</f>
        <v/>
      </c>
      <c r="D1210" s="2">
        <f>IF(C1210&lt;6,"Night",IF(C1210&lt;12,"Morning",IF(C1210&lt;18,"Afternoon",IF(C1210&lt;22,"Evening","Night"))))</f>
        <v/>
      </c>
    </row>
    <row r="1211">
      <c r="A1211" s="2" t="n">
        <v>1209</v>
      </c>
      <c r="B1211" s="20">
        <f>A1211/1440</f>
        <v/>
      </c>
      <c r="C1211" s="2">
        <f>INT(A1211/60)</f>
        <v/>
      </c>
      <c r="D1211" s="2">
        <f>IF(C1211&lt;6,"Night",IF(C1211&lt;12,"Morning",IF(C1211&lt;18,"Afternoon",IF(C1211&lt;22,"Evening","Night"))))</f>
        <v/>
      </c>
    </row>
    <row r="1212">
      <c r="A1212" s="2" t="n">
        <v>1210</v>
      </c>
      <c r="B1212" s="20">
        <f>A1212/1440</f>
        <v/>
      </c>
      <c r="C1212" s="2">
        <f>INT(A1212/60)</f>
        <v/>
      </c>
      <c r="D1212" s="2">
        <f>IF(C1212&lt;6,"Night",IF(C1212&lt;12,"Morning",IF(C1212&lt;18,"Afternoon",IF(C1212&lt;22,"Evening","Night"))))</f>
        <v/>
      </c>
    </row>
    <row r="1213">
      <c r="A1213" s="2" t="n">
        <v>1211</v>
      </c>
      <c r="B1213" s="20">
        <f>A1213/1440</f>
        <v/>
      </c>
      <c r="C1213" s="2">
        <f>INT(A1213/60)</f>
        <v/>
      </c>
      <c r="D1213" s="2">
        <f>IF(C1213&lt;6,"Night",IF(C1213&lt;12,"Morning",IF(C1213&lt;18,"Afternoon",IF(C1213&lt;22,"Evening","Night"))))</f>
        <v/>
      </c>
    </row>
    <row r="1214">
      <c r="A1214" s="2" t="n">
        <v>1212</v>
      </c>
      <c r="B1214" s="20">
        <f>A1214/1440</f>
        <v/>
      </c>
      <c r="C1214" s="2">
        <f>INT(A1214/60)</f>
        <v/>
      </c>
      <c r="D1214" s="2">
        <f>IF(C1214&lt;6,"Night",IF(C1214&lt;12,"Morning",IF(C1214&lt;18,"Afternoon",IF(C1214&lt;22,"Evening","Night"))))</f>
        <v/>
      </c>
    </row>
    <row r="1215">
      <c r="A1215" s="2" t="n">
        <v>1213</v>
      </c>
      <c r="B1215" s="20">
        <f>A1215/1440</f>
        <v/>
      </c>
      <c r="C1215" s="2">
        <f>INT(A1215/60)</f>
        <v/>
      </c>
      <c r="D1215" s="2">
        <f>IF(C1215&lt;6,"Night",IF(C1215&lt;12,"Morning",IF(C1215&lt;18,"Afternoon",IF(C1215&lt;22,"Evening","Night"))))</f>
        <v/>
      </c>
    </row>
    <row r="1216">
      <c r="A1216" s="2" t="n">
        <v>1214</v>
      </c>
      <c r="B1216" s="20">
        <f>A1216/1440</f>
        <v/>
      </c>
      <c r="C1216" s="2">
        <f>INT(A1216/60)</f>
        <v/>
      </c>
      <c r="D1216" s="2">
        <f>IF(C1216&lt;6,"Night",IF(C1216&lt;12,"Morning",IF(C1216&lt;18,"Afternoon",IF(C1216&lt;22,"Evening","Night"))))</f>
        <v/>
      </c>
    </row>
    <row r="1217">
      <c r="A1217" s="2" t="n">
        <v>1215</v>
      </c>
      <c r="B1217" s="20">
        <f>A1217/1440</f>
        <v/>
      </c>
      <c r="C1217" s="2">
        <f>INT(A1217/60)</f>
        <v/>
      </c>
      <c r="D1217" s="2">
        <f>IF(C1217&lt;6,"Night",IF(C1217&lt;12,"Morning",IF(C1217&lt;18,"Afternoon",IF(C1217&lt;22,"Evening","Night"))))</f>
        <v/>
      </c>
    </row>
    <row r="1218">
      <c r="A1218" s="2" t="n">
        <v>1216</v>
      </c>
      <c r="B1218" s="20">
        <f>A1218/1440</f>
        <v/>
      </c>
      <c r="C1218" s="2">
        <f>INT(A1218/60)</f>
        <v/>
      </c>
      <c r="D1218" s="2">
        <f>IF(C1218&lt;6,"Night",IF(C1218&lt;12,"Morning",IF(C1218&lt;18,"Afternoon",IF(C1218&lt;22,"Evening","Night"))))</f>
        <v/>
      </c>
    </row>
    <row r="1219">
      <c r="A1219" s="2" t="n">
        <v>1217</v>
      </c>
      <c r="B1219" s="20">
        <f>A1219/1440</f>
        <v/>
      </c>
      <c r="C1219" s="2">
        <f>INT(A1219/60)</f>
        <v/>
      </c>
      <c r="D1219" s="2">
        <f>IF(C1219&lt;6,"Night",IF(C1219&lt;12,"Morning",IF(C1219&lt;18,"Afternoon",IF(C1219&lt;22,"Evening","Night"))))</f>
        <v/>
      </c>
    </row>
    <row r="1220">
      <c r="A1220" s="2" t="n">
        <v>1218</v>
      </c>
      <c r="B1220" s="20">
        <f>A1220/1440</f>
        <v/>
      </c>
      <c r="C1220" s="2">
        <f>INT(A1220/60)</f>
        <v/>
      </c>
      <c r="D1220" s="2">
        <f>IF(C1220&lt;6,"Night",IF(C1220&lt;12,"Morning",IF(C1220&lt;18,"Afternoon",IF(C1220&lt;22,"Evening","Night"))))</f>
        <v/>
      </c>
    </row>
    <row r="1221">
      <c r="A1221" s="2" t="n">
        <v>1219</v>
      </c>
      <c r="B1221" s="20">
        <f>A1221/1440</f>
        <v/>
      </c>
      <c r="C1221" s="2">
        <f>INT(A1221/60)</f>
        <v/>
      </c>
      <c r="D1221" s="2">
        <f>IF(C1221&lt;6,"Night",IF(C1221&lt;12,"Morning",IF(C1221&lt;18,"Afternoon",IF(C1221&lt;22,"Evening","Night"))))</f>
        <v/>
      </c>
    </row>
    <row r="1222">
      <c r="A1222" s="2" t="n">
        <v>1220</v>
      </c>
      <c r="B1222" s="20">
        <f>A1222/1440</f>
        <v/>
      </c>
      <c r="C1222" s="2">
        <f>INT(A1222/60)</f>
        <v/>
      </c>
      <c r="D1222" s="2">
        <f>IF(C1222&lt;6,"Night",IF(C1222&lt;12,"Morning",IF(C1222&lt;18,"Afternoon",IF(C1222&lt;22,"Evening","Night"))))</f>
        <v/>
      </c>
    </row>
    <row r="1223">
      <c r="A1223" s="2" t="n">
        <v>1221</v>
      </c>
      <c r="B1223" s="20">
        <f>A1223/1440</f>
        <v/>
      </c>
      <c r="C1223" s="2">
        <f>INT(A1223/60)</f>
        <v/>
      </c>
      <c r="D1223" s="2">
        <f>IF(C1223&lt;6,"Night",IF(C1223&lt;12,"Morning",IF(C1223&lt;18,"Afternoon",IF(C1223&lt;22,"Evening","Night"))))</f>
        <v/>
      </c>
    </row>
    <row r="1224">
      <c r="A1224" s="2" t="n">
        <v>1222</v>
      </c>
      <c r="B1224" s="20">
        <f>A1224/1440</f>
        <v/>
      </c>
      <c r="C1224" s="2">
        <f>INT(A1224/60)</f>
        <v/>
      </c>
      <c r="D1224" s="2">
        <f>IF(C1224&lt;6,"Night",IF(C1224&lt;12,"Morning",IF(C1224&lt;18,"Afternoon",IF(C1224&lt;22,"Evening","Night"))))</f>
        <v/>
      </c>
    </row>
    <row r="1225">
      <c r="A1225" s="2" t="n">
        <v>1223</v>
      </c>
      <c r="B1225" s="20">
        <f>A1225/1440</f>
        <v/>
      </c>
      <c r="C1225" s="2">
        <f>INT(A1225/60)</f>
        <v/>
      </c>
      <c r="D1225" s="2">
        <f>IF(C1225&lt;6,"Night",IF(C1225&lt;12,"Morning",IF(C1225&lt;18,"Afternoon",IF(C1225&lt;22,"Evening","Night"))))</f>
        <v/>
      </c>
    </row>
    <row r="1226">
      <c r="A1226" s="2" t="n">
        <v>1224</v>
      </c>
      <c r="B1226" s="20">
        <f>A1226/1440</f>
        <v/>
      </c>
      <c r="C1226" s="2">
        <f>INT(A1226/60)</f>
        <v/>
      </c>
      <c r="D1226" s="2">
        <f>IF(C1226&lt;6,"Night",IF(C1226&lt;12,"Morning",IF(C1226&lt;18,"Afternoon",IF(C1226&lt;22,"Evening","Night"))))</f>
        <v/>
      </c>
    </row>
    <row r="1227">
      <c r="A1227" s="2" t="n">
        <v>1225</v>
      </c>
      <c r="B1227" s="20">
        <f>A1227/1440</f>
        <v/>
      </c>
      <c r="C1227" s="2">
        <f>INT(A1227/60)</f>
        <v/>
      </c>
      <c r="D1227" s="2">
        <f>IF(C1227&lt;6,"Night",IF(C1227&lt;12,"Morning",IF(C1227&lt;18,"Afternoon",IF(C1227&lt;22,"Evening","Night"))))</f>
        <v/>
      </c>
    </row>
    <row r="1228">
      <c r="A1228" s="2" t="n">
        <v>1226</v>
      </c>
      <c r="B1228" s="20">
        <f>A1228/1440</f>
        <v/>
      </c>
      <c r="C1228" s="2">
        <f>INT(A1228/60)</f>
        <v/>
      </c>
      <c r="D1228" s="2">
        <f>IF(C1228&lt;6,"Night",IF(C1228&lt;12,"Morning",IF(C1228&lt;18,"Afternoon",IF(C1228&lt;22,"Evening","Night"))))</f>
        <v/>
      </c>
    </row>
    <row r="1229">
      <c r="A1229" s="2" t="n">
        <v>1227</v>
      </c>
      <c r="B1229" s="20">
        <f>A1229/1440</f>
        <v/>
      </c>
      <c r="C1229" s="2">
        <f>INT(A1229/60)</f>
        <v/>
      </c>
      <c r="D1229" s="2">
        <f>IF(C1229&lt;6,"Night",IF(C1229&lt;12,"Morning",IF(C1229&lt;18,"Afternoon",IF(C1229&lt;22,"Evening","Night"))))</f>
        <v/>
      </c>
    </row>
    <row r="1230">
      <c r="A1230" s="2" t="n">
        <v>1228</v>
      </c>
      <c r="B1230" s="20">
        <f>A1230/1440</f>
        <v/>
      </c>
      <c r="C1230" s="2">
        <f>INT(A1230/60)</f>
        <v/>
      </c>
      <c r="D1230" s="2">
        <f>IF(C1230&lt;6,"Night",IF(C1230&lt;12,"Morning",IF(C1230&lt;18,"Afternoon",IF(C1230&lt;22,"Evening","Night"))))</f>
        <v/>
      </c>
    </row>
    <row r="1231">
      <c r="A1231" s="2" t="n">
        <v>1229</v>
      </c>
      <c r="B1231" s="20">
        <f>A1231/1440</f>
        <v/>
      </c>
      <c r="C1231" s="2">
        <f>INT(A1231/60)</f>
        <v/>
      </c>
      <c r="D1231" s="2">
        <f>IF(C1231&lt;6,"Night",IF(C1231&lt;12,"Morning",IF(C1231&lt;18,"Afternoon",IF(C1231&lt;22,"Evening","Night"))))</f>
        <v/>
      </c>
    </row>
    <row r="1232">
      <c r="A1232" s="2" t="n">
        <v>1230</v>
      </c>
      <c r="B1232" s="20">
        <f>A1232/1440</f>
        <v/>
      </c>
      <c r="C1232" s="2">
        <f>INT(A1232/60)</f>
        <v/>
      </c>
      <c r="D1232" s="2">
        <f>IF(C1232&lt;6,"Night",IF(C1232&lt;12,"Morning",IF(C1232&lt;18,"Afternoon",IF(C1232&lt;22,"Evening","Night"))))</f>
        <v/>
      </c>
    </row>
    <row r="1233">
      <c r="A1233" s="2" t="n">
        <v>1231</v>
      </c>
      <c r="B1233" s="20">
        <f>A1233/1440</f>
        <v/>
      </c>
      <c r="C1233" s="2">
        <f>INT(A1233/60)</f>
        <v/>
      </c>
      <c r="D1233" s="2">
        <f>IF(C1233&lt;6,"Night",IF(C1233&lt;12,"Morning",IF(C1233&lt;18,"Afternoon",IF(C1233&lt;22,"Evening","Night"))))</f>
        <v/>
      </c>
    </row>
    <row r="1234">
      <c r="A1234" s="2" t="n">
        <v>1232</v>
      </c>
      <c r="B1234" s="20">
        <f>A1234/1440</f>
        <v/>
      </c>
      <c r="C1234" s="2">
        <f>INT(A1234/60)</f>
        <v/>
      </c>
      <c r="D1234" s="2">
        <f>IF(C1234&lt;6,"Night",IF(C1234&lt;12,"Morning",IF(C1234&lt;18,"Afternoon",IF(C1234&lt;22,"Evening","Night"))))</f>
        <v/>
      </c>
    </row>
    <row r="1235">
      <c r="A1235" s="2" t="n">
        <v>1233</v>
      </c>
      <c r="B1235" s="20">
        <f>A1235/1440</f>
        <v/>
      </c>
      <c r="C1235" s="2">
        <f>INT(A1235/60)</f>
        <v/>
      </c>
      <c r="D1235" s="2">
        <f>IF(C1235&lt;6,"Night",IF(C1235&lt;12,"Morning",IF(C1235&lt;18,"Afternoon",IF(C1235&lt;22,"Evening","Night"))))</f>
        <v/>
      </c>
    </row>
    <row r="1236">
      <c r="A1236" s="2" t="n">
        <v>1234</v>
      </c>
      <c r="B1236" s="20">
        <f>A1236/1440</f>
        <v/>
      </c>
      <c r="C1236" s="2">
        <f>INT(A1236/60)</f>
        <v/>
      </c>
      <c r="D1236" s="2">
        <f>IF(C1236&lt;6,"Night",IF(C1236&lt;12,"Morning",IF(C1236&lt;18,"Afternoon",IF(C1236&lt;22,"Evening","Night"))))</f>
        <v/>
      </c>
    </row>
    <row r="1237">
      <c r="A1237" s="2" t="n">
        <v>1235</v>
      </c>
      <c r="B1237" s="20">
        <f>A1237/1440</f>
        <v/>
      </c>
      <c r="C1237" s="2">
        <f>INT(A1237/60)</f>
        <v/>
      </c>
      <c r="D1237" s="2">
        <f>IF(C1237&lt;6,"Night",IF(C1237&lt;12,"Morning",IF(C1237&lt;18,"Afternoon",IF(C1237&lt;22,"Evening","Night"))))</f>
        <v/>
      </c>
    </row>
    <row r="1238">
      <c r="A1238" s="2" t="n">
        <v>1236</v>
      </c>
      <c r="B1238" s="20">
        <f>A1238/1440</f>
        <v/>
      </c>
      <c r="C1238" s="2">
        <f>INT(A1238/60)</f>
        <v/>
      </c>
      <c r="D1238" s="2">
        <f>IF(C1238&lt;6,"Night",IF(C1238&lt;12,"Morning",IF(C1238&lt;18,"Afternoon",IF(C1238&lt;22,"Evening","Night"))))</f>
        <v/>
      </c>
    </row>
    <row r="1239">
      <c r="A1239" s="2" t="n">
        <v>1237</v>
      </c>
      <c r="B1239" s="20">
        <f>A1239/1440</f>
        <v/>
      </c>
      <c r="C1239" s="2">
        <f>INT(A1239/60)</f>
        <v/>
      </c>
      <c r="D1239" s="2">
        <f>IF(C1239&lt;6,"Night",IF(C1239&lt;12,"Morning",IF(C1239&lt;18,"Afternoon",IF(C1239&lt;22,"Evening","Night"))))</f>
        <v/>
      </c>
    </row>
    <row r="1240">
      <c r="A1240" s="2" t="n">
        <v>1238</v>
      </c>
      <c r="B1240" s="20">
        <f>A1240/1440</f>
        <v/>
      </c>
      <c r="C1240" s="2">
        <f>INT(A1240/60)</f>
        <v/>
      </c>
      <c r="D1240" s="2">
        <f>IF(C1240&lt;6,"Night",IF(C1240&lt;12,"Morning",IF(C1240&lt;18,"Afternoon",IF(C1240&lt;22,"Evening","Night"))))</f>
        <v/>
      </c>
    </row>
    <row r="1241">
      <c r="A1241" s="2" t="n">
        <v>1239</v>
      </c>
      <c r="B1241" s="20">
        <f>A1241/1440</f>
        <v/>
      </c>
      <c r="C1241" s="2">
        <f>INT(A1241/60)</f>
        <v/>
      </c>
      <c r="D1241" s="2">
        <f>IF(C1241&lt;6,"Night",IF(C1241&lt;12,"Morning",IF(C1241&lt;18,"Afternoon",IF(C1241&lt;22,"Evening","Night"))))</f>
        <v/>
      </c>
    </row>
    <row r="1242">
      <c r="A1242" s="2" t="n">
        <v>1240</v>
      </c>
      <c r="B1242" s="20">
        <f>A1242/1440</f>
        <v/>
      </c>
      <c r="C1242" s="2">
        <f>INT(A1242/60)</f>
        <v/>
      </c>
      <c r="D1242" s="2">
        <f>IF(C1242&lt;6,"Night",IF(C1242&lt;12,"Morning",IF(C1242&lt;18,"Afternoon",IF(C1242&lt;22,"Evening","Night"))))</f>
        <v/>
      </c>
    </row>
    <row r="1243">
      <c r="A1243" s="2" t="n">
        <v>1241</v>
      </c>
      <c r="B1243" s="20">
        <f>A1243/1440</f>
        <v/>
      </c>
      <c r="C1243" s="2">
        <f>INT(A1243/60)</f>
        <v/>
      </c>
      <c r="D1243" s="2">
        <f>IF(C1243&lt;6,"Night",IF(C1243&lt;12,"Morning",IF(C1243&lt;18,"Afternoon",IF(C1243&lt;22,"Evening","Night"))))</f>
        <v/>
      </c>
    </row>
    <row r="1244">
      <c r="A1244" s="2" t="n">
        <v>1242</v>
      </c>
      <c r="B1244" s="20">
        <f>A1244/1440</f>
        <v/>
      </c>
      <c r="C1244" s="2">
        <f>INT(A1244/60)</f>
        <v/>
      </c>
      <c r="D1244" s="2">
        <f>IF(C1244&lt;6,"Night",IF(C1244&lt;12,"Morning",IF(C1244&lt;18,"Afternoon",IF(C1244&lt;22,"Evening","Night"))))</f>
        <v/>
      </c>
    </row>
    <row r="1245">
      <c r="A1245" s="2" t="n">
        <v>1243</v>
      </c>
      <c r="B1245" s="20">
        <f>A1245/1440</f>
        <v/>
      </c>
      <c r="C1245" s="2">
        <f>INT(A1245/60)</f>
        <v/>
      </c>
      <c r="D1245" s="2">
        <f>IF(C1245&lt;6,"Night",IF(C1245&lt;12,"Morning",IF(C1245&lt;18,"Afternoon",IF(C1245&lt;22,"Evening","Night"))))</f>
        <v/>
      </c>
    </row>
    <row r="1246">
      <c r="A1246" s="2" t="n">
        <v>1244</v>
      </c>
      <c r="B1246" s="20">
        <f>A1246/1440</f>
        <v/>
      </c>
      <c r="C1246" s="2">
        <f>INT(A1246/60)</f>
        <v/>
      </c>
      <c r="D1246" s="2">
        <f>IF(C1246&lt;6,"Night",IF(C1246&lt;12,"Morning",IF(C1246&lt;18,"Afternoon",IF(C1246&lt;22,"Evening","Night"))))</f>
        <v/>
      </c>
    </row>
    <row r="1247">
      <c r="A1247" s="2" t="n">
        <v>1245</v>
      </c>
      <c r="B1247" s="20">
        <f>A1247/1440</f>
        <v/>
      </c>
      <c r="C1247" s="2">
        <f>INT(A1247/60)</f>
        <v/>
      </c>
      <c r="D1247" s="2">
        <f>IF(C1247&lt;6,"Night",IF(C1247&lt;12,"Morning",IF(C1247&lt;18,"Afternoon",IF(C1247&lt;22,"Evening","Night"))))</f>
        <v/>
      </c>
    </row>
    <row r="1248">
      <c r="A1248" s="2" t="n">
        <v>1246</v>
      </c>
      <c r="B1248" s="20">
        <f>A1248/1440</f>
        <v/>
      </c>
      <c r="C1248" s="2">
        <f>INT(A1248/60)</f>
        <v/>
      </c>
      <c r="D1248" s="2">
        <f>IF(C1248&lt;6,"Night",IF(C1248&lt;12,"Morning",IF(C1248&lt;18,"Afternoon",IF(C1248&lt;22,"Evening","Night"))))</f>
        <v/>
      </c>
    </row>
    <row r="1249">
      <c r="A1249" s="2" t="n">
        <v>1247</v>
      </c>
      <c r="B1249" s="20">
        <f>A1249/1440</f>
        <v/>
      </c>
      <c r="C1249" s="2">
        <f>INT(A1249/60)</f>
        <v/>
      </c>
      <c r="D1249" s="2">
        <f>IF(C1249&lt;6,"Night",IF(C1249&lt;12,"Morning",IF(C1249&lt;18,"Afternoon",IF(C1249&lt;22,"Evening","Night"))))</f>
        <v/>
      </c>
    </row>
    <row r="1250">
      <c r="A1250" s="2" t="n">
        <v>1248</v>
      </c>
      <c r="B1250" s="20">
        <f>A1250/1440</f>
        <v/>
      </c>
      <c r="C1250" s="2">
        <f>INT(A1250/60)</f>
        <v/>
      </c>
      <c r="D1250" s="2">
        <f>IF(C1250&lt;6,"Night",IF(C1250&lt;12,"Morning",IF(C1250&lt;18,"Afternoon",IF(C1250&lt;22,"Evening","Night"))))</f>
        <v/>
      </c>
    </row>
    <row r="1251">
      <c r="A1251" s="2" t="n">
        <v>1249</v>
      </c>
      <c r="B1251" s="20">
        <f>A1251/1440</f>
        <v/>
      </c>
      <c r="C1251" s="2">
        <f>INT(A1251/60)</f>
        <v/>
      </c>
      <c r="D1251" s="2">
        <f>IF(C1251&lt;6,"Night",IF(C1251&lt;12,"Morning",IF(C1251&lt;18,"Afternoon",IF(C1251&lt;22,"Evening","Night"))))</f>
        <v/>
      </c>
    </row>
    <row r="1252">
      <c r="A1252" s="2" t="n">
        <v>1250</v>
      </c>
      <c r="B1252" s="20">
        <f>A1252/1440</f>
        <v/>
      </c>
      <c r="C1252" s="2">
        <f>INT(A1252/60)</f>
        <v/>
      </c>
      <c r="D1252" s="2">
        <f>IF(C1252&lt;6,"Night",IF(C1252&lt;12,"Morning",IF(C1252&lt;18,"Afternoon",IF(C1252&lt;22,"Evening","Night"))))</f>
        <v/>
      </c>
    </row>
    <row r="1253">
      <c r="A1253" s="2" t="n">
        <v>1251</v>
      </c>
      <c r="B1253" s="20">
        <f>A1253/1440</f>
        <v/>
      </c>
      <c r="C1253" s="2">
        <f>INT(A1253/60)</f>
        <v/>
      </c>
      <c r="D1253" s="2">
        <f>IF(C1253&lt;6,"Night",IF(C1253&lt;12,"Morning",IF(C1253&lt;18,"Afternoon",IF(C1253&lt;22,"Evening","Night"))))</f>
        <v/>
      </c>
    </row>
    <row r="1254">
      <c r="A1254" s="2" t="n">
        <v>1252</v>
      </c>
      <c r="B1254" s="20">
        <f>A1254/1440</f>
        <v/>
      </c>
      <c r="C1254" s="2">
        <f>INT(A1254/60)</f>
        <v/>
      </c>
      <c r="D1254" s="2">
        <f>IF(C1254&lt;6,"Night",IF(C1254&lt;12,"Morning",IF(C1254&lt;18,"Afternoon",IF(C1254&lt;22,"Evening","Night"))))</f>
        <v/>
      </c>
    </row>
    <row r="1255">
      <c r="A1255" s="2" t="n">
        <v>1253</v>
      </c>
      <c r="B1255" s="20">
        <f>A1255/1440</f>
        <v/>
      </c>
      <c r="C1255" s="2">
        <f>INT(A1255/60)</f>
        <v/>
      </c>
      <c r="D1255" s="2">
        <f>IF(C1255&lt;6,"Night",IF(C1255&lt;12,"Morning",IF(C1255&lt;18,"Afternoon",IF(C1255&lt;22,"Evening","Night"))))</f>
        <v/>
      </c>
    </row>
    <row r="1256">
      <c r="A1256" s="2" t="n">
        <v>1254</v>
      </c>
      <c r="B1256" s="20">
        <f>A1256/1440</f>
        <v/>
      </c>
      <c r="C1256" s="2">
        <f>INT(A1256/60)</f>
        <v/>
      </c>
      <c r="D1256" s="2">
        <f>IF(C1256&lt;6,"Night",IF(C1256&lt;12,"Morning",IF(C1256&lt;18,"Afternoon",IF(C1256&lt;22,"Evening","Night"))))</f>
        <v/>
      </c>
    </row>
    <row r="1257">
      <c r="A1257" s="2" t="n">
        <v>1255</v>
      </c>
      <c r="B1257" s="20">
        <f>A1257/1440</f>
        <v/>
      </c>
      <c r="C1257" s="2">
        <f>INT(A1257/60)</f>
        <v/>
      </c>
      <c r="D1257" s="2">
        <f>IF(C1257&lt;6,"Night",IF(C1257&lt;12,"Morning",IF(C1257&lt;18,"Afternoon",IF(C1257&lt;22,"Evening","Night"))))</f>
        <v/>
      </c>
    </row>
    <row r="1258">
      <c r="A1258" s="2" t="n">
        <v>1256</v>
      </c>
      <c r="B1258" s="20">
        <f>A1258/1440</f>
        <v/>
      </c>
      <c r="C1258" s="2">
        <f>INT(A1258/60)</f>
        <v/>
      </c>
      <c r="D1258" s="2">
        <f>IF(C1258&lt;6,"Night",IF(C1258&lt;12,"Morning",IF(C1258&lt;18,"Afternoon",IF(C1258&lt;22,"Evening","Night"))))</f>
        <v/>
      </c>
    </row>
    <row r="1259">
      <c r="A1259" s="2" t="n">
        <v>1257</v>
      </c>
      <c r="B1259" s="20">
        <f>A1259/1440</f>
        <v/>
      </c>
      <c r="C1259" s="2">
        <f>INT(A1259/60)</f>
        <v/>
      </c>
      <c r="D1259" s="2">
        <f>IF(C1259&lt;6,"Night",IF(C1259&lt;12,"Morning",IF(C1259&lt;18,"Afternoon",IF(C1259&lt;22,"Evening","Night"))))</f>
        <v/>
      </c>
    </row>
    <row r="1260">
      <c r="A1260" s="2" t="n">
        <v>1258</v>
      </c>
      <c r="B1260" s="20">
        <f>A1260/1440</f>
        <v/>
      </c>
      <c r="C1260" s="2">
        <f>INT(A1260/60)</f>
        <v/>
      </c>
      <c r="D1260" s="2">
        <f>IF(C1260&lt;6,"Night",IF(C1260&lt;12,"Morning",IF(C1260&lt;18,"Afternoon",IF(C1260&lt;22,"Evening","Night"))))</f>
        <v/>
      </c>
    </row>
    <row r="1261">
      <c r="A1261" s="2" t="n">
        <v>1259</v>
      </c>
      <c r="B1261" s="20">
        <f>A1261/1440</f>
        <v/>
      </c>
      <c r="C1261" s="2">
        <f>INT(A1261/60)</f>
        <v/>
      </c>
      <c r="D1261" s="2">
        <f>IF(C1261&lt;6,"Night",IF(C1261&lt;12,"Morning",IF(C1261&lt;18,"Afternoon",IF(C1261&lt;22,"Evening","Night"))))</f>
        <v/>
      </c>
    </row>
    <row r="1262">
      <c r="A1262" s="2" t="n">
        <v>1260</v>
      </c>
      <c r="B1262" s="20">
        <f>A1262/1440</f>
        <v/>
      </c>
      <c r="C1262" s="2">
        <f>INT(A1262/60)</f>
        <v/>
      </c>
      <c r="D1262" s="2">
        <f>IF(C1262&lt;6,"Night",IF(C1262&lt;12,"Morning",IF(C1262&lt;18,"Afternoon",IF(C1262&lt;22,"Evening","Night"))))</f>
        <v/>
      </c>
    </row>
    <row r="1263">
      <c r="A1263" s="2" t="n">
        <v>1261</v>
      </c>
      <c r="B1263" s="20">
        <f>A1263/1440</f>
        <v/>
      </c>
      <c r="C1263" s="2">
        <f>INT(A1263/60)</f>
        <v/>
      </c>
      <c r="D1263" s="2">
        <f>IF(C1263&lt;6,"Night",IF(C1263&lt;12,"Morning",IF(C1263&lt;18,"Afternoon",IF(C1263&lt;22,"Evening","Night"))))</f>
        <v/>
      </c>
    </row>
    <row r="1264">
      <c r="A1264" s="2" t="n">
        <v>1262</v>
      </c>
      <c r="B1264" s="20">
        <f>A1264/1440</f>
        <v/>
      </c>
      <c r="C1264" s="2">
        <f>INT(A1264/60)</f>
        <v/>
      </c>
      <c r="D1264" s="2">
        <f>IF(C1264&lt;6,"Night",IF(C1264&lt;12,"Morning",IF(C1264&lt;18,"Afternoon",IF(C1264&lt;22,"Evening","Night"))))</f>
        <v/>
      </c>
    </row>
    <row r="1265">
      <c r="A1265" s="2" t="n">
        <v>1263</v>
      </c>
      <c r="B1265" s="20">
        <f>A1265/1440</f>
        <v/>
      </c>
      <c r="C1265" s="2">
        <f>INT(A1265/60)</f>
        <v/>
      </c>
      <c r="D1265" s="2">
        <f>IF(C1265&lt;6,"Night",IF(C1265&lt;12,"Morning",IF(C1265&lt;18,"Afternoon",IF(C1265&lt;22,"Evening","Night"))))</f>
        <v/>
      </c>
    </row>
    <row r="1266">
      <c r="A1266" s="2" t="n">
        <v>1264</v>
      </c>
      <c r="B1266" s="20">
        <f>A1266/1440</f>
        <v/>
      </c>
      <c r="C1266" s="2">
        <f>INT(A1266/60)</f>
        <v/>
      </c>
      <c r="D1266" s="2">
        <f>IF(C1266&lt;6,"Night",IF(C1266&lt;12,"Morning",IF(C1266&lt;18,"Afternoon",IF(C1266&lt;22,"Evening","Night"))))</f>
        <v/>
      </c>
    </row>
    <row r="1267">
      <c r="A1267" s="2" t="n">
        <v>1265</v>
      </c>
      <c r="B1267" s="20">
        <f>A1267/1440</f>
        <v/>
      </c>
      <c r="C1267" s="2">
        <f>INT(A1267/60)</f>
        <v/>
      </c>
      <c r="D1267" s="2">
        <f>IF(C1267&lt;6,"Night",IF(C1267&lt;12,"Morning",IF(C1267&lt;18,"Afternoon",IF(C1267&lt;22,"Evening","Night"))))</f>
        <v/>
      </c>
    </row>
    <row r="1268">
      <c r="A1268" s="2" t="n">
        <v>1266</v>
      </c>
      <c r="B1268" s="20">
        <f>A1268/1440</f>
        <v/>
      </c>
      <c r="C1268" s="2">
        <f>INT(A1268/60)</f>
        <v/>
      </c>
      <c r="D1268" s="2">
        <f>IF(C1268&lt;6,"Night",IF(C1268&lt;12,"Morning",IF(C1268&lt;18,"Afternoon",IF(C1268&lt;22,"Evening","Night"))))</f>
        <v/>
      </c>
    </row>
    <row r="1269">
      <c r="A1269" s="2" t="n">
        <v>1267</v>
      </c>
      <c r="B1269" s="20">
        <f>A1269/1440</f>
        <v/>
      </c>
      <c r="C1269" s="2">
        <f>INT(A1269/60)</f>
        <v/>
      </c>
      <c r="D1269" s="2">
        <f>IF(C1269&lt;6,"Night",IF(C1269&lt;12,"Morning",IF(C1269&lt;18,"Afternoon",IF(C1269&lt;22,"Evening","Night"))))</f>
        <v/>
      </c>
    </row>
    <row r="1270">
      <c r="A1270" s="2" t="n">
        <v>1268</v>
      </c>
      <c r="B1270" s="20">
        <f>A1270/1440</f>
        <v/>
      </c>
      <c r="C1270" s="2">
        <f>INT(A1270/60)</f>
        <v/>
      </c>
      <c r="D1270" s="2">
        <f>IF(C1270&lt;6,"Night",IF(C1270&lt;12,"Morning",IF(C1270&lt;18,"Afternoon",IF(C1270&lt;22,"Evening","Night"))))</f>
        <v/>
      </c>
    </row>
    <row r="1271">
      <c r="A1271" s="2" t="n">
        <v>1269</v>
      </c>
      <c r="B1271" s="20">
        <f>A1271/1440</f>
        <v/>
      </c>
      <c r="C1271" s="2">
        <f>INT(A1271/60)</f>
        <v/>
      </c>
      <c r="D1271" s="2">
        <f>IF(C1271&lt;6,"Night",IF(C1271&lt;12,"Morning",IF(C1271&lt;18,"Afternoon",IF(C1271&lt;22,"Evening","Night"))))</f>
        <v/>
      </c>
    </row>
    <row r="1272">
      <c r="A1272" s="2" t="n">
        <v>1270</v>
      </c>
      <c r="B1272" s="20">
        <f>A1272/1440</f>
        <v/>
      </c>
      <c r="C1272" s="2">
        <f>INT(A1272/60)</f>
        <v/>
      </c>
      <c r="D1272" s="2">
        <f>IF(C1272&lt;6,"Night",IF(C1272&lt;12,"Morning",IF(C1272&lt;18,"Afternoon",IF(C1272&lt;22,"Evening","Night"))))</f>
        <v/>
      </c>
    </row>
    <row r="1273">
      <c r="A1273" s="2" t="n">
        <v>1271</v>
      </c>
      <c r="B1273" s="20">
        <f>A1273/1440</f>
        <v/>
      </c>
      <c r="C1273" s="2">
        <f>INT(A1273/60)</f>
        <v/>
      </c>
      <c r="D1273" s="2">
        <f>IF(C1273&lt;6,"Night",IF(C1273&lt;12,"Morning",IF(C1273&lt;18,"Afternoon",IF(C1273&lt;22,"Evening","Night"))))</f>
        <v/>
      </c>
    </row>
    <row r="1274">
      <c r="A1274" s="2" t="n">
        <v>1272</v>
      </c>
      <c r="B1274" s="20">
        <f>A1274/1440</f>
        <v/>
      </c>
      <c r="C1274" s="2">
        <f>INT(A1274/60)</f>
        <v/>
      </c>
      <c r="D1274" s="2">
        <f>IF(C1274&lt;6,"Night",IF(C1274&lt;12,"Morning",IF(C1274&lt;18,"Afternoon",IF(C1274&lt;22,"Evening","Night"))))</f>
        <v/>
      </c>
    </row>
    <row r="1275">
      <c r="A1275" s="2" t="n">
        <v>1273</v>
      </c>
      <c r="B1275" s="20">
        <f>A1275/1440</f>
        <v/>
      </c>
      <c r="C1275" s="2">
        <f>INT(A1275/60)</f>
        <v/>
      </c>
      <c r="D1275" s="2">
        <f>IF(C1275&lt;6,"Night",IF(C1275&lt;12,"Morning",IF(C1275&lt;18,"Afternoon",IF(C1275&lt;22,"Evening","Night"))))</f>
        <v/>
      </c>
    </row>
    <row r="1276">
      <c r="A1276" s="2" t="n">
        <v>1274</v>
      </c>
      <c r="B1276" s="20">
        <f>A1276/1440</f>
        <v/>
      </c>
      <c r="C1276" s="2">
        <f>INT(A1276/60)</f>
        <v/>
      </c>
      <c r="D1276" s="2">
        <f>IF(C1276&lt;6,"Night",IF(C1276&lt;12,"Morning",IF(C1276&lt;18,"Afternoon",IF(C1276&lt;22,"Evening","Night"))))</f>
        <v/>
      </c>
    </row>
    <row r="1277">
      <c r="A1277" s="2" t="n">
        <v>1275</v>
      </c>
      <c r="B1277" s="20">
        <f>A1277/1440</f>
        <v/>
      </c>
      <c r="C1277" s="2">
        <f>INT(A1277/60)</f>
        <v/>
      </c>
      <c r="D1277" s="2">
        <f>IF(C1277&lt;6,"Night",IF(C1277&lt;12,"Morning",IF(C1277&lt;18,"Afternoon",IF(C1277&lt;22,"Evening","Night"))))</f>
        <v/>
      </c>
    </row>
    <row r="1278">
      <c r="A1278" s="2" t="n">
        <v>1276</v>
      </c>
      <c r="B1278" s="20">
        <f>A1278/1440</f>
        <v/>
      </c>
      <c r="C1278" s="2">
        <f>INT(A1278/60)</f>
        <v/>
      </c>
      <c r="D1278" s="2">
        <f>IF(C1278&lt;6,"Night",IF(C1278&lt;12,"Morning",IF(C1278&lt;18,"Afternoon",IF(C1278&lt;22,"Evening","Night"))))</f>
        <v/>
      </c>
    </row>
    <row r="1279">
      <c r="A1279" s="2" t="n">
        <v>1277</v>
      </c>
      <c r="B1279" s="20">
        <f>A1279/1440</f>
        <v/>
      </c>
      <c r="C1279" s="2">
        <f>INT(A1279/60)</f>
        <v/>
      </c>
      <c r="D1279" s="2">
        <f>IF(C1279&lt;6,"Night",IF(C1279&lt;12,"Morning",IF(C1279&lt;18,"Afternoon",IF(C1279&lt;22,"Evening","Night"))))</f>
        <v/>
      </c>
    </row>
    <row r="1280">
      <c r="A1280" s="2" t="n">
        <v>1278</v>
      </c>
      <c r="B1280" s="20">
        <f>A1280/1440</f>
        <v/>
      </c>
      <c r="C1280" s="2">
        <f>INT(A1280/60)</f>
        <v/>
      </c>
      <c r="D1280" s="2">
        <f>IF(C1280&lt;6,"Night",IF(C1280&lt;12,"Morning",IF(C1280&lt;18,"Afternoon",IF(C1280&lt;22,"Evening","Night"))))</f>
        <v/>
      </c>
    </row>
    <row r="1281">
      <c r="A1281" s="2" t="n">
        <v>1279</v>
      </c>
      <c r="B1281" s="20">
        <f>A1281/1440</f>
        <v/>
      </c>
      <c r="C1281" s="2">
        <f>INT(A1281/60)</f>
        <v/>
      </c>
      <c r="D1281" s="2">
        <f>IF(C1281&lt;6,"Night",IF(C1281&lt;12,"Morning",IF(C1281&lt;18,"Afternoon",IF(C1281&lt;22,"Evening","Night"))))</f>
        <v/>
      </c>
    </row>
    <row r="1282">
      <c r="A1282" s="2" t="n">
        <v>1280</v>
      </c>
      <c r="B1282" s="20">
        <f>A1282/1440</f>
        <v/>
      </c>
      <c r="C1282" s="2">
        <f>INT(A1282/60)</f>
        <v/>
      </c>
      <c r="D1282" s="2">
        <f>IF(C1282&lt;6,"Night",IF(C1282&lt;12,"Morning",IF(C1282&lt;18,"Afternoon",IF(C1282&lt;22,"Evening","Night"))))</f>
        <v/>
      </c>
    </row>
    <row r="1283">
      <c r="A1283" s="2" t="n">
        <v>1281</v>
      </c>
      <c r="B1283" s="20">
        <f>A1283/1440</f>
        <v/>
      </c>
      <c r="C1283" s="2">
        <f>INT(A1283/60)</f>
        <v/>
      </c>
      <c r="D1283" s="2">
        <f>IF(C1283&lt;6,"Night",IF(C1283&lt;12,"Morning",IF(C1283&lt;18,"Afternoon",IF(C1283&lt;22,"Evening","Night"))))</f>
        <v/>
      </c>
    </row>
    <row r="1284">
      <c r="A1284" s="2" t="n">
        <v>1282</v>
      </c>
      <c r="B1284" s="20">
        <f>A1284/1440</f>
        <v/>
      </c>
      <c r="C1284" s="2">
        <f>INT(A1284/60)</f>
        <v/>
      </c>
      <c r="D1284" s="2">
        <f>IF(C1284&lt;6,"Night",IF(C1284&lt;12,"Morning",IF(C1284&lt;18,"Afternoon",IF(C1284&lt;22,"Evening","Night"))))</f>
        <v/>
      </c>
    </row>
    <row r="1285">
      <c r="A1285" s="2" t="n">
        <v>1283</v>
      </c>
      <c r="B1285" s="20">
        <f>A1285/1440</f>
        <v/>
      </c>
      <c r="C1285" s="2">
        <f>INT(A1285/60)</f>
        <v/>
      </c>
      <c r="D1285" s="2">
        <f>IF(C1285&lt;6,"Night",IF(C1285&lt;12,"Morning",IF(C1285&lt;18,"Afternoon",IF(C1285&lt;22,"Evening","Night"))))</f>
        <v/>
      </c>
    </row>
    <row r="1286">
      <c r="A1286" s="2" t="n">
        <v>1284</v>
      </c>
      <c r="B1286" s="20">
        <f>A1286/1440</f>
        <v/>
      </c>
      <c r="C1286" s="2">
        <f>INT(A1286/60)</f>
        <v/>
      </c>
      <c r="D1286" s="2">
        <f>IF(C1286&lt;6,"Night",IF(C1286&lt;12,"Morning",IF(C1286&lt;18,"Afternoon",IF(C1286&lt;22,"Evening","Night"))))</f>
        <v/>
      </c>
    </row>
    <row r="1287">
      <c r="A1287" s="2" t="n">
        <v>1285</v>
      </c>
      <c r="B1287" s="20">
        <f>A1287/1440</f>
        <v/>
      </c>
      <c r="C1287" s="2">
        <f>INT(A1287/60)</f>
        <v/>
      </c>
      <c r="D1287" s="2">
        <f>IF(C1287&lt;6,"Night",IF(C1287&lt;12,"Morning",IF(C1287&lt;18,"Afternoon",IF(C1287&lt;22,"Evening","Night"))))</f>
        <v/>
      </c>
    </row>
    <row r="1288">
      <c r="A1288" s="2" t="n">
        <v>1286</v>
      </c>
      <c r="B1288" s="20">
        <f>A1288/1440</f>
        <v/>
      </c>
      <c r="C1288" s="2">
        <f>INT(A1288/60)</f>
        <v/>
      </c>
      <c r="D1288" s="2">
        <f>IF(C1288&lt;6,"Night",IF(C1288&lt;12,"Morning",IF(C1288&lt;18,"Afternoon",IF(C1288&lt;22,"Evening","Night"))))</f>
        <v/>
      </c>
    </row>
    <row r="1289">
      <c r="A1289" s="2" t="n">
        <v>1287</v>
      </c>
      <c r="B1289" s="20">
        <f>A1289/1440</f>
        <v/>
      </c>
      <c r="C1289" s="2">
        <f>INT(A1289/60)</f>
        <v/>
      </c>
      <c r="D1289" s="2">
        <f>IF(C1289&lt;6,"Night",IF(C1289&lt;12,"Morning",IF(C1289&lt;18,"Afternoon",IF(C1289&lt;22,"Evening","Night"))))</f>
        <v/>
      </c>
    </row>
    <row r="1290">
      <c r="A1290" s="2" t="n">
        <v>1288</v>
      </c>
      <c r="B1290" s="20">
        <f>A1290/1440</f>
        <v/>
      </c>
      <c r="C1290" s="2">
        <f>INT(A1290/60)</f>
        <v/>
      </c>
      <c r="D1290" s="2">
        <f>IF(C1290&lt;6,"Night",IF(C1290&lt;12,"Morning",IF(C1290&lt;18,"Afternoon",IF(C1290&lt;22,"Evening","Night"))))</f>
        <v/>
      </c>
    </row>
    <row r="1291">
      <c r="A1291" s="2" t="n">
        <v>1289</v>
      </c>
      <c r="B1291" s="20">
        <f>A1291/1440</f>
        <v/>
      </c>
      <c r="C1291" s="2">
        <f>INT(A1291/60)</f>
        <v/>
      </c>
      <c r="D1291" s="2">
        <f>IF(C1291&lt;6,"Night",IF(C1291&lt;12,"Morning",IF(C1291&lt;18,"Afternoon",IF(C1291&lt;22,"Evening","Night"))))</f>
        <v/>
      </c>
    </row>
    <row r="1292">
      <c r="A1292" s="2" t="n">
        <v>1290</v>
      </c>
      <c r="B1292" s="20">
        <f>A1292/1440</f>
        <v/>
      </c>
      <c r="C1292" s="2">
        <f>INT(A1292/60)</f>
        <v/>
      </c>
      <c r="D1292" s="2">
        <f>IF(C1292&lt;6,"Night",IF(C1292&lt;12,"Morning",IF(C1292&lt;18,"Afternoon",IF(C1292&lt;22,"Evening","Night"))))</f>
        <v/>
      </c>
    </row>
    <row r="1293">
      <c r="A1293" s="2" t="n">
        <v>1291</v>
      </c>
      <c r="B1293" s="20">
        <f>A1293/1440</f>
        <v/>
      </c>
      <c r="C1293" s="2">
        <f>INT(A1293/60)</f>
        <v/>
      </c>
      <c r="D1293" s="2">
        <f>IF(C1293&lt;6,"Night",IF(C1293&lt;12,"Morning",IF(C1293&lt;18,"Afternoon",IF(C1293&lt;22,"Evening","Night"))))</f>
        <v/>
      </c>
    </row>
    <row r="1294">
      <c r="A1294" s="2" t="n">
        <v>1292</v>
      </c>
      <c r="B1294" s="20">
        <f>A1294/1440</f>
        <v/>
      </c>
      <c r="C1294" s="2">
        <f>INT(A1294/60)</f>
        <v/>
      </c>
      <c r="D1294" s="2">
        <f>IF(C1294&lt;6,"Night",IF(C1294&lt;12,"Morning",IF(C1294&lt;18,"Afternoon",IF(C1294&lt;22,"Evening","Night"))))</f>
        <v/>
      </c>
    </row>
    <row r="1295">
      <c r="A1295" s="2" t="n">
        <v>1293</v>
      </c>
      <c r="B1295" s="20">
        <f>A1295/1440</f>
        <v/>
      </c>
      <c r="C1295" s="2">
        <f>INT(A1295/60)</f>
        <v/>
      </c>
      <c r="D1295" s="2">
        <f>IF(C1295&lt;6,"Night",IF(C1295&lt;12,"Morning",IF(C1295&lt;18,"Afternoon",IF(C1295&lt;22,"Evening","Night"))))</f>
        <v/>
      </c>
    </row>
    <row r="1296">
      <c r="A1296" s="2" t="n">
        <v>1294</v>
      </c>
      <c r="B1296" s="20">
        <f>A1296/1440</f>
        <v/>
      </c>
      <c r="C1296" s="2">
        <f>INT(A1296/60)</f>
        <v/>
      </c>
      <c r="D1296" s="2">
        <f>IF(C1296&lt;6,"Night",IF(C1296&lt;12,"Morning",IF(C1296&lt;18,"Afternoon",IF(C1296&lt;22,"Evening","Night"))))</f>
        <v/>
      </c>
    </row>
    <row r="1297">
      <c r="A1297" s="2" t="n">
        <v>1295</v>
      </c>
      <c r="B1297" s="20">
        <f>A1297/1440</f>
        <v/>
      </c>
      <c r="C1297" s="2">
        <f>INT(A1297/60)</f>
        <v/>
      </c>
      <c r="D1297" s="2">
        <f>IF(C1297&lt;6,"Night",IF(C1297&lt;12,"Morning",IF(C1297&lt;18,"Afternoon",IF(C1297&lt;22,"Evening","Night"))))</f>
        <v/>
      </c>
    </row>
    <row r="1298">
      <c r="A1298" s="2" t="n">
        <v>1296</v>
      </c>
      <c r="B1298" s="20">
        <f>A1298/1440</f>
        <v/>
      </c>
      <c r="C1298" s="2">
        <f>INT(A1298/60)</f>
        <v/>
      </c>
      <c r="D1298" s="2">
        <f>IF(C1298&lt;6,"Night",IF(C1298&lt;12,"Morning",IF(C1298&lt;18,"Afternoon",IF(C1298&lt;22,"Evening","Night"))))</f>
        <v/>
      </c>
    </row>
    <row r="1299">
      <c r="A1299" s="2" t="n">
        <v>1297</v>
      </c>
      <c r="B1299" s="20">
        <f>A1299/1440</f>
        <v/>
      </c>
      <c r="C1299" s="2">
        <f>INT(A1299/60)</f>
        <v/>
      </c>
      <c r="D1299" s="2">
        <f>IF(C1299&lt;6,"Night",IF(C1299&lt;12,"Morning",IF(C1299&lt;18,"Afternoon",IF(C1299&lt;22,"Evening","Night"))))</f>
        <v/>
      </c>
    </row>
    <row r="1300">
      <c r="A1300" s="2" t="n">
        <v>1298</v>
      </c>
      <c r="B1300" s="20">
        <f>A1300/1440</f>
        <v/>
      </c>
      <c r="C1300" s="2">
        <f>INT(A1300/60)</f>
        <v/>
      </c>
      <c r="D1300" s="2">
        <f>IF(C1300&lt;6,"Night",IF(C1300&lt;12,"Morning",IF(C1300&lt;18,"Afternoon",IF(C1300&lt;22,"Evening","Night"))))</f>
        <v/>
      </c>
    </row>
    <row r="1301">
      <c r="A1301" s="2" t="n">
        <v>1299</v>
      </c>
      <c r="B1301" s="20">
        <f>A1301/1440</f>
        <v/>
      </c>
      <c r="C1301" s="2">
        <f>INT(A1301/60)</f>
        <v/>
      </c>
      <c r="D1301" s="2">
        <f>IF(C1301&lt;6,"Night",IF(C1301&lt;12,"Morning",IF(C1301&lt;18,"Afternoon",IF(C1301&lt;22,"Evening","Night"))))</f>
        <v/>
      </c>
    </row>
    <row r="1302">
      <c r="A1302" s="2" t="n">
        <v>1300</v>
      </c>
      <c r="B1302" s="20">
        <f>A1302/1440</f>
        <v/>
      </c>
      <c r="C1302" s="2">
        <f>INT(A1302/60)</f>
        <v/>
      </c>
      <c r="D1302" s="2">
        <f>IF(C1302&lt;6,"Night",IF(C1302&lt;12,"Morning",IF(C1302&lt;18,"Afternoon",IF(C1302&lt;22,"Evening","Night"))))</f>
        <v/>
      </c>
    </row>
    <row r="1303">
      <c r="A1303" s="2" t="n">
        <v>1301</v>
      </c>
      <c r="B1303" s="20">
        <f>A1303/1440</f>
        <v/>
      </c>
      <c r="C1303" s="2">
        <f>INT(A1303/60)</f>
        <v/>
      </c>
      <c r="D1303" s="2">
        <f>IF(C1303&lt;6,"Night",IF(C1303&lt;12,"Morning",IF(C1303&lt;18,"Afternoon",IF(C1303&lt;22,"Evening","Night"))))</f>
        <v/>
      </c>
    </row>
    <row r="1304">
      <c r="A1304" s="2" t="n">
        <v>1302</v>
      </c>
      <c r="B1304" s="20">
        <f>A1304/1440</f>
        <v/>
      </c>
      <c r="C1304" s="2">
        <f>INT(A1304/60)</f>
        <v/>
      </c>
      <c r="D1304" s="2">
        <f>IF(C1304&lt;6,"Night",IF(C1304&lt;12,"Morning",IF(C1304&lt;18,"Afternoon",IF(C1304&lt;22,"Evening","Night"))))</f>
        <v/>
      </c>
    </row>
    <row r="1305">
      <c r="A1305" s="2" t="n">
        <v>1303</v>
      </c>
      <c r="B1305" s="20">
        <f>A1305/1440</f>
        <v/>
      </c>
      <c r="C1305" s="2">
        <f>INT(A1305/60)</f>
        <v/>
      </c>
      <c r="D1305" s="2">
        <f>IF(C1305&lt;6,"Night",IF(C1305&lt;12,"Morning",IF(C1305&lt;18,"Afternoon",IF(C1305&lt;22,"Evening","Night"))))</f>
        <v/>
      </c>
    </row>
    <row r="1306">
      <c r="A1306" s="2" t="n">
        <v>1304</v>
      </c>
      <c r="B1306" s="20">
        <f>A1306/1440</f>
        <v/>
      </c>
      <c r="C1306" s="2">
        <f>INT(A1306/60)</f>
        <v/>
      </c>
      <c r="D1306" s="2">
        <f>IF(C1306&lt;6,"Night",IF(C1306&lt;12,"Morning",IF(C1306&lt;18,"Afternoon",IF(C1306&lt;22,"Evening","Night"))))</f>
        <v/>
      </c>
    </row>
    <row r="1307">
      <c r="A1307" s="2" t="n">
        <v>1305</v>
      </c>
      <c r="B1307" s="20">
        <f>A1307/1440</f>
        <v/>
      </c>
      <c r="C1307" s="2">
        <f>INT(A1307/60)</f>
        <v/>
      </c>
      <c r="D1307" s="2">
        <f>IF(C1307&lt;6,"Night",IF(C1307&lt;12,"Morning",IF(C1307&lt;18,"Afternoon",IF(C1307&lt;22,"Evening","Night"))))</f>
        <v/>
      </c>
    </row>
    <row r="1308">
      <c r="A1308" s="2" t="n">
        <v>1306</v>
      </c>
      <c r="B1308" s="20">
        <f>A1308/1440</f>
        <v/>
      </c>
      <c r="C1308" s="2">
        <f>INT(A1308/60)</f>
        <v/>
      </c>
      <c r="D1308" s="2">
        <f>IF(C1308&lt;6,"Night",IF(C1308&lt;12,"Morning",IF(C1308&lt;18,"Afternoon",IF(C1308&lt;22,"Evening","Night"))))</f>
        <v/>
      </c>
    </row>
    <row r="1309">
      <c r="A1309" s="2" t="n">
        <v>1307</v>
      </c>
      <c r="B1309" s="20">
        <f>A1309/1440</f>
        <v/>
      </c>
      <c r="C1309" s="2">
        <f>INT(A1309/60)</f>
        <v/>
      </c>
      <c r="D1309" s="2">
        <f>IF(C1309&lt;6,"Night",IF(C1309&lt;12,"Morning",IF(C1309&lt;18,"Afternoon",IF(C1309&lt;22,"Evening","Night"))))</f>
        <v/>
      </c>
    </row>
    <row r="1310">
      <c r="A1310" s="2" t="n">
        <v>1308</v>
      </c>
      <c r="B1310" s="20">
        <f>A1310/1440</f>
        <v/>
      </c>
      <c r="C1310" s="2">
        <f>INT(A1310/60)</f>
        <v/>
      </c>
      <c r="D1310" s="2">
        <f>IF(C1310&lt;6,"Night",IF(C1310&lt;12,"Morning",IF(C1310&lt;18,"Afternoon",IF(C1310&lt;22,"Evening","Night"))))</f>
        <v/>
      </c>
    </row>
    <row r="1311">
      <c r="A1311" s="2" t="n">
        <v>1309</v>
      </c>
      <c r="B1311" s="20">
        <f>A1311/1440</f>
        <v/>
      </c>
      <c r="C1311" s="2">
        <f>INT(A1311/60)</f>
        <v/>
      </c>
      <c r="D1311" s="2">
        <f>IF(C1311&lt;6,"Night",IF(C1311&lt;12,"Morning",IF(C1311&lt;18,"Afternoon",IF(C1311&lt;22,"Evening","Night"))))</f>
        <v/>
      </c>
    </row>
    <row r="1312">
      <c r="A1312" s="2" t="n">
        <v>1310</v>
      </c>
      <c r="B1312" s="20">
        <f>A1312/1440</f>
        <v/>
      </c>
      <c r="C1312" s="2">
        <f>INT(A1312/60)</f>
        <v/>
      </c>
      <c r="D1312" s="2">
        <f>IF(C1312&lt;6,"Night",IF(C1312&lt;12,"Morning",IF(C1312&lt;18,"Afternoon",IF(C1312&lt;22,"Evening","Night"))))</f>
        <v/>
      </c>
    </row>
    <row r="1313">
      <c r="A1313" s="2" t="n">
        <v>1311</v>
      </c>
      <c r="B1313" s="20">
        <f>A1313/1440</f>
        <v/>
      </c>
      <c r="C1313" s="2">
        <f>INT(A1313/60)</f>
        <v/>
      </c>
      <c r="D1313" s="2">
        <f>IF(C1313&lt;6,"Night",IF(C1313&lt;12,"Morning",IF(C1313&lt;18,"Afternoon",IF(C1313&lt;22,"Evening","Night"))))</f>
        <v/>
      </c>
    </row>
    <row r="1314">
      <c r="A1314" s="2" t="n">
        <v>1312</v>
      </c>
      <c r="B1314" s="20">
        <f>A1314/1440</f>
        <v/>
      </c>
      <c r="C1314" s="2">
        <f>INT(A1314/60)</f>
        <v/>
      </c>
      <c r="D1314" s="2">
        <f>IF(C1314&lt;6,"Night",IF(C1314&lt;12,"Morning",IF(C1314&lt;18,"Afternoon",IF(C1314&lt;22,"Evening","Night"))))</f>
        <v/>
      </c>
    </row>
    <row r="1315">
      <c r="A1315" s="2" t="n">
        <v>1313</v>
      </c>
      <c r="B1315" s="20">
        <f>A1315/1440</f>
        <v/>
      </c>
      <c r="C1315" s="2">
        <f>INT(A1315/60)</f>
        <v/>
      </c>
      <c r="D1315" s="2">
        <f>IF(C1315&lt;6,"Night",IF(C1315&lt;12,"Morning",IF(C1315&lt;18,"Afternoon",IF(C1315&lt;22,"Evening","Night"))))</f>
        <v/>
      </c>
    </row>
    <row r="1316">
      <c r="A1316" s="2" t="n">
        <v>1314</v>
      </c>
      <c r="B1316" s="20">
        <f>A1316/1440</f>
        <v/>
      </c>
      <c r="C1316" s="2">
        <f>INT(A1316/60)</f>
        <v/>
      </c>
      <c r="D1316" s="2">
        <f>IF(C1316&lt;6,"Night",IF(C1316&lt;12,"Morning",IF(C1316&lt;18,"Afternoon",IF(C1316&lt;22,"Evening","Night"))))</f>
        <v/>
      </c>
    </row>
    <row r="1317">
      <c r="A1317" s="2" t="n">
        <v>1315</v>
      </c>
      <c r="B1317" s="20">
        <f>A1317/1440</f>
        <v/>
      </c>
      <c r="C1317" s="2">
        <f>INT(A1317/60)</f>
        <v/>
      </c>
      <c r="D1317" s="2">
        <f>IF(C1317&lt;6,"Night",IF(C1317&lt;12,"Morning",IF(C1317&lt;18,"Afternoon",IF(C1317&lt;22,"Evening","Night"))))</f>
        <v/>
      </c>
    </row>
    <row r="1318">
      <c r="A1318" s="2" t="n">
        <v>1316</v>
      </c>
      <c r="B1318" s="20">
        <f>A1318/1440</f>
        <v/>
      </c>
      <c r="C1318" s="2">
        <f>INT(A1318/60)</f>
        <v/>
      </c>
      <c r="D1318" s="2">
        <f>IF(C1318&lt;6,"Night",IF(C1318&lt;12,"Morning",IF(C1318&lt;18,"Afternoon",IF(C1318&lt;22,"Evening","Night"))))</f>
        <v/>
      </c>
    </row>
    <row r="1319">
      <c r="A1319" s="2" t="n">
        <v>1317</v>
      </c>
      <c r="B1319" s="20">
        <f>A1319/1440</f>
        <v/>
      </c>
      <c r="C1319" s="2">
        <f>INT(A1319/60)</f>
        <v/>
      </c>
      <c r="D1319" s="2">
        <f>IF(C1319&lt;6,"Night",IF(C1319&lt;12,"Morning",IF(C1319&lt;18,"Afternoon",IF(C1319&lt;22,"Evening","Night"))))</f>
        <v/>
      </c>
    </row>
    <row r="1320">
      <c r="A1320" s="2" t="n">
        <v>1318</v>
      </c>
      <c r="B1320" s="20">
        <f>A1320/1440</f>
        <v/>
      </c>
      <c r="C1320" s="2">
        <f>INT(A1320/60)</f>
        <v/>
      </c>
      <c r="D1320" s="2">
        <f>IF(C1320&lt;6,"Night",IF(C1320&lt;12,"Morning",IF(C1320&lt;18,"Afternoon",IF(C1320&lt;22,"Evening","Night"))))</f>
        <v/>
      </c>
    </row>
    <row r="1321">
      <c r="A1321" s="2" t="n">
        <v>1319</v>
      </c>
      <c r="B1321" s="20">
        <f>A1321/1440</f>
        <v/>
      </c>
      <c r="C1321" s="2">
        <f>INT(A1321/60)</f>
        <v/>
      </c>
      <c r="D1321" s="2">
        <f>IF(C1321&lt;6,"Night",IF(C1321&lt;12,"Morning",IF(C1321&lt;18,"Afternoon",IF(C1321&lt;22,"Evening","Night"))))</f>
        <v/>
      </c>
    </row>
    <row r="1322">
      <c r="A1322" s="2" t="n">
        <v>1320</v>
      </c>
      <c r="B1322" s="20">
        <f>A1322/1440</f>
        <v/>
      </c>
      <c r="C1322" s="2">
        <f>INT(A1322/60)</f>
        <v/>
      </c>
      <c r="D1322" s="2">
        <f>IF(C1322&lt;6,"Night",IF(C1322&lt;12,"Morning",IF(C1322&lt;18,"Afternoon",IF(C1322&lt;22,"Evening","Night"))))</f>
        <v/>
      </c>
    </row>
    <row r="1323">
      <c r="A1323" s="2" t="n">
        <v>1321</v>
      </c>
      <c r="B1323" s="20">
        <f>A1323/1440</f>
        <v/>
      </c>
      <c r="C1323" s="2">
        <f>INT(A1323/60)</f>
        <v/>
      </c>
      <c r="D1323" s="2">
        <f>IF(C1323&lt;6,"Night",IF(C1323&lt;12,"Morning",IF(C1323&lt;18,"Afternoon",IF(C1323&lt;22,"Evening","Night"))))</f>
        <v/>
      </c>
    </row>
    <row r="1324">
      <c r="A1324" s="2" t="n">
        <v>1322</v>
      </c>
      <c r="B1324" s="20">
        <f>A1324/1440</f>
        <v/>
      </c>
      <c r="C1324" s="2">
        <f>INT(A1324/60)</f>
        <v/>
      </c>
      <c r="D1324" s="2">
        <f>IF(C1324&lt;6,"Night",IF(C1324&lt;12,"Morning",IF(C1324&lt;18,"Afternoon",IF(C1324&lt;22,"Evening","Night"))))</f>
        <v/>
      </c>
    </row>
    <row r="1325">
      <c r="A1325" s="2" t="n">
        <v>1323</v>
      </c>
      <c r="B1325" s="20">
        <f>A1325/1440</f>
        <v/>
      </c>
      <c r="C1325" s="2">
        <f>INT(A1325/60)</f>
        <v/>
      </c>
      <c r="D1325" s="2">
        <f>IF(C1325&lt;6,"Night",IF(C1325&lt;12,"Morning",IF(C1325&lt;18,"Afternoon",IF(C1325&lt;22,"Evening","Night"))))</f>
        <v/>
      </c>
    </row>
    <row r="1326">
      <c r="A1326" s="2" t="n">
        <v>1324</v>
      </c>
      <c r="B1326" s="20">
        <f>A1326/1440</f>
        <v/>
      </c>
      <c r="C1326" s="2">
        <f>INT(A1326/60)</f>
        <v/>
      </c>
      <c r="D1326" s="2">
        <f>IF(C1326&lt;6,"Night",IF(C1326&lt;12,"Morning",IF(C1326&lt;18,"Afternoon",IF(C1326&lt;22,"Evening","Night"))))</f>
        <v/>
      </c>
    </row>
    <row r="1327">
      <c r="A1327" s="2" t="n">
        <v>1325</v>
      </c>
      <c r="B1327" s="20">
        <f>A1327/1440</f>
        <v/>
      </c>
      <c r="C1327" s="2">
        <f>INT(A1327/60)</f>
        <v/>
      </c>
      <c r="D1327" s="2">
        <f>IF(C1327&lt;6,"Night",IF(C1327&lt;12,"Morning",IF(C1327&lt;18,"Afternoon",IF(C1327&lt;22,"Evening","Night"))))</f>
        <v/>
      </c>
    </row>
    <row r="1328">
      <c r="A1328" s="2" t="n">
        <v>1326</v>
      </c>
      <c r="B1328" s="20">
        <f>A1328/1440</f>
        <v/>
      </c>
      <c r="C1328" s="2">
        <f>INT(A1328/60)</f>
        <v/>
      </c>
      <c r="D1328" s="2">
        <f>IF(C1328&lt;6,"Night",IF(C1328&lt;12,"Morning",IF(C1328&lt;18,"Afternoon",IF(C1328&lt;22,"Evening","Night"))))</f>
        <v/>
      </c>
    </row>
    <row r="1329">
      <c r="A1329" s="2" t="n">
        <v>1327</v>
      </c>
      <c r="B1329" s="20">
        <f>A1329/1440</f>
        <v/>
      </c>
      <c r="C1329" s="2">
        <f>INT(A1329/60)</f>
        <v/>
      </c>
      <c r="D1329" s="2">
        <f>IF(C1329&lt;6,"Night",IF(C1329&lt;12,"Morning",IF(C1329&lt;18,"Afternoon",IF(C1329&lt;22,"Evening","Night"))))</f>
        <v/>
      </c>
    </row>
    <row r="1330">
      <c r="A1330" s="2" t="n">
        <v>1328</v>
      </c>
      <c r="B1330" s="20">
        <f>A1330/1440</f>
        <v/>
      </c>
      <c r="C1330" s="2">
        <f>INT(A1330/60)</f>
        <v/>
      </c>
      <c r="D1330" s="2">
        <f>IF(C1330&lt;6,"Night",IF(C1330&lt;12,"Morning",IF(C1330&lt;18,"Afternoon",IF(C1330&lt;22,"Evening","Night"))))</f>
        <v/>
      </c>
    </row>
    <row r="1331">
      <c r="A1331" s="2" t="n">
        <v>1329</v>
      </c>
      <c r="B1331" s="20">
        <f>A1331/1440</f>
        <v/>
      </c>
      <c r="C1331" s="2">
        <f>INT(A1331/60)</f>
        <v/>
      </c>
      <c r="D1331" s="2">
        <f>IF(C1331&lt;6,"Night",IF(C1331&lt;12,"Morning",IF(C1331&lt;18,"Afternoon",IF(C1331&lt;22,"Evening","Night"))))</f>
        <v/>
      </c>
    </row>
    <row r="1332">
      <c r="A1332" s="2" t="n">
        <v>1330</v>
      </c>
      <c r="B1332" s="20">
        <f>A1332/1440</f>
        <v/>
      </c>
      <c r="C1332" s="2">
        <f>INT(A1332/60)</f>
        <v/>
      </c>
      <c r="D1332" s="2">
        <f>IF(C1332&lt;6,"Night",IF(C1332&lt;12,"Morning",IF(C1332&lt;18,"Afternoon",IF(C1332&lt;22,"Evening","Night"))))</f>
        <v/>
      </c>
    </row>
    <row r="1333">
      <c r="A1333" s="2" t="n">
        <v>1331</v>
      </c>
      <c r="B1333" s="20">
        <f>A1333/1440</f>
        <v/>
      </c>
      <c r="C1333" s="2">
        <f>INT(A1333/60)</f>
        <v/>
      </c>
      <c r="D1333" s="2">
        <f>IF(C1333&lt;6,"Night",IF(C1333&lt;12,"Morning",IF(C1333&lt;18,"Afternoon",IF(C1333&lt;22,"Evening","Night"))))</f>
        <v/>
      </c>
    </row>
    <row r="1334">
      <c r="A1334" s="2" t="n">
        <v>1332</v>
      </c>
      <c r="B1334" s="20">
        <f>A1334/1440</f>
        <v/>
      </c>
      <c r="C1334" s="2">
        <f>INT(A1334/60)</f>
        <v/>
      </c>
      <c r="D1334" s="2">
        <f>IF(C1334&lt;6,"Night",IF(C1334&lt;12,"Morning",IF(C1334&lt;18,"Afternoon",IF(C1334&lt;22,"Evening","Night"))))</f>
        <v/>
      </c>
    </row>
    <row r="1335">
      <c r="A1335" s="2" t="n">
        <v>1333</v>
      </c>
      <c r="B1335" s="20">
        <f>A1335/1440</f>
        <v/>
      </c>
      <c r="C1335" s="2">
        <f>INT(A1335/60)</f>
        <v/>
      </c>
      <c r="D1335" s="2">
        <f>IF(C1335&lt;6,"Night",IF(C1335&lt;12,"Morning",IF(C1335&lt;18,"Afternoon",IF(C1335&lt;22,"Evening","Night"))))</f>
        <v/>
      </c>
    </row>
    <row r="1336">
      <c r="A1336" s="2" t="n">
        <v>1334</v>
      </c>
      <c r="B1336" s="20">
        <f>A1336/1440</f>
        <v/>
      </c>
      <c r="C1336" s="2">
        <f>INT(A1336/60)</f>
        <v/>
      </c>
      <c r="D1336" s="2">
        <f>IF(C1336&lt;6,"Night",IF(C1336&lt;12,"Morning",IF(C1336&lt;18,"Afternoon",IF(C1336&lt;22,"Evening","Night"))))</f>
        <v/>
      </c>
    </row>
    <row r="1337">
      <c r="A1337" s="2" t="n">
        <v>1335</v>
      </c>
      <c r="B1337" s="20">
        <f>A1337/1440</f>
        <v/>
      </c>
      <c r="C1337" s="2">
        <f>INT(A1337/60)</f>
        <v/>
      </c>
      <c r="D1337" s="2">
        <f>IF(C1337&lt;6,"Night",IF(C1337&lt;12,"Morning",IF(C1337&lt;18,"Afternoon",IF(C1337&lt;22,"Evening","Night"))))</f>
        <v/>
      </c>
    </row>
    <row r="1338">
      <c r="A1338" s="2" t="n">
        <v>1336</v>
      </c>
      <c r="B1338" s="20">
        <f>A1338/1440</f>
        <v/>
      </c>
      <c r="C1338" s="2">
        <f>INT(A1338/60)</f>
        <v/>
      </c>
      <c r="D1338" s="2">
        <f>IF(C1338&lt;6,"Night",IF(C1338&lt;12,"Morning",IF(C1338&lt;18,"Afternoon",IF(C1338&lt;22,"Evening","Night"))))</f>
        <v/>
      </c>
    </row>
    <row r="1339">
      <c r="A1339" s="2" t="n">
        <v>1337</v>
      </c>
      <c r="B1339" s="20">
        <f>A1339/1440</f>
        <v/>
      </c>
      <c r="C1339" s="2">
        <f>INT(A1339/60)</f>
        <v/>
      </c>
      <c r="D1339" s="2">
        <f>IF(C1339&lt;6,"Night",IF(C1339&lt;12,"Morning",IF(C1339&lt;18,"Afternoon",IF(C1339&lt;22,"Evening","Night"))))</f>
        <v/>
      </c>
    </row>
    <row r="1340">
      <c r="A1340" s="2" t="n">
        <v>1338</v>
      </c>
      <c r="B1340" s="20">
        <f>A1340/1440</f>
        <v/>
      </c>
      <c r="C1340" s="2">
        <f>INT(A1340/60)</f>
        <v/>
      </c>
      <c r="D1340" s="2">
        <f>IF(C1340&lt;6,"Night",IF(C1340&lt;12,"Morning",IF(C1340&lt;18,"Afternoon",IF(C1340&lt;22,"Evening","Night"))))</f>
        <v/>
      </c>
    </row>
    <row r="1341">
      <c r="A1341" s="2" t="n">
        <v>1339</v>
      </c>
      <c r="B1341" s="20">
        <f>A1341/1440</f>
        <v/>
      </c>
      <c r="C1341" s="2">
        <f>INT(A1341/60)</f>
        <v/>
      </c>
      <c r="D1341" s="2">
        <f>IF(C1341&lt;6,"Night",IF(C1341&lt;12,"Morning",IF(C1341&lt;18,"Afternoon",IF(C1341&lt;22,"Evening","Night"))))</f>
        <v/>
      </c>
    </row>
    <row r="1342">
      <c r="A1342" s="2" t="n">
        <v>1340</v>
      </c>
      <c r="B1342" s="20">
        <f>A1342/1440</f>
        <v/>
      </c>
      <c r="C1342" s="2">
        <f>INT(A1342/60)</f>
        <v/>
      </c>
      <c r="D1342" s="2">
        <f>IF(C1342&lt;6,"Night",IF(C1342&lt;12,"Morning",IF(C1342&lt;18,"Afternoon",IF(C1342&lt;22,"Evening","Night"))))</f>
        <v/>
      </c>
    </row>
    <row r="1343">
      <c r="A1343" s="2" t="n">
        <v>1341</v>
      </c>
      <c r="B1343" s="20">
        <f>A1343/1440</f>
        <v/>
      </c>
      <c r="C1343" s="2">
        <f>INT(A1343/60)</f>
        <v/>
      </c>
      <c r="D1343" s="2">
        <f>IF(C1343&lt;6,"Night",IF(C1343&lt;12,"Morning",IF(C1343&lt;18,"Afternoon",IF(C1343&lt;22,"Evening","Night"))))</f>
        <v/>
      </c>
    </row>
    <row r="1344">
      <c r="A1344" s="2" t="n">
        <v>1342</v>
      </c>
      <c r="B1344" s="20">
        <f>A1344/1440</f>
        <v/>
      </c>
      <c r="C1344" s="2">
        <f>INT(A1344/60)</f>
        <v/>
      </c>
      <c r="D1344" s="2">
        <f>IF(C1344&lt;6,"Night",IF(C1344&lt;12,"Morning",IF(C1344&lt;18,"Afternoon",IF(C1344&lt;22,"Evening","Night"))))</f>
        <v/>
      </c>
    </row>
    <row r="1345">
      <c r="A1345" s="2" t="n">
        <v>1343</v>
      </c>
      <c r="B1345" s="20">
        <f>A1345/1440</f>
        <v/>
      </c>
      <c r="C1345" s="2">
        <f>INT(A1345/60)</f>
        <v/>
      </c>
      <c r="D1345" s="2">
        <f>IF(C1345&lt;6,"Night",IF(C1345&lt;12,"Morning",IF(C1345&lt;18,"Afternoon",IF(C1345&lt;22,"Evening","Night"))))</f>
        <v/>
      </c>
    </row>
    <row r="1346">
      <c r="A1346" s="2" t="n">
        <v>1344</v>
      </c>
      <c r="B1346" s="20">
        <f>A1346/1440</f>
        <v/>
      </c>
      <c r="C1346" s="2">
        <f>INT(A1346/60)</f>
        <v/>
      </c>
      <c r="D1346" s="2">
        <f>IF(C1346&lt;6,"Night",IF(C1346&lt;12,"Morning",IF(C1346&lt;18,"Afternoon",IF(C1346&lt;22,"Evening","Night"))))</f>
        <v/>
      </c>
    </row>
    <row r="1347">
      <c r="A1347" s="2" t="n">
        <v>1345</v>
      </c>
      <c r="B1347" s="20">
        <f>A1347/1440</f>
        <v/>
      </c>
      <c r="C1347" s="2">
        <f>INT(A1347/60)</f>
        <v/>
      </c>
      <c r="D1347" s="2">
        <f>IF(C1347&lt;6,"Night",IF(C1347&lt;12,"Morning",IF(C1347&lt;18,"Afternoon",IF(C1347&lt;22,"Evening","Night"))))</f>
        <v/>
      </c>
    </row>
    <row r="1348">
      <c r="A1348" s="2" t="n">
        <v>1346</v>
      </c>
      <c r="B1348" s="20">
        <f>A1348/1440</f>
        <v/>
      </c>
      <c r="C1348" s="2">
        <f>INT(A1348/60)</f>
        <v/>
      </c>
      <c r="D1348" s="2">
        <f>IF(C1348&lt;6,"Night",IF(C1348&lt;12,"Morning",IF(C1348&lt;18,"Afternoon",IF(C1348&lt;22,"Evening","Night"))))</f>
        <v/>
      </c>
    </row>
    <row r="1349">
      <c r="A1349" s="2" t="n">
        <v>1347</v>
      </c>
      <c r="B1349" s="20">
        <f>A1349/1440</f>
        <v/>
      </c>
      <c r="C1349" s="2">
        <f>INT(A1349/60)</f>
        <v/>
      </c>
      <c r="D1349" s="2">
        <f>IF(C1349&lt;6,"Night",IF(C1349&lt;12,"Morning",IF(C1349&lt;18,"Afternoon",IF(C1349&lt;22,"Evening","Night"))))</f>
        <v/>
      </c>
    </row>
    <row r="1350">
      <c r="A1350" s="2" t="n">
        <v>1348</v>
      </c>
      <c r="B1350" s="20">
        <f>A1350/1440</f>
        <v/>
      </c>
      <c r="C1350" s="2">
        <f>INT(A1350/60)</f>
        <v/>
      </c>
      <c r="D1350" s="2">
        <f>IF(C1350&lt;6,"Night",IF(C1350&lt;12,"Morning",IF(C1350&lt;18,"Afternoon",IF(C1350&lt;22,"Evening","Night"))))</f>
        <v/>
      </c>
    </row>
    <row r="1351">
      <c r="A1351" s="2" t="n">
        <v>1349</v>
      </c>
      <c r="B1351" s="20">
        <f>A1351/1440</f>
        <v/>
      </c>
      <c r="C1351" s="2">
        <f>INT(A1351/60)</f>
        <v/>
      </c>
      <c r="D1351" s="2">
        <f>IF(C1351&lt;6,"Night",IF(C1351&lt;12,"Morning",IF(C1351&lt;18,"Afternoon",IF(C1351&lt;22,"Evening","Night"))))</f>
        <v/>
      </c>
    </row>
    <row r="1352">
      <c r="A1352" s="2" t="n">
        <v>1350</v>
      </c>
      <c r="B1352" s="20">
        <f>A1352/1440</f>
        <v/>
      </c>
      <c r="C1352" s="2">
        <f>INT(A1352/60)</f>
        <v/>
      </c>
      <c r="D1352" s="2">
        <f>IF(C1352&lt;6,"Night",IF(C1352&lt;12,"Morning",IF(C1352&lt;18,"Afternoon",IF(C1352&lt;22,"Evening","Night"))))</f>
        <v/>
      </c>
    </row>
    <row r="1353">
      <c r="A1353" s="2" t="n">
        <v>1351</v>
      </c>
      <c r="B1353" s="20">
        <f>A1353/1440</f>
        <v/>
      </c>
      <c r="C1353" s="2">
        <f>INT(A1353/60)</f>
        <v/>
      </c>
      <c r="D1353" s="2">
        <f>IF(C1353&lt;6,"Night",IF(C1353&lt;12,"Morning",IF(C1353&lt;18,"Afternoon",IF(C1353&lt;22,"Evening","Night"))))</f>
        <v/>
      </c>
    </row>
    <row r="1354">
      <c r="A1354" s="2" t="n">
        <v>1352</v>
      </c>
      <c r="B1354" s="20">
        <f>A1354/1440</f>
        <v/>
      </c>
      <c r="C1354" s="2">
        <f>INT(A1354/60)</f>
        <v/>
      </c>
      <c r="D1354" s="2">
        <f>IF(C1354&lt;6,"Night",IF(C1354&lt;12,"Morning",IF(C1354&lt;18,"Afternoon",IF(C1354&lt;22,"Evening","Night"))))</f>
        <v/>
      </c>
    </row>
    <row r="1355">
      <c r="A1355" s="2" t="n">
        <v>1353</v>
      </c>
      <c r="B1355" s="20">
        <f>A1355/1440</f>
        <v/>
      </c>
      <c r="C1355" s="2">
        <f>INT(A1355/60)</f>
        <v/>
      </c>
      <c r="D1355" s="2">
        <f>IF(C1355&lt;6,"Night",IF(C1355&lt;12,"Morning",IF(C1355&lt;18,"Afternoon",IF(C1355&lt;22,"Evening","Night"))))</f>
        <v/>
      </c>
    </row>
    <row r="1356">
      <c r="A1356" s="2" t="n">
        <v>1354</v>
      </c>
      <c r="B1356" s="20">
        <f>A1356/1440</f>
        <v/>
      </c>
      <c r="C1356" s="2">
        <f>INT(A1356/60)</f>
        <v/>
      </c>
      <c r="D1356" s="2">
        <f>IF(C1356&lt;6,"Night",IF(C1356&lt;12,"Morning",IF(C1356&lt;18,"Afternoon",IF(C1356&lt;22,"Evening","Night"))))</f>
        <v/>
      </c>
    </row>
    <row r="1357">
      <c r="A1357" s="2" t="n">
        <v>1355</v>
      </c>
      <c r="B1357" s="20">
        <f>A1357/1440</f>
        <v/>
      </c>
      <c r="C1357" s="2">
        <f>INT(A1357/60)</f>
        <v/>
      </c>
      <c r="D1357" s="2">
        <f>IF(C1357&lt;6,"Night",IF(C1357&lt;12,"Morning",IF(C1357&lt;18,"Afternoon",IF(C1357&lt;22,"Evening","Night"))))</f>
        <v/>
      </c>
    </row>
    <row r="1358">
      <c r="A1358" s="2" t="n">
        <v>1356</v>
      </c>
      <c r="B1358" s="20">
        <f>A1358/1440</f>
        <v/>
      </c>
      <c r="C1358" s="2">
        <f>INT(A1358/60)</f>
        <v/>
      </c>
      <c r="D1358" s="2">
        <f>IF(C1358&lt;6,"Night",IF(C1358&lt;12,"Morning",IF(C1358&lt;18,"Afternoon",IF(C1358&lt;22,"Evening","Night"))))</f>
        <v/>
      </c>
    </row>
    <row r="1359">
      <c r="A1359" s="2" t="n">
        <v>1357</v>
      </c>
      <c r="B1359" s="20">
        <f>A1359/1440</f>
        <v/>
      </c>
      <c r="C1359" s="2">
        <f>INT(A1359/60)</f>
        <v/>
      </c>
      <c r="D1359" s="2">
        <f>IF(C1359&lt;6,"Night",IF(C1359&lt;12,"Morning",IF(C1359&lt;18,"Afternoon",IF(C1359&lt;22,"Evening","Night"))))</f>
        <v/>
      </c>
    </row>
    <row r="1360">
      <c r="A1360" s="2" t="n">
        <v>1358</v>
      </c>
      <c r="B1360" s="20">
        <f>A1360/1440</f>
        <v/>
      </c>
      <c r="C1360" s="2">
        <f>INT(A1360/60)</f>
        <v/>
      </c>
      <c r="D1360" s="2">
        <f>IF(C1360&lt;6,"Night",IF(C1360&lt;12,"Morning",IF(C1360&lt;18,"Afternoon",IF(C1360&lt;22,"Evening","Night"))))</f>
        <v/>
      </c>
    </row>
    <row r="1361">
      <c r="A1361" s="2" t="n">
        <v>1359</v>
      </c>
      <c r="B1361" s="20">
        <f>A1361/1440</f>
        <v/>
      </c>
      <c r="C1361" s="2">
        <f>INT(A1361/60)</f>
        <v/>
      </c>
      <c r="D1361" s="2">
        <f>IF(C1361&lt;6,"Night",IF(C1361&lt;12,"Morning",IF(C1361&lt;18,"Afternoon",IF(C1361&lt;22,"Evening","Night"))))</f>
        <v/>
      </c>
    </row>
    <row r="1362">
      <c r="A1362" s="2" t="n">
        <v>1360</v>
      </c>
      <c r="B1362" s="20">
        <f>A1362/1440</f>
        <v/>
      </c>
      <c r="C1362" s="2">
        <f>INT(A1362/60)</f>
        <v/>
      </c>
      <c r="D1362" s="2">
        <f>IF(C1362&lt;6,"Night",IF(C1362&lt;12,"Morning",IF(C1362&lt;18,"Afternoon",IF(C1362&lt;22,"Evening","Night"))))</f>
        <v/>
      </c>
    </row>
    <row r="1363">
      <c r="A1363" s="2" t="n">
        <v>1361</v>
      </c>
      <c r="B1363" s="20">
        <f>A1363/1440</f>
        <v/>
      </c>
      <c r="C1363" s="2">
        <f>INT(A1363/60)</f>
        <v/>
      </c>
      <c r="D1363" s="2">
        <f>IF(C1363&lt;6,"Night",IF(C1363&lt;12,"Morning",IF(C1363&lt;18,"Afternoon",IF(C1363&lt;22,"Evening","Night"))))</f>
        <v/>
      </c>
    </row>
    <row r="1364">
      <c r="A1364" s="2" t="n">
        <v>1362</v>
      </c>
      <c r="B1364" s="20">
        <f>A1364/1440</f>
        <v/>
      </c>
      <c r="C1364" s="2">
        <f>INT(A1364/60)</f>
        <v/>
      </c>
      <c r="D1364" s="2">
        <f>IF(C1364&lt;6,"Night",IF(C1364&lt;12,"Morning",IF(C1364&lt;18,"Afternoon",IF(C1364&lt;22,"Evening","Night"))))</f>
        <v/>
      </c>
    </row>
    <row r="1365">
      <c r="A1365" s="2" t="n">
        <v>1363</v>
      </c>
      <c r="B1365" s="20">
        <f>A1365/1440</f>
        <v/>
      </c>
      <c r="C1365" s="2">
        <f>INT(A1365/60)</f>
        <v/>
      </c>
      <c r="D1365" s="2">
        <f>IF(C1365&lt;6,"Night",IF(C1365&lt;12,"Morning",IF(C1365&lt;18,"Afternoon",IF(C1365&lt;22,"Evening","Night"))))</f>
        <v/>
      </c>
    </row>
    <row r="1366">
      <c r="A1366" s="2" t="n">
        <v>1364</v>
      </c>
      <c r="B1366" s="20">
        <f>A1366/1440</f>
        <v/>
      </c>
      <c r="C1366" s="2">
        <f>INT(A1366/60)</f>
        <v/>
      </c>
      <c r="D1366" s="2">
        <f>IF(C1366&lt;6,"Night",IF(C1366&lt;12,"Morning",IF(C1366&lt;18,"Afternoon",IF(C1366&lt;22,"Evening","Night"))))</f>
        <v/>
      </c>
    </row>
    <row r="1367">
      <c r="A1367" s="2" t="n">
        <v>1365</v>
      </c>
      <c r="B1367" s="20">
        <f>A1367/1440</f>
        <v/>
      </c>
      <c r="C1367" s="2">
        <f>INT(A1367/60)</f>
        <v/>
      </c>
      <c r="D1367" s="2">
        <f>IF(C1367&lt;6,"Night",IF(C1367&lt;12,"Morning",IF(C1367&lt;18,"Afternoon",IF(C1367&lt;22,"Evening","Night"))))</f>
        <v/>
      </c>
    </row>
    <row r="1368">
      <c r="A1368" s="2" t="n">
        <v>1366</v>
      </c>
      <c r="B1368" s="20">
        <f>A1368/1440</f>
        <v/>
      </c>
      <c r="C1368" s="2">
        <f>INT(A1368/60)</f>
        <v/>
      </c>
      <c r="D1368" s="2">
        <f>IF(C1368&lt;6,"Night",IF(C1368&lt;12,"Morning",IF(C1368&lt;18,"Afternoon",IF(C1368&lt;22,"Evening","Night"))))</f>
        <v/>
      </c>
    </row>
    <row r="1369">
      <c r="A1369" s="2" t="n">
        <v>1367</v>
      </c>
      <c r="B1369" s="20">
        <f>A1369/1440</f>
        <v/>
      </c>
      <c r="C1369" s="2">
        <f>INT(A1369/60)</f>
        <v/>
      </c>
      <c r="D1369" s="2">
        <f>IF(C1369&lt;6,"Night",IF(C1369&lt;12,"Morning",IF(C1369&lt;18,"Afternoon",IF(C1369&lt;22,"Evening","Night"))))</f>
        <v/>
      </c>
    </row>
    <row r="1370">
      <c r="A1370" s="2" t="n">
        <v>1368</v>
      </c>
      <c r="B1370" s="20">
        <f>A1370/1440</f>
        <v/>
      </c>
      <c r="C1370" s="2">
        <f>INT(A1370/60)</f>
        <v/>
      </c>
      <c r="D1370" s="2">
        <f>IF(C1370&lt;6,"Night",IF(C1370&lt;12,"Morning",IF(C1370&lt;18,"Afternoon",IF(C1370&lt;22,"Evening","Night"))))</f>
        <v/>
      </c>
    </row>
    <row r="1371">
      <c r="A1371" s="2" t="n">
        <v>1369</v>
      </c>
      <c r="B1371" s="20">
        <f>A1371/1440</f>
        <v/>
      </c>
      <c r="C1371" s="2">
        <f>INT(A1371/60)</f>
        <v/>
      </c>
      <c r="D1371" s="2">
        <f>IF(C1371&lt;6,"Night",IF(C1371&lt;12,"Morning",IF(C1371&lt;18,"Afternoon",IF(C1371&lt;22,"Evening","Night"))))</f>
        <v/>
      </c>
    </row>
    <row r="1372">
      <c r="A1372" s="2" t="n">
        <v>1370</v>
      </c>
      <c r="B1372" s="20">
        <f>A1372/1440</f>
        <v/>
      </c>
      <c r="C1372" s="2">
        <f>INT(A1372/60)</f>
        <v/>
      </c>
      <c r="D1372" s="2">
        <f>IF(C1372&lt;6,"Night",IF(C1372&lt;12,"Morning",IF(C1372&lt;18,"Afternoon",IF(C1372&lt;22,"Evening","Night"))))</f>
        <v/>
      </c>
    </row>
    <row r="1373">
      <c r="A1373" s="2" t="n">
        <v>1371</v>
      </c>
      <c r="B1373" s="20">
        <f>A1373/1440</f>
        <v/>
      </c>
      <c r="C1373" s="2">
        <f>INT(A1373/60)</f>
        <v/>
      </c>
      <c r="D1373" s="2">
        <f>IF(C1373&lt;6,"Night",IF(C1373&lt;12,"Morning",IF(C1373&lt;18,"Afternoon",IF(C1373&lt;22,"Evening","Night"))))</f>
        <v/>
      </c>
    </row>
    <row r="1374">
      <c r="A1374" s="2" t="n">
        <v>1372</v>
      </c>
      <c r="B1374" s="20">
        <f>A1374/1440</f>
        <v/>
      </c>
      <c r="C1374" s="2">
        <f>INT(A1374/60)</f>
        <v/>
      </c>
      <c r="D1374" s="2">
        <f>IF(C1374&lt;6,"Night",IF(C1374&lt;12,"Morning",IF(C1374&lt;18,"Afternoon",IF(C1374&lt;22,"Evening","Night"))))</f>
        <v/>
      </c>
    </row>
    <row r="1375">
      <c r="A1375" s="2" t="n">
        <v>1373</v>
      </c>
      <c r="B1375" s="20">
        <f>A1375/1440</f>
        <v/>
      </c>
      <c r="C1375" s="2">
        <f>INT(A1375/60)</f>
        <v/>
      </c>
      <c r="D1375" s="2">
        <f>IF(C1375&lt;6,"Night",IF(C1375&lt;12,"Morning",IF(C1375&lt;18,"Afternoon",IF(C1375&lt;22,"Evening","Night"))))</f>
        <v/>
      </c>
    </row>
    <row r="1376">
      <c r="A1376" s="2" t="n">
        <v>1374</v>
      </c>
      <c r="B1376" s="20">
        <f>A1376/1440</f>
        <v/>
      </c>
      <c r="C1376" s="2">
        <f>INT(A1376/60)</f>
        <v/>
      </c>
      <c r="D1376" s="2">
        <f>IF(C1376&lt;6,"Night",IF(C1376&lt;12,"Morning",IF(C1376&lt;18,"Afternoon",IF(C1376&lt;22,"Evening","Night"))))</f>
        <v/>
      </c>
    </row>
    <row r="1377">
      <c r="A1377" s="2" t="n">
        <v>1375</v>
      </c>
      <c r="B1377" s="20">
        <f>A1377/1440</f>
        <v/>
      </c>
      <c r="C1377" s="2">
        <f>INT(A1377/60)</f>
        <v/>
      </c>
      <c r="D1377" s="2">
        <f>IF(C1377&lt;6,"Night",IF(C1377&lt;12,"Morning",IF(C1377&lt;18,"Afternoon",IF(C1377&lt;22,"Evening","Night"))))</f>
        <v/>
      </c>
    </row>
    <row r="1378">
      <c r="A1378" s="2" t="n">
        <v>1376</v>
      </c>
      <c r="B1378" s="20">
        <f>A1378/1440</f>
        <v/>
      </c>
      <c r="C1378" s="2">
        <f>INT(A1378/60)</f>
        <v/>
      </c>
      <c r="D1378" s="2">
        <f>IF(C1378&lt;6,"Night",IF(C1378&lt;12,"Morning",IF(C1378&lt;18,"Afternoon",IF(C1378&lt;22,"Evening","Night"))))</f>
        <v/>
      </c>
    </row>
    <row r="1379">
      <c r="A1379" s="2" t="n">
        <v>1377</v>
      </c>
      <c r="B1379" s="20">
        <f>A1379/1440</f>
        <v/>
      </c>
      <c r="C1379" s="2">
        <f>INT(A1379/60)</f>
        <v/>
      </c>
      <c r="D1379" s="2">
        <f>IF(C1379&lt;6,"Night",IF(C1379&lt;12,"Morning",IF(C1379&lt;18,"Afternoon",IF(C1379&lt;22,"Evening","Night"))))</f>
        <v/>
      </c>
    </row>
    <row r="1380">
      <c r="A1380" s="2" t="n">
        <v>1378</v>
      </c>
      <c r="B1380" s="20">
        <f>A1380/1440</f>
        <v/>
      </c>
      <c r="C1380" s="2">
        <f>INT(A1380/60)</f>
        <v/>
      </c>
      <c r="D1380" s="2">
        <f>IF(C1380&lt;6,"Night",IF(C1380&lt;12,"Morning",IF(C1380&lt;18,"Afternoon",IF(C1380&lt;22,"Evening","Night"))))</f>
        <v/>
      </c>
    </row>
    <row r="1381">
      <c r="A1381" s="2" t="n">
        <v>1379</v>
      </c>
      <c r="B1381" s="20">
        <f>A1381/1440</f>
        <v/>
      </c>
      <c r="C1381" s="2">
        <f>INT(A1381/60)</f>
        <v/>
      </c>
      <c r="D1381" s="2">
        <f>IF(C1381&lt;6,"Night",IF(C1381&lt;12,"Morning",IF(C1381&lt;18,"Afternoon",IF(C1381&lt;22,"Evening","Night"))))</f>
        <v/>
      </c>
    </row>
    <row r="1382">
      <c r="A1382" s="2" t="n">
        <v>1380</v>
      </c>
      <c r="B1382" s="20">
        <f>A1382/1440</f>
        <v/>
      </c>
      <c r="C1382" s="2">
        <f>INT(A1382/60)</f>
        <v/>
      </c>
      <c r="D1382" s="2">
        <f>IF(C1382&lt;6,"Night",IF(C1382&lt;12,"Morning",IF(C1382&lt;18,"Afternoon",IF(C1382&lt;22,"Evening","Night"))))</f>
        <v/>
      </c>
    </row>
    <row r="1383">
      <c r="A1383" s="2" t="n">
        <v>1381</v>
      </c>
      <c r="B1383" s="20">
        <f>A1383/1440</f>
        <v/>
      </c>
      <c r="C1383" s="2">
        <f>INT(A1383/60)</f>
        <v/>
      </c>
      <c r="D1383" s="2">
        <f>IF(C1383&lt;6,"Night",IF(C1383&lt;12,"Morning",IF(C1383&lt;18,"Afternoon",IF(C1383&lt;22,"Evening","Night"))))</f>
        <v/>
      </c>
    </row>
    <row r="1384">
      <c r="A1384" s="2" t="n">
        <v>1382</v>
      </c>
      <c r="B1384" s="20">
        <f>A1384/1440</f>
        <v/>
      </c>
      <c r="C1384" s="2">
        <f>INT(A1384/60)</f>
        <v/>
      </c>
      <c r="D1384" s="2">
        <f>IF(C1384&lt;6,"Night",IF(C1384&lt;12,"Morning",IF(C1384&lt;18,"Afternoon",IF(C1384&lt;22,"Evening","Night"))))</f>
        <v/>
      </c>
    </row>
    <row r="1385">
      <c r="A1385" s="2" t="n">
        <v>1383</v>
      </c>
      <c r="B1385" s="20">
        <f>A1385/1440</f>
        <v/>
      </c>
      <c r="C1385" s="2">
        <f>INT(A1385/60)</f>
        <v/>
      </c>
      <c r="D1385" s="2">
        <f>IF(C1385&lt;6,"Night",IF(C1385&lt;12,"Morning",IF(C1385&lt;18,"Afternoon",IF(C1385&lt;22,"Evening","Night"))))</f>
        <v/>
      </c>
    </row>
    <row r="1386">
      <c r="A1386" s="2" t="n">
        <v>1384</v>
      </c>
      <c r="B1386" s="20">
        <f>A1386/1440</f>
        <v/>
      </c>
      <c r="C1386" s="2">
        <f>INT(A1386/60)</f>
        <v/>
      </c>
      <c r="D1386" s="2">
        <f>IF(C1386&lt;6,"Night",IF(C1386&lt;12,"Morning",IF(C1386&lt;18,"Afternoon",IF(C1386&lt;22,"Evening","Night"))))</f>
        <v/>
      </c>
    </row>
    <row r="1387">
      <c r="A1387" s="2" t="n">
        <v>1385</v>
      </c>
      <c r="B1387" s="20">
        <f>A1387/1440</f>
        <v/>
      </c>
      <c r="C1387" s="2">
        <f>INT(A1387/60)</f>
        <v/>
      </c>
      <c r="D1387" s="2">
        <f>IF(C1387&lt;6,"Night",IF(C1387&lt;12,"Morning",IF(C1387&lt;18,"Afternoon",IF(C1387&lt;22,"Evening","Night"))))</f>
        <v/>
      </c>
    </row>
    <row r="1388">
      <c r="A1388" s="2" t="n">
        <v>1386</v>
      </c>
      <c r="B1388" s="20">
        <f>A1388/1440</f>
        <v/>
      </c>
      <c r="C1388" s="2">
        <f>INT(A1388/60)</f>
        <v/>
      </c>
      <c r="D1388" s="2">
        <f>IF(C1388&lt;6,"Night",IF(C1388&lt;12,"Morning",IF(C1388&lt;18,"Afternoon",IF(C1388&lt;22,"Evening","Night"))))</f>
        <v/>
      </c>
    </row>
    <row r="1389">
      <c r="A1389" s="2" t="n">
        <v>1387</v>
      </c>
      <c r="B1389" s="20">
        <f>A1389/1440</f>
        <v/>
      </c>
      <c r="C1389" s="2">
        <f>INT(A1389/60)</f>
        <v/>
      </c>
      <c r="D1389" s="2">
        <f>IF(C1389&lt;6,"Night",IF(C1389&lt;12,"Morning",IF(C1389&lt;18,"Afternoon",IF(C1389&lt;22,"Evening","Night"))))</f>
        <v/>
      </c>
    </row>
    <row r="1390">
      <c r="A1390" s="2" t="n">
        <v>1388</v>
      </c>
      <c r="B1390" s="20">
        <f>A1390/1440</f>
        <v/>
      </c>
      <c r="C1390" s="2">
        <f>INT(A1390/60)</f>
        <v/>
      </c>
      <c r="D1390" s="2">
        <f>IF(C1390&lt;6,"Night",IF(C1390&lt;12,"Morning",IF(C1390&lt;18,"Afternoon",IF(C1390&lt;22,"Evening","Night"))))</f>
        <v/>
      </c>
    </row>
    <row r="1391">
      <c r="A1391" s="2" t="n">
        <v>1389</v>
      </c>
      <c r="B1391" s="20">
        <f>A1391/1440</f>
        <v/>
      </c>
      <c r="C1391" s="2">
        <f>INT(A1391/60)</f>
        <v/>
      </c>
      <c r="D1391" s="2">
        <f>IF(C1391&lt;6,"Night",IF(C1391&lt;12,"Morning",IF(C1391&lt;18,"Afternoon",IF(C1391&lt;22,"Evening","Night"))))</f>
        <v/>
      </c>
    </row>
    <row r="1392">
      <c r="A1392" s="2" t="n">
        <v>1390</v>
      </c>
      <c r="B1392" s="20">
        <f>A1392/1440</f>
        <v/>
      </c>
      <c r="C1392" s="2">
        <f>INT(A1392/60)</f>
        <v/>
      </c>
      <c r="D1392" s="2">
        <f>IF(C1392&lt;6,"Night",IF(C1392&lt;12,"Morning",IF(C1392&lt;18,"Afternoon",IF(C1392&lt;22,"Evening","Night"))))</f>
        <v/>
      </c>
    </row>
    <row r="1393">
      <c r="A1393" s="2" t="n">
        <v>1391</v>
      </c>
      <c r="B1393" s="20">
        <f>A1393/1440</f>
        <v/>
      </c>
      <c r="C1393" s="2">
        <f>INT(A1393/60)</f>
        <v/>
      </c>
      <c r="D1393" s="2">
        <f>IF(C1393&lt;6,"Night",IF(C1393&lt;12,"Morning",IF(C1393&lt;18,"Afternoon",IF(C1393&lt;22,"Evening","Night"))))</f>
        <v/>
      </c>
    </row>
    <row r="1394">
      <c r="A1394" s="2" t="n">
        <v>1392</v>
      </c>
      <c r="B1394" s="20">
        <f>A1394/1440</f>
        <v/>
      </c>
      <c r="C1394" s="2">
        <f>INT(A1394/60)</f>
        <v/>
      </c>
      <c r="D1394" s="2">
        <f>IF(C1394&lt;6,"Night",IF(C1394&lt;12,"Morning",IF(C1394&lt;18,"Afternoon",IF(C1394&lt;22,"Evening","Night"))))</f>
        <v/>
      </c>
    </row>
    <row r="1395">
      <c r="A1395" s="2" t="n">
        <v>1393</v>
      </c>
      <c r="B1395" s="20">
        <f>A1395/1440</f>
        <v/>
      </c>
      <c r="C1395" s="2">
        <f>INT(A1395/60)</f>
        <v/>
      </c>
      <c r="D1395" s="2">
        <f>IF(C1395&lt;6,"Night",IF(C1395&lt;12,"Morning",IF(C1395&lt;18,"Afternoon",IF(C1395&lt;22,"Evening","Night"))))</f>
        <v/>
      </c>
    </row>
    <row r="1396">
      <c r="A1396" s="2" t="n">
        <v>1394</v>
      </c>
      <c r="B1396" s="20">
        <f>A1396/1440</f>
        <v/>
      </c>
      <c r="C1396" s="2">
        <f>INT(A1396/60)</f>
        <v/>
      </c>
      <c r="D1396" s="2">
        <f>IF(C1396&lt;6,"Night",IF(C1396&lt;12,"Morning",IF(C1396&lt;18,"Afternoon",IF(C1396&lt;22,"Evening","Night"))))</f>
        <v/>
      </c>
    </row>
    <row r="1397">
      <c r="A1397" s="2" t="n">
        <v>1395</v>
      </c>
      <c r="B1397" s="20">
        <f>A1397/1440</f>
        <v/>
      </c>
      <c r="C1397" s="2">
        <f>INT(A1397/60)</f>
        <v/>
      </c>
      <c r="D1397" s="2">
        <f>IF(C1397&lt;6,"Night",IF(C1397&lt;12,"Morning",IF(C1397&lt;18,"Afternoon",IF(C1397&lt;22,"Evening","Night"))))</f>
        <v/>
      </c>
    </row>
    <row r="1398">
      <c r="A1398" s="2" t="n">
        <v>1396</v>
      </c>
      <c r="B1398" s="20">
        <f>A1398/1440</f>
        <v/>
      </c>
      <c r="C1398" s="2">
        <f>INT(A1398/60)</f>
        <v/>
      </c>
      <c r="D1398" s="2">
        <f>IF(C1398&lt;6,"Night",IF(C1398&lt;12,"Morning",IF(C1398&lt;18,"Afternoon",IF(C1398&lt;22,"Evening","Night"))))</f>
        <v/>
      </c>
    </row>
    <row r="1399">
      <c r="A1399" s="2" t="n">
        <v>1397</v>
      </c>
      <c r="B1399" s="20">
        <f>A1399/1440</f>
        <v/>
      </c>
      <c r="C1399" s="2">
        <f>INT(A1399/60)</f>
        <v/>
      </c>
      <c r="D1399" s="2">
        <f>IF(C1399&lt;6,"Night",IF(C1399&lt;12,"Morning",IF(C1399&lt;18,"Afternoon",IF(C1399&lt;22,"Evening","Night"))))</f>
        <v/>
      </c>
    </row>
    <row r="1400">
      <c r="A1400" s="2" t="n">
        <v>1398</v>
      </c>
      <c r="B1400" s="20">
        <f>A1400/1440</f>
        <v/>
      </c>
      <c r="C1400" s="2">
        <f>INT(A1400/60)</f>
        <v/>
      </c>
      <c r="D1400" s="2">
        <f>IF(C1400&lt;6,"Night",IF(C1400&lt;12,"Morning",IF(C1400&lt;18,"Afternoon",IF(C1400&lt;22,"Evening","Night"))))</f>
        <v/>
      </c>
    </row>
    <row r="1401">
      <c r="A1401" s="2" t="n">
        <v>1399</v>
      </c>
      <c r="B1401" s="20">
        <f>A1401/1440</f>
        <v/>
      </c>
      <c r="C1401" s="2">
        <f>INT(A1401/60)</f>
        <v/>
      </c>
      <c r="D1401" s="2">
        <f>IF(C1401&lt;6,"Night",IF(C1401&lt;12,"Morning",IF(C1401&lt;18,"Afternoon",IF(C1401&lt;22,"Evening","Night"))))</f>
        <v/>
      </c>
    </row>
    <row r="1402">
      <c r="A1402" s="2" t="n">
        <v>1400</v>
      </c>
      <c r="B1402" s="20">
        <f>A1402/1440</f>
        <v/>
      </c>
      <c r="C1402" s="2">
        <f>INT(A1402/60)</f>
        <v/>
      </c>
      <c r="D1402" s="2">
        <f>IF(C1402&lt;6,"Night",IF(C1402&lt;12,"Morning",IF(C1402&lt;18,"Afternoon",IF(C1402&lt;22,"Evening","Night"))))</f>
        <v/>
      </c>
    </row>
    <row r="1403">
      <c r="A1403" s="2" t="n">
        <v>1401</v>
      </c>
      <c r="B1403" s="20">
        <f>A1403/1440</f>
        <v/>
      </c>
      <c r="C1403" s="2">
        <f>INT(A1403/60)</f>
        <v/>
      </c>
      <c r="D1403" s="2">
        <f>IF(C1403&lt;6,"Night",IF(C1403&lt;12,"Morning",IF(C1403&lt;18,"Afternoon",IF(C1403&lt;22,"Evening","Night"))))</f>
        <v/>
      </c>
    </row>
    <row r="1404">
      <c r="A1404" s="2" t="n">
        <v>1402</v>
      </c>
      <c r="B1404" s="20">
        <f>A1404/1440</f>
        <v/>
      </c>
      <c r="C1404" s="2">
        <f>INT(A1404/60)</f>
        <v/>
      </c>
      <c r="D1404" s="2">
        <f>IF(C1404&lt;6,"Night",IF(C1404&lt;12,"Morning",IF(C1404&lt;18,"Afternoon",IF(C1404&lt;22,"Evening","Night"))))</f>
        <v/>
      </c>
    </row>
    <row r="1405">
      <c r="A1405" s="2" t="n">
        <v>1403</v>
      </c>
      <c r="B1405" s="20">
        <f>A1405/1440</f>
        <v/>
      </c>
      <c r="C1405" s="2">
        <f>INT(A1405/60)</f>
        <v/>
      </c>
      <c r="D1405" s="2">
        <f>IF(C1405&lt;6,"Night",IF(C1405&lt;12,"Morning",IF(C1405&lt;18,"Afternoon",IF(C1405&lt;22,"Evening","Night"))))</f>
        <v/>
      </c>
    </row>
    <row r="1406">
      <c r="A1406" s="2" t="n">
        <v>1404</v>
      </c>
      <c r="B1406" s="20">
        <f>A1406/1440</f>
        <v/>
      </c>
      <c r="C1406" s="2">
        <f>INT(A1406/60)</f>
        <v/>
      </c>
      <c r="D1406" s="2">
        <f>IF(C1406&lt;6,"Night",IF(C1406&lt;12,"Morning",IF(C1406&lt;18,"Afternoon",IF(C1406&lt;22,"Evening","Night"))))</f>
        <v/>
      </c>
    </row>
    <row r="1407">
      <c r="A1407" s="2" t="n">
        <v>1405</v>
      </c>
      <c r="B1407" s="20">
        <f>A1407/1440</f>
        <v/>
      </c>
      <c r="C1407" s="2">
        <f>INT(A1407/60)</f>
        <v/>
      </c>
      <c r="D1407" s="2">
        <f>IF(C1407&lt;6,"Night",IF(C1407&lt;12,"Morning",IF(C1407&lt;18,"Afternoon",IF(C1407&lt;22,"Evening","Night"))))</f>
        <v/>
      </c>
    </row>
    <row r="1408">
      <c r="A1408" s="2" t="n">
        <v>1406</v>
      </c>
      <c r="B1408" s="20">
        <f>A1408/1440</f>
        <v/>
      </c>
      <c r="C1408" s="2">
        <f>INT(A1408/60)</f>
        <v/>
      </c>
      <c r="D1408" s="2">
        <f>IF(C1408&lt;6,"Night",IF(C1408&lt;12,"Morning",IF(C1408&lt;18,"Afternoon",IF(C1408&lt;22,"Evening","Night"))))</f>
        <v/>
      </c>
    </row>
    <row r="1409">
      <c r="A1409" s="2" t="n">
        <v>1407</v>
      </c>
      <c r="B1409" s="20">
        <f>A1409/1440</f>
        <v/>
      </c>
      <c r="C1409" s="2">
        <f>INT(A1409/60)</f>
        <v/>
      </c>
      <c r="D1409" s="2">
        <f>IF(C1409&lt;6,"Night",IF(C1409&lt;12,"Morning",IF(C1409&lt;18,"Afternoon",IF(C1409&lt;22,"Evening","Night"))))</f>
        <v/>
      </c>
    </row>
    <row r="1410">
      <c r="A1410" s="2" t="n">
        <v>1408</v>
      </c>
      <c r="B1410" s="20">
        <f>A1410/1440</f>
        <v/>
      </c>
      <c r="C1410" s="2">
        <f>INT(A1410/60)</f>
        <v/>
      </c>
      <c r="D1410" s="2">
        <f>IF(C1410&lt;6,"Night",IF(C1410&lt;12,"Morning",IF(C1410&lt;18,"Afternoon",IF(C1410&lt;22,"Evening","Night"))))</f>
        <v/>
      </c>
    </row>
    <row r="1411">
      <c r="A1411" s="2" t="n">
        <v>1409</v>
      </c>
      <c r="B1411" s="20">
        <f>A1411/1440</f>
        <v/>
      </c>
      <c r="C1411" s="2">
        <f>INT(A1411/60)</f>
        <v/>
      </c>
      <c r="D1411" s="2">
        <f>IF(C1411&lt;6,"Night",IF(C1411&lt;12,"Morning",IF(C1411&lt;18,"Afternoon",IF(C1411&lt;22,"Evening","Night"))))</f>
        <v/>
      </c>
    </row>
    <row r="1412">
      <c r="A1412" s="2" t="n">
        <v>1410</v>
      </c>
      <c r="B1412" s="20">
        <f>A1412/1440</f>
        <v/>
      </c>
      <c r="C1412" s="2">
        <f>INT(A1412/60)</f>
        <v/>
      </c>
      <c r="D1412" s="2">
        <f>IF(C1412&lt;6,"Night",IF(C1412&lt;12,"Morning",IF(C1412&lt;18,"Afternoon",IF(C1412&lt;22,"Evening","Night"))))</f>
        <v/>
      </c>
    </row>
    <row r="1413">
      <c r="A1413" s="2" t="n">
        <v>1411</v>
      </c>
      <c r="B1413" s="20">
        <f>A1413/1440</f>
        <v/>
      </c>
      <c r="C1413" s="2">
        <f>INT(A1413/60)</f>
        <v/>
      </c>
      <c r="D1413" s="2">
        <f>IF(C1413&lt;6,"Night",IF(C1413&lt;12,"Morning",IF(C1413&lt;18,"Afternoon",IF(C1413&lt;22,"Evening","Night"))))</f>
        <v/>
      </c>
    </row>
    <row r="1414">
      <c r="A1414" s="2" t="n">
        <v>1412</v>
      </c>
      <c r="B1414" s="20">
        <f>A1414/1440</f>
        <v/>
      </c>
      <c r="C1414" s="2">
        <f>INT(A1414/60)</f>
        <v/>
      </c>
      <c r="D1414" s="2">
        <f>IF(C1414&lt;6,"Night",IF(C1414&lt;12,"Morning",IF(C1414&lt;18,"Afternoon",IF(C1414&lt;22,"Evening","Night"))))</f>
        <v/>
      </c>
    </row>
    <row r="1415">
      <c r="A1415" s="2" t="n">
        <v>1413</v>
      </c>
      <c r="B1415" s="20">
        <f>A1415/1440</f>
        <v/>
      </c>
      <c r="C1415" s="2">
        <f>INT(A1415/60)</f>
        <v/>
      </c>
      <c r="D1415" s="2">
        <f>IF(C1415&lt;6,"Night",IF(C1415&lt;12,"Morning",IF(C1415&lt;18,"Afternoon",IF(C1415&lt;22,"Evening","Night"))))</f>
        <v/>
      </c>
    </row>
    <row r="1416">
      <c r="A1416" s="2" t="n">
        <v>1414</v>
      </c>
      <c r="B1416" s="20">
        <f>A1416/1440</f>
        <v/>
      </c>
      <c r="C1416" s="2">
        <f>INT(A1416/60)</f>
        <v/>
      </c>
      <c r="D1416" s="2">
        <f>IF(C1416&lt;6,"Night",IF(C1416&lt;12,"Morning",IF(C1416&lt;18,"Afternoon",IF(C1416&lt;22,"Evening","Night"))))</f>
        <v/>
      </c>
    </row>
    <row r="1417">
      <c r="A1417" s="2" t="n">
        <v>1415</v>
      </c>
      <c r="B1417" s="20">
        <f>A1417/1440</f>
        <v/>
      </c>
      <c r="C1417" s="2">
        <f>INT(A1417/60)</f>
        <v/>
      </c>
      <c r="D1417" s="2">
        <f>IF(C1417&lt;6,"Night",IF(C1417&lt;12,"Morning",IF(C1417&lt;18,"Afternoon",IF(C1417&lt;22,"Evening","Night"))))</f>
        <v/>
      </c>
    </row>
    <row r="1418">
      <c r="A1418" s="2" t="n">
        <v>1416</v>
      </c>
      <c r="B1418" s="20">
        <f>A1418/1440</f>
        <v/>
      </c>
      <c r="C1418" s="2">
        <f>INT(A1418/60)</f>
        <v/>
      </c>
      <c r="D1418" s="2">
        <f>IF(C1418&lt;6,"Night",IF(C1418&lt;12,"Morning",IF(C1418&lt;18,"Afternoon",IF(C1418&lt;22,"Evening","Night"))))</f>
        <v/>
      </c>
    </row>
    <row r="1419">
      <c r="A1419" s="2" t="n">
        <v>1417</v>
      </c>
      <c r="B1419" s="20">
        <f>A1419/1440</f>
        <v/>
      </c>
      <c r="C1419" s="2">
        <f>INT(A1419/60)</f>
        <v/>
      </c>
      <c r="D1419" s="2">
        <f>IF(C1419&lt;6,"Night",IF(C1419&lt;12,"Morning",IF(C1419&lt;18,"Afternoon",IF(C1419&lt;22,"Evening","Night"))))</f>
        <v/>
      </c>
    </row>
    <row r="1420">
      <c r="A1420" s="2" t="n">
        <v>1418</v>
      </c>
      <c r="B1420" s="20">
        <f>A1420/1440</f>
        <v/>
      </c>
      <c r="C1420" s="2">
        <f>INT(A1420/60)</f>
        <v/>
      </c>
      <c r="D1420" s="2">
        <f>IF(C1420&lt;6,"Night",IF(C1420&lt;12,"Morning",IF(C1420&lt;18,"Afternoon",IF(C1420&lt;22,"Evening","Night"))))</f>
        <v/>
      </c>
    </row>
    <row r="1421">
      <c r="A1421" s="2" t="n">
        <v>1419</v>
      </c>
      <c r="B1421" s="20">
        <f>A1421/1440</f>
        <v/>
      </c>
      <c r="C1421" s="2">
        <f>INT(A1421/60)</f>
        <v/>
      </c>
      <c r="D1421" s="2">
        <f>IF(C1421&lt;6,"Night",IF(C1421&lt;12,"Morning",IF(C1421&lt;18,"Afternoon",IF(C1421&lt;22,"Evening","Night"))))</f>
        <v/>
      </c>
    </row>
    <row r="1422">
      <c r="A1422" s="2" t="n">
        <v>1420</v>
      </c>
      <c r="B1422" s="20">
        <f>A1422/1440</f>
        <v/>
      </c>
      <c r="C1422" s="2">
        <f>INT(A1422/60)</f>
        <v/>
      </c>
      <c r="D1422" s="2">
        <f>IF(C1422&lt;6,"Night",IF(C1422&lt;12,"Morning",IF(C1422&lt;18,"Afternoon",IF(C1422&lt;22,"Evening","Night"))))</f>
        <v/>
      </c>
    </row>
    <row r="1423">
      <c r="A1423" s="2" t="n">
        <v>1421</v>
      </c>
      <c r="B1423" s="20">
        <f>A1423/1440</f>
        <v/>
      </c>
      <c r="C1423" s="2">
        <f>INT(A1423/60)</f>
        <v/>
      </c>
      <c r="D1423" s="2">
        <f>IF(C1423&lt;6,"Night",IF(C1423&lt;12,"Morning",IF(C1423&lt;18,"Afternoon",IF(C1423&lt;22,"Evening","Night"))))</f>
        <v/>
      </c>
    </row>
    <row r="1424">
      <c r="A1424" s="2" t="n">
        <v>1422</v>
      </c>
      <c r="B1424" s="20">
        <f>A1424/1440</f>
        <v/>
      </c>
      <c r="C1424" s="2">
        <f>INT(A1424/60)</f>
        <v/>
      </c>
      <c r="D1424" s="2">
        <f>IF(C1424&lt;6,"Night",IF(C1424&lt;12,"Morning",IF(C1424&lt;18,"Afternoon",IF(C1424&lt;22,"Evening","Night"))))</f>
        <v/>
      </c>
    </row>
    <row r="1425">
      <c r="A1425" s="2" t="n">
        <v>1423</v>
      </c>
      <c r="B1425" s="20">
        <f>A1425/1440</f>
        <v/>
      </c>
      <c r="C1425" s="2">
        <f>INT(A1425/60)</f>
        <v/>
      </c>
      <c r="D1425" s="2">
        <f>IF(C1425&lt;6,"Night",IF(C1425&lt;12,"Morning",IF(C1425&lt;18,"Afternoon",IF(C1425&lt;22,"Evening","Night"))))</f>
        <v/>
      </c>
    </row>
    <row r="1426">
      <c r="A1426" s="2" t="n">
        <v>1424</v>
      </c>
      <c r="B1426" s="20">
        <f>A1426/1440</f>
        <v/>
      </c>
      <c r="C1426" s="2">
        <f>INT(A1426/60)</f>
        <v/>
      </c>
      <c r="D1426" s="2">
        <f>IF(C1426&lt;6,"Night",IF(C1426&lt;12,"Morning",IF(C1426&lt;18,"Afternoon",IF(C1426&lt;22,"Evening","Night"))))</f>
        <v/>
      </c>
    </row>
    <row r="1427">
      <c r="A1427" s="2" t="n">
        <v>1425</v>
      </c>
      <c r="B1427" s="20">
        <f>A1427/1440</f>
        <v/>
      </c>
      <c r="C1427" s="2">
        <f>INT(A1427/60)</f>
        <v/>
      </c>
      <c r="D1427" s="2">
        <f>IF(C1427&lt;6,"Night",IF(C1427&lt;12,"Morning",IF(C1427&lt;18,"Afternoon",IF(C1427&lt;22,"Evening","Night"))))</f>
        <v/>
      </c>
    </row>
    <row r="1428">
      <c r="A1428" s="2" t="n">
        <v>1426</v>
      </c>
      <c r="B1428" s="20">
        <f>A1428/1440</f>
        <v/>
      </c>
      <c r="C1428" s="2">
        <f>INT(A1428/60)</f>
        <v/>
      </c>
      <c r="D1428" s="2">
        <f>IF(C1428&lt;6,"Night",IF(C1428&lt;12,"Morning",IF(C1428&lt;18,"Afternoon",IF(C1428&lt;22,"Evening","Night"))))</f>
        <v/>
      </c>
    </row>
    <row r="1429">
      <c r="A1429" s="2" t="n">
        <v>1427</v>
      </c>
      <c r="B1429" s="20">
        <f>A1429/1440</f>
        <v/>
      </c>
      <c r="C1429" s="2">
        <f>INT(A1429/60)</f>
        <v/>
      </c>
      <c r="D1429" s="2">
        <f>IF(C1429&lt;6,"Night",IF(C1429&lt;12,"Morning",IF(C1429&lt;18,"Afternoon",IF(C1429&lt;22,"Evening","Night"))))</f>
        <v/>
      </c>
    </row>
    <row r="1430">
      <c r="A1430" s="2" t="n">
        <v>1428</v>
      </c>
      <c r="B1430" s="20">
        <f>A1430/1440</f>
        <v/>
      </c>
      <c r="C1430" s="2">
        <f>INT(A1430/60)</f>
        <v/>
      </c>
      <c r="D1430" s="2">
        <f>IF(C1430&lt;6,"Night",IF(C1430&lt;12,"Morning",IF(C1430&lt;18,"Afternoon",IF(C1430&lt;22,"Evening","Night"))))</f>
        <v/>
      </c>
    </row>
    <row r="1431">
      <c r="A1431" s="2" t="n">
        <v>1429</v>
      </c>
      <c r="B1431" s="20">
        <f>A1431/1440</f>
        <v/>
      </c>
      <c r="C1431" s="2">
        <f>INT(A1431/60)</f>
        <v/>
      </c>
      <c r="D1431" s="2">
        <f>IF(C1431&lt;6,"Night",IF(C1431&lt;12,"Morning",IF(C1431&lt;18,"Afternoon",IF(C1431&lt;22,"Evening","Night"))))</f>
        <v/>
      </c>
    </row>
    <row r="1432">
      <c r="A1432" s="2" t="n">
        <v>1430</v>
      </c>
      <c r="B1432" s="20">
        <f>A1432/1440</f>
        <v/>
      </c>
      <c r="C1432" s="2">
        <f>INT(A1432/60)</f>
        <v/>
      </c>
      <c r="D1432" s="2">
        <f>IF(C1432&lt;6,"Night",IF(C1432&lt;12,"Morning",IF(C1432&lt;18,"Afternoon",IF(C1432&lt;22,"Evening","Night"))))</f>
        <v/>
      </c>
    </row>
    <row r="1433">
      <c r="A1433" s="2" t="n">
        <v>1431</v>
      </c>
      <c r="B1433" s="20">
        <f>A1433/1440</f>
        <v/>
      </c>
      <c r="C1433" s="2">
        <f>INT(A1433/60)</f>
        <v/>
      </c>
      <c r="D1433" s="2">
        <f>IF(C1433&lt;6,"Night",IF(C1433&lt;12,"Morning",IF(C1433&lt;18,"Afternoon",IF(C1433&lt;22,"Evening","Night"))))</f>
        <v/>
      </c>
    </row>
    <row r="1434">
      <c r="A1434" s="2" t="n">
        <v>1432</v>
      </c>
      <c r="B1434" s="20">
        <f>A1434/1440</f>
        <v/>
      </c>
      <c r="C1434" s="2">
        <f>INT(A1434/60)</f>
        <v/>
      </c>
      <c r="D1434" s="2">
        <f>IF(C1434&lt;6,"Night",IF(C1434&lt;12,"Morning",IF(C1434&lt;18,"Afternoon",IF(C1434&lt;22,"Evening","Night"))))</f>
        <v/>
      </c>
    </row>
    <row r="1435">
      <c r="A1435" s="2" t="n">
        <v>1433</v>
      </c>
      <c r="B1435" s="20">
        <f>A1435/1440</f>
        <v/>
      </c>
      <c r="C1435" s="2">
        <f>INT(A1435/60)</f>
        <v/>
      </c>
      <c r="D1435" s="2">
        <f>IF(C1435&lt;6,"Night",IF(C1435&lt;12,"Morning",IF(C1435&lt;18,"Afternoon",IF(C1435&lt;22,"Evening","Night"))))</f>
        <v/>
      </c>
    </row>
    <row r="1436">
      <c r="A1436" s="2" t="n">
        <v>1434</v>
      </c>
      <c r="B1436" s="20">
        <f>A1436/1440</f>
        <v/>
      </c>
      <c r="C1436" s="2">
        <f>INT(A1436/60)</f>
        <v/>
      </c>
      <c r="D1436" s="2">
        <f>IF(C1436&lt;6,"Night",IF(C1436&lt;12,"Morning",IF(C1436&lt;18,"Afternoon",IF(C1436&lt;22,"Evening","Night"))))</f>
        <v/>
      </c>
    </row>
    <row r="1437">
      <c r="A1437" s="2" t="n">
        <v>1435</v>
      </c>
      <c r="B1437" s="20">
        <f>A1437/1440</f>
        <v/>
      </c>
      <c r="C1437" s="2">
        <f>INT(A1437/60)</f>
        <v/>
      </c>
      <c r="D1437" s="2">
        <f>IF(C1437&lt;6,"Night",IF(C1437&lt;12,"Morning",IF(C1437&lt;18,"Afternoon",IF(C1437&lt;22,"Evening","Night"))))</f>
        <v/>
      </c>
    </row>
    <row r="1438">
      <c r="A1438" s="2" t="n">
        <v>1436</v>
      </c>
      <c r="B1438" s="20">
        <f>A1438/1440</f>
        <v/>
      </c>
      <c r="C1438" s="2">
        <f>INT(A1438/60)</f>
        <v/>
      </c>
      <c r="D1438" s="2">
        <f>IF(C1438&lt;6,"Night",IF(C1438&lt;12,"Morning",IF(C1438&lt;18,"Afternoon",IF(C1438&lt;22,"Evening","Night"))))</f>
        <v/>
      </c>
    </row>
    <row r="1439">
      <c r="A1439" s="2" t="n">
        <v>1437</v>
      </c>
      <c r="B1439" s="20">
        <f>A1439/1440</f>
        <v/>
      </c>
      <c r="C1439" s="2">
        <f>INT(A1439/60)</f>
        <v/>
      </c>
      <c r="D1439" s="2">
        <f>IF(C1439&lt;6,"Night",IF(C1439&lt;12,"Morning",IF(C1439&lt;18,"Afternoon",IF(C1439&lt;22,"Evening","Night"))))</f>
        <v/>
      </c>
    </row>
    <row r="1440">
      <c r="A1440" s="2" t="n">
        <v>1438</v>
      </c>
      <c r="B1440" s="20">
        <f>A1440/1440</f>
        <v/>
      </c>
      <c r="C1440" s="2">
        <f>INT(A1440/60)</f>
        <v/>
      </c>
      <c r="D1440" s="2">
        <f>IF(C1440&lt;6,"Night",IF(C1440&lt;12,"Morning",IF(C1440&lt;18,"Afternoon",IF(C1440&lt;22,"Evening","Night"))))</f>
        <v/>
      </c>
    </row>
    <row r="1441">
      <c r="A1441" s="2" t="n">
        <v>1439</v>
      </c>
      <c r="B1441" s="20">
        <f>A1441/1440</f>
        <v/>
      </c>
      <c r="C1441" s="2">
        <f>INT(A1441/60)</f>
        <v/>
      </c>
      <c r="D1441" s="2">
        <f>IF(C1441&lt;6,"Night",IF(C1441&lt;12,"Morning",IF(C1441&lt;18,"Afternoon",IF(C1441&lt;22,"Evening","Night"))))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2F5597"/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22" customWidth="1" min="4" max="4"/>
    <col width="22" customWidth="1" min="5" max="5"/>
    <col width="12" customWidth="1" min="6" max="6"/>
  </cols>
  <sheetData>
    <row r="1">
      <c r="A1" s="27" t="inlineStr">
        <is>
          <t>branch_code (PK)</t>
        </is>
      </c>
      <c r="B1" s="28" t="inlineStr">
        <is>
          <t>branch_name (current)</t>
        </is>
      </c>
      <c r="C1" s="28" t="inlineStr">
        <is>
          <t>region (current)</t>
        </is>
      </c>
      <c r="D1" s="28" t="inlineStr">
        <is>
          <t>branch_status (current)</t>
        </is>
      </c>
      <c r="E1" s="28" t="inlineStr">
        <is>
          <t>successor_branch_code</t>
        </is>
      </c>
      <c r="F1" s="28" t="inlineStr">
        <is>
          <t>info_since</t>
        </is>
      </c>
    </row>
    <row r="2">
      <c r="A2" s="2" t="inlineStr">
        <is>
          <t>B01</t>
        </is>
      </c>
      <c r="B2" s="2">
        <f>INDEX('6_3nf_branch_history'!$C:$C,SUMPRODUCT(('6_3nf_branch_history'!$A$2:$A$50=A2)*('6_3nf_branch_history'!$B$2:$B$50=F2)*ROW('6_3nf_branch_history'!$A$2:$A$50)))</f>
        <v/>
      </c>
      <c r="C2" s="2">
        <f>INDEX('6_3nf_branch_history'!$D:$D,SUMPRODUCT(('6_3nf_branch_history'!$A$2:$A$50=A2)*('6_3nf_branch_history'!$B$2:$B$50=F2)*ROW('6_3nf_branch_history'!$A$2:$A$50)))</f>
        <v/>
      </c>
      <c r="D2" s="2">
        <f>INDEX('6_3nf_branch_history'!$E:$E,SUMPRODUCT(('6_3nf_branch_history'!$A$2:$A$50=A2)*('6_3nf_branch_history'!$B$2:$B$50=F2)*ROW('6_3nf_branch_history'!$A$2:$A$50)))</f>
        <v/>
      </c>
      <c r="E2" s="2">
        <f>IF(INDEX('6_3nf_branch_history'!$F:$F,SUMPRODUCT(('6_3nf_branch_history'!$A$2:$A$50=A2)*('6_3nf_branch_history'!$B$2:$B$50=F2)*ROW('6_3nf_branch_history'!$A$2:$A$50)))=0,"",INDEX('6_3nf_branch_history'!$F:$F,SUMPRODUCT(('6_3nf_branch_history'!$A$2:$A$50=A2)*('6_3nf_branch_history'!$B$2:$B$50=F2)*ROW('6_3nf_branch_history'!$A$2:$A$50))))</f>
        <v/>
      </c>
      <c r="F2" s="30">
        <f>_xlfn.MAXIFS('6_3nf_branch_history'!$B$2:$B$50,'6_3nf_branch_history'!$A$2:$A$50,A2)</f>
        <v/>
      </c>
    </row>
    <row r="3">
      <c r="A3" s="2" t="inlineStr">
        <is>
          <t>B02</t>
        </is>
      </c>
      <c r="B3" s="2">
        <f>INDEX('6_3nf_branch_history'!$C:$C,SUMPRODUCT(('6_3nf_branch_history'!$A$2:$A$50=A3)*('6_3nf_branch_history'!$B$2:$B$50=F3)*ROW('6_3nf_branch_history'!$A$2:$A$50)))</f>
        <v/>
      </c>
      <c r="C3" s="2">
        <f>INDEX('6_3nf_branch_history'!$D:$D,SUMPRODUCT(('6_3nf_branch_history'!$A$2:$A$50=A3)*('6_3nf_branch_history'!$B$2:$B$50=F3)*ROW('6_3nf_branch_history'!$A$2:$A$50)))</f>
        <v/>
      </c>
      <c r="D3" s="2">
        <f>INDEX('6_3nf_branch_history'!$E:$E,SUMPRODUCT(('6_3nf_branch_history'!$A$2:$A$50=A3)*('6_3nf_branch_history'!$B$2:$B$50=F3)*ROW('6_3nf_branch_history'!$A$2:$A$50)))</f>
        <v/>
      </c>
      <c r="E3" s="2">
        <f>IF(INDEX('6_3nf_branch_history'!$F:$F,SUMPRODUCT(('6_3nf_branch_history'!$A$2:$A$50=A3)*('6_3nf_branch_history'!$B$2:$B$50=F3)*ROW('6_3nf_branch_history'!$A$2:$A$50)))=0,"",INDEX('6_3nf_branch_history'!$F:$F,SUMPRODUCT(('6_3nf_branch_history'!$A$2:$A$50=A3)*('6_3nf_branch_history'!$B$2:$B$50=F3)*ROW('6_3nf_branch_history'!$A$2:$A$50))))</f>
        <v/>
      </c>
      <c r="F3" s="30">
        <f>_xlfn.MAXIFS('6_3nf_branch_history'!$B$2:$B$50,'6_3nf_branch_history'!$A$2:$A$50,A3)</f>
        <v/>
      </c>
    </row>
    <row r="4">
      <c r="A4" s="2" t="inlineStr">
        <is>
          <t>B03</t>
        </is>
      </c>
      <c r="B4" s="2">
        <f>INDEX('6_3nf_branch_history'!$C:$C,SUMPRODUCT(('6_3nf_branch_history'!$A$2:$A$50=A4)*('6_3nf_branch_history'!$B$2:$B$50=F4)*ROW('6_3nf_branch_history'!$A$2:$A$50)))</f>
        <v/>
      </c>
      <c r="C4" s="2">
        <f>INDEX('6_3nf_branch_history'!$D:$D,SUMPRODUCT(('6_3nf_branch_history'!$A$2:$A$50=A4)*('6_3nf_branch_history'!$B$2:$B$50=F4)*ROW('6_3nf_branch_history'!$A$2:$A$50)))</f>
        <v/>
      </c>
      <c r="D4" s="2">
        <f>INDEX('6_3nf_branch_history'!$E:$E,SUMPRODUCT(('6_3nf_branch_history'!$A$2:$A$50=A4)*('6_3nf_branch_history'!$B$2:$B$50=F4)*ROW('6_3nf_branch_history'!$A$2:$A$50)))</f>
        <v/>
      </c>
      <c r="E4" s="2">
        <f>IF(INDEX('6_3nf_branch_history'!$F:$F,SUMPRODUCT(('6_3nf_branch_history'!$A$2:$A$50=A4)*('6_3nf_branch_history'!$B$2:$B$50=F4)*ROW('6_3nf_branch_history'!$A$2:$A$50)))=0,"",INDEX('6_3nf_branch_history'!$F:$F,SUMPRODUCT(('6_3nf_branch_history'!$A$2:$A$50=A4)*('6_3nf_branch_history'!$B$2:$B$50=F4)*ROW('6_3nf_branch_history'!$A$2:$A$50))))</f>
        <v/>
      </c>
      <c r="F4" s="30">
        <f>_xlfn.MAXIFS('6_3nf_branch_history'!$B$2:$B$50,'6_3nf_branch_history'!$A$2:$A$50,A4)</f>
        <v/>
      </c>
    </row>
    <row r="5">
      <c r="A5" s="2" t="inlineStr">
        <is>
          <t>B04</t>
        </is>
      </c>
      <c r="B5" s="2">
        <f>INDEX('6_3nf_branch_history'!$C:$C,SUMPRODUCT(('6_3nf_branch_history'!$A$2:$A$50=A5)*('6_3nf_branch_history'!$B$2:$B$50=F5)*ROW('6_3nf_branch_history'!$A$2:$A$50)))</f>
        <v/>
      </c>
      <c r="C5" s="2">
        <f>INDEX('6_3nf_branch_history'!$D:$D,SUMPRODUCT(('6_3nf_branch_history'!$A$2:$A$50=A5)*('6_3nf_branch_history'!$B$2:$B$50=F5)*ROW('6_3nf_branch_history'!$A$2:$A$50)))</f>
        <v/>
      </c>
      <c r="D5" s="2">
        <f>INDEX('6_3nf_branch_history'!$E:$E,SUMPRODUCT(('6_3nf_branch_history'!$A$2:$A$50=A5)*('6_3nf_branch_history'!$B$2:$B$50=F5)*ROW('6_3nf_branch_history'!$A$2:$A$50)))</f>
        <v/>
      </c>
      <c r="E5" s="2">
        <f>IF(INDEX('6_3nf_branch_history'!$F:$F,SUMPRODUCT(('6_3nf_branch_history'!$A$2:$A$50=A5)*('6_3nf_branch_history'!$B$2:$B$50=F5)*ROW('6_3nf_branch_history'!$A$2:$A$50)))=0,"",INDEX('6_3nf_branch_history'!$F:$F,SUMPRODUCT(('6_3nf_branch_history'!$A$2:$A$50=A5)*('6_3nf_branch_history'!$B$2:$B$50=F5)*ROW('6_3nf_branch_history'!$A$2:$A$50))))</f>
        <v/>
      </c>
      <c r="F5" s="30">
        <f>_xlfn.MAXIFS('6_3nf_branch_history'!$B$2:$B$50,'6_3nf_branch_history'!$A$2:$A$50,A5)</f>
        <v/>
      </c>
    </row>
    <row r="6">
      <c r="A6" s="2" t="inlineStr">
        <is>
          <t>B05</t>
        </is>
      </c>
      <c r="B6" s="2">
        <f>INDEX('6_3nf_branch_history'!$C:$C,SUMPRODUCT(('6_3nf_branch_history'!$A$2:$A$50=A6)*('6_3nf_branch_history'!$B$2:$B$50=F6)*ROW('6_3nf_branch_history'!$A$2:$A$50)))</f>
        <v/>
      </c>
      <c r="C6" s="2">
        <f>INDEX('6_3nf_branch_history'!$D:$D,SUMPRODUCT(('6_3nf_branch_history'!$A$2:$A$50=A6)*('6_3nf_branch_history'!$B$2:$B$50=F6)*ROW('6_3nf_branch_history'!$A$2:$A$50)))</f>
        <v/>
      </c>
      <c r="D6" s="2">
        <f>INDEX('6_3nf_branch_history'!$E:$E,SUMPRODUCT(('6_3nf_branch_history'!$A$2:$A$50=A6)*('6_3nf_branch_history'!$B$2:$B$50=F6)*ROW('6_3nf_branch_history'!$A$2:$A$50)))</f>
        <v/>
      </c>
      <c r="E6" s="2">
        <f>IF(INDEX('6_3nf_branch_history'!$F:$F,SUMPRODUCT(('6_3nf_branch_history'!$A$2:$A$50=A6)*('6_3nf_branch_history'!$B$2:$B$50=F6)*ROW('6_3nf_branch_history'!$A$2:$A$50)))=0,"",INDEX('6_3nf_branch_history'!$F:$F,SUMPRODUCT(('6_3nf_branch_history'!$A$2:$A$50=A6)*('6_3nf_branch_history'!$B$2:$B$50=F6)*ROW('6_3nf_branch_history'!$A$2:$A$50))))</f>
        <v/>
      </c>
      <c r="F6" s="30">
        <f>_xlfn.MAXIFS('6_3nf_branch_history'!$B$2:$B$50,'6_3nf_branch_history'!$A$2:$A$50,A6)</f>
        <v/>
      </c>
    </row>
    <row r="8">
      <c r="A8" s="29" t="inlineStr">
        <is>
          <t>The branch entity: one row per branch_code with its CURRENT name, region and status (today's view).</t>
        </is>
      </c>
    </row>
    <row r="9">
      <c r="A9" s="29" t="inlineStr">
        <is>
          <t>Only branch_code is typed; the grey columns come from the latest change in 6_3nf_branch_history, so nothing is entered twice.</t>
        </is>
      </c>
    </row>
    <row r="10">
      <c r="A10" s="29" t="inlineStr">
        <is>
          <t>Closed branches stay listed (history and old sales still point to them); successor_branch_code shows where their business moved.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2F5597"/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18" customWidth="1" min="4" max="4"/>
    <col width="14" customWidth="1" min="5" max="5"/>
    <col width="22" customWidth="1" min="6" max="6"/>
    <col width="17" customWidth="1" min="7" max="7"/>
    <col width="17" customWidth="1" min="8" max="8"/>
  </cols>
  <sheetData>
    <row r="1">
      <c r="A1" s="27" t="inlineStr">
        <is>
          <t>branch_code (PK)</t>
        </is>
      </c>
      <c r="B1" s="27" t="inlineStr">
        <is>
          <t>effective_date (PK)</t>
        </is>
      </c>
      <c r="C1" s="27" t="inlineStr">
        <is>
          <t>branch_name</t>
        </is>
      </c>
      <c r="D1" s="27" t="inlineStr">
        <is>
          <t>region</t>
        </is>
      </c>
      <c r="E1" s="27" t="inlineStr">
        <is>
          <t>branch_status</t>
        </is>
      </c>
      <c r="F1" s="27" t="inlineStr">
        <is>
          <t>successor_branch_code</t>
        </is>
      </c>
      <c r="G1" s="28" t="inlineStr">
        <is>
          <t>valid_to (derived)</t>
        </is>
      </c>
      <c r="H1" s="28" t="inlineStr">
        <is>
          <t>is_current (derived)</t>
        </is>
      </c>
    </row>
    <row r="2">
      <c r="A2" s="2" t="inlineStr">
        <is>
          <t>B01</t>
        </is>
      </c>
      <c r="B2" s="30" t="n">
        <v>40238</v>
      </c>
      <c r="C2" s="2" t="inlineStr">
        <is>
          <t>Central</t>
        </is>
      </c>
      <c r="D2" s="2" t="inlineStr">
        <is>
          <t>Hong Kong Island</t>
        </is>
      </c>
      <c r="E2" s="2" t="inlineStr">
        <is>
          <t>Active</t>
        </is>
      </c>
      <c r="F2" s="2" t="n"/>
      <c r="G2" s="30">
        <f>IF(_xlfn.MINIFS($B$2:$B$50,$A$2:$A$50,A2,$B$2:$B$50,"&gt;"&amp;B2)=0,DATE(9999,12,31),_xlfn.MINIFS($B$2:$B$50,$A$2:$A$50,A2,$B$2:$B$50,"&gt;"&amp;B2)-1)</f>
        <v/>
      </c>
      <c r="H2" s="2">
        <f>IF(G2=DATE(9999,12,31),"Y","N")</f>
        <v/>
      </c>
    </row>
    <row r="3">
      <c r="A3" s="2" t="inlineStr">
        <is>
          <t>B02</t>
        </is>
      </c>
      <c r="B3" s="30" t="n">
        <v>41075</v>
      </c>
      <c r="C3" s="2" t="inlineStr">
        <is>
          <t>Tsim Sha Tsui</t>
        </is>
      </c>
      <c r="D3" s="2" t="inlineStr">
        <is>
          <t>Kowloon</t>
        </is>
      </c>
      <c r="E3" s="2" t="inlineStr">
        <is>
          <t>Active</t>
        </is>
      </c>
      <c r="F3" s="2" t="n"/>
      <c r="G3" s="30">
        <f>IF(_xlfn.MINIFS($B$2:$B$50,$A$2:$A$50,A3,$B$2:$B$50,"&gt;"&amp;B3)=0,DATE(9999,12,31),_xlfn.MINIFS($B$2:$B$50,$A$2:$A$50,A3,$B$2:$B$50,"&gt;"&amp;B3)-1)</f>
        <v/>
      </c>
      <c r="H3" s="2">
        <f>IF(G3=DATE(9999,12,31),"Y","N")</f>
        <v/>
      </c>
    </row>
    <row r="4">
      <c r="A4" s="2" t="inlineStr">
        <is>
          <t>B02</t>
        </is>
      </c>
      <c r="B4" s="30" t="n">
        <v>45748</v>
      </c>
      <c r="C4" s="2" t="inlineStr">
        <is>
          <t>TST Harbour City</t>
        </is>
      </c>
      <c r="D4" s="2" t="inlineStr">
        <is>
          <t>Kowloon</t>
        </is>
      </c>
      <c r="E4" s="2" t="inlineStr">
        <is>
          <t>Active</t>
        </is>
      </c>
      <c r="F4" s="2" t="n"/>
      <c r="G4" s="30">
        <f>IF(_xlfn.MINIFS($B$2:$B$50,$A$2:$A$50,A4,$B$2:$B$50,"&gt;"&amp;B4)=0,DATE(9999,12,31),_xlfn.MINIFS($B$2:$B$50,$A$2:$A$50,A4,$B$2:$B$50,"&gt;"&amp;B4)-1)</f>
        <v/>
      </c>
      <c r="H4" s="2">
        <f>IF(G4=DATE(9999,12,31),"Y","N")</f>
        <v/>
      </c>
    </row>
    <row r="5">
      <c r="A5" s="2" t="inlineStr">
        <is>
          <t>B03</t>
        </is>
      </c>
      <c r="B5" s="30" t="n">
        <v>42248</v>
      </c>
      <c r="C5" s="2" t="inlineStr">
        <is>
          <t>Shatin</t>
        </is>
      </c>
      <c r="D5" s="2" t="inlineStr">
        <is>
          <t>New Territories</t>
        </is>
      </c>
      <c r="E5" s="2" t="inlineStr">
        <is>
          <t>Active</t>
        </is>
      </c>
      <c r="F5" s="2" t="n"/>
      <c r="G5" s="30">
        <f>IF(_xlfn.MINIFS($B$2:$B$50,$A$2:$A$50,A5,$B$2:$B$50,"&gt;"&amp;B5)=0,DATE(9999,12,31),_xlfn.MINIFS($B$2:$B$50,$A$2:$A$50,A5,$B$2:$B$50,"&gt;"&amp;B5)-1)</f>
        <v/>
      </c>
      <c r="H5" s="2">
        <f>IF(G5=DATE(9999,12,31),"Y","N")</f>
        <v/>
      </c>
    </row>
    <row r="6">
      <c r="A6" s="2" t="inlineStr">
        <is>
          <t>B03</t>
        </is>
      </c>
      <c r="B6" s="30" t="n">
        <v>45809</v>
      </c>
      <c r="C6" s="2" t="inlineStr">
        <is>
          <t>Shatin</t>
        </is>
      </c>
      <c r="D6" s="2" t="inlineStr">
        <is>
          <t>New Territories</t>
        </is>
      </c>
      <c r="E6" s="2" t="inlineStr">
        <is>
          <t>Closed</t>
        </is>
      </c>
      <c r="F6" s="2" t="inlineStr">
        <is>
          <t>B04</t>
        </is>
      </c>
      <c r="G6" s="30">
        <f>IF(_xlfn.MINIFS($B$2:$B$50,$A$2:$A$50,A6,$B$2:$B$50,"&gt;"&amp;B6)=0,DATE(9999,12,31),_xlfn.MINIFS($B$2:$B$50,$A$2:$A$50,A6,$B$2:$B$50,"&gt;"&amp;B6)-1)</f>
        <v/>
      </c>
      <c r="H6" s="2">
        <f>IF(G6=DATE(9999,12,31),"Y","N")</f>
        <v/>
      </c>
    </row>
    <row r="7">
      <c r="A7" s="2" t="inlineStr">
        <is>
          <t>B04</t>
        </is>
      </c>
      <c r="B7" s="30" t="n">
        <v>45778</v>
      </c>
      <c r="C7" s="2" t="inlineStr">
        <is>
          <t>Tai Po</t>
        </is>
      </c>
      <c r="D7" s="2" t="inlineStr">
        <is>
          <t>New Territories</t>
        </is>
      </c>
      <c r="E7" s="2" t="inlineStr">
        <is>
          <t>Active</t>
        </is>
      </c>
      <c r="F7" s="2" t="n"/>
      <c r="G7" s="30">
        <f>IF(_xlfn.MINIFS($B$2:$B$50,$A$2:$A$50,A7,$B$2:$B$50,"&gt;"&amp;B7)=0,DATE(9999,12,31),_xlfn.MINIFS($B$2:$B$50,$A$2:$A$50,A7,$B$2:$B$50,"&gt;"&amp;B7)-1)</f>
        <v/>
      </c>
      <c r="H7" s="2">
        <f>IF(G7=DATE(9999,12,31),"Y","N")</f>
        <v/>
      </c>
    </row>
    <row r="8">
      <c r="A8" s="2" t="inlineStr">
        <is>
          <t>B05</t>
        </is>
      </c>
      <c r="B8" s="30" t="n">
        <v>39449</v>
      </c>
      <c r="C8" s="2" t="inlineStr">
        <is>
          <t>Mong Kok</t>
        </is>
      </c>
      <c r="D8" s="2" t="inlineStr">
        <is>
          <t>Kowloon</t>
        </is>
      </c>
      <c r="E8" s="2" t="inlineStr">
        <is>
          <t>Active</t>
        </is>
      </c>
      <c r="F8" s="2" t="n"/>
      <c r="G8" s="30">
        <f>IF(_xlfn.MINIFS($B$2:$B$50,$A$2:$A$50,A8,$B$2:$B$50,"&gt;"&amp;B8)=0,DATE(9999,12,31),_xlfn.MINIFS($B$2:$B$50,$A$2:$A$50,A8,$B$2:$B$50,"&gt;"&amp;B8)-1)</f>
        <v/>
      </c>
      <c r="H8" s="2">
        <f>IF(G8=DATE(9999,12,31),"Y","N")</f>
        <v/>
      </c>
    </row>
    <row r="9">
      <c r="A9" s="2" t="inlineStr">
        <is>
          <t>B05</t>
        </is>
      </c>
      <c r="B9" s="30" t="n">
        <v>45717</v>
      </c>
      <c r="C9" s="2" t="inlineStr">
        <is>
          <t>Mong Kok</t>
        </is>
      </c>
      <c r="D9" s="2" t="inlineStr">
        <is>
          <t>Kowloon</t>
        </is>
      </c>
      <c r="E9" s="2" t="inlineStr">
        <is>
          <t>Closed</t>
        </is>
      </c>
      <c r="F9" s="2" t="inlineStr">
        <is>
          <t>B02</t>
        </is>
      </c>
      <c r="G9" s="30">
        <f>IF(_xlfn.MINIFS($B$2:$B$50,$A$2:$A$50,A9,$B$2:$B$50,"&gt;"&amp;B9)=0,DATE(9999,12,31),_xlfn.MINIFS($B$2:$B$50,$A$2:$A$50,A9,$B$2:$B$50,"&gt;"&amp;B9)-1)</f>
        <v/>
      </c>
      <c r="H9" s="2">
        <f>IF(G9=DATE(9999,12,31),"Y","N")</f>
        <v/>
      </c>
    </row>
    <row r="11">
      <c r="A11" s="29" t="inlineStr">
        <is>
          <t>Append-only change log: a row when a branch_code is first set up, and a new row whenever its name, region or status changes. Existing rows are never edited.</t>
        </is>
      </c>
    </row>
    <row r="12">
      <c r="A12" s="29" t="inlineStr">
        <is>
          <t>Key = branch_code + effective_date. Only the blue columns are typed; grey columns are formulas (valid_to = the day before the branch's next change, or 9999-12-31).</t>
        </is>
      </c>
    </row>
    <row r="13">
      <c r="A13" s="29" t="inlineStr">
        <is>
          <t>A closure is a new version with branch_status = Closed and the successor_branch_code that takes over its customers and reporting (B05 -&gt; B02 from 1 Mar, B03 -&gt; B04 from 1 Jun).</t>
        </is>
      </c>
    </row>
    <row r="14">
      <c r="A14" s="29" t="inlineStr">
        <is>
          <t>The version for a sale = the latest effective_date on or before the sale date (looked up by 2_enriched_log). No sale should ever land on a Closed version (see 13_checks).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2F5597"/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18" customWidth="1" min="3" max="3"/>
    <col width="17" customWidth="1" min="4" max="4"/>
    <col width="10" customWidth="1" min="5" max="5"/>
    <col width="19" customWidth="1" min="6" max="6"/>
  </cols>
  <sheetData>
    <row r="1">
      <c r="A1" s="27" t="inlineStr">
        <is>
          <t>product_code (PK)</t>
        </is>
      </c>
      <c r="B1" s="27" t="inlineStr">
        <is>
          <t>product_name</t>
        </is>
      </c>
      <c r="C1" s="27" t="inlineStr">
        <is>
          <t>product_category</t>
        </is>
      </c>
      <c r="D1" s="27" t="inlineStr">
        <is>
          <t>product_risk_level</t>
        </is>
      </c>
      <c r="E1" s="27" t="inlineStr">
        <is>
          <t>fee_rate</t>
        </is>
      </c>
    </row>
    <row r="2">
      <c r="A2" s="2" t="inlineStr">
        <is>
          <t>P01</t>
        </is>
      </c>
      <c r="B2" s="2" t="inlineStr">
        <is>
          <t>Global Equity Fund</t>
        </is>
      </c>
      <c r="C2" s="2" t="inlineStr">
        <is>
          <t>Mutual Fund</t>
        </is>
      </c>
      <c r="D2" s="2" t="inlineStr">
        <is>
          <t>R4</t>
        </is>
      </c>
      <c r="E2" s="6" t="n">
        <v>0.015</v>
      </c>
    </row>
    <row r="3">
      <c r="A3" s="2" t="inlineStr">
        <is>
          <t>P02</t>
        </is>
      </c>
      <c r="B3" s="2" t="inlineStr">
        <is>
          <t>Asia Bond Fund</t>
        </is>
      </c>
      <c r="C3" s="2" t="inlineStr">
        <is>
          <t>Mutual Fund</t>
        </is>
      </c>
      <c r="D3" s="2" t="inlineStr">
        <is>
          <t>R3</t>
        </is>
      </c>
      <c r="E3" s="6" t="n">
        <v>0.01</v>
      </c>
    </row>
    <row r="4">
      <c r="A4" s="2" t="inlineStr">
        <is>
          <t>P03</t>
        </is>
      </c>
      <c r="B4" s="2" t="inlineStr">
        <is>
          <t>USD Money Market Fund</t>
        </is>
      </c>
      <c r="C4" s="2" t="inlineStr">
        <is>
          <t>Mutual Fund</t>
        </is>
      </c>
      <c r="D4" s="2" t="inlineStr">
        <is>
          <t>R1</t>
        </is>
      </c>
      <c r="E4" s="6" t="n">
        <v>0.0025</v>
      </c>
    </row>
    <row r="5">
      <c r="A5" s="2" t="inlineStr">
        <is>
          <t>P04</t>
        </is>
      </c>
      <c r="B5" s="2" t="inlineStr">
        <is>
          <t>Whole Life Plan</t>
        </is>
      </c>
      <c r="C5" s="2" t="inlineStr">
        <is>
          <t>Insurance</t>
        </is>
      </c>
      <c r="D5" s="2" t="inlineStr">
        <is>
          <t>R2</t>
        </is>
      </c>
      <c r="E5" s="6" t="n">
        <v>0.03</v>
      </c>
    </row>
    <row r="6">
      <c r="A6" s="2" t="inlineStr">
        <is>
          <t>P05</t>
        </is>
      </c>
      <c r="B6" s="2" t="inlineStr">
        <is>
          <t>Structured Note - Tech Basket</t>
        </is>
      </c>
      <c r="C6" s="2" t="inlineStr">
        <is>
          <t>Structured Product</t>
        </is>
      </c>
      <c r="D6" s="2" t="inlineStr">
        <is>
          <t>R5</t>
        </is>
      </c>
      <c r="E6" s="6" t="n">
        <v>0.02</v>
      </c>
    </row>
    <row r="7">
      <c r="A7" s="2" t="inlineStr">
        <is>
          <t>P06</t>
        </is>
      </c>
      <c r="B7" s="2" t="inlineStr">
        <is>
          <t>3M Time Deposit Plus</t>
        </is>
      </c>
      <c r="C7" s="2" t="inlineStr">
        <is>
          <t>Deposit</t>
        </is>
      </c>
      <c r="D7" s="2" t="inlineStr">
        <is>
          <t>R1</t>
        </is>
      </c>
      <c r="E7" s="6" t="n">
        <v>0</v>
      </c>
    </row>
    <row r="8">
      <c r="A8" s="2" t="inlineStr">
        <is>
          <t>P07</t>
        </is>
      </c>
      <c r="B8" s="2" t="inlineStr">
        <is>
          <t>US Treasury 2030</t>
        </is>
      </c>
      <c r="C8" s="2" t="inlineStr">
        <is>
          <t>Bond</t>
        </is>
      </c>
      <c r="D8" s="2" t="inlineStr">
        <is>
          <t>R2</t>
        </is>
      </c>
      <c r="E8" s="6" t="n">
        <v>0.005</v>
      </c>
    </row>
    <row r="9">
      <c r="A9" s="2" t="inlineStr">
        <is>
          <t>P08</t>
        </is>
      </c>
      <c r="B9" s="2" t="inlineStr">
        <is>
          <t>Gold-Linked Deposit</t>
        </is>
      </c>
      <c r="C9" s="2" t="inlineStr">
        <is>
          <t>Structured Product</t>
        </is>
      </c>
      <c r="D9" s="2" t="inlineStr">
        <is>
          <t>R4</t>
        </is>
      </c>
      <c r="E9" s="6" t="n">
        <v>0.012</v>
      </c>
    </row>
    <row r="11">
      <c r="A11" s="29" t="inlineStr">
        <is>
          <t>One row per product. The selling log keeps only product_code (a foreign key); name, category, risk level and fee rate live here.</t>
        </is>
      </c>
      <c r="B11" s="2" t="n"/>
      <c r="C11" s="2" t="n"/>
      <c r="D11" s="2" t="n"/>
      <c r="E11" s="2" t="n"/>
      <c r="F11" s="2" t="n"/>
    </row>
    <row r="12">
      <c r="A12" s="29" t="inlineStr">
        <is>
          <t>In the 500 sales, each product_code always had the same attributes, so a static table is enough (no history needed yet).</t>
        </is>
      </c>
      <c r="B12" s="2" t="n"/>
      <c r="C12" s="2" t="n"/>
      <c r="D12" s="2" t="n"/>
      <c r="E12" s="2" t="n"/>
      <c r="F12" s="2" t="n"/>
    </row>
    <row r="13">
      <c r="A13" s="29" t="inlineStr">
        <is>
          <t>product_category and product_risk_level could become their own small lookup tables later (snowflake / stricter 3NF).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5597"/>
    <outlinePr summaryBelow="1" summaryRight="1"/>
    <pageSetUpPr/>
  </sheetPr>
  <dimension ref="A1:H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2" customWidth="1" min="4" max="4"/>
    <col width="12" customWidth="1" min="5" max="5"/>
    <col width="21" customWidth="1" min="6" max="6"/>
    <col width="24" customWidth="1" min="7" max="7"/>
    <col width="12" customWidth="1" min="8" max="8"/>
  </cols>
  <sheetData>
    <row r="1">
      <c r="A1" s="28" t="inlineStr">
        <is>
          <t>cust_id_legacy (as received)</t>
        </is>
      </c>
      <c r="B1" s="27" t="inlineStr">
        <is>
          <t>cust_id (PK, rectified)</t>
        </is>
      </c>
      <c r="C1" s="27" t="inlineStr">
        <is>
          <t>cust_name</t>
        </is>
      </c>
      <c r="D1" s="27" t="inlineStr">
        <is>
          <t>cust_dob</t>
        </is>
      </c>
      <c r="E1" s="27" t="inlineStr">
        <is>
          <t>cust_gender</t>
        </is>
      </c>
      <c r="F1" s="28" t="inlineStr">
        <is>
          <t>cust_segment (current)</t>
        </is>
      </c>
      <c r="G1" s="28" t="inlineStr">
        <is>
          <t>cust_risk_profile (current)</t>
        </is>
      </c>
      <c r="H1" s="28" t="inlineStr">
        <is>
          <t>info_since</t>
        </is>
      </c>
    </row>
    <row r="2">
      <c r="A2" s="4" t="n">
        <v>45128803</v>
      </c>
      <c r="B2" s="33">
        <f>IF(LEN(TRIM(A2))=10,TRIM(A2),IF(LEN(TRIM(A2))=8,"00"&amp;TRIM(A2),"CHECK"))</f>
        <v/>
      </c>
      <c r="C2" s="2" t="inlineStr">
        <is>
          <t>Li Na</t>
        </is>
      </c>
      <c r="D2" s="30" t="n">
        <v>33079</v>
      </c>
      <c r="E2" s="2" t="inlineStr">
        <is>
          <t>F</t>
        </is>
      </c>
      <c r="F2" s="2">
        <f>INDEX('9_3nf_customer_history'!$C:$C,SUMPRODUCT(('9_3nf_customer_history'!$A$2:$A$500=B2)*('9_3nf_customer_history'!$B$2:$B$500=H2)*ROW('9_3nf_customer_history'!$A$2:$A$500)))</f>
        <v/>
      </c>
      <c r="G2" s="2">
        <f>INDEX('9_3nf_customer_history'!$D:$D,SUMPRODUCT(('9_3nf_customer_history'!$A$2:$A$500=B2)*('9_3nf_customer_history'!$B$2:$B$500=H2)*ROW('9_3nf_customer_history'!$A$2:$A$500)))</f>
        <v/>
      </c>
      <c r="H2" s="30">
        <f>_xlfn.MAXIFS('9_3nf_customer_history'!$B$2:$B$500,'9_3nf_customer_history'!$A$2:$A$500,B2)</f>
        <v/>
      </c>
    </row>
    <row r="3">
      <c r="A3" s="4" t="n">
        <v>55245666</v>
      </c>
      <c r="B3" s="33">
        <f>IF(LEN(TRIM(A3))=10,TRIM(A3),IF(LEN(TRIM(A3))=8,"00"&amp;TRIM(A3),"CHECK"))</f>
        <v/>
      </c>
      <c r="C3" s="2" t="inlineStr">
        <is>
          <t>Agnes Tang</t>
        </is>
      </c>
      <c r="D3" s="30" t="n">
        <v>31416</v>
      </c>
      <c r="E3" s="2" t="inlineStr">
        <is>
          <t>F</t>
        </is>
      </c>
      <c r="F3" s="2">
        <f>INDEX('9_3nf_customer_history'!$C:$C,SUMPRODUCT(('9_3nf_customer_history'!$A$2:$A$500=B3)*('9_3nf_customer_history'!$B$2:$B$500=H3)*ROW('9_3nf_customer_history'!$A$2:$A$500)))</f>
        <v/>
      </c>
      <c r="G3" s="2">
        <f>INDEX('9_3nf_customer_history'!$D:$D,SUMPRODUCT(('9_3nf_customer_history'!$A$2:$A$500=B3)*('9_3nf_customer_history'!$B$2:$B$500=H3)*ROW('9_3nf_customer_history'!$A$2:$A$500)))</f>
        <v/>
      </c>
      <c r="H3" s="30">
        <f>_xlfn.MAXIFS('9_3nf_customer_history'!$B$2:$B$500,'9_3nf_customer_history'!$A$2:$A$500,B3)</f>
        <v/>
      </c>
    </row>
    <row r="4">
      <c r="A4" s="4" t="n">
        <v>71204459</v>
      </c>
      <c r="B4" s="33">
        <f>IF(LEN(TRIM(A4))=10,TRIM(A4),IF(LEN(TRIM(A4))=8,"00"&amp;TRIM(A4),"CHECK"))</f>
        <v/>
      </c>
      <c r="C4" s="2" t="inlineStr">
        <is>
          <t>David Tan</t>
        </is>
      </c>
      <c r="D4" s="30" t="n">
        <v>21538</v>
      </c>
      <c r="E4" s="2" t="inlineStr">
        <is>
          <t>M</t>
        </is>
      </c>
      <c r="F4" s="2">
        <f>INDEX('9_3nf_customer_history'!$C:$C,SUMPRODUCT(('9_3nf_customer_history'!$A$2:$A$500=B4)*('9_3nf_customer_history'!$B$2:$B$500=H4)*ROW('9_3nf_customer_history'!$A$2:$A$500)))</f>
        <v/>
      </c>
      <c r="G4" s="2">
        <f>INDEX('9_3nf_customer_history'!$D:$D,SUMPRODUCT(('9_3nf_customer_history'!$A$2:$A$500=B4)*('9_3nf_customer_history'!$B$2:$B$500=H4)*ROW('9_3nf_customer_history'!$A$2:$A$500)))</f>
        <v/>
      </c>
      <c r="H4" s="30">
        <f>_xlfn.MAXIFS('9_3nf_customer_history'!$B$2:$B$500,'9_3nf_customer_history'!$A$2:$A$500,B4)</f>
        <v/>
      </c>
    </row>
    <row r="5">
      <c r="A5" s="4" t="n">
        <v>98231104</v>
      </c>
      <c r="B5" s="33">
        <f>IF(LEN(TRIM(A5))=10,TRIM(A5),IF(LEN(TRIM(A5))=8,"00"&amp;TRIM(A5),"CHECK"))</f>
        <v/>
      </c>
      <c r="C5" s="2" t="inlineStr">
        <is>
          <t>Sarah Lim</t>
        </is>
      </c>
      <c r="D5" s="30" t="n">
        <v>31077</v>
      </c>
      <c r="E5" s="2" t="inlineStr">
        <is>
          <t>F</t>
        </is>
      </c>
      <c r="F5" s="2">
        <f>INDEX('9_3nf_customer_history'!$C:$C,SUMPRODUCT(('9_3nf_customer_history'!$A$2:$A$500=B5)*('9_3nf_customer_history'!$B$2:$B$500=H5)*ROW('9_3nf_customer_history'!$A$2:$A$500)))</f>
        <v/>
      </c>
      <c r="G5" s="2">
        <f>INDEX('9_3nf_customer_history'!$D:$D,SUMPRODUCT(('9_3nf_customer_history'!$A$2:$A$500=B5)*('9_3nf_customer_history'!$B$2:$B$500=H5)*ROW('9_3nf_customer_history'!$A$2:$A$500)))</f>
        <v/>
      </c>
      <c r="H5" s="30">
        <f>_xlfn.MAXIFS('9_3nf_customer_history'!$B$2:$B$500,'9_3nf_customer_history'!$A$2:$A$500,B5)</f>
        <v/>
      </c>
    </row>
    <row r="6">
      <c r="A6" s="4" t="n">
        <v>17091225</v>
      </c>
      <c r="B6" s="33">
        <f>IF(LEN(TRIM(A6))=10,TRIM(A6),IF(LEN(TRIM(A6))=8,"00"&amp;TRIM(A6),"CHECK"))</f>
        <v/>
      </c>
      <c r="C6" s="2" t="inlineStr">
        <is>
          <t>Daniel Yeung</t>
        </is>
      </c>
      <c r="D6" s="30" t="n">
        <v>30036</v>
      </c>
      <c r="E6" s="2" t="inlineStr">
        <is>
          <t>M</t>
        </is>
      </c>
      <c r="F6" s="2">
        <f>INDEX('9_3nf_customer_history'!$C:$C,SUMPRODUCT(('9_3nf_customer_history'!$A$2:$A$500=B6)*('9_3nf_customer_history'!$B$2:$B$500=H6)*ROW('9_3nf_customer_history'!$A$2:$A$500)))</f>
        <v/>
      </c>
      <c r="G6" s="2">
        <f>INDEX('9_3nf_customer_history'!$D:$D,SUMPRODUCT(('9_3nf_customer_history'!$A$2:$A$500=B6)*('9_3nf_customer_history'!$B$2:$B$500=H6)*ROW('9_3nf_customer_history'!$A$2:$A$500)))</f>
        <v/>
      </c>
      <c r="H6" s="30">
        <f>_xlfn.MAXIFS('9_3nf_customer_history'!$B$2:$B$500,'9_3nf_customer_history'!$A$2:$A$500,B6)</f>
        <v/>
      </c>
    </row>
    <row r="7">
      <c r="A7" s="4" t="n">
        <v>44509861</v>
      </c>
      <c r="B7" s="33">
        <f>IF(LEN(TRIM(A7))=10,TRIM(A7),IF(LEN(TRIM(A7))=8,"00"&amp;TRIM(A7),"CHECK"))</f>
        <v/>
      </c>
      <c r="C7" s="2" t="inlineStr">
        <is>
          <t>Ming Brown</t>
        </is>
      </c>
      <c r="D7" s="30" t="n">
        <v>35822</v>
      </c>
      <c r="E7" s="2" t="inlineStr">
        <is>
          <t>M</t>
        </is>
      </c>
      <c r="F7" s="2">
        <f>INDEX('9_3nf_customer_history'!$C:$C,SUMPRODUCT(('9_3nf_customer_history'!$A$2:$A$500=B7)*('9_3nf_customer_history'!$B$2:$B$500=H7)*ROW('9_3nf_customer_history'!$A$2:$A$500)))</f>
        <v/>
      </c>
      <c r="G7" s="2">
        <f>INDEX('9_3nf_customer_history'!$D:$D,SUMPRODUCT(('9_3nf_customer_history'!$A$2:$A$500=B7)*('9_3nf_customer_history'!$B$2:$B$500=H7)*ROW('9_3nf_customer_history'!$A$2:$A$500)))</f>
        <v/>
      </c>
      <c r="H7" s="30">
        <f>_xlfn.MAXIFS('9_3nf_customer_history'!$B$2:$B$500,'9_3nf_customer_history'!$A$2:$A$500,B7)</f>
        <v/>
      </c>
    </row>
    <row r="8">
      <c r="A8" s="33" t="inlineStr">
        <is>
          <t>0097309879</t>
        </is>
      </c>
      <c r="B8" s="33">
        <f>IF(LEN(TRIM(A8))=10,TRIM(A8),IF(LEN(TRIM(A8))=8,"00"&amp;TRIM(A8),"CHECK"))</f>
        <v/>
      </c>
      <c r="C8" s="2" t="inlineStr">
        <is>
          <t>Priya Chow</t>
        </is>
      </c>
      <c r="D8" s="30" t="n">
        <v>18895</v>
      </c>
      <c r="E8" s="2" t="inlineStr">
        <is>
          <t>F</t>
        </is>
      </c>
      <c r="F8" s="2">
        <f>INDEX('9_3nf_customer_history'!$C:$C,SUMPRODUCT(('9_3nf_customer_history'!$A$2:$A$500=B8)*('9_3nf_customer_history'!$B$2:$B$500=H8)*ROW('9_3nf_customer_history'!$A$2:$A$500)))</f>
        <v/>
      </c>
      <c r="G8" s="2">
        <f>INDEX('9_3nf_customer_history'!$D:$D,SUMPRODUCT(('9_3nf_customer_history'!$A$2:$A$500=B8)*('9_3nf_customer_history'!$B$2:$B$500=H8)*ROW('9_3nf_customer_history'!$A$2:$A$500)))</f>
        <v/>
      </c>
      <c r="H8" s="30">
        <f>_xlfn.MAXIFS('9_3nf_customer_history'!$B$2:$B$500,'9_3nf_customer_history'!$A$2:$A$500,B8)</f>
        <v/>
      </c>
    </row>
    <row r="9">
      <c r="A9" s="4" t="n">
        <v>55691590</v>
      </c>
      <c r="B9" s="33">
        <f>IF(LEN(TRIM(A9))=10,TRIM(A9),IF(LEN(TRIM(A9))=8,"00"&amp;TRIM(A9),"CHECK"))</f>
        <v/>
      </c>
      <c r="C9" s="2" t="inlineStr">
        <is>
          <t>Daniel Tanaka</t>
        </is>
      </c>
      <c r="D9" s="30" t="n">
        <v>26407</v>
      </c>
      <c r="E9" s="2" t="inlineStr">
        <is>
          <t>M</t>
        </is>
      </c>
      <c r="F9" s="2">
        <f>INDEX('9_3nf_customer_history'!$C:$C,SUMPRODUCT(('9_3nf_customer_history'!$A$2:$A$500=B9)*('9_3nf_customer_history'!$B$2:$B$500=H9)*ROW('9_3nf_customer_history'!$A$2:$A$500)))</f>
        <v/>
      </c>
      <c r="G9" s="2">
        <f>INDEX('9_3nf_customer_history'!$D:$D,SUMPRODUCT(('9_3nf_customer_history'!$A$2:$A$500=B9)*('9_3nf_customer_history'!$B$2:$B$500=H9)*ROW('9_3nf_customer_history'!$A$2:$A$500)))</f>
        <v/>
      </c>
      <c r="H9" s="30">
        <f>_xlfn.MAXIFS('9_3nf_customer_history'!$B$2:$B$500,'9_3nf_customer_history'!$A$2:$A$500,B9)</f>
        <v/>
      </c>
    </row>
    <row r="10">
      <c r="A10" s="4" t="n">
        <v>16329105</v>
      </c>
      <c r="B10" s="33">
        <f>IF(LEN(TRIM(A10))=10,TRIM(A10),IF(LEN(TRIM(A10))=8,"00"&amp;TRIM(A10),"CHECK"))</f>
        <v/>
      </c>
      <c r="C10" s="2" t="inlineStr">
        <is>
          <t>Hoi Yan Tsang</t>
        </is>
      </c>
      <c r="D10" s="30" t="n">
        <v>32768</v>
      </c>
      <c r="E10" s="2" t="inlineStr">
        <is>
          <t>F</t>
        </is>
      </c>
      <c r="F10" s="2">
        <f>INDEX('9_3nf_customer_history'!$C:$C,SUMPRODUCT(('9_3nf_customer_history'!$A$2:$A$500=B10)*('9_3nf_customer_history'!$B$2:$B$500=H10)*ROW('9_3nf_customer_history'!$A$2:$A$500)))</f>
        <v/>
      </c>
      <c r="G10" s="2">
        <f>INDEX('9_3nf_customer_history'!$D:$D,SUMPRODUCT(('9_3nf_customer_history'!$A$2:$A$500=B10)*('9_3nf_customer_history'!$B$2:$B$500=H10)*ROW('9_3nf_customer_history'!$A$2:$A$500)))</f>
        <v/>
      </c>
      <c r="H10" s="30">
        <f>_xlfn.MAXIFS('9_3nf_customer_history'!$B$2:$B$500,'9_3nf_customer_history'!$A$2:$A$500,B10)</f>
        <v/>
      </c>
    </row>
    <row r="11">
      <c r="A11" s="4" t="n">
        <v>20737016</v>
      </c>
      <c r="B11" s="33">
        <f>IF(LEN(TRIM(A11))=10,TRIM(A11),IF(LEN(TRIM(A11))=8,"00"&amp;TRIM(A11),"CHECK"))</f>
        <v/>
      </c>
      <c r="C11" s="2" t="inlineStr">
        <is>
          <t>Marcus Tsang</t>
        </is>
      </c>
      <c r="D11" s="30" t="n">
        <v>34197</v>
      </c>
      <c r="E11" s="2" t="inlineStr">
        <is>
          <t>M</t>
        </is>
      </c>
      <c r="F11" s="2">
        <f>INDEX('9_3nf_customer_history'!$C:$C,SUMPRODUCT(('9_3nf_customer_history'!$A$2:$A$500=B11)*('9_3nf_customer_history'!$B$2:$B$500=H11)*ROW('9_3nf_customer_history'!$A$2:$A$500)))</f>
        <v/>
      </c>
      <c r="G11" s="2">
        <f>INDEX('9_3nf_customer_history'!$D:$D,SUMPRODUCT(('9_3nf_customer_history'!$A$2:$A$500=B11)*('9_3nf_customer_history'!$B$2:$B$500=H11)*ROW('9_3nf_customer_history'!$A$2:$A$500)))</f>
        <v/>
      </c>
      <c r="H11" s="30">
        <f>_xlfn.MAXIFS('9_3nf_customer_history'!$B$2:$B$500,'9_3nf_customer_history'!$A$2:$A$500,B11)</f>
        <v/>
      </c>
    </row>
    <row r="12">
      <c r="A12" s="4" t="n">
        <v>56294337</v>
      </c>
      <c r="B12" s="33">
        <f>IF(LEN(TRIM(A12))=10,TRIM(A12),IF(LEN(TRIM(A12))=8,"00"&amp;TRIM(A12),"CHECK"))</f>
        <v/>
      </c>
      <c r="C12" s="2" t="inlineStr">
        <is>
          <t>Vivian Tsang</t>
        </is>
      </c>
      <c r="D12" s="30" t="n">
        <v>31465</v>
      </c>
      <c r="E12" s="2" t="inlineStr">
        <is>
          <t>F</t>
        </is>
      </c>
      <c r="F12" s="2">
        <f>INDEX('9_3nf_customer_history'!$C:$C,SUMPRODUCT(('9_3nf_customer_history'!$A$2:$A$500=B12)*('9_3nf_customer_history'!$B$2:$B$500=H12)*ROW('9_3nf_customer_history'!$A$2:$A$500)))</f>
        <v/>
      </c>
      <c r="G12" s="2">
        <f>INDEX('9_3nf_customer_history'!$D:$D,SUMPRODUCT(('9_3nf_customer_history'!$A$2:$A$500=B12)*('9_3nf_customer_history'!$B$2:$B$500=H12)*ROW('9_3nf_customer_history'!$A$2:$A$500)))</f>
        <v/>
      </c>
      <c r="H12" s="30">
        <f>_xlfn.MAXIFS('9_3nf_customer_history'!$B$2:$B$500,'9_3nf_customer_history'!$A$2:$A$500,B12)</f>
        <v/>
      </c>
    </row>
    <row r="13">
      <c r="A13" s="33" t="inlineStr">
        <is>
          <t>0032025226</t>
        </is>
      </c>
      <c r="B13" s="33">
        <f>IF(LEN(TRIM(A13))=10,TRIM(A13),IF(LEN(TRIM(A13))=8,"00"&amp;TRIM(A13),"CHECK"))</f>
        <v/>
      </c>
      <c r="C13" s="2" t="inlineStr">
        <is>
          <t>Mei Ling Lam</t>
        </is>
      </c>
      <c r="D13" s="30" t="n">
        <v>30958</v>
      </c>
      <c r="E13" s="2" t="inlineStr">
        <is>
          <t>F</t>
        </is>
      </c>
      <c r="F13" s="2">
        <f>INDEX('9_3nf_customer_history'!$C:$C,SUMPRODUCT(('9_3nf_customer_history'!$A$2:$A$500=B13)*('9_3nf_customer_history'!$B$2:$B$500=H13)*ROW('9_3nf_customer_history'!$A$2:$A$500)))</f>
        <v/>
      </c>
      <c r="G13" s="2">
        <f>INDEX('9_3nf_customer_history'!$D:$D,SUMPRODUCT(('9_3nf_customer_history'!$A$2:$A$500=B13)*('9_3nf_customer_history'!$B$2:$B$500=H13)*ROW('9_3nf_customer_history'!$A$2:$A$500)))</f>
        <v/>
      </c>
      <c r="H13" s="30">
        <f>_xlfn.MAXIFS('9_3nf_customer_history'!$B$2:$B$500,'9_3nf_customer_history'!$A$2:$A$500,B13)</f>
        <v/>
      </c>
    </row>
    <row r="14">
      <c r="A14" s="4" t="n">
        <v>17404366</v>
      </c>
      <c r="B14" s="33">
        <f>IF(LEN(TRIM(A14))=10,TRIM(A14),IF(LEN(TRIM(A14))=8,"00"&amp;TRIM(A14),"CHECK"))</f>
        <v/>
      </c>
      <c r="C14" s="2" t="inlineStr">
        <is>
          <t>Daniel Tang</t>
        </is>
      </c>
      <c r="D14" s="30" t="n">
        <v>25521</v>
      </c>
      <c r="E14" s="2" t="inlineStr">
        <is>
          <t>M</t>
        </is>
      </c>
      <c r="F14" s="2">
        <f>INDEX('9_3nf_customer_history'!$C:$C,SUMPRODUCT(('9_3nf_customer_history'!$A$2:$A$500=B14)*('9_3nf_customer_history'!$B$2:$B$500=H14)*ROW('9_3nf_customer_history'!$A$2:$A$500)))</f>
        <v/>
      </c>
      <c r="G14" s="2">
        <f>INDEX('9_3nf_customer_history'!$D:$D,SUMPRODUCT(('9_3nf_customer_history'!$A$2:$A$500=B14)*('9_3nf_customer_history'!$B$2:$B$500=H14)*ROW('9_3nf_customer_history'!$A$2:$A$500)))</f>
        <v/>
      </c>
      <c r="H14" s="30">
        <f>_xlfn.MAXIFS('9_3nf_customer_history'!$B$2:$B$500,'9_3nf_customer_history'!$A$2:$A$500,B14)</f>
        <v/>
      </c>
    </row>
    <row r="15">
      <c r="A15" s="4" t="n">
        <v>17885621</v>
      </c>
      <c r="B15" s="33">
        <f>IF(LEN(TRIM(A15))=10,TRIM(A15),IF(LEN(TRIM(A15))=8,"00"&amp;TRIM(A15),"CHECK"))</f>
        <v/>
      </c>
      <c r="C15" s="2" t="inlineStr">
        <is>
          <t>Ka Yan Sharma</t>
        </is>
      </c>
      <c r="D15" s="30" t="n">
        <v>37216</v>
      </c>
      <c r="E15" s="2" t="inlineStr">
        <is>
          <t>F</t>
        </is>
      </c>
      <c r="F15" s="2">
        <f>INDEX('9_3nf_customer_history'!$C:$C,SUMPRODUCT(('9_3nf_customer_history'!$A$2:$A$500=B15)*('9_3nf_customer_history'!$B$2:$B$500=H15)*ROW('9_3nf_customer_history'!$A$2:$A$500)))</f>
        <v/>
      </c>
      <c r="G15" s="2">
        <f>INDEX('9_3nf_customer_history'!$D:$D,SUMPRODUCT(('9_3nf_customer_history'!$A$2:$A$500=B15)*('9_3nf_customer_history'!$B$2:$B$500=H15)*ROW('9_3nf_customer_history'!$A$2:$A$500)))</f>
        <v/>
      </c>
      <c r="H15" s="30">
        <f>_xlfn.MAXIFS('9_3nf_customer_history'!$B$2:$B$500,'9_3nf_customer_history'!$A$2:$A$500,B15)</f>
        <v/>
      </c>
    </row>
    <row r="16">
      <c r="A16" s="4" t="n">
        <v>53083943</v>
      </c>
      <c r="B16" s="33">
        <f>IF(LEN(TRIM(A16))=10,TRIM(A16),IF(LEN(TRIM(A16))=8,"00"&amp;TRIM(A16),"CHECK"))</f>
        <v/>
      </c>
      <c r="C16" s="2" t="inlineStr">
        <is>
          <t>Marcus Brown</t>
        </is>
      </c>
      <c r="D16" s="30" t="n">
        <v>32816</v>
      </c>
      <c r="E16" s="2" t="inlineStr">
        <is>
          <t>M</t>
        </is>
      </c>
      <c r="F16" s="2">
        <f>INDEX('9_3nf_customer_history'!$C:$C,SUMPRODUCT(('9_3nf_customer_history'!$A$2:$A$500=B16)*('9_3nf_customer_history'!$B$2:$B$500=H16)*ROW('9_3nf_customer_history'!$A$2:$A$500)))</f>
        <v/>
      </c>
      <c r="G16" s="2">
        <f>INDEX('9_3nf_customer_history'!$D:$D,SUMPRODUCT(('9_3nf_customer_history'!$A$2:$A$500=B16)*('9_3nf_customer_history'!$B$2:$B$500=H16)*ROW('9_3nf_customer_history'!$A$2:$A$500)))</f>
        <v/>
      </c>
      <c r="H16" s="30">
        <f>_xlfn.MAXIFS('9_3nf_customer_history'!$B$2:$B$500,'9_3nf_customer_history'!$A$2:$A$500,B16)</f>
        <v/>
      </c>
    </row>
    <row r="17">
      <c r="A17" s="4" t="n">
        <v>83289666</v>
      </c>
      <c r="B17" s="33">
        <f>IF(LEN(TRIM(A17))=10,TRIM(A17),IF(LEN(TRIM(A17))=8,"00"&amp;TRIM(A17),"CHECK"))</f>
        <v/>
      </c>
      <c r="C17" s="2" t="inlineStr">
        <is>
          <t>Oliver Tanaka</t>
        </is>
      </c>
      <c r="D17" s="30" t="n">
        <v>37116</v>
      </c>
      <c r="E17" s="2" t="inlineStr">
        <is>
          <t>M</t>
        </is>
      </c>
      <c r="F17" s="2">
        <f>INDEX('9_3nf_customer_history'!$C:$C,SUMPRODUCT(('9_3nf_customer_history'!$A$2:$A$500=B17)*('9_3nf_customer_history'!$B$2:$B$500=H17)*ROW('9_3nf_customer_history'!$A$2:$A$500)))</f>
        <v/>
      </c>
      <c r="G17" s="2">
        <f>INDEX('9_3nf_customer_history'!$D:$D,SUMPRODUCT(('9_3nf_customer_history'!$A$2:$A$500=B17)*('9_3nf_customer_history'!$B$2:$B$500=H17)*ROW('9_3nf_customer_history'!$A$2:$A$500)))</f>
        <v/>
      </c>
      <c r="H17" s="30">
        <f>_xlfn.MAXIFS('9_3nf_customer_history'!$B$2:$B$500,'9_3nf_customer_history'!$A$2:$A$500,B17)</f>
        <v/>
      </c>
    </row>
    <row r="18">
      <c r="A18" s="4" t="n">
        <v>57825472</v>
      </c>
      <c r="B18" s="33">
        <f>IF(LEN(TRIM(A18))=10,TRIM(A18),IF(LEN(TRIM(A18))=8,"00"&amp;TRIM(A18),"CHECK"))</f>
        <v/>
      </c>
      <c r="C18" s="2" t="inlineStr">
        <is>
          <t>Ming Tang</t>
        </is>
      </c>
      <c r="D18" s="30" t="n">
        <v>21195</v>
      </c>
      <c r="E18" s="2" t="inlineStr">
        <is>
          <t>M</t>
        </is>
      </c>
      <c r="F18" s="2">
        <f>INDEX('9_3nf_customer_history'!$C:$C,SUMPRODUCT(('9_3nf_customer_history'!$A$2:$A$500=B18)*('9_3nf_customer_history'!$B$2:$B$500=H18)*ROW('9_3nf_customer_history'!$A$2:$A$500)))</f>
        <v/>
      </c>
      <c r="G18" s="2">
        <f>INDEX('9_3nf_customer_history'!$D:$D,SUMPRODUCT(('9_3nf_customer_history'!$A$2:$A$500=B18)*('9_3nf_customer_history'!$B$2:$B$500=H18)*ROW('9_3nf_customer_history'!$A$2:$A$500)))</f>
        <v/>
      </c>
      <c r="H18" s="30">
        <f>_xlfn.MAXIFS('9_3nf_customer_history'!$B$2:$B$500,'9_3nf_customer_history'!$A$2:$A$500,B18)</f>
        <v/>
      </c>
    </row>
    <row r="19">
      <c r="A19" s="4" t="n">
        <v>86890319</v>
      </c>
      <c r="B19" s="33">
        <f>IF(LEN(TRIM(A19))=10,TRIM(A19),IF(LEN(TRIM(A19))=8,"00"&amp;TRIM(A19),"CHECK"))</f>
        <v/>
      </c>
      <c r="C19" s="2" t="inlineStr">
        <is>
          <t>Vivian Smith</t>
        </is>
      </c>
      <c r="D19" s="30" t="n">
        <v>37214</v>
      </c>
      <c r="E19" s="2" t="inlineStr">
        <is>
          <t>F</t>
        </is>
      </c>
      <c r="F19" s="2">
        <f>INDEX('9_3nf_customer_history'!$C:$C,SUMPRODUCT(('9_3nf_customer_history'!$A$2:$A$500=B19)*('9_3nf_customer_history'!$B$2:$B$500=H19)*ROW('9_3nf_customer_history'!$A$2:$A$500)))</f>
        <v/>
      </c>
      <c r="G19" s="2">
        <f>INDEX('9_3nf_customer_history'!$D:$D,SUMPRODUCT(('9_3nf_customer_history'!$A$2:$A$500=B19)*('9_3nf_customer_history'!$B$2:$B$500=H19)*ROW('9_3nf_customer_history'!$A$2:$A$500)))</f>
        <v/>
      </c>
      <c r="H19" s="30">
        <f>_xlfn.MAXIFS('9_3nf_customer_history'!$B$2:$B$500,'9_3nf_customer_history'!$A$2:$A$500,B19)</f>
        <v/>
      </c>
    </row>
    <row r="20">
      <c r="A20" s="4" t="n">
        <v>19295191</v>
      </c>
      <c r="B20" s="33">
        <f>IF(LEN(TRIM(A20))=10,TRIM(A20),IF(LEN(TRIM(A20))=8,"00"&amp;TRIM(A20),"CHECK"))</f>
        <v/>
      </c>
      <c r="C20" s="2" t="inlineStr">
        <is>
          <t>Vivian Mak</t>
        </is>
      </c>
      <c r="D20" s="30" t="n">
        <v>32905</v>
      </c>
      <c r="E20" s="2" t="inlineStr">
        <is>
          <t>F</t>
        </is>
      </c>
      <c r="F20" s="2">
        <f>INDEX('9_3nf_customer_history'!$C:$C,SUMPRODUCT(('9_3nf_customer_history'!$A$2:$A$500=B20)*('9_3nf_customer_history'!$B$2:$B$500=H20)*ROW('9_3nf_customer_history'!$A$2:$A$500)))</f>
        <v/>
      </c>
      <c r="G20" s="2">
        <f>INDEX('9_3nf_customer_history'!$D:$D,SUMPRODUCT(('9_3nf_customer_history'!$A$2:$A$500=B20)*('9_3nf_customer_history'!$B$2:$B$500=H20)*ROW('9_3nf_customer_history'!$A$2:$A$500)))</f>
        <v/>
      </c>
      <c r="H20" s="30">
        <f>_xlfn.MAXIFS('9_3nf_customer_history'!$B$2:$B$500,'9_3nf_customer_history'!$A$2:$A$500,B20)</f>
        <v/>
      </c>
    </row>
    <row r="21">
      <c r="A21" s="4" t="n">
        <v>57619105</v>
      </c>
      <c r="B21" s="33">
        <f>IF(LEN(TRIM(A21))=10,TRIM(A21),IF(LEN(TRIM(A21))=8,"00"&amp;TRIM(A21),"CHECK"))</f>
        <v/>
      </c>
      <c r="C21" s="2" t="inlineStr">
        <is>
          <t>Winnie Patel</t>
        </is>
      </c>
      <c r="D21" s="30" t="n">
        <v>31721</v>
      </c>
      <c r="E21" s="2" t="inlineStr">
        <is>
          <t>F</t>
        </is>
      </c>
      <c r="F21" s="2">
        <f>INDEX('9_3nf_customer_history'!$C:$C,SUMPRODUCT(('9_3nf_customer_history'!$A$2:$A$500=B21)*('9_3nf_customer_history'!$B$2:$B$500=H21)*ROW('9_3nf_customer_history'!$A$2:$A$500)))</f>
        <v/>
      </c>
      <c r="G21" s="2">
        <f>INDEX('9_3nf_customer_history'!$D:$D,SUMPRODUCT(('9_3nf_customer_history'!$A$2:$A$500=B21)*('9_3nf_customer_history'!$B$2:$B$500=H21)*ROW('9_3nf_customer_history'!$A$2:$A$500)))</f>
        <v/>
      </c>
      <c r="H21" s="30">
        <f>_xlfn.MAXIFS('9_3nf_customer_history'!$B$2:$B$500,'9_3nf_customer_history'!$A$2:$A$500,B21)</f>
        <v/>
      </c>
    </row>
    <row r="22">
      <c r="A22" s="4" t="n">
        <v>1003425081</v>
      </c>
      <c r="B22" s="33">
        <f>IF(LEN(TRIM(A22))=10,TRIM(A22),IF(LEN(TRIM(A22))=8,"00"&amp;TRIM(A22),"CHECK"))</f>
        <v/>
      </c>
      <c r="C22" s="2" t="inlineStr">
        <is>
          <t>Siu Ling Smith</t>
        </is>
      </c>
      <c r="D22" s="30" t="n">
        <v>23207</v>
      </c>
      <c r="E22" s="2" t="inlineStr">
        <is>
          <t>F</t>
        </is>
      </c>
      <c r="F22" s="2">
        <f>INDEX('9_3nf_customer_history'!$C:$C,SUMPRODUCT(('9_3nf_customer_history'!$A$2:$A$500=B22)*('9_3nf_customer_history'!$B$2:$B$500=H22)*ROW('9_3nf_customer_history'!$A$2:$A$500)))</f>
        <v/>
      </c>
      <c r="G22" s="2">
        <f>INDEX('9_3nf_customer_history'!$D:$D,SUMPRODUCT(('9_3nf_customer_history'!$A$2:$A$500=B22)*('9_3nf_customer_history'!$B$2:$B$500=H22)*ROW('9_3nf_customer_history'!$A$2:$A$500)))</f>
        <v/>
      </c>
      <c r="H22" s="30">
        <f>_xlfn.MAXIFS('9_3nf_customer_history'!$B$2:$B$500,'9_3nf_customer_history'!$A$2:$A$500,B22)</f>
        <v/>
      </c>
    </row>
    <row r="23">
      <c r="A23" s="4" t="n">
        <v>1272084999</v>
      </c>
      <c r="B23" s="33">
        <f>IF(LEN(TRIM(A23))=10,TRIM(A23),IF(LEN(TRIM(A23))=8,"00"&amp;TRIM(A23),"CHECK"))</f>
        <v/>
      </c>
      <c r="C23" s="2" t="inlineStr">
        <is>
          <t>Joyce Mak</t>
        </is>
      </c>
      <c r="D23" s="30" t="n">
        <v>36039</v>
      </c>
      <c r="E23" s="2" t="inlineStr">
        <is>
          <t>F</t>
        </is>
      </c>
      <c r="F23" s="2">
        <f>INDEX('9_3nf_customer_history'!$C:$C,SUMPRODUCT(('9_3nf_customer_history'!$A$2:$A$500=B23)*('9_3nf_customer_history'!$B$2:$B$500=H23)*ROW('9_3nf_customer_history'!$A$2:$A$500)))</f>
        <v/>
      </c>
      <c r="G23" s="2">
        <f>INDEX('9_3nf_customer_history'!$D:$D,SUMPRODUCT(('9_3nf_customer_history'!$A$2:$A$500=B23)*('9_3nf_customer_history'!$B$2:$B$500=H23)*ROW('9_3nf_customer_history'!$A$2:$A$500)))</f>
        <v/>
      </c>
      <c r="H23" s="30">
        <f>_xlfn.MAXIFS('9_3nf_customer_history'!$B$2:$B$500,'9_3nf_customer_history'!$A$2:$A$500,B23)</f>
        <v/>
      </c>
    </row>
    <row r="24">
      <c r="A24" s="4" t="n">
        <v>1272232039</v>
      </c>
      <c r="B24" s="33">
        <f>IF(LEN(TRIM(A24))=10,TRIM(A24),IF(LEN(TRIM(A24))=8,"00"&amp;TRIM(A24),"CHECK"))</f>
        <v/>
      </c>
      <c r="C24" s="2" t="inlineStr">
        <is>
          <t>Yuki Lee</t>
        </is>
      </c>
      <c r="D24" s="30" t="n">
        <v>20553</v>
      </c>
      <c r="E24" s="2" t="inlineStr">
        <is>
          <t>F</t>
        </is>
      </c>
      <c r="F24" s="2">
        <f>INDEX('9_3nf_customer_history'!$C:$C,SUMPRODUCT(('9_3nf_customer_history'!$A$2:$A$500=B24)*('9_3nf_customer_history'!$B$2:$B$500=H24)*ROW('9_3nf_customer_history'!$A$2:$A$500)))</f>
        <v/>
      </c>
      <c r="G24" s="2">
        <f>INDEX('9_3nf_customer_history'!$D:$D,SUMPRODUCT(('9_3nf_customer_history'!$A$2:$A$500=B24)*('9_3nf_customer_history'!$B$2:$B$500=H24)*ROW('9_3nf_customer_history'!$A$2:$A$500)))</f>
        <v/>
      </c>
      <c r="H24" s="30">
        <f>_xlfn.MAXIFS('9_3nf_customer_history'!$B$2:$B$500,'9_3nf_customer_history'!$A$2:$A$500,B24)</f>
        <v/>
      </c>
    </row>
    <row r="25">
      <c r="A25" s="4" t="n">
        <v>1345733448</v>
      </c>
      <c r="B25" s="33">
        <f>IF(LEN(TRIM(A25))=10,TRIM(A25),IF(LEN(TRIM(A25))=8,"00"&amp;TRIM(A25),"CHECK"))</f>
        <v/>
      </c>
      <c r="C25" s="2" t="inlineStr">
        <is>
          <t>Ming Sharma</t>
        </is>
      </c>
      <c r="D25" s="30" t="n">
        <v>18273</v>
      </c>
      <c r="E25" s="2" t="inlineStr">
        <is>
          <t>M</t>
        </is>
      </c>
      <c r="F25" s="2">
        <f>INDEX('9_3nf_customer_history'!$C:$C,SUMPRODUCT(('9_3nf_customer_history'!$A$2:$A$500=B25)*('9_3nf_customer_history'!$B$2:$B$500=H25)*ROW('9_3nf_customer_history'!$A$2:$A$500)))</f>
        <v/>
      </c>
      <c r="G25" s="2">
        <f>INDEX('9_3nf_customer_history'!$D:$D,SUMPRODUCT(('9_3nf_customer_history'!$A$2:$A$500=B25)*('9_3nf_customer_history'!$B$2:$B$500=H25)*ROW('9_3nf_customer_history'!$A$2:$A$500)))</f>
        <v/>
      </c>
      <c r="H25" s="30">
        <f>_xlfn.MAXIFS('9_3nf_customer_history'!$B$2:$B$500,'9_3nf_customer_history'!$A$2:$A$500,B25)</f>
        <v/>
      </c>
    </row>
    <row r="26">
      <c r="A26" s="4" t="n">
        <v>1369982817</v>
      </c>
      <c r="B26" s="33">
        <f>IF(LEN(TRIM(A26))=10,TRIM(A26),IF(LEN(TRIM(A26))=8,"00"&amp;TRIM(A26),"CHECK"))</f>
        <v/>
      </c>
      <c r="C26" s="2" t="inlineStr">
        <is>
          <t>Arjun Fung</t>
        </is>
      </c>
      <c r="D26" s="30" t="n">
        <v>29610</v>
      </c>
      <c r="E26" s="2" t="inlineStr">
        <is>
          <t>M</t>
        </is>
      </c>
      <c r="F26" s="2">
        <f>INDEX('9_3nf_customer_history'!$C:$C,SUMPRODUCT(('9_3nf_customer_history'!$A$2:$A$500=B26)*('9_3nf_customer_history'!$B$2:$B$500=H26)*ROW('9_3nf_customer_history'!$A$2:$A$500)))</f>
        <v/>
      </c>
      <c r="G26" s="2">
        <f>INDEX('9_3nf_customer_history'!$D:$D,SUMPRODUCT(('9_3nf_customer_history'!$A$2:$A$500=B26)*('9_3nf_customer_history'!$B$2:$B$500=H26)*ROW('9_3nf_customer_history'!$A$2:$A$500)))</f>
        <v/>
      </c>
      <c r="H26" s="30">
        <f>_xlfn.MAXIFS('9_3nf_customer_history'!$B$2:$B$500,'9_3nf_customer_history'!$A$2:$A$500,B26)</f>
        <v/>
      </c>
    </row>
    <row r="27">
      <c r="A27" s="4" t="n">
        <v>1777759401</v>
      </c>
      <c r="B27" s="33">
        <f>IF(LEN(TRIM(A27))=10,TRIM(A27),IF(LEN(TRIM(A27))=8,"00"&amp;TRIM(A27),"CHECK"))</f>
        <v/>
      </c>
      <c r="C27" s="2" t="inlineStr">
        <is>
          <t>Tsz Hin Chan</t>
        </is>
      </c>
      <c r="D27" s="30" t="n">
        <v>26242</v>
      </c>
      <c r="E27" s="2" t="inlineStr">
        <is>
          <t>M</t>
        </is>
      </c>
      <c r="F27" s="2">
        <f>INDEX('9_3nf_customer_history'!$C:$C,SUMPRODUCT(('9_3nf_customer_history'!$A$2:$A$500=B27)*('9_3nf_customer_history'!$B$2:$B$500=H27)*ROW('9_3nf_customer_history'!$A$2:$A$500)))</f>
        <v/>
      </c>
      <c r="G27" s="2">
        <f>INDEX('9_3nf_customer_history'!$D:$D,SUMPRODUCT(('9_3nf_customer_history'!$A$2:$A$500=B27)*('9_3nf_customer_history'!$B$2:$B$500=H27)*ROW('9_3nf_customer_history'!$A$2:$A$500)))</f>
        <v/>
      </c>
      <c r="H27" s="30">
        <f>_xlfn.MAXIFS('9_3nf_customer_history'!$B$2:$B$500,'9_3nf_customer_history'!$A$2:$A$500,B27)</f>
        <v/>
      </c>
    </row>
    <row r="28">
      <c r="A28" s="4" t="n">
        <v>1809923365</v>
      </c>
      <c r="B28" s="33">
        <f>IF(LEN(TRIM(A28))=10,TRIM(A28),IF(LEN(TRIM(A28))=8,"00"&amp;TRIM(A28),"CHECK"))</f>
        <v/>
      </c>
      <c r="C28" s="2" t="inlineStr">
        <is>
          <t>Kevin Ho</t>
        </is>
      </c>
      <c r="D28" s="30" t="n">
        <v>30166</v>
      </c>
      <c r="E28" s="2" t="inlineStr">
        <is>
          <t>M</t>
        </is>
      </c>
      <c r="F28" s="2">
        <f>INDEX('9_3nf_customer_history'!$C:$C,SUMPRODUCT(('9_3nf_customer_history'!$A$2:$A$500=B28)*('9_3nf_customer_history'!$B$2:$B$500=H28)*ROW('9_3nf_customer_history'!$A$2:$A$500)))</f>
        <v/>
      </c>
      <c r="G28" s="2">
        <f>INDEX('9_3nf_customer_history'!$D:$D,SUMPRODUCT(('9_3nf_customer_history'!$A$2:$A$500=B28)*('9_3nf_customer_history'!$B$2:$B$500=H28)*ROW('9_3nf_customer_history'!$A$2:$A$500)))</f>
        <v/>
      </c>
      <c r="H28" s="30">
        <f>_xlfn.MAXIFS('9_3nf_customer_history'!$B$2:$B$500,'9_3nf_customer_history'!$A$2:$A$500,B28)</f>
        <v/>
      </c>
    </row>
    <row r="29">
      <c r="A29" s="4" t="n">
        <v>1842303686</v>
      </c>
      <c r="B29" s="33">
        <f>IF(LEN(TRIM(A29))=10,TRIM(A29),IF(LEN(TRIM(A29))=8,"00"&amp;TRIM(A29),"CHECK"))</f>
        <v/>
      </c>
      <c r="C29" s="2" t="inlineStr">
        <is>
          <t>Siu Ling Leung</t>
        </is>
      </c>
      <c r="D29" s="30" t="n">
        <v>20377</v>
      </c>
      <c r="E29" s="2" t="inlineStr">
        <is>
          <t>F</t>
        </is>
      </c>
      <c r="F29" s="2">
        <f>INDEX('9_3nf_customer_history'!$C:$C,SUMPRODUCT(('9_3nf_customer_history'!$A$2:$A$500=B29)*('9_3nf_customer_history'!$B$2:$B$500=H29)*ROW('9_3nf_customer_history'!$A$2:$A$500)))</f>
        <v/>
      </c>
      <c r="G29" s="2">
        <f>INDEX('9_3nf_customer_history'!$D:$D,SUMPRODUCT(('9_3nf_customer_history'!$A$2:$A$500=B29)*('9_3nf_customer_history'!$B$2:$B$500=H29)*ROW('9_3nf_customer_history'!$A$2:$A$500)))</f>
        <v/>
      </c>
      <c r="H29" s="30">
        <f>_xlfn.MAXIFS('9_3nf_customer_history'!$B$2:$B$500,'9_3nf_customer_history'!$A$2:$A$500,B29)</f>
        <v/>
      </c>
    </row>
    <row r="30">
      <c r="A30" s="4" t="n">
        <v>2203391157</v>
      </c>
      <c r="B30" s="33">
        <f>IF(LEN(TRIM(A30))=10,TRIM(A30),IF(LEN(TRIM(A30))=8,"00"&amp;TRIM(A30),"CHECK"))</f>
        <v/>
      </c>
      <c r="C30" s="2" t="inlineStr">
        <is>
          <t>Maria Santos</t>
        </is>
      </c>
      <c r="D30" s="30" t="n">
        <v>26427</v>
      </c>
      <c r="E30" s="2" t="inlineStr">
        <is>
          <t>F</t>
        </is>
      </c>
      <c r="F30" s="2">
        <f>INDEX('9_3nf_customer_history'!$C:$C,SUMPRODUCT(('9_3nf_customer_history'!$A$2:$A$500=B30)*('9_3nf_customer_history'!$B$2:$B$500=H30)*ROW('9_3nf_customer_history'!$A$2:$A$500)))</f>
        <v/>
      </c>
      <c r="G30" s="2">
        <f>INDEX('9_3nf_customer_history'!$D:$D,SUMPRODUCT(('9_3nf_customer_history'!$A$2:$A$500=B30)*('9_3nf_customer_history'!$B$2:$B$500=H30)*ROW('9_3nf_customer_history'!$A$2:$A$500)))</f>
        <v/>
      </c>
      <c r="H30" s="30">
        <f>_xlfn.MAXIFS('9_3nf_customer_history'!$B$2:$B$500,'9_3nf_customer_history'!$A$2:$A$500,B30)</f>
        <v/>
      </c>
    </row>
    <row r="31">
      <c r="A31" s="4" t="n">
        <v>2277513075</v>
      </c>
      <c r="B31" s="33">
        <f>IF(LEN(TRIM(A31))=10,TRIM(A31),IF(LEN(TRIM(A31))=8,"00"&amp;TRIM(A31),"CHECK"))</f>
        <v/>
      </c>
      <c r="C31" s="2" t="inlineStr">
        <is>
          <t>Daniel Fung</t>
        </is>
      </c>
      <c r="D31" s="30" t="n">
        <v>21637</v>
      </c>
      <c r="E31" s="2" t="inlineStr">
        <is>
          <t>M</t>
        </is>
      </c>
      <c r="F31" s="2">
        <f>INDEX('9_3nf_customer_history'!$C:$C,SUMPRODUCT(('9_3nf_customer_history'!$A$2:$A$500=B31)*('9_3nf_customer_history'!$B$2:$B$500=H31)*ROW('9_3nf_customer_history'!$A$2:$A$500)))</f>
        <v/>
      </c>
      <c r="G31" s="2">
        <f>INDEX('9_3nf_customer_history'!$D:$D,SUMPRODUCT(('9_3nf_customer_history'!$A$2:$A$500=B31)*('9_3nf_customer_history'!$B$2:$B$500=H31)*ROW('9_3nf_customer_history'!$A$2:$A$500)))</f>
        <v/>
      </c>
      <c r="H31" s="30">
        <f>_xlfn.MAXIFS('9_3nf_customer_history'!$B$2:$B$500,'9_3nf_customer_history'!$A$2:$A$500,B31)</f>
        <v/>
      </c>
    </row>
    <row r="32">
      <c r="A32" s="4" t="n">
        <v>2531925273</v>
      </c>
      <c r="B32" s="33">
        <f>IF(LEN(TRIM(A32))=10,TRIM(A32),IF(LEN(TRIM(A32))=8,"00"&amp;TRIM(A32),"CHECK"))</f>
        <v/>
      </c>
      <c r="C32" s="2" t="inlineStr">
        <is>
          <t>Sophie Cheung</t>
        </is>
      </c>
      <c r="D32" s="30" t="n">
        <v>32908</v>
      </c>
      <c r="E32" s="2" t="inlineStr">
        <is>
          <t>F</t>
        </is>
      </c>
      <c r="F32" s="2">
        <f>INDEX('9_3nf_customer_history'!$C:$C,SUMPRODUCT(('9_3nf_customer_history'!$A$2:$A$500=B32)*('9_3nf_customer_history'!$B$2:$B$500=H32)*ROW('9_3nf_customer_history'!$A$2:$A$500)))</f>
        <v/>
      </c>
      <c r="G32" s="2">
        <f>INDEX('9_3nf_customer_history'!$D:$D,SUMPRODUCT(('9_3nf_customer_history'!$A$2:$A$500=B32)*('9_3nf_customer_history'!$B$2:$B$500=H32)*ROW('9_3nf_customer_history'!$A$2:$A$500)))</f>
        <v/>
      </c>
      <c r="H32" s="30">
        <f>_xlfn.MAXIFS('9_3nf_customer_history'!$B$2:$B$500,'9_3nf_customer_history'!$A$2:$A$500,B32)</f>
        <v/>
      </c>
    </row>
    <row r="33">
      <c r="A33" s="4" t="n">
        <v>2639172015</v>
      </c>
      <c r="B33" s="33">
        <f>IF(LEN(TRIM(A33))=10,TRIM(A33),IF(LEN(TRIM(A33))=8,"00"&amp;TRIM(A33),"CHECK"))</f>
        <v/>
      </c>
      <c r="C33" s="2" t="inlineStr">
        <is>
          <t>Vivian Cheung</t>
        </is>
      </c>
      <c r="D33" s="30" t="n">
        <v>27867</v>
      </c>
      <c r="E33" s="2" t="inlineStr">
        <is>
          <t>F</t>
        </is>
      </c>
      <c r="F33" s="2">
        <f>INDEX('9_3nf_customer_history'!$C:$C,SUMPRODUCT(('9_3nf_customer_history'!$A$2:$A$500=B33)*('9_3nf_customer_history'!$B$2:$B$500=H33)*ROW('9_3nf_customer_history'!$A$2:$A$500)))</f>
        <v/>
      </c>
      <c r="G33" s="2">
        <f>INDEX('9_3nf_customer_history'!$D:$D,SUMPRODUCT(('9_3nf_customer_history'!$A$2:$A$500=B33)*('9_3nf_customer_history'!$B$2:$B$500=H33)*ROW('9_3nf_customer_history'!$A$2:$A$500)))</f>
        <v/>
      </c>
      <c r="H33" s="30">
        <f>_xlfn.MAXIFS('9_3nf_customer_history'!$B$2:$B$500,'9_3nf_customer_history'!$A$2:$A$500,B33)</f>
        <v/>
      </c>
    </row>
    <row r="34">
      <c r="A34" s="4" t="n">
        <v>2751672943</v>
      </c>
      <c r="B34" s="33">
        <f>IF(LEN(TRIM(A34))=10,TRIM(A34),IF(LEN(TRIM(A34))=8,"00"&amp;TRIM(A34),"CHECK"))</f>
        <v/>
      </c>
      <c r="C34" s="2" t="inlineStr">
        <is>
          <t>Karen Brown</t>
        </is>
      </c>
      <c r="D34" s="30" t="n">
        <v>35687</v>
      </c>
      <c r="E34" s="2" t="inlineStr">
        <is>
          <t>F</t>
        </is>
      </c>
      <c r="F34" s="2">
        <f>INDEX('9_3nf_customer_history'!$C:$C,SUMPRODUCT(('9_3nf_customer_history'!$A$2:$A$500=B34)*('9_3nf_customer_history'!$B$2:$B$500=H34)*ROW('9_3nf_customer_history'!$A$2:$A$500)))</f>
        <v/>
      </c>
      <c r="G34" s="2">
        <f>INDEX('9_3nf_customer_history'!$D:$D,SUMPRODUCT(('9_3nf_customer_history'!$A$2:$A$500=B34)*('9_3nf_customer_history'!$B$2:$B$500=H34)*ROW('9_3nf_customer_history'!$A$2:$A$500)))</f>
        <v/>
      </c>
      <c r="H34" s="30">
        <f>_xlfn.MAXIFS('9_3nf_customer_history'!$B$2:$B$500,'9_3nf_customer_history'!$A$2:$A$500,B34)</f>
        <v/>
      </c>
    </row>
    <row r="35">
      <c r="A35" s="4" t="n">
        <v>2783886952</v>
      </c>
      <c r="B35" s="33">
        <f>IF(LEN(TRIM(A35))=10,TRIM(A35),IF(LEN(TRIM(A35))=8,"00"&amp;TRIM(A35),"CHECK"))</f>
        <v/>
      </c>
      <c r="C35" s="2" t="inlineStr">
        <is>
          <t>Jason Lim</t>
        </is>
      </c>
      <c r="D35" s="30" t="n">
        <v>23675</v>
      </c>
      <c r="E35" s="2" t="inlineStr">
        <is>
          <t>M</t>
        </is>
      </c>
      <c r="F35" s="2">
        <f>INDEX('9_3nf_customer_history'!$C:$C,SUMPRODUCT(('9_3nf_customer_history'!$A$2:$A$500=B35)*('9_3nf_customer_history'!$B$2:$B$500=H35)*ROW('9_3nf_customer_history'!$A$2:$A$500)))</f>
        <v/>
      </c>
      <c r="G35" s="2">
        <f>INDEX('9_3nf_customer_history'!$D:$D,SUMPRODUCT(('9_3nf_customer_history'!$A$2:$A$500=B35)*('9_3nf_customer_history'!$B$2:$B$500=H35)*ROW('9_3nf_customer_history'!$A$2:$A$500)))</f>
        <v/>
      </c>
      <c r="H35" s="30">
        <f>_xlfn.MAXIFS('9_3nf_customer_history'!$B$2:$B$500,'9_3nf_customer_history'!$A$2:$A$500,B35)</f>
        <v/>
      </c>
    </row>
    <row r="36">
      <c r="A36" s="4" t="n">
        <v>2897597490</v>
      </c>
      <c r="B36" s="33">
        <f>IF(LEN(TRIM(A36))=10,TRIM(A36),IF(LEN(TRIM(A36))=8,"00"&amp;TRIM(A36),"CHECK"))</f>
        <v/>
      </c>
      <c r="C36" s="2" t="inlineStr">
        <is>
          <t>Agnes Lim</t>
        </is>
      </c>
      <c r="D36" s="30" t="n">
        <v>33716</v>
      </c>
      <c r="E36" s="2" t="inlineStr">
        <is>
          <t>F</t>
        </is>
      </c>
      <c r="F36" s="2">
        <f>INDEX('9_3nf_customer_history'!$C:$C,SUMPRODUCT(('9_3nf_customer_history'!$A$2:$A$500=B36)*('9_3nf_customer_history'!$B$2:$B$500=H36)*ROW('9_3nf_customer_history'!$A$2:$A$500)))</f>
        <v/>
      </c>
      <c r="G36" s="2">
        <f>INDEX('9_3nf_customer_history'!$D:$D,SUMPRODUCT(('9_3nf_customer_history'!$A$2:$A$500=B36)*('9_3nf_customer_history'!$B$2:$B$500=H36)*ROW('9_3nf_customer_history'!$A$2:$A$500)))</f>
        <v/>
      </c>
      <c r="H36" s="30">
        <f>_xlfn.MAXIFS('9_3nf_customer_history'!$B$2:$B$500,'9_3nf_customer_history'!$A$2:$A$500,B36)</f>
        <v/>
      </c>
    </row>
    <row r="37">
      <c r="A37" s="4" t="n">
        <v>3179016710</v>
      </c>
      <c r="B37" s="33">
        <f>IF(LEN(TRIM(A37))=10,TRIM(A37),IF(LEN(TRIM(A37))=8,"00"&amp;TRIM(A37),"CHECK"))</f>
        <v/>
      </c>
      <c r="C37" s="2" t="inlineStr">
        <is>
          <t>Winnie Cheung</t>
        </is>
      </c>
      <c r="D37" s="30" t="n">
        <v>33252</v>
      </c>
      <c r="E37" s="2" t="inlineStr">
        <is>
          <t>F</t>
        </is>
      </c>
      <c r="F37" s="2">
        <f>INDEX('9_3nf_customer_history'!$C:$C,SUMPRODUCT(('9_3nf_customer_history'!$A$2:$A$500=B37)*('9_3nf_customer_history'!$B$2:$B$500=H37)*ROW('9_3nf_customer_history'!$A$2:$A$500)))</f>
        <v/>
      </c>
      <c r="G37" s="2">
        <f>INDEX('9_3nf_customer_history'!$D:$D,SUMPRODUCT(('9_3nf_customer_history'!$A$2:$A$500=B37)*('9_3nf_customer_history'!$B$2:$B$500=H37)*ROW('9_3nf_customer_history'!$A$2:$A$500)))</f>
        <v/>
      </c>
      <c r="H37" s="30">
        <f>_xlfn.MAXIFS('9_3nf_customer_history'!$B$2:$B$500,'9_3nf_customer_history'!$A$2:$A$500,B37)</f>
        <v/>
      </c>
    </row>
    <row r="38">
      <c r="A38" s="4" t="n">
        <v>3207719945</v>
      </c>
      <c r="B38" s="33">
        <f>IF(LEN(TRIM(A38))=10,TRIM(A38),IF(LEN(TRIM(A38))=8,"00"&amp;TRIM(A38),"CHECK"))</f>
        <v/>
      </c>
      <c r="C38" s="2" t="inlineStr">
        <is>
          <t>James Wong</t>
        </is>
      </c>
      <c r="D38" s="30" t="n">
        <v>24048</v>
      </c>
      <c r="E38" s="2" t="inlineStr">
        <is>
          <t>M</t>
        </is>
      </c>
      <c r="F38" s="2">
        <f>INDEX('9_3nf_customer_history'!$C:$C,SUMPRODUCT(('9_3nf_customer_history'!$A$2:$A$500=B38)*('9_3nf_customer_history'!$B$2:$B$500=H38)*ROW('9_3nf_customer_history'!$A$2:$A$500)))</f>
        <v/>
      </c>
      <c r="G38" s="2">
        <f>INDEX('9_3nf_customer_history'!$D:$D,SUMPRODUCT(('9_3nf_customer_history'!$A$2:$A$500=B38)*('9_3nf_customer_history'!$B$2:$B$500=H38)*ROW('9_3nf_customer_history'!$A$2:$A$500)))</f>
        <v/>
      </c>
      <c r="H38" s="30">
        <f>_xlfn.MAXIFS('9_3nf_customer_history'!$B$2:$B$500,'9_3nf_customer_history'!$A$2:$A$500,B38)</f>
        <v/>
      </c>
    </row>
    <row r="39">
      <c r="A39" s="4" t="n">
        <v>3328832319</v>
      </c>
      <c r="B39" s="33">
        <f>IF(LEN(TRIM(A39))=10,TRIM(A39),IF(LEN(TRIM(A39))=8,"00"&amp;TRIM(A39),"CHECK"))</f>
        <v/>
      </c>
      <c r="C39" s="2" t="inlineStr">
        <is>
          <t>Fiona Leung</t>
        </is>
      </c>
      <c r="D39" s="30" t="n">
        <v>22204</v>
      </c>
      <c r="E39" s="2" t="inlineStr">
        <is>
          <t>F</t>
        </is>
      </c>
      <c r="F39" s="2">
        <f>INDEX('9_3nf_customer_history'!$C:$C,SUMPRODUCT(('9_3nf_customer_history'!$A$2:$A$500=B39)*('9_3nf_customer_history'!$B$2:$B$500=H39)*ROW('9_3nf_customer_history'!$A$2:$A$500)))</f>
        <v/>
      </c>
      <c r="G39" s="2">
        <f>INDEX('9_3nf_customer_history'!$D:$D,SUMPRODUCT(('9_3nf_customer_history'!$A$2:$A$500=B39)*('9_3nf_customer_history'!$B$2:$B$500=H39)*ROW('9_3nf_customer_history'!$A$2:$A$500)))</f>
        <v/>
      </c>
      <c r="H39" s="30">
        <f>_xlfn.MAXIFS('9_3nf_customer_history'!$B$2:$B$500,'9_3nf_customer_history'!$A$2:$A$500,B39)</f>
        <v/>
      </c>
    </row>
    <row r="40">
      <c r="A40" s="4" t="n">
        <v>3694833017</v>
      </c>
      <c r="B40" s="33">
        <f>IF(LEN(TRIM(A40))=10,TRIM(A40),IF(LEN(TRIM(A40))=8,"00"&amp;TRIM(A40),"CHECK"))</f>
        <v/>
      </c>
      <c r="C40" s="2" t="inlineStr">
        <is>
          <t>Hiroshi Tanaka</t>
        </is>
      </c>
      <c r="D40" s="30" t="n">
        <v>20063</v>
      </c>
      <c r="E40" s="2" t="inlineStr">
        <is>
          <t>M</t>
        </is>
      </c>
      <c r="F40" s="2">
        <f>INDEX('9_3nf_customer_history'!$C:$C,SUMPRODUCT(('9_3nf_customer_history'!$A$2:$A$500=B40)*('9_3nf_customer_history'!$B$2:$B$500=H40)*ROW('9_3nf_customer_history'!$A$2:$A$500)))</f>
        <v/>
      </c>
      <c r="G40" s="2">
        <f>INDEX('9_3nf_customer_history'!$D:$D,SUMPRODUCT(('9_3nf_customer_history'!$A$2:$A$500=B40)*('9_3nf_customer_history'!$B$2:$B$500=H40)*ROW('9_3nf_customer_history'!$A$2:$A$500)))</f>
        <v/>
      </c>
      <c r="H40" s="30">
        <f>_xlfn.MAXIFS('9_3nf_customer_history'!$B$2:$B$500,'9_3nf_customer_history'!$A$2:$A$500,B40)</f>
        <v/>
      </c>
    </row>
    <row r="41">
      <c r="A41" s="4" t="n">
        <v>3814816203</v>
      </c>
      <c r="B41" s="33">
        <f>IF(LEN(TRIM(A41))=10,TRIM(A41),IF(LEN(TRIM(A41))=8,"00"&amp;TRIM(A41),"CHECK"))</f>
        <v/>
      </c>
      <c r="C41" s="2" t="inlineStr">
        <is>
          <t>Jason Tanaka</t>
        </is>
      </c>
      <c r="D41" s="30" t="n">
        <v>24295</v>
      </c>
      <c r="E41" s="2" t="inlineStr">
        <is>
          <t>M</t>
        </is>
      </c>
      <c r="F41" s="2">
        <f>INDEX('9_3nf_customer_history'!$C:$C,SUMPRODUCT(('9_3nf_customer_history'!$A$2:$A$500=B41)*('9_3nf_customer_history'!$B$2:$B$500=H41)*ROW('9_3nf_customer_history'!$A$2:$A$500)))</f>
        <v/>
      </c>
      <c r="G41" s="2">
        <f>INDEX('9_3nf_customer_history'!$D:$D,SUMPRODUCT(('9_3nf_customer_history'!$A$2:$A$500=B41)*('9_3nf_customer_history'!$B$2:$B$500=H41)*ROW('9_3nf_customer_history'!$A$2:$A$500)))</f>
        <v/>
      </c>
      <c r="H41" s="30">
        <f>_xlfn.MAXIFS('9_3nf_customer_history'!$B$2:$B$500,'9_3nf_customer_history'!$A$2:$A$500,B41)</f>
        <v/>
      </c>
    </row>
    <row r="42">
      <c r="A42" s="4" t="n">
        <v>3895453336</v>
      </c>
      <c r="B42" s="33">
        <f>IF(LEN(TRIM(A42))=10,TRIM(A42),IF(LEN(TRIM(A42))=8,"00"&amp;TRIM(A42),"CHECK"))</f>
        <v/>
      </c>
      <c r="C42" s="2" t="inlineStr">
        <is>
          <t>Raymond Tanaka</t>
        </is>
      </c>
      <c r="D42" s="30" t="n">
        <v>35409</v>
      </c>
      <c r="E42" s="2" t="inlineStr">
        <is>
          <t>M</t>
        </is>
      </c>
      <c r="F42" s="2">
        <f>INDEX('9_3nf_customer_history'!$C:$C,SUMPRODUCT(('9_3nf_customer_history'!$A$2:$A$500=B42)*('9_3nf_customer_history'!$B$2:$B$500=H42)*ROW('9_3nf_customer_history'!$A$2:$A$500)))</f>
        <v/>
      </c>
      <c r="G42" s="2">
        <f>INDEX('9_3nf_customer_history'!$D:$D,SUMPRODUCT(('9_3nf_customer_history'!$A$2:$A$500=B42)*('9_3nf_customer_history'!$B$2:$B$500=H42)*ROW('9_3nf_customer_history'!$A$2:$A$500)))</f>
        <v/>
      </c>
      <c r="H42" s="30">
        <f>_xlfn.MAXIFS('9_3nf_customer_history'!$B$2:$B$500,'9_3nf_customer_history'!$A$2:$A$500,B42)</f>
        <v/>
      </c>
    </row>
    <row r="43">
      <c r="A43" s="4" t="n">
        <v>4085391267</v>
      </c>
      <c r="B43" s="33">
        <f>IF(LEN(TRIM(A43))=10,TRIM(A43),IF(LEN(TRIM(A43))=8,"00"&amp;TRIM(A43),"CHECK"))</f>
        <v/>
      </c>
      <c r="C43" s="2" t="inlineStr">
        <is>
          <t>Samuel Chan</t>
        </is>
      </c>
      <c r="D43" s="30" t="n">
        <v>34328</v>
      </c>
      <c r="E43" s="2" t="inlineStr">
        <is>
          <t>M</t>
        </is>
      </c>
      <c r="F43" s="2">
        <f>INDEX('9_3nf_customer_history'!$C:$C,SUMPRODUCT(('9_3nf_customer_history'!$A$2:$A$500=B43)*('9_3nf_customer_history'!$B$2:$B$500=H43)*ROW('9_3nf_customer_history'!$A$2:$A$500)))</f>
        <v/>
      </c>
      <c r="G43" s="2">
        <f>INDEX('9_3nf_customer_history'!$D:$D,SUMPRODUCT(('9_3nf_customer_history'!$A$2:$A$500=B43)*('9_3nf_customer_history'!$B$2:$B$500=H43)*ROW('9_3nf_customer_history'!$A$2:$A$500)))</f>
        <v/>
      </c>
      <c r="H43" s="30">
        <f>_xlfn.MAXIFS('9_3nf_customer_history'!$B$2:$B$500,'9_3nf_customer_history'!$A$2:$A$500,B43)</f>
        <v/>
      </c>
    </row>
    <row r="44">
      <c r="A44" s="4" t="n">
        <v>4100023781</v>
      </c>
      <c r="B44" s="33">
        <f>IF(LEN(TRIM(A44))=10,TRIM(A44),IF(LEN(TRIM(A44))=8,"00"&amp;TRIM(A44),"CHECK"))</f>
        <v/>
      </c>
      <c r="C44" s="2" t="inlineStr">
        <is>
          <t>Chen Wei</t>
        </is>
      </c>
      <c r="D44" s="30" t="n">
        <v>28561</v>
      </c>
      <c r="E44" s="2" t="inlineStr">
        <is>
          <t>M</t>
        </is>
      </c>
      <c r="F44" s="2">
        <f>INDEX('9_3nf_customer_history'!$C:$C,SUMPRODUCT(('9_3nf_customer_history'!$A$2:$A$500=B44)*('9_3nf_customer_history'!$B$2:$B$500=H44)*ROW('9_3nf_customer_history'!$A$2:$A$500)))</f>
        <v/>
      </c>
      <c r="G44" s="2">
        <f>INDEX('9_3nf_customer_history'!$D:$D,SUMPRODUCT(('9_3nf_customer_history'!$A$2:$A$500=B44)*('9_3nf_customer_history'!$B$2:$B$500=H44)*ROW('9_3nf_customer_history'!$A$2:$A$500)))</f>
        <v/>
      </c>
      <c r="H44" s="30">
        <f>_xlfn.MAXIFS('9_3nf_customer_history'!$B$2:$B$500,'9_3nf_customer_history'!$A$2:$A$500,B44)</f>
        <v/>
      </c>
    </row>
    <row r="45">
      <c r="A45" s="4" t="n">
        <v>4206911990</v>
      </c>
      <c r="B45" s="33">
        <f>IF(LEN(TRIM(A45))=10,TRIM(A45),IF(LEN(TRIM(A45))=8,"00"&amp;TRIM(A45),"CHECK"))</f>
        <v/>
      </c>
      <c r="C45" s="2" t="inlineStr">
        <is>
          <t>Wing Sze Lim</t>
        </is>
      </c>
      <c r="D45" s="30" t="n">
        <v>31334</v>
      </c>
      <c r="E45" s="2" t="inlineStr">
        <is>
          <t>F</t>
        </is>
      </c>
      <c r="F45" s="2">
        <f>INDEX('9_3nf_customer_history'!$C:$C,SUMPRODUCT(('9_3nf_customer_history'!$A$2:$A$500=B45)*('9_3nf_customer_history'!$B$2:$B$500=H45)*ROW('9_3nf_customer_history'!$A$2:$A$500)))</f>
        <v/>
      </c>
      <c r="G45" s="2">
        <f>INDEX('9_3nf_customer_history'!$D:$D,SUMPRODUCT(('9_3nf_customer_history'!$A$2:$A$500=B45)*('9_3nf_customer_history'!$B$2:$B$500=H45)*ROW('9_3nf_customer_history'!$A$2:$A$500)))</f>
        <v/>
      </c>
      <c r="H45" s="30">
        <f>_xlfn.MAXIFS('9_3nf_customer_history'!$B$2:$B$500,'9_3nf_customer_history'!$A$2:$A$500,B45)</f>
        <v/>
      </c>
    </row>
    <row r="46">
      <c r="A46" s="4" t="n">
        <v>4256229846</v>
      </c>
      <c r="B46" s="33">
        <f>IF(LEN(TRIM(A46))=10,TRIM(A46),IF(LEN(TRIM(A46))=8,"00"&amp;TRIM(A46),"CHECK"))</f>
        <v/>
      </c>
      <c r="C46" s="2" t="inlineStr">
        <is>
          <t>Siu Ling Lim</t>
        </is>
      </c>
      <c r="D46" s="30" t="n">
        <v>27354</v>
      </c>
      <c r="E46" s="2" t="inlineStr">
        <is>
          <t>F</t>
        </is>
      </c>
      <c r="F46" s="2">
        <f>INDEX('9_3nf_customer_history'!$C:$C,SUMPRODUCT(('9_3nf_customer_history'!$A$2:$A$500=B46)*('9_3nf_customer_history'!$B$2:$B$500=H46)*ROW('9_3nf_customer_history'!$A$2:$A$500)))</f>
        <v/>
      </c>
      <c r="G46" s="2">
        <f>INDEX('9_3nf_customer_history'!$D:$D,SUMPRODUCT(('9_3nf_customer_history'!$A$2:$A$500=B46)*('9_3nf_customer_history'!$B$2:$B$500=H46)*ROW('9_3nf_customer_history'!$A$2:$A$500)))</f>
        <v/>
      </c>
      <c r="H46" s="30">
        <f>_xlfn.MAXIFS('9_3nf_customer_history'!$B$2:$B$500,'9_3nf_customer_history'!$A$2:$A$500,B46)</f>
        <v/>
      </c>
    </row>
    <row r="47">
      <c r="A47" s="4" t="n">
        <v>4309083358</v>
      </c>
      <c r="B47" s="33">
        <f>IF(LEN(TRIM(A47))=10,TRIM(A47),IF(LEN(TRIM(A47))=8,"00"&amp;TRIM(A47),"CHECK"))</f>
        <v/>
      </c>
      <c r="C47" s="2" t="inlineStr">
        <is>
          <t>Chun Kit Kwok</t>
        </is>
      </c>
      <c r="D47" s="30" t="n">
        <v>21221</v>
      </c>
      <c r="E47" s="2" t="inlineStr">
        <is>
          <t>M</t>
        </is>
      </c>
      <c r="F47" s="2">
        <f>INDEX('9_3nf_customer_history'!$C:$C,SUMPRODUCT(('9_3nf_customer_history'!$A$2:$A$500=B47)*('9_3nf_customer_history'!$B$2:$B$500=H47)*ROW('9_3nf_customer_history'!$A$2:$A$500)))</f>
        <v/>
      </c>
      <c r="G47" s="2">
        <f>INDEX('9_3nf_customer_history'!$D:$D,SUMPRODUCT(('9_3nf_customer_history'!$A$2:$A$500=B47)*('9_3nf_customer_history'!$B$2:$B$500=H47)*ROW('9_3nf_customer_history'!$A$2:$A$500)))</f>
        <v/>
      </c>
      <c r="H47" s="30">
        <f>_xlfn.MAXIFS('9_3nf_customer_history'!$B$2:$B$500,'9_3nf_customer_history'!$A$2:$A$500,B47)</f>
        <v/>
      </c>
    </row>
    <row r="48">
      <c r="A48" s="4" t="n">
        <v>4387664751</v>
      </c>
      <c r="B48" s="33">
        <f>IF(LEN(TRIM(A48))=10,TRIM(A48),IF(LEN(TRIM(A48))=8,"00"&amp;TRIM(A48),"CHECK"))</f>
        <v/>
      </c>
      <c r="C48" s="2" t="inlineStr">
        <is>
          <t>Sophie Tang</t>
        </is>
      </c>
      <c r="D48" s="30" t="n">
        <v>24724</v>
      </c>
      <c r="E48" s="2" t="inlineStr">
        <is>
          <t>F</t>
        </is>
      </c>
      <c r="F48" s="2">
        <f>INDEX('9_3nf_customer_history'!$C:$C,SUMPRODUCT(('9_3nf_customer_history'!$A$2:$A$500=B48)*('9_3nf_customer_history'!$B$2:$B$500=H48)*ROW('9_3nf_customer_history'!$A$2:$A$500)))</f>
        <v/>
      </c>
      <c r="G48" s="2">
        <f>INDEX('9_3nf_customer_history'!$D:$D,SUMPRODUCT(('9_3nf_customer_history'!$A$2:$A$500=B48)*('9_3nf_customer_history'!$B$2:$B$500=H48)*ROW('9_3nf_customer_history'!$A$2:$A$500)))</f>
        <v/>
      </c>
      <c r="H48" s="30">
        <f>_xlfn.MAXIFS('9_3nf_customer_history'!$B$2:$B$500,'9_3nf_customer_history'!$A$2:$A$500,B48)</f>
        <v/>
      </c>
    </row>
    <row r="49">
      <c r="A49" s="4" t="n">
        <v>4402838304</v>
      </c>
      <c r="B49" s="33">
        <f>IF(LEN(TRIM(A49))=10,TRIM(A49),IF(LEN(TRIM(A49))=8,"00"&amp;TRIM(A49),"CHECK"))</f>
        <v/>
      </c>
      <c r="C49" s="2" t="inlineStr">
        <is>
          <t>Karen Ng</t>
        </is>
      </c>
      <c r="D49" s="30" t="n">
        <v>19801</v>
      </c>
      <c r="E49" s="2" t="inlineStr">
        <is>
          <t>F</t>
        </is>
      </c>
      <c r="F49" s="2">
        <f>INDEX('9_3nf_customer_history'!$C:$C,SUMPRODUCT(('9_3nf_customer_history'!$A$2:$A$500=B49)*('9_3nf_customer_history'!$B$2:$B$500=H49)*ROW('9_3nf_customer_history'!$A$2:$A$500)))</f>
        <v/>
      </c>
      <c r="G49" s="2">
        <f>INDEX('9_3nf_customer_history'!$D:$D,SUMPRODUCT(('9_3nf_customer_history'!$A$2:$A$500=B49)*('9_3nf_customer_history'!$B$2:$B$500=H49)*ROW('9_3nf_customer_history'!$A$2:$A$500)))</f>
        <v/>
      </c>
      <c r="H49" s="30">
        <f>_xlfn.MAXIFS('9_3nf_customer_history'!$B$2:$B$500,'9_3nf_customer_history'!$A$2:$A$500,B49)</f>
        <v/>
      </c>
    </row>
    <row r="50">
      <c r="A50" s="4" t="n">
        <v>5134554812</v>
      </c>
      <c r="B50" s="33">
        <f>IF(LEN(TRIM(A50))=10,TRIM(A50),IF(LEN(TRIM(A50))=8,"00"&amp;TRIM(A50),"CHECK"))</f>
        <v/>
      </c>
      <c r="C50" s="2" t="inlineStr">
        <is>
          <t>Ka Yan Chow</t>
        </is>
      </c>
      <c r="D50" s="30" t="n">
        <v>29682</v>
      </c>
      <c r="E50" s="2" t="inlineStr">
        <is>
          <t>F</t>
        </is>
      </c>
      <c r="F50" s="2">
        <f>INDEX('9_3nf_customer_history'!$C:$C,SUMPRODUCT(('9_3nf_customer_history'!$A$2:$A$500=B50)*('9_3nf_customer_history'!$B$2:$B$500=H50)*ROW('9_3nf_customer_history'!$A$2:$A$500)))</f>
        <v/>
      </c>
      <c r="G50" s="2">
        <f>INDEX('9_3nf_customer_history'!$D:$D,SUMPRODUCT(('9_3nf_customer_history'!$A$2:$A$500=B50)*('9_3nf_customer_history'!$B$2:$B$500=H50)*ROW('9_3nf_customer_history'!$A$2:$A$500)))</f>
        <v/>
      </c>
      <c r="H50" s="30">
        <f>_xlfn.MAXIFS('9_3nf_customer_history'!$B$2:$B$500,'9_3nf_customer_history'!$A$2:$A$500,B50)</f>
        <v/>
      </c>
    </row>
    <row r="51">
      <c r="A51" s="4" t="n">
        <v>5138950247</v>
      </c>
      <c r="B51" s="33">
        <f>IF(LEN(TRIM(A51))=10,TRIM(A51),IF(LEN(TRIM(A51))=8,"00"&amp;TRIM(A51),"CHECK"))</f>
        <v/>
      </c>
      <c r="C51" s="2" t="inlineStr">
        <is>
          <t>Wei Tsang</t>
        </is>
      </c>
      <c r="D51" s="30" t="n">
        <v>25737</v>
      </c>
      <c r="E51" s="2" t="inlineStr">
        <is>
          <t>M</t>
        </is>
      </c>
      <c r="F51" s="2">
        <f>INDEX('9_3nf_customer_history'!$C:$C,SUMPRODUCT(('9_3nf_customer_history'!$A$2:$A$500=B51)*('9_3nf_customer_history'!$B$2:$B$500=H51)*ROW('9_3nf_customer_history'!$A$2:$A$500)))</f>
        <v/>
      </c>
      <c r="G51" s="2">
        <f>INDEX('9_3nf_customer_history'!$D:$D,SUMPRODUCT(('9_3nf_customer_history'!$A$2:$A$500=B51)*('9_3nf_customer_history'!$B$2:$B$500=H51)*ROW('9_3nf_customer_history'!$A$2:$A$500)))</f>
        <v/>
      </c>
      <c r="H51" s="30">
        <f>_xlfn.MAXIFS('9_3nf_customer_history'!$B$2:$B$500,'9_3nf_customer_history'!$A$2:$A$500,B51)</f>
        <v/>
      </c>
    </row>
    <row r="52">
      <c r="A52" s="4" t="n">
        <v>5185642036</v>
      </c>
      <c r="B52" s="33">
        <f>IF(LEN(TRIM(A52))=10,TRIM(A52),IF(LEN(TRIM(A52))=8,"00"&amp;TRIM(A52),"CHECK"))</f>
        <v/>
      </c>
      <c r="C52" s="2" t="inlineStr">
        <is>
          <t>Raymond Lau</t>
        </is>
      </c>
      <c r="D52" s="30" t="n">
        <v>33196</v>
      </c>
      <c r="E52" s="2" t="inlineStr">
        <is>
          <t>M</t>
        </is>
      </c>
      <c r="F52" s="2">
        <f>INDEX('9_3nf_customer_history'!$C:$C,SUMPRODUCT(('9_3nf_customer_history'!$A$2:$A$500=B52)*('9_3nf_customer_history'!$B$2:$B$500=H52)*ROW('9_3nf_customer_history'!$A$2:$A$500)))</f>
        <v/>
      </c>
      <c r="G52" s="2">
        <f>INDEX('9_3nf_customer_history'!$D:$D,SUMPRODUCT(('9_3nf_customer_history'!$A$2:$A$500=B52)*('9_3nf_customer_history'!$B$2:$B$500=H52)*ROW('9_3nf_customer_history'!$A$2:$A$500)))</f>
        <v/>
      </c>
      <c r="H52" s="30">
        <f>_xlfn.MAXIFS('9_3nf_customer_history'!$B$2:$B$500,'9_3nf_customer_history'!$A$2:$A$500,B52)</f>
        <v/>
      </c>
    </row>
    <row r="53">
      <c r="A53" s="4" t="n">
        <v>5379913896</v>
      </c>
      <c r="B53" s="33">
        <f>IF(LEN(TRIM(A53))=10,TRIM(A53),IF(LEN(TRIM(A53))=8,"00"&amp;TRIM(A53),"CHECK"))</f>
        <v/>
      </c>
      <c r="C53" s="2" t="inlineStr">
        <is>
          <t>Oliver Yeung</t>
        </is>
      </c>
      <c r="D53" s="30" t="n">
        <v>37485</v>
      </c>
      <c r="E53" s="2" t="inlineStr">
        <is>
          <t>M</t>
        </is>
      </c>
      <c r="F53" s="2">
        <f>INDEX('9_3nf_customer_history'!$C:$C,SUMPRODUCT(('9_3nf_customer_history'!$A$2:$A$500=B53)*('9_3nf_customer_history'!$B$2:$B$500=H53)*ROW('9_3nf_customer_history'!$A$2:$A$500)))</f>
        <v/>
      </c>
      <c r="G53" s="2">
        <f>INDEX('9_3nf_customer_history'!$D:$D,SUMPRODUCT(('9_3nf_customer_history'!$A$2:$A$500=B53)*('9_3nf_customer_history'!$B$2:$B$500=H53)*ROW('9_3nf_customer_history'!$A$2:$A$500)))</f>
        <v/>
      </c>
      <c r="H53" s="30">
        <f>_xlfn.MAXIFS('9_3nf_customer_history'!$B$2:$B$500,'9_3nf_customer_history'!$A$2:$A$500,B53)</f>
        <v/>
      </c>
    </row>
    <row r="54">
      <c r="A54" s="4" t="n">
        <v>5505973626</v>
      </c>
      <c r="B54" s="33">
        <f>IF(LEN(TRIM(A54))=10,TRIM(A54),IF(LEN(TRIM(A54))=8,"00"&amp;TRIM(A54),"CHECK"))</f>
        <v/>
      </c>
      <c r="C54" s="2" t="inlineStr">
        <is>
          <t>Marcus Ho</t>
        </is>
      </c>
      <c r="D54" s="30" t="n">
        <v>36940</v>
      </c>
      <c r="E54" s="2" t="inlineStr">
        <is>
          <t>M</t>
        </is>
      </c>
      <c r="F54" s="2">
        <f>INDEX('9_3nf_customer_history'!$C:$C,SUMPRODUCT(('9_3nf_customer_history'!$A$2:$A$500=B54)*('9_3nf_customer_history'!$B$2:$B$500=H54)*ROW('9_3nf_customer_history'!$A$2:$A$500)))</f>
        <v/>
      </c>
      <c r="G54" s="2">
        <f>INDEX('9_3nf_customer_history'!$D:$D,SUMPRODUCT(('9_3nf_customer_history'!$A$2:$A$500=B54)*('9_3nf_customer_history'!$B$2:$B$500=H54)*ROW('9_3nf_customer_history'!$A$2:$A$500)))</f>
        <v/>
      </c>
      <c r="H54" s="30">
        <f>_xlfn.MAXIFS('9_3nf_customer_history'!$B$2:$B$500,'9_3nf_customer_history'!$A$2:$A$500,B54)</f>
        <v/>
      </c>
    </row>
    <row r="55">
      <c r="A55" s="4" t="n">
        <v>5512098834</v>
      </c>
      <c r="B55" s="33">
        <f>IF(LEN(TRIM(A55))=10,TRIM(A55),IF(LEN(TRIM(A55))=8,"00"&amp;TRIM(A55),"CHECK"))</f>
        <v/>
      </c>
      <c r="C55" s="2" t="inlineStr">
        <is>
          <t>Zhang Hao</t>
        </is>
      </c>
      <c r="D55" s="30" t="n">
        <v>34956</v>
      </c>
      <c r="E55" s="2" t="inlineStr">
        <is>
          <t>M</t>
        </is>
      </c>
      <c r="F55" s="2">
        <f>INDEX('9_3nf_customer_history'!$C:$C,SUMPRODUCT(('9_3nf_customer_history'!$A$2:$A$500=B55)*('9_3nf_customer_history'!$B$2:$B$500=H55)*ROW('9_3nf_customer_history'!$A$2:$A$500)))</f>
        <v/>
      </c>
      <c r="G55" s="2">
        <f>INDEX('9_3nf_customer_history'!$D:$D,SUMPRODUCT(('9_3nf_customer_history'!$A$2:$A$500=B55)*('9_3nf_customer_history'!$B$2:$B$500=H55)*ROW('9_3nf_customer_history'!$A$2:$A$500)))</f>
        <v/>
      </c>
      <c r="H55" s="30">
        <f>_xlfn.MAXIFS('9_3nf_customer_history'!$B$2:$B$500,'9_3nf_customer_history'!$A$2:$A$500,B55)</f>
        <v/>
      </c>
    </row>
    <row r="56">
      <c r="A56" s="4" t="n">
        <v>5637223790</v>
      </c>
      <c r="B56" s="33">
        <f>IF(LEN(TRIM(A56))=10,TRIM(A56),IF(LEN(TRIM(A56))=8,"00"&amp;TRIM(A56),"CHECK"))</f>
        <v/>
      </c>
      <c r="C56" s="2" t="inlineStr">
        <is>
          <t>Fiona Lim</t>
        </is>
      </c>
      <c r="D56" s="30" t="n">
        <v>22472</v>
      </c>
      <c r="E56" s="2" t="inlineStr">
        <is>
          <t>F</t>
        </is>
      </c>
      <c r="F56" s="2">
        <f>INDEX('9_3nf_customer_history'!$C:$C,SUMPRODUCT(('9_3nf_customer_history'!$A$2:$A$500=B56)*('9_3nf_customer_history'!$B$2:$B$500=H56)*ROW('9_3nf_customer_history'!$A$2:$A$500)))</f>
        <v/>
      </c>
      <c r="G56" s="2">
        <f>INDEX('9_3nf_customer_history'!$D:$D,SUMPRODUCT(('9_3nf_customer_history'!$A$2:$A$500=B56)*('9_3nf_customer_history'!$B$2:$B$500=H56)*ROW('9_3nf_customer_history'!$A$2:$A$500)))</f>
        <v/>
      </c>
      <c r="H56" s="30">
        <f>_xlfn.MAXIFS('9_3nf_customer_history'!$B$2:$B$500,'9_3nf_customer_history'!$A$2:$A$500,B56)</f>
        <v/>
      </c>
    </row>
    <row r="57">
      <c r="A57" s="4" t="n">
        <v>5910720333</v>
      </c>
      <c r="B57" s="33">
        <f>IF(LEN(TRIM(A57))=10,TRIM(A57),IF(LEN(TRIM(A57))=8,"00"&amp;TRIM(A57),"CHECK"))</f>
        <v/>
      </c>
      <c r="C57" s="2" t="inlineStr">
        <is>
          <t>Agnes Tanaka</t>
        </is>
      </c>
      <c r="D57" s="30" t="n">
        <v>33986</v>
      </c>
      <c r="E57" s="2" t="inlineStr">
        <is>
          <t>F</t>
        </is>
      </c>
      <c r="F57" s="2">
        <f>INDEX('9_3nf_customer_history'!$C:$C,SUMPRODUCT(('9_3nf_customer_history'!$A$2:$A$500=B57)*('9_3nf_customer_history'!$B$2:$B$500=H57)*ROW('9_3nf_customer_history'!$A$2:$A$500)))</f>
        <v/>
      </c>
      <c r="G57" s="2">
        <f>INDEX('9_3nf_customer_history'!$D:$D,SUMPRODUCT(('9_3nf_customer_history'!$A$2:$A$500=B57)*('9_3nf_customer_history'!$B$2:$B$500=H57)*ROW('9_3nf_customer_history'!$A$2:$A$500)))</f>
        <v/>
      </c>
      <c r="H57" s="30">
        <f>_xlfn.MAXIFS('9_3nf_customer_history'!$B$2:$B$500,'9_3nf_customer_history'!$A$2:$A$500,B57)</f>
        <v/>
      </c>
    </row>
    <row r="58">
      <c r="A58" s="4" t="n">
        <v>5990686117</v>
      </c>
      <c r="B58" s="33">
        <f>IF(LEN(TRIM(A58))=10,TRIM(A58),IF(LEN(TRIM(A58))=8,"00"&amp;TRIM(A58),"CHECK"))</f>
        <v/>
      </c>
      <c r="C58" s="2" t="inlineStr">
        <is>
          <t>Peter Mak</t>
        </is>
      </c>
      <c r="D58" s="30" t="n">
        <v>21374</v>
      </c>
      <c r="E58" s="2" t="inlineStr">
        <is>
          <t>M</t>
        </is>
      </c>
      <c r="F58" s="2">
        <f>INDEX('9_3nf_customer_history'!$C:$C,SUMPRODUCT(('9_3nf_customer_history'!$A$2:$A$500=B58)*('9_3nf_customer_history'!$B$2:$B$500=H58)*ROW('9_3nf_customer_history'!$A$2:$A$500)))</f>
        <v/>
      </c>
      <c r="G58" s="2">
        <f>INDEX('9_3nf_customer_history'!$D:$D,SUMPRODUCT(('9_3nf_customer_history'!$A$2:$A$500=B58)*('9_3nf_customer_history'!$B$2:$B$500=H58)*ROW('9_3nf_customer_history'!$A$2:$A$500)))</f>
        <v/>
      </c>
      <c r="H58" s="30">
        <f>_xlfn.MAXIFS('9_3nf_customer_history'!$B$2:$B$500,'9_3nf_customer_history'!$A$2:$A$500,B58)</f>
        <v/>
      </c>
    </row>
    <row r="59">
      <c r="A59" s="4" t="n">
        <v>6106674386</v>
      </c>
      <c r="B59" s="33">
        <f>IF(LEN(TRIM(A59))=10,TRIM(A59),IF(LEN(TRIM(A59))=8,"00"&amp;TRIM(A59),"CHECK"))</f>
        <v/>
      </c>
      <c r="C59" s="2" t="inlineStr">
        <is>
          <t>Ming Cheung</t>
        </is>
      </c>
      <c r="D59" s="30" t="n">
        <v>31293</v>
      </c>
      <c r="E59" s="2" t="inlineStr">
        <is>
          <t>M</t>
        </is>
      </c>
      <c r="F59" s="2">
        <f>INDEX('9_3nf_customer_history'!$C:$C,SUMPRODUCT(('9_3nf_customer_history'!$A$2:$A$500=B59)*('9_3nf_customer_history'!$B$2:$B$500=H59)*ROW('9_3nf_customer_history'!$A$2:$A$500)))</f>
        <v/>
      </c>
      <c r="G59" s="2">
        <f>INDEX('9_3nf_customer_history'!$D:$D,SUMPRODUCT(('9_3nf_customer_history'!$A$2:$A$500=B59)*('9_3nf_customer_history'!$B$2:$B$500=H59)*ROW('9_3nf_customer_history'!$A$2:$A$500)))</f>
        <v/>
      </c>
      <c r="H59" s="30">
        <f>_xlfn.MAXIFS('9_3nf_customer_history'!$B$2:$B$500,'9_3nf_customer_history'!$A$2:$A$500,B59)</f>
        <v/>
      </c>
    </row>
    <row r="60">
      <c r="A60" s="4" t="n">
        <v>6130984472</v>
      </c>
      <c r="B60" s="33">
        <f>IF(LEN(TRIM(A60))=10,TRIM(A60),IF(LEN(TRIM(A60))=8,"00"&amp;TRIM(A60),"CHECK"))</f>
        <v/>
      </c>
      <c r="C60" s="2" t="inlineStr">
        <is>
          <t>Wang Fang</t>
        </is>
      </c>
      <c r="D60" s="30" t="n">
        <v>36567</v>
      </c>
      <c r="E60" s="2" t="inlineStr">
        <is>
          <t>F</t>
        </is>
      </c>
      <c r="F60" s="2">
        <f>INDEX('9_3nf_customer_history'!$C:$C,SUMPRODUCT(('9_3nf_customer_history'!$A$2:$A$500=B60)*('9_3nf_customer_history'!$B$2:$B$500=H60)*ROW('9_3nf_customer_history'!$A$2:$A$500)))</f>
        <v/>
      </c>
      <c r="G60" s="2">
        <f>INDEX('9_3nf_customer_history'!$D:$D,SUMPRODUCT(('9_3nf_customer_history'!$A$2:$A$500=B60)*('9_3nf_customer_history'!$B$2:$B$500=H60)*ROW('9_3nf_customer_history'!$A$2:$A$500)))</f>
        <v/>
      </c>
      <c r="H60" s="30">
        <f>_xlfn.MAXIFS('9_3nf_customer_history'!$B$2:$B$500,'9_3nf_customer_history'!$A$2:$A$500,B60)</f>
        <v/>
      </c>
    </row>
    <row r="61">
      <c r="A61" s="4" t="n">
        <v>6429278715</v>
      </c>
      <c r="B61" s="33">
        <f>IF(LEN(TRIM(A61))=10,TRIM(A61),IF(LEN(TRIM(A61))=8,"00"&amp;TRIM(A61),"CHECK"))</f>
        <v/>
      </c>
      <c r="C61" s="2" t="inlineStr">
        <is>
          <t>Arjun Tan</t>
        </is>
      </c>
      <c r="D61" s="30" t="n">
        <v>20212</v>
      </c>
      <c r="E61" s="2" t="inlineStr">
        <is>
          <t>M</t>
        </is>
      </c>
      <c r="F61" s="2">
        <f>INDEX('9_3nf_customer_history'!$C:$C,SUMPRODUCT(('9_3nf_customer_history'!$A$2:$A$500=B61)*('9_3nf_customer_history'!$B$2:$B$500=H61)*ROW('9_3nf_customer_history'!$A$2:$A$500)))</f>
        <v/>
      </c>
      <c r="G61" s="2">
        <f>INDEX('9_3nf_customer_history'!$D:$D,SUMPRODUCT(('9_3nf_customer_history'!$A$2:$A$500=B61)*('9_3nf_customer_history'!$B$2:$B$500=H61)*ROW('9_3nf_customer_history'!$A$2:$A$500)))</f>
        <v/>
      </c>
      <c r="H61" s="30">
        <f>_xlfn.MAXIFS('9_3nf_customer_history'!$B$2:$B$500,'9_3nf_customer_history'!$A$2:$A$500,B61)</f>
        <v/>
      </c>
    </row>
    <row r="62">
      <c r="A62" s="4" t="n">
        <v>6712542998</v>
      </c>
      <c r="B62" s="33">
        <f>IF(LEN(TRIM(A62))=10,TRIM(A62),IF(LEN(TRIM(A62))=8,"00"&amp;TRIM(A62),"CHECK"))</f>
        <v/>
      </c>
      <c r="C62" s="2" t="inlineStr">
        <is>
          <t>Hoi Yan Patel</t>
        </is>
      </c>
      <c r="D62" s="30" t="n">
        <v>32430</v>
      </c>
      <c r="E62" s="2" t="inlineStr">
        <is>
          <t>F</t>
        </is>
      </c>
      <c r="F62" s="2">
        <f>INDEX('9_3nf_customer_history'!$C:$C,SUMPRODUCT(('9_3nf_customer_history'!$A$2:$A$500=B62)*('9_3nf_customer_history'!$B$2:$B$500=H62)*ROW('9_3nf_customer_history'!$A$2:$A$500)))</f>
        <v/>
      </c>
      <c r="G62" s="2">
        <f>INDEX('9_3nf_customer_history'!$D:$D,SUMPRODUCT(('9_3nf_customer_history'!$A$2:$A$500=B62)*('9_3nf_customer_history'!$B$2:$B$500=H62)*ROW('9_3nf_customer_history'!$A$2:$A$500)))</f>
        <v/>
      </c>
      <c r="H62" s="30">
        <f>_xlfn.MAXIFS('9_3nf_customer_history'!$B$2:$B$500,'9_3nf_customer_history'!$A$2:$A$500,B62)</f>
        <v/>
      </c>
    </row>
    <row r="63">
      <c r="A63" s="4" t="n">
        <v>6737003611</v>
      </c>
      <c r="B63" s="33">
        <f>IF(LEN(TRIM(A63))=10,TRIM(A63),IF(LEN(TRIM(A63))=8,"00"&amp;TRIM(A63),"CHECK"))</f>
        <v/>
      </c>
      <c r="C63" s="2" t="inlineStr">
        <is>
          <t>Priya Patel</t>
        </is>
      </c>
      <c r="D63" s="30" t="n">
        <v>28569</v>
      </c>
      <c r="E63" s="2" t="inlineStr">
        <is>
          <t>F</t>
        </is>
      </c>
      <c r="F63" s="2">
        <f>INDEX('9_3nf_customer_history'!$C:$C,SUMPRODUCT(('9_3nf_customer_history'!$A$2:$A$500=B63)*('9_3nf_customer_history'!$B$2:$B$500=H63)*ROW('9_3nf_customer_history'!$A$2:$A$500)))</f>
        <v/>
      </c>
      <c r="G63" s="2">
        <f>INDEX('9_3nf_customer_history'!$D:$D,SUMPRODUCT(('9_3nf_customer_history'!$A$2:$A$500=B63)*('9_3nf_customer_history'!$B$2:$B$500=H63)*ROW('9_3nf_customer_history'!$A$2:$A$500)))</f>
        <v/>
      </c>
      <c r="H63" s="30">
        <f>_xlfn.MAXIFS('9_3nf_customer_history'!$B$2:$B$500,'9_3nf_customer_history'!$A$2:$A$500,B63)</f>
        <v/>
      </c>
    </row>
    <row r="64">
      <c r="A64" s="4" t="n">
        <v>6989217536</v>
      </c>
      <c r="B64" s="33">
        <f>IF(LEN(TRIM(A64))=10,TRIM(A64),IF(LEN(TRIM(A64))=8,"00"&amp;TRIM(A64),"CHECK"))</f>
        <v/>
      </c>
      <c r="C64" s="2" t="inlineStr">
        <is>
          <t>Wei Tan</t>
        </is>
      </c>
      <c r="D64" s="30" t="n">
        <v>18905</v>
      </c>
      <c r="E64" s="2" t="inlineStr">
        <is>
          <t>M</t>
        </is>
      </c>
      <c r="F64" s="2">
        <f>INDEX('9_3nf_customer_history'!$C:$C,SUMPRODUCT(('9_3nf_customer_history'!$A$2:$A$500=B64)*('9_3nf_customer_history'!$B$2:$B$500=H64)*ROW('9_3nf_customer_history'!$A$2:$A$500)))</f>
        <v/>
      </c>
      <c r="G64" s="2">
        <f>INDEX('9_3nf_customer_history'!$D:$D,SUMPRODUCT(('9_3nf_customer_history'!$A$2:$A$500=B64)*('9_3nf_customer_history'!$B$2:$B$500=H64)*ROW('9_3nf_customer_history'!$A$2:$A$500)))</f>
        <v/>
      </c>
      <c r="H64" s="30">
        <f>_xlfn.MAXIFS('9_3nf_customer_history'!$B$2:$B$500,'9_3nf_customer_history'!$A$2:$A$500,B64)</f>
        <v/>
      </c>
    </row>
    <row r="65">
      <c r="A65" s="4" t="n">
        <v>7186063045</v>
      </c>
      <c r="B65" s="33">
        <f>IF(LEN(TRIM(A65))=10,TRIM(A65),IF(LEN(TRIM(A65))=8,"00"&amp;TRIM(A65),"CHECK"))</f>
        <v/>
      </c>
      <c r="C65" s="2" t="inlineStr">
        <is>
          <t>Agnes Lee</t>
        </is>
      </c>
      <c r="D65" s="30" t="n">
        <v>23420</v>
      </c>
      <c r="E65" s="2" t="inlineStr">
        <is>
          <t>F</t>
        </is>
      </c>
      <c r="F65" s="2">
        <f>INDEX('9_3nf_customer_history'!$C:$C,SUMPRODUCT(('9_3nf_customer_history'!$A$2:$A$500=B65)*('9_3nf_customer_history'!$B$2:$B$500=H65)*ROW('9_3nf_customer_history'!$A$2:$A$500)))</f>
        <v/>
      </c>
      <c r="G65" s="2">
        <f>INDEX('9_3nf_customer_history'!$D:$D,SUMPRODUCT(('9_3nf_customer_history'!$A$2:$A$500=B65)*('9_3nf_customer_history'!$B$2:$B$500=H65)*ROW('9_3nf_customer_history'!$A$2:$A$500)))</f>
        <v/>
      </c>
      <c r="H65" s="30">
        <f>_xlfn.MAXIFS('9_3nf_customer_history'!$B$2:$B$500,'9_3nf_customer_history'!$A$2:$A$500,B65)</f>
        <v/>
      </c>
    </row>
    <row r="66">
      <c r="A66" s="4" t="n">
        <v>7504397999</v>
      </c>
      <c r="B66" s="33">
        <f>IF(LEN(TRIM(A66))=10,TRIM(A66),IF(LEN(TRIM(A66))=8,"00"&amp;TRIM(A66),"CHECK"))</f>
        <v/>
      </c>
      <c r="C66" s="2" t="inlineStr">
        <is>
          <t>Wei Lim</t>
        </is>
      </c>
      <c r="D66" s="30" t="n">
        <v>32553</v>
      </c>
      <c r="E66" s="2" t="inlineStr">
        <is>
          <t>M</t>
        </is>
      </c>
      <c r="F66" s="2">
        <f>INDEX('9_3nf_customer_history'!$C:$C,SUMPRODUCT(('9_3nf_customer_history'!$A$2:$A$500=B66)*('9_3nf_customer_history'!$B$2:$B$500=H66)*ROW('9_3nf_customer_history'!$A$2:$A$500)))</f>
        <v/>
      </c>
      <c r="G66" s="2">
        <f>INDEX('9_3nf_customer_history'!$D:$D,SUMPRODUCT(('9_3nf_customer_history'!$A$2:$A$500=B66)*('9_3nf_customer_history'!$B$2:$B$500=H66)*ROW('9_3nf_customer_history'!$A$2:$A$500)))</f>
        <v/>
      </c>
      <c r="H66" s="30">
        <f>_xlfn.MAXIFS('9_3nf_customer_history'!$B$2:$B$500,'9_3nf_customer_history'!$A$2:$A$500,B66)</f>
        <v/>
      </c>
    </row>
    <row r="67">
      <c r="A67" s="4" t="n">
        <v>7569827088</v>
      </c>
      <c r="B67" s="33">
        <f>IF(LEN(TRIM(A67))=10,TRIM(A67),IF(LEN(TRIM(A67))=8,"00"&amp;TRIM(A67),"CHECK"))</f>
        <v/>
      </c>
      <c r="C67" s="2" t="inlineStr">
        <is>
          <t>Oliver Mak</t>
        </is>
      </c>
      <c r="D67" s="30" t="n">
        <v>35804</v>
      </c>
      <c r="E67" s="2" t="inlineStr">
        <is>
          <t>M</t>
        </is>
      </c>
      <c r="F67" s="2">
        <f>INDEX('9_3nf_customer_history'!$C:$C,SUMPRODUCT(('9_3nf_customer_history'!$A$2:$A$500=B67)*('9_3nf_customer_history'!$B$2:$B$500=H67)*ROW('9_3nf_customer_history'!$A$2:$A$500)))</f>
        <v/>
      </c>
      <c r="G67" s="2">
        <f>INDEX('9_3nf_customer_history'!$D:$D,SUMPRODUCT(('9_3nf_customer_history'!$A$2:$A$500=B67)*('9_3nf_customer_history'!$B$2:$B$500=H67)*ROW('9_3nf_customer_history'!$A$2:$A$500)))</f>
        <v/>
      </c>
      <c r="H67" s="30">
        <f>_xlfn.MAXIFS('9_3nf_customer_history'!$B$2:$B$500,'9_3nf_customer_history'!$A$2:$A$500,B67)</f>
        <v/>
      </c>
    </row>
    <row r="68">
      <c r="A68" s="4" t="n">
        <v>7667641457</v>
      </c>
      <c r="B68" s="33">
        <f>IF(LEN(TRIM(A68))=10,TRIM(A68),IF(LEN(TRIM(A68))=8,"00"&amp;TRIM(A68),"CHECK"))</f>
        <v/>
      </c>
      <c r="C68" s="2" t="inlineStr">
        <is>
          <t>Yuki Lim</t>
        </is>
      </c>
      <c r="D68" s="30" t="n">
        <v>26383</v>
      </c>
      <c r="E68" s="2" t="inlineStr">
        <is>
          <t>F</t>
        </is>
      </c>
      <c r="F68" s="2">
        <f>INDEX('9_3nf_customer_history'!$C:$C,SUMPRODUCT(('9_3nf_customer_history'!$A$2:$A$500=B68)*('9_3nf_customer_history'!$B$2:$B$500=H68)*ROW('9_3nf_customer_history'!$A$2:$A$500)))</f>
        <v/>
      </c>
      <c r="G68" s="2">
        <f>INDEX('9_3nf_customer_history'!$D:$D,SUMPRODUCT(('9_3nf_customer_history'!$A$2:$A$500=B68)*('9_3nf_customer_history'!$B$2:$B$500=H68)*ROW('9_3nf_customer_history'!$A$2:$A$500)))</f>
        <v/>
      </c>
      <c r="H68" s="30">
        <f>_xlfn.MAXIFS('9_3nf_customer_history'!$B$2:$B$500,'9_3nf_customer_history'!$A$2:$A$500,B68)</f>
        <v/>
      </c>
    </row>
    <row r="69">
      <c r="A69" s="4" t="n">
        <v>7745016628</v>
      </c>
      <c r="B69" s="33">
        <f>IF(LEN(TRIM(A69))=10,TRIM(A69),IF(LEN(TRIM(A69))=8,"00"&amp;TRIM(A69),"CHECK"))</f>
        <v/>
      </c>
      <c r="C69" s="2" t="inlineStr">
        <is>
          <t>Emily Zhou</t>
        </is>
      </c>
      <c r="D69" s="30" t="n">
        <v>25320</v>
      </c>
      <c r="E69" s="2" t="inlineStr">
        <is>
          <t>F</t>
        </is>
      </c>
      <c r="F69" s="2">
        <f>INDEX('9_3nf_customer_history'!$C:$C,SUMPRODUCT(('9_3nf_customer_history'!$A$2:$A$500=B69)*('9_3nf_customer_history'!$B$2:$B$500=H69)*ROW('9_3nf_customer_history'!$A$2:$A$500)))</f>
        <v/>
      </c>
      <c r="G69" s="2">
        <f>INDEX('9_3nf_customer_history'!$D:$D,SUMPRODUCT(('9_3nf_customer_history'!$A$2:$A$500=B69)*('9_3nf_customer_history'!$B$2:$B$500=H69)*ROW('9_3nf_customer_history'!$A$2:$A$500)))</f>
        <v/>
      </c>
      <c r="H69" s="30">
        <f>_xlfn.MAXIFS('9_3nf_customer_history'!$B$2:$B$500,'9_3nf_customer_history'!$A$2:$A$500,B69)</f>
        <v/>
      </c>
    </row>
    <row r="70">
      <c r="A70" s="4" t="n">
        <v>8355315526</v>
      </c>
      <c r="B70" s="33">
        <f>IF(LEN(TRIM(A70))=10,TRIM(A70),IF(LEN(TRIM(A70))=8,"00"&amp;TRIM(A70),"CHECK"))</f>
        <v/>
      </c>
      <c r="C70" s="2" t="inlineStr">
        <is>
          <t>Sophie Koh</t>
        </is>
      </c>
      <c r="D70" s="30" t="n">
        <v>21264</v>
      </c>
      <c r="E70" s="2" t="inlineStr">
        <is>
          <t>F</t>
        </is>
      </c>
      <c r="F70" s="2">
        <f>INDEX('9_3nf_customer_history'!$C:$C,SUMPRODUCT(('9_3nf_customer_history'!$A$2:$A$500=B70)*('9_3nf_customer_history'!$B$2:$B$500=H70)*ROW('9_3nf_customer_history'!$A$2:$A$500)))</f>
        <v/>
      </c>
      <c r="G70" s="2">
        <f>INDEX('9_3nf_customer_history'!$D:$D,SUMPRODUCT(('9_3nf_customer_history'!$A$2:$A$500=B70)*('9_3nf_customer_history'!$B$2:$B$500=H70)*ROW('9_3nf_customer_history'!$A$2:$A$500)))</f>
        <v/>
      </c>
      <c r="H70" s="30">
        <f>_xlfn.MAXIFS('9_3nf_customer_history'!$B$2:$B$500,'9_3nf_customer_history'!$A$2:$A$500,B70)</f>
        <v/>
      </c>
    </row>
    <row r="71">
      <c r="A71" s="4" t="n">
        <v>8383656346</v>
      </c>
      <c r="B71" s="33">
        <f>IF(LEN(TRIM(A71))=10,TRIM(A71),IF(LEN(TRIM(A71))=8,"00"&amp;TRIM(A71),"CHECK"))</f>
        <v/>
      </c>
      <c r="C71" s="2" t="inlineStr">
        <is>
          <t>Marcus Kwok</t>
        </is>
      </c>
      <c r="D71" s="30" t="n">
        <v>24143</v>
      </c>
      <c r="E71" s="2" t="inlineStr">
        <is>
          <t>M</t>
        </is>
      </c>
      <c r="F71" s="2">
        <f>INDEX('9_3nf_customer_history'!$C:$C,SUMPRODUCT(('9_3nf_customer_history'!$A$2:$A$500=B71)*('9_3nf_customer_history'!$B$2:$B$500=H71)*ROW('9_3nf_customer_history'!$A$2:$A$500)))</f>
        <v/>
      </c>
      <c r="G71" s="2">
        <f>INDEX('9_3nf_customer_history'!$D:$D,SUMPRODUCT(('9_3nf_customer_history'!$A$2:$A$500=B71)*('9_3nf_customer_history'!$B$2:$B$500=H71)*ROW('9_3nf_customer_history'!$A$2:$A$500)))</f>
        <v/>
      </c>
      <c r="H71" s="30">
        <f>_xlfn.MAXIFS('9_3nf_customer_history'!$B$2:$B$500,'9_3nf_customer_history'!$A$2:$A$500,B71)</f>
        <v/>
      </c>
    </row>
    <row r="72">
      <c r="A72" s="4" t="n">
        <v>8487706006</v>
      </c>
      <c r="B72" s="33">
        <f>IF(LEN(TRIM(A72))=10,TRIM(A72),IF(LEN(TRIM(A72))=8,"00"&amp;TRIM(A72),"CHECK"))</f>
        <v/>
      </c>
      <c r="C72" s="2" t="inlineStr">
        <is>
          <t>Jason Ho</t>
        </is>
      </c>
      <c r="D72" s="30" t="n">
        <v>30784</v>
      </c>
      <c r="E72" s="2" t="inlineStr">
        <is>
          <t>M</t>
        </is>
      </c>
      <c r="F72" s="2">
        <f>INDEX('9_3nf_customer_history'!$C:$C,SUMPRODUCT(('9_3nf_customer_history'!$A$2:$A$500=B72)*('9_3nf_customer_history'!$B$2:$B$500=H72)*ROW('9_3nf_customer_history'!$A$2:$A$500)))</f>
        <v/>
      </c>
      <c r="G72" s="2">
        <f>INDEX('9_3nf_customer_history'!$D:$D,SUMPRODUCT(('9_3nf_customer_history'!$A$2:$A$500=B72)*('9_3nf_customer_history'!$B$2:$B$500=H72)*ROW('9_3nf_customer_history'!$A$2:$A$500)))</f>
        <v/>
      </c>
      <c r="H72" s="30">
        <f>_xlfn.MAXIFS('9_3nf_customer_history'!$B$2:$B$500,'9_3nf_customer_history'!$A$2:$A$500,B72)</f>
        <v/>
      </c>
    </row>
    <row r="73">
      <c r="A73" s="4" t="n">
        <v>8523286479</v>
      </c>
      <c r="B73" s="33">
        <f>IF(LEN(TRIM(A73))=10,TRIM(A73),IF(LEN(TRIM(A73))=8,"00"&amp;TRIM(A73),"CHECK"))</f>
        <v/>
      </c>
      <c r="C73" s="2" t="inlineStr">
        <is>
          <t>Chun Kit Wong</t>
        </is>
      </c>
      <c r="D73" s="30" t="n">
        <v>23174</v>
      </c>
      <c r="E73" s="2" t="inlineStr">
        <is>
          <t>M</t>
        </is>
      </c>
      <c r="F73" s="2">
        <f>INDEX('9_3nf_customer_history'!$C:$C,SUMPRODUCT(('9_3nf_customer_history'!$A$2:$A$500=B73)*('9_3nf_customer_history'!$B$2:$B$500=H73)*ROW('9_3nf_customer_history'!$A$2:$A$500)))</f>
        <v/>
      </c>
      <c r="G73" s="2">
        <f>INDEX('9_3nf_customer_history'!$D:$D,SUMPRODUCT(('9_3nf_customer_history'!$A$2:$A$500=B73)*('9_3nf_customer_history'!$B$2:$B$500=H73)*ROW('9_3nf_customer_history'!$A$2:$A$500)))</f>
        <v/>
      </c>
      <c r="H73" s="30">
        <f>_xlfn.MAXIFS('9_3nf_customer_history'!$B$2:$B$500,'9_3nf_customer_history'!$A$2:$A$500,B73)</f>
        <v/>
      </c>
    </row>
    <row r="74">
      <c r="A74" s="4" t="n">
        <v>8585205808</v>
      </c>
      <c r="B74" s="33">
        <f>IF(LEN(TRIM(A74))=10,TRIM(A74),IF(LEN(TRIM(A74))=8,"00"&amp;TRIM(A74),"CHECK"))</f>
        <v/>
      </c>
      <c r="C74" s="2" t="inlineStr">
        <is>
          <t>Wei Ng</t>
        </is>
      </c>
      <c r="D74" s="30" t="n">
        <v>19072</v>
      </c>
      <c r="E74" s="2" t="inlineStr">
        <is>
          <t>M</t>
        </is>
      </c>
      <c r="F74" s="2">
        <f>INDEX('9_3nf_customer_history'!$C:$C,SUMPRODUCT(('9_3nf_customer_history'!$A$2:$A$500=B74)*('9_3nf_customer_history'!$B$2:$B$500=H74)*ROW('9_3nf_customer_history'!$A$2:$A$500)))</f>
        <v/>
      </c>
      <c r="G74" s="2">
        <f>INDEX('9_3nf_customer_history'!$D:$D,SUMPRODUCT(('9_3nf_customer_history'!$A$2:$A$500=B74)*('9_3nf_customer_history'!$B$2:$B$500=H74)*ROW('9_3nf_customer_history'!$A$2:$A$500)))</f>
        <v/>
      </c>
      <c r="H74" s="30">
        <f>_xlfn.MAXIFS('9_3nf_customer_history'!$B$2:$B$500,'9_3nf_customer_history'!$A$2:$A$500,B74)</f>
        <v/>
      </c>
    </row>
    <row r="75">
      <c r="A75" s="4" t="n">
        <v>8805210249</v>
      </c>
      <c r="B75" s="33">
        <f>IF(LEN(TRIM(A75))=10,TRIM(A75),IF(LEN(TRIM(A75))=8,"00"&amp;TRIM(A75),"CHECK"))</f>
        <v/>
      </c>
      <c r="C75" s="2" t="inlineStr">
        <is>
          <t>Eric Smith</t>
        </is>
      </c>
      <c r="D75" s="30" t="n">
        <v>25226</v>
      </c>
      <c r="E75" s="2" t="inlineStr">
        <is>
          <t>M</t>
        </is>
      </c>
      <c r="F75" s="2">
        <f>INDEX('9_3nf_customer_history'!$C:$C,SUMPRODUCT(('9_3nf_customer_history'!$A$2:$A$500=B75)*('9_3nf_customer_history'!$B$2:$B$500=H75)*ROW('9_3nf_customer_history'!$A$2:$A$500)))</f>
        <v/>
      </c>
      <c r="G75" s="2">
        <f>INDEX('9_3nf_customer_history'!$D:$D,SUMPRODUCT(('9_3nf_customer_history'!$A$2:$A$500=B75)*('9_3nf_customer_history'!$B$2:$B$500=H75)*ROW('9_3nf_customer_history'!$A$2:$A$500)))</f>
        <v/>
      </c>
      <c r="H75" s="30">
        <f>_xlfn.MAXIFS('9_3nf_customer_history'!$B$2:$B$500,'9_3nf_customer_history'!$A$2:$A$500,B75)</f>
        <v/>
      </c>
    </row>
    <row r="76">
      <c r="A76" s="4" t="n">
        <v>8871289681</v>
      </c>
      <c r="B76" s="33">
        <f>IF(LEN(TRIM(A76))=10,TRIM(A76),IF(LEN(TRIM(A76))=8,"00"&amp;TRIM(A76),"CHECK"))</f>
        <v/>
      </c>
      <c r="C76" s="2" t="inlineStr">
        <is>
          <t>Vivian Koh</t>
        </is>
      </c>
      <c r="D76" s="30" t="n">
        <v>21806</v>
      </c>
      <c r="E76" s="2" t="inlineStr">
        <is>
          <t>F</t>
        </is>
      </c>
      <c r="F76" s="2">
        <f>INDEX('9_3nf_customer_history'!$C:$C,SUMPRODUCT(('9_3nf_customer_history'!$A$2:$A$500=B76)*('9_3nf_customer_history'!$B$2:$B$500=H76)*ROW('9_3nf_customer_history'!$A$2:$A$500)))</f>
        <v/>
      </c>
      <c r="G76" s="2">
        <f>INDEX('9_3nf_customer_history'!$D:$D,SUMPRODUCT(('9_3nf_customer_history'!$A$2:$A$500=B76)*('9_3nf_customer_history'!$B$2:$B$500=H76)*ROW('9_3nf_customer_history'!$A$2:$A$500)))</f>
        <v/>
      </c>
      <c r="H76" s="30">
        <f>_xlfn.MAXIFS('9_3nf_customer_history'!$B$2:$B$500,'9_3nf_customer_history'!$A$2:$A$500,B76)</f>
        <v/>
      </c>
    </row>
    <row r="77">
      <c r="A77" s="4" t="n">
        <v>8964346572</v>
      </c>
      <c r="B77" s="33">
        <f>IF(LEN(TRIM(A77))=10,TRIM(A77),IF(LEN(TRIM(A77))=8,"00"&amp;TRIM(A77),"CHECK"))</f>
        <v/>
      </c>
      <c r="C77" s="2" t="inlineStr">
        <is>
          <t>Wing Sze Yeung</t>
        </is>
      </c>
      <c r="D77" s="30" t="n">
        <v>23108</v>
      </c>
      <c r="E77" s="2" t="inlineStr">
        <is>
          <t>F</t>
        </is>
      </c>
      <c r="F77" s="2">
        <f>INDEX('9_3nf_customer_history'!$C:$C,SUMPRODUCT(('9_3nf_customer_history'!$A$2:$A$500=B77)*('9_3nf_customer_history'!$B$2:$B$500=H77)*ROW('9_3nf_customer_history'!$A$2:$A$500)))</f>
        <v/>
      </c>
      <c r="G77" s="2">
        <f>INDEX('9_3nf_customer_history'!$D:$D,SUMPRODUCT(('9_3nf_customer_history'!$A$2:$A$500=B77)*('9_3nf_customer_history'!$B$2:$B$500=H77)*ROW('9_3nf_customer_history'!$A$2:$A$500)))</f>
        <v/>
      </c>
      <c r="H77" s="30">
        <f>_xlfn.MAXIFS('9_3nf_customer_history'!$B$2:$B$500,'9_3nf_customer_history'!$A$2:$A$500,B77)</f>
        <v/>
      </c>
    </row>
    <row r="78">
      <c r="A78" s="4" t="n">
        <v>9448071998</v>
      </c>
      <c r="B78" s="33">
        <f>IF(LEN(TRIM(A78))=10,TRIM(A78),IF(LEN(TRIM(A78))=8,"00"&amp;TRIM(A78),"CHECK"))</f>
        <v/>
      </c>
      <c r="C78" s="2" t="inlineStr">
        <is>
          <t>Raymond Smith</t>
        </is>
      </c>
      <c r="D78" s="30" t="n">
        <v>32991</v>
      </c>
      <c r="E78" s="2" t="inlineStr">
        <is>
          <t>M</t>
        </is>
      </c>
      <c r="F78" s="2">
        <f>INDEX('9_3nf_customer_history'!$C:$C,SUMPRODUCT(('9_3nf_customer_history'!$A$2:$A$500=B78)*('9_3nf_customer_history'!$B$2:$B$500=H78)*ROW('9_3nf_customer_history'!$A$2:$A$500)))</f>
        <v/>
      </c>
      <c r="G78" s="2">
        <f>INDEX('9_3nf_customer_history'!$D:$D,SUMPRODUCT(('9_3nf_customer_history'!$A$2:$A$500=B78)*('9_3nf_customer_history'!$B$2:$B$500=H78)*ROW('9_3nf_customer_history'!$A$2:$A$500)))</f>
        <v/>
      </c>
      <c r="H78" s="30">
        <f>_xlfn.MAXIFS('9_3nf_customer_history'!$B$2:$B$500,'9_3nf_customer_history'!$A$2:$A$500,B78)</f>
        <v/>
      </c>
    </row>
    <row r="79">
      <c r="A79" s="4" t="n">
        <v>9567133447</v>
      </c>
      <c r="B79" s="33">
        <f>IF(LEN(TRIM(A79))=10,TRIM(A79),IF(LEN(TRIM(A79))=8,"00"&amp;TRIM(A79),"CHECK"))</f>
        <v/>
      </c>
      <c r="C79" s="2" t="inlineStr">
        <is>
          <t>Hoi Yan Kwok</t>
        </is>
      </c>
      <c r="D79" s="30" t="n">
        <v>25308</v>
      </c>
      <c r="E79" s="2" t="inlineStr">
        <is>
          <t>F</t>
        </is>
      </c>
      <c r="F79" s="2">
        <f>INDEX('9_3nf_customer_history'!$C:$C,SUMPRODUCT(('9_3nf_customer_history'!$A$2:$A$500=B79)*('9_3nf_customer_history'!$B$2:$B$500=H79)*ROW('9_3nf_customer_history'!$A$2:$A$500)))</f>
        <v/>
      </c>
      <c r="G79" s="2">
        <f>INDEX('9_3nf_customer_history'!$D:$D,SUMPRODUCT(('9_3nf_customer_history'!$A$2:$A$500=B79)*('9_3nf_customer_history'!$B$2:$B$500=H79)*ROW('9_3nf_customer_history'!$A$2:$A$500)))</f>
        <v/>
      </c>
      <c r="H79" s="30">
        <f>_xlfn.MAXIFS('9_3nf_customer_history'!$B$2:$B$500,'9_3nf_customer_history'!$A$2:$A$500,B79)</f>
        <v/>
      </c>
    </row>
    <row r="80">
      <c r="A80" s="4" t="n">
        <v>9627692505</v>
      </c>
      <c r="B80" s="33">
        <f>IF(LEN(TRIM(A80))=10,TRIM(A80),IF(LEN(TRIM(A80))=8,"00"&amp;TRIM(A80),"CHECK"))</f>
        <v/>
      </c>
      <c r="C80" s="2" t="inlineStr">
        <is>
          <t>Chun Kit Lau</t>
        </is>
      </c>
      <c r="D80" s="30" t="n">
        <v>19474</v>
      </c>
      <c r="E80" s="2" t="inlineStr">
        <is>
          <t>M</t>
        </is>
      </c>
      <c r="F80" s="2">
        <f>INDEX('9_3nf_customer_history'!$C:$C,SUMPRODUCT(('9_3nf_customer_history'!$A$2:$A$500=B80)*('9_3nf_customer_history'!$B$2:$B$500=H80)*ROW('9_3nf_customer_history'!$A$2:$A$500)))</f>
        <v/>
      </c>
      <c r="G80" s="2">
        <f>INDEX('9_3nf_customer_history'!$D:$D,SUMPRODUCT(('9_3nf_customer_history'!$A$2:$A$500=B80)*('9_3nf_customer_history'!$B$2:$B$500=H80)*ROW('9_3nf_customer_history'!$A$2:$A$500)))</f>
        <v/>
      </c>
      <c r="H80" s="30">
        <f>_xlfn.MAXIFS('9_3nf_customer_history'!$B$2:$B$500,'9_3nf_customer_history'!$A$2:$A$500,B80)</f>
        <v/>
      </c>
    </row>
    <row r="81">
      <c r="A81" s="4" t="n">
        <v>9794231618</v>
      </c>
      <c r="B81" s="33">
        <f>IF(LEN(TRIM(A81))=10,TRIM(A81),IF(LEN(TRIM(A81))=8,"00"&amp;TRIM(A81),"CHECK"))</f>
        <v/>
      </c>
      <c r="C81" s="2" t="inlineStr">
        <is>
          <t>Rachel Patel</t>
        </is>
      </c>
      <c r="D81" s="30" t="n">
        <v>34777</v>
      </c>
      <c r="E81" s="2" t="inlineStr">
        <is>
          <t>F</t>
        </is>
      </c>
      <c r="F81" s="2">
        <f>INDEX('9_3nf_customer_history'!$C:$C,SUMPRODUCT(('9_3nf_customer_history'!$A$2:$A$500=B81)*('9_3nf_customer_history'!$B$2:$B$500=H81)*ROW('9_3nf_customer_history'!$A$2:$A$500)))</f>
        <v/>
      </c>
      <c r="G81" s="2">
        <f>INDEX('9_3nf_customer_history'!$D:$D,SUMPRODUCT(('9_3nf_customer_history'!$A$2:$A$500=B81)*('9_3nf_customer_history'!$B$2:$B$500=H81)*ROW('9_3nf_customer_history'!$A$2:$A$500)))</f>
        <v/>
      </c>
      <c r="H81" s="30">
        <f>_xlfn.MAXIFS('9_3nf_customer_history'!$B$2:$B$500,'9_3nf_customer_history'!$A$2:$A$500,B81)</f>
        <v/>
      </c>
    </row>
    <row r="83">
      <c r="A83" s="29" t="n"/>
    </row>
    <row r="84">
      <c r="A84" s="29" t="inlineStr">
        <is>
          <t>One row per customer: the facts that don't change (name, date of birth, gender), plus the CURRENT segment and risk profile.</t>
        </is>
      </c>
    </row>
    <row r="85">
      <c r="A85" s="29" t="inlineStr">
        <is>
          <t>cust_id_legacy is the ID as the legacy systems hold it: IDs starting with 00 can arrive with the 00 dropped (8 digits).</t>
        </is>
      </c>
    </row>
    <row r="86">
      <c r="A86" s="29" t="inlineStr">
        <is>
          <t>cust_id (rectified): 10 digits = kept; 8 digits = '00' added in front; any other length = CHECK (never guessed). It is the primary key.</t>
        </is>
      </c>
    </row>
    <row r="87">
      <c r="A87" s="29" t="inlineStr">
        <is>
          <t>Grey columns are calculated from the latest change in 9_3nf_customer_history (today's view); the enriched log uses the history for the value at the time of sale.</t>
        </is>
      </c>
    </row>
  </sheetData>
  <conditionalFormatting sqref="B2:B81">
    <cfRule type="expression" priority="1" dxfId="4">
      <formula>B2="CHECK"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2F5597"/>
    <outlinePr summaryBelow="1" summaryRight="1"/>
    <pageSetUpPr/>
  </sheetPr>
  <dimension ref="A1:J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15" customWidth="1" min="4" max="4"/>
    <col width="26" customWidth="1" min="5" max="5"/>
    <col width="17" customWidth="1" min="6" max="6"/>
    <col width="17" customWidth="1" min="7" max="7"/>
    <col width="15" customWidth="1" min="8" max="8"/>
    <col width="32" customWidth="1" min="10" max="10"/>
  </cols>
  <sheetData>
    <row r="1">
      <c r="A1" s="27" t="inlineStr">
        <is>
          <t>cust_id (PK)</t>
        </is>
      </c>
      <c r="B1" s="27" t="inlineStr">
        <is>
          <t>effective_date (PK)</t>
        </is>
      </c>
      <c r="C1" s="27" t="inlineStr">
        <is>
          <t>cust_segment</t>
        </is>
      </c>
      <c r="D1" s="27" t="inlineStr">
        <is>
          <t>cust_risk_profile</t>
        </is>
      </c>
      <c r="E1" s="27" t="inlineStr">
        <is>
          <t>change_reason</t>
        </is>
      </c>
      <c r="F1" s="28" t="inlineStr">
        <is>
          <t>valid_to (derived)</t>
        </is>
      </c>
      <c r="G1" s="28" t="inlineStr">
        <is>
          <t>is_current (derived)</t>
        </is>
      </c>
      <c r="I1" s="2" t="n"/>
      <c r="J1" s="2" t="n"/>
    </row>
    <row r="2">
      <c r="A2" s="33" t="inlineStr">
        <is>
          <t>0045128803</t>
        </is>
      </c>
      <c r="B2" s="30" t="n">
        <v>43831</v>
      </c>
      <c r="C2" s="2" t="inlineStr">
        <is>
          <t>Mass</t>
        </is>
      </c>
      <c r="D2" s="2" t="inlineStr">
        <is>
          <t>R2</t>
        </is>
      </c>
      <c r="E2" s="2" t="inlineStr">
        <is>
          <t>Onboarding (date assumed)</t>
        </is>
      </c>
      <c r="F2" s="30">
        <f>IF(_xlfn.MINIFS($B$2:$B$500,$A$2:$A$500,A2,$B$2:$B$500,"&gt;"&amp;B2)=0,DATE(9999,12,31),_xlfn.MINIFS($B$2:$B$500,$A$2:$A$500,A2,$B$2:$B$500,"&gt;"&amp;B2)-1)</f>
        <v/>
      </c>
      <c r="G2" s="2">
        <f>IF(F2=DATE(9999,12,31),"Y","N")</f>
        <v/>
      </c>
      <c r="I2" s="29" t="inlineStr">
        <is>
          <t>Append-only change log: a row when a customer is onboarded, and a new row only when their segment or risk profile changes.</t>
        </is>
      </c>
      <c r="J2" s="2" t="n"/>
    </row>
    <row r="3">
      <c r="A3" s="33" t="inlineStr">
        <is>
          <t>0045128803</t>
        </is>
      </c>
      <c r="B3" s="30" t="n">
        <v>45809</v>
      </c>
      <c r="C3" s="2" t="inlineStr">
        <is>
          <t>Mass</t>
        </is>
      </c>
      <c r="D3" s="2" t="inlineStr">
        <is>
          <t>R4</t>
        </is>
      </c>
      <c r="E3" s="2" t="inlineStr">
        <is>
          <t>Risk re-assessment</t>
        </is>
      </c>
      <c r="F3" s="30">
        <f>IF(_xlfn.MINIFS($B$2:$B$500,$A$2:$A$500,A3,$B$2:$B$500,"&gt;"&amp;B3)=0,DATE(9999,12,31),_xlfn.MINIFS($B$2:$B$500,$A$2:$A$500,A3,$B$2:$B$500,"&gt;"&amp;B3)-1)</f>
        <v/>
      </c>
      <c r="G3" s="2">
        <f>IF(F3=DATE(9999,12,31),"Y","N")</f>
        <v/>
      </c>
      <c r="I3" s="29" t="inlineStr">
        <is>
          <t>Key = cust_id + effective_date. Only the blue columns are typed; grey columns are formulas (valid_to = the day before the next change).</t>
        </is>
      </c>
      <c r="J3" s="2" t="n"/>
    </row>
    <row r="4">
      <c r="A4" s="33" t="inlineStr">
        <is>
          <t>0055245666</t>
        </is>
      </c>
      <c r="B4" s="30" t="n">
        <v>43831</v>
      </c>
      <c r="C4" s="2" t="inlineStr">
        <is>
          <t>Affluent</t>
        </is>
      </c>
      <c r="D4" s="2" t="inlineStr">
        <is>
          <t>R4</t>
        </is>
      </c>
      <c r="E4" s="2" t="inlineStr">
        <is>
          <t>Onboarding (date assumed)</t>
        </is>
      </c>
      <c r="F4" s="30">
        <f>IF(_xlfn.MINIFS($B$2:$B$500,$A$2:$A$500,A4,$B$2:$B$500,"&gt;"&amp;B4)=0,DATE(9999,12,31),_xlfn.MINIFS($B$2:$B$500,$A$2:$A$500,A4,$B$2:$B$500,"&gt;"&amp;B4)-1)</f>
        <v/>
      </c>
      <c r="G4" s="2">
        <f>IF(F4=DATE(9999,12,31),"Y","N")</f>
        <v/>
      </c>
      <c r="I4" s="29" t="inlineStr">
        <is>
          <t>The version for a sale = the latest effective_date on or before the sale date (looked up in 2_enriched_log).</t>
        </is>
      </c>
      <c r="J4" s="2" t="n"/>
    </row>
    <row r="5">
      <c r="A5" s="33" t="inlineStr">
        <is>
          <t>0071204459</t>
        </is>
      </c>
      <c r="B5" s="30" t="n">
        <v>43831</v>
      </c>
      <c r="C5" s="2" t="inlineStr">
        <is>
          <t>Private</t>
        </is>
      </c>
      <c r="D5" s="2" t="inlineStr">
        <is>
          <t>R4</t>
        </is>
      </c>
      <c r="E5" s="2" t="inlineStr">
        <is>
          <t>Onboarding (date assumed)</t>
        </is>
      </c>
      <c r="F5" s="30">
        <f>IF(_xlfn.MINIFS($B$2:$B$500,$A$2:$A$500,A5,$B$2:$B$500,"&gt;"&amp;B5)=0,DATE(9999,12,31),_xlfn.MINIFS($B$2:$B$500,$A$2:$A$500,A5,$B$2:$B$500,"&gt;"&amp;B5)-1)</f>
        <v/>
      </c>
      <c r="G5" s="2">
        <f>IF(F5=DATE(9999,12,31),"Y","N")</f>
        <v/>
      </c>
      <c r="I5" s="29" t="inlineStr">
        <is>
          <t>Onboarding dates are not in the selling log, so the first version uses an assumed date (2020-01-01).</t>
        </is>
      </c>
      <c r="J5" s="2" t="n"/>
    </row>
    <row r="6">
      <c r="A6" s="33" t="inlineStr">
        <is>
          <t>0071204459</t>
        </is>
      </c>
      <c r="B6" s="30" t="n">
        <v>45748</v>
      </c>
      <c r="C6" s="2" t="inlineStr">
        <is>
          <t>Private</t>
        </is>
      </c>
      <c r="D6" s="2" t="inlineStr">
        <is>
          <t>R5</t>
        </is>
      </c>
      <c r="E6" s="2" t="inlineStr">
        <is>
          <t>Risk re-assessment</t>
        </is>
      </c>
      <c r="F6" s="30">
        <f>IF(_xlfn.MINIFS($B$2:$B$500,$A$2:$A$500,A6,$B$2:$B$500,"&gt;"&amp;B6)=0,DATE(9999,12,31),_xlfn.MINIFS($B$2:$B$500,$A$2:$A$500,A6,$B$2:$B$500,"&gt;"&amp;B6)-1)</f>
        <v/>
      </c>
      <c r="G6" s="2">
        <f>IF(F6=DATE(9999,12,31),"Y","N")</f>
        <v/>
      </c>
      <c r="I6" s="29" t="inlineStr">
        <is>
          <t>Segment and risk changes are derived from AUM and authorised by the bank; kept only for customers in the sales log (data minimisation).</t>
        </is>
      </c>
      <c r="J6" s="2" t="n"/>
    </row>
    <row r="7">
      <c r="A7" s="33" t="inlineStr">
        <is>
          <t>0098231104</t>
        </is>
      </c>
      <c r="B7" s="30" t="n">
        <v>43831</v>
      </c>
      <c r="C7" s="2" t="inlineStr">
        <is>
          <t>Affluent</t>
        </is>
      </c>
      <c r="D7" s="2" t="inlineStr">
        <is>
          <t>R3</t>
        </is>
      </c>
      <c r="E7" s="2" t="inlineStr">
        <is>
          <t>Onboarding (date assumed)</t>
        </is>
      </c>
      <c r="F7" s="30">
        <f>IF(_xlfn.MINIFS($B$2:$B$500,$A$2:$A$500,A7,$B$2:$B$500,"&gt;"&amp;B7)=0,DATE(9999,12,31),_xlfn.MINIFS($B$2:$B$500,$A$2:$A$500,A7,$B$2:$B$500,"&gt;"&amp;B7)-1)</f>
        <v/>
      </c>
      <c r="G7" s="2">
        <f>IF(F7=DATE(9999,12,31),"Y","N")</f>
        <v/>
      </c>
      <c r="I7" s="2" t="n"/>
      <c r="J7" s="2" t="n"/>
    </row>
    <row r="8">
      <c r="A8" s="33" t="inlineStr">
        <is>
          <t>0098231104</t>
        </is>
      </c>
      <c r="B8" s="30" t="n">
        <v>45828</v>
      </c>
      <c r="C8" s="2" t="inlineStr">
        <is>
          <t>Affluent</t>
        </is>
      </c>
      <c r="D8" s="2" t="inlineStr">
        <is>
          <t>R5</t>
        </is>
      </c>
      <c r="E8" s="2" t="inlineStr">
        <is>
          <t>Risk re-assessment</t>
        </is>
      </c>
      <c r="F8" s="30">
        <f>IF(_xlfn.MINIFS($B$2:$B$500,$A$2:$A$500,A8,$B$2:$B$500,"&gt;"&amp;B8)=0,DATE(9999,12,31),_xlfn.MINIFS($B$2:$B$500,$A$2:$A$500,A8,$B$2:$B$500,"&gt;"&amp;B8)-1)</f>
        <v/>
      </c>
      <c r="G8" s="2">
        <f>IF(F8=DATE(9999,12,31),"Y","N")</f>
        <v/>
      </c>
      <c r="I8" s="2" t="n"/>
      <c r="J8" s="2" t="n"/>
    </row>
    <row r="9">
      <c r="A9" s="33" t="inlineStr">
        <is>
          <t>0017091225</t>
        </is>
      </c>
      <c r="B9" s="30" t="n">
        <v>43831</v>
      </c>
      <c r="C9" s="2" t="inlineStr">
        <is>
          <t>Mass</t>
        </is>
      </c>
      <c r="D9" s="2" t="inlineStr">
        <is>
          <t>R3</t>
        </is>
      </c>
      <c r="E9" s="2" t="inlineStr">
        <is>
          <t>Onboarding (date assumed)</t>
        </is>
      </c>
      <c r="F9" s="30">
        <f>IF(_xlfn.MINIFS($B$2:$B$500,$A$2:$A$500,A9,$B$2:$B$500,"&gt;"&amp;B9)=0,DATE(9999,12,31),_xlfn.MINIFS($B$2:$B$500,$A$2:$A$500,A9,$B$2:$B$500,"&gt;"&amp;B9)-1)</f>
        <v/>
      </c>
      <c r="G9" s="2">
        <f>IF(F9=DATE(9999,12,31),"Y","N")</f>
        <v/>
      </c>
      <c r="I9" s="2" t="n"/>
      <c r="J9" s="2" t="n"/>
    </row>
    <row r="10">
      <c r="A10" s="33" t="inlineStr">
        <is>
          <t>0017091225</t>
        </is>
      </c>
      <c r="B10" s="30" t="n">
        <v>45793</v>
      </c>
      <c r="C10" s="2" t="inlineStr">
        <is>
          <t>Mass</t>
        </is>
      </c>
      <c r="D10" s="2" t="inlineStr">
        <is>
          <t>R4</t>
        </is>
      </c>
      <c r="E10" s="2" t="inlineStr">
        <is>
          <t>Risk re-assessment</t>
        </is>
      </c>
      <c r="F10" s="30">
        <f>IF(_xlfn.MINIFS($B$2:$B$500,$A$2:$A$500,A10,$B$2:$B$500,"&gt;"&amp;B10)=0,DATE(9999,12,31),_xlfn.MINIFS($B$2:$B$500,$A$2:$A$500,A10,$B$2:$B$500,"&gt;"&amp;B10)-1)</f>
        <v/>
      </c>
      <c r="G10" s="2">
        <f>IF(F10=DATE(9999,12,31),"Y","N")</f>
        <v/>
      </c>
      <c r="I10" s="2" t="n"/>
      <c r="J10" s="2" t="n"/>
    </row>
    <row r="11">
      <c r="A11" s="33" t="inlineStr">
        <is>
          <t>0044509861</t>
        </is>
      </c>
      <c r="B11" s="30" t="n">
        <v>43831</v>
      </c>
      <c r="C11" s="2" t="inlineStr">
        <is>
          <t>Private</t>
        </is>
      </c>
      <c r="D11" s="2" t="inlineStr">
        <is>
          <t>R4</t>
        </is>
      </c>
      <c r="E11" s="2" t="inlineStr">
        <is>
          <t>Onboarding (date assumed)</t>
        </is>
      </c>
      <c r="F11" s="30">
        <f>IF(_xlfn.MINIFS($B$2:$B$500,$A$2:$A$500,A11,$B$2:$B$500,"&gt;"&amp;B11)=0,DATE(9999,12,31),_xlfn.MINIFS($B$2:$B$500,$A$2:$A$500,A11,$B$2:$B$500,"&gt;"&amp;B11)-1)</f>
        <v/>
      </c>
      <c r="G11" s="2">
        <f>IF(F11=DATE(9999,12,31),"Y","N")</f>
        <v/>
      </c>
      <c r="I11" s="2" t="n"/>
      <c r="J11" s="2" t="n"/>
    </row>
    <row r="12">
      <c r="A12" s="33" t="inlineStr">
        <is>
          <t>0097309879</t>
        </is>
      </c>
      <c r="B12" s="30" t="n">
        <v>43831</v>
      </c>
      <c r="C12" s="2" t="inlineStr">
        <is>
          <t>Affluent</t>
        </is>
      </c>
      <c r="D12" s="2" t="inlineStr">
        <is>
          <t>R4</t>
        </is>
      </c>
      <c r="E12" s="2" t="inlineStr">
        <is>
          <t>Onboarding (date assumed)</t>
        </is>
      </c>
      <c r="F12" s="30">
        <f>IF(_xlfn.MINIFS($B$2:$B$500,$A$2:$A$500,A12,$B$2:$B$500,"&gt;"&amp;B12)=0,DATE(9999,12,31),_xlfn.MINIFS($B$2:$B$500,$A$2:$A$500,A12,$B$2:$B$500,"&gt;"&amp;B12)-1)</f>
        <v/>
      </c>
      <c r="G12" s="2">
        <f>IF(F12=DATE(9999,12,31),"Y","N")</f>
        <v/>
      </c>
      <c r="I12" s="2" t="n"/>
      <c r="J12" s="2" t="n"/>
    </row>
    <row r="13">
      <c r="A13" s="33" t="inlineStr">
        <is>
          <t>0097309879</t>
        </is>
      </c>
      <c r="B13" s="30" t="n">
        <v>45700</v>
      </c>
      <c r="C13" s="2" t="inlineStr">
        <is>
          <t>Affluent</t>
        </is>
      </c>
      <c r="D13" s="2" t="inlineStr">
        <is>
          <t>R5</t>
        </is>
      </c>
      <c r="E13" s="2" t="inlineStr">
        <is>
          <t>Risk re-assessment</t>
        </is>
      </c>
      <c r="F13" s="30">
        <f>IF(_xlfn.MINIFS($B$2:$B$500,$A$2:$A$500,A13,$B$2:$B$500,"&gt;"&amp;B13)=0,DATE(9999,12,31),_xlfn.MINIFS($B$2:$B$500,$A$2:$A$500,A13,$B$2:$B$500,"&gt;"&amp;B13)-1)</f>
        <v/>
      </c>
      <c r="G13" s="2">
        <f>IF(F13=DATE(9999,12,31),"Y","N")</f>
        <v/>
      </c>
    </row>
    <row r="14">
      <c r="A14" s="33" t="inlineStr">
        <is>
          <t>0055691590</t>
        </is>
      </c>
      <c r="B14" s="30" t="n">
        <v>43831</v>
      </c>
      <c r="C14" s="2" t="inlineStr">
        <is>
          <t>Private</t>
        </is>
      </c>
      <c r="D14" s="2" t="inlineStr">
        <is>
          <t>R5</t>
        </is>
      </c>
      <c r="E14" s="2" t="inlineStr">
        <is>
          <t>Onboarding (date assumed)</t>
        </is>
      </c>
      <c r="F14" s="30">
        <f>IF(_xlfn.MINIFS($B$2:$B$500,$A$2:$A$500,A14,$B$2:$B$500,"&gt;"&amp;B14)=0,DATE(9999,12,31),_xlfn.MINIFS($B$2:$B$500,$A$2:$A$500,A14,$B$2:$B$500,"&gt;"&amp;B14)-1)</f>
        <v/>
      </c>
      <c r="G14" s="2">
        <f>IF(F14=DATE(9999,12,31),"Y","N")</f>
        <v/>
      </c>
    </row>
    <row r="15">
      <c r="A15" s="33" t="inlineStr">
        <is>
          <t>0016329105</t>
        </is>
      </c>
      <c r="B15" s="30" t="n">
        <v>43831</v>
      </c>
      <c r="C15" s="2" t="inlineStr">
        <is>
          <t>Mass</t>
        </is>
      </c>
      <c r="D15" s="2" t="inlineStr">
        <is>
          <t>R1</t>
        </is>
      </c>
      <c r="E15" s="2" t="inlineStr">
        <is>
          <t>Onboarding (date assumed)</t>
        </is>
      </c>
      <c r="F15" s="30">
        <f>IF(_xlfn.MINIFS($B$2:$B$500,$A$2:$A$500,A15,$B$2:$B$500,"&gt;"&amp;B15)=0,DATE(9999,12,31),_xlfn.MINIFS($B$2:$B$500,$A$2:$A$500,A15,$B$2:$B$500,"&gt;"&amp;B15)-1)</f>
        <v/>
      </c>
      <c r="G15" s="2">
        <f>IF(F15=DATE(9999,12,31),"Y","N")</f>
        <v/>
      </c>
    </row>
    <row r="16">
      <c r="A16" s="33" t="inlineStr">
        <is>
          <t>0020737016</t>
        </is>
      </c>
      <c r="B16" s="30" t="n">
        <v>43831</v>
      </c>
      <c r="C16" s="2" t="inlineStr">
        <is>
          <t>Affluent</t>
        </is>
      </c>
      <c r="D16" s="2" t="inlineStr">
        <is>
          <t>R3</t>
        </is>
      </c>
      <c r="E16" s="2" t="inlineStr">
        <is>
          <t>Onboarding (date assumed)</t>
        </is>
      </c>
      <c r="F16" s="30">
        <f>IF(_xlfn.MINIFS($B$2:$B$500,$A$2:$A$500,A16,$B$2:$B$500,"&gt;"&amp;B16)=0,DATE(9999,12,31),_xlfn.MINIFS($B$2:$B$500,$A$2:$A$500,A16,$B$2:$B$500,"&gt;"&amp;B16)-1)</f>
        <v/>
      </c>
      <c r="G16" s="2">
        <f>IF(F16=DATE(9999,12,31),"Y","N")</f>
        <v/>
      </c>
    </row>
    <row r="17">
      <c r="A17" s="33" t="inlineStr">
        <is>
          <t>0020737016</t>
        </is>
      </c>
      <c r="B17" s="30" t="n">
        <v>45797</v>
      </c>
      <c r="C17" s="2" t="inlineStr">
        <is>
          <t>Affluent</t>
        </is>
      </c>
      <c r="D17" s="2" t="inlineStr">
        <is>
          <t>R4</t>
        </is>
      </c>
      <c r="E17" s="2" t="inlineStr">
        <is>
          <t>Risk re-assessment</t>
        </is>
      </c>
      <c r="F17" s="30">
        <f>IF(_xlfn.MINIFS($B$2:$B$500,$A$2:$A$500,A17,$B$2:$B$500,"&gt;"&amp;B17)=0,DATE(9999,12,31),_xlfn.MINIFS($B$2:$B$500,$A$2:$A$500,A17,$B$2:$B$500,"&gt;"&amp;B17)-1)</f>
        <v/>
      </c>
      <c r="G17" s="2">
        <f>IF(F17=DATE(9999,12,31),"Y","N")</f>
        <v/>
      </c>
    </row>
    <row r="18">
      <c r="A18" s="33" t="inlineStr">
        <is>
          <t>0020737016</t>
        </is>
      </c>
      <c r="B18" s="30" t="n">
        <v>45798</v>
      </c>
      <c r="C18" s="2" t="inlineStr">
        <is>
          <t>Private</t>
        </is>
      </c>
      <c r="D18" s="2" t="inlineStr">
        <is>
          <t>R4</t>
        </is>
      </c>
      <c r="E18" s="2" t="inlineStr">
        <is>
          <t>Segment change</t>
        </is>
      </c>
      <c r="F18" s="30">
        <f>IF(_xlfn.MINIFS($B$2:$B$500,$A$2:$A$500,A18,$B$2:$B$500,"&gt;"&amp;B18)=0,DATE(9999,12,31),_xlfn.MINIFS($B$2:$B$500,$A$2:$A$500,A18,$B$2:$B$500,"&gt;"&amp;B18)-1)</f>
        <v/>
      </c>
      <c r="G18" s="2">
        <f>IF(F18=DATE(9999,12,31),"Y","N")</f>
        <v/>
      </c>
    </row>
    <row r="19">
      <c r="A19" s="33" t="inlineStr">
        <is>
          <t>0056294337</t>
        </is>
      </c>
      <c r="B19" s="30" t="n">
        <v>43831</v>
      </c>
      <c r="C19" s="2" t="inlineStr">
        <is>
          <t>Affluent</t>
        </is>
      </c>
      <c r="D19" s="2" t="inlineStr">
        <is>
          <t>R3</t>
        </is>
      </c>
      <c r="E19" s="2" t="inlineStr">
        <is>
          <t>Onboarding (date assumed)</t>
        </is>
      </c>
      <c r="F19" s="30">
        <f>IF(_xlfn.MINIFS($B$2:$B$500,$A$2:$A$500,A19,$B$2:$B$500,"&gt;"&amp;B19)=0,DATE(9999,12,31),_xlfn.MINIFS($B$2:$B$500,$A$2:$A$500,A19,$B$2:$B$500,"&gt;"&amp;B19)-1)</f>
        <v/>
      </c>
      <c r="G19" s="2">
        <f>IF(F19=DATE(9999,12,31),"Y","N")</f>
        <v/>
      </c>
    </row>
    <row r="20">
      <c r="A20" s="33" t="inlineStr">
        <is>
          <t>0032025226</t>
        </is>
      </c>
      <c r="B20" s="30" t="n">
        <v>43831</v>
      </c>
      <c r="C20" s="2" t="inlineStr">
        <is>
          <t>Affluent</t>
        </is>
      </c>
      <c r="D20" s="2" t="inlineStr">
        <is>
          <t>R3</t>
        </is>
      </c>
      <c r="E20" s="2" t="inlineStr">
        <is>
          <t>Onboarding (date assumed)</t>
        </is>
      </c>
      <c r="F20" s="30">
        <f>IF(_xlfn.MINIFS($B$2:$B$500,$A$2:$A$500,A20,$B$2:$B$500,"&gt;"&amp;B20)=0,DATE(9999,12,31),_xlfn.MINIFS($B$2:$B$500,$A$2:$A$500,A20,$B$2:$B$500,"&gt;"&amp;B20)-1)</f>
        <v/>
      </c>
      <c r="G20" s="2">
        <f>IF(F20=DATE(9999,12,31),"Y","N")</f>
        <v/>
      </c>
    </row>
    <row r="21">
      <c r="A21" s="33" t="inlineStr">
        <is>
          <t>0017404366</t>
        </is>
      </c>
      <c r="B21" s="30" t="n">
        <v>43831</v>
      </c>
      <c r="C21" s="2" t="inlineStr">
        <is>
          <t>Mass</t>
        </is>
      </c>
      <c r="D21" s="2" t="inlineStr">
        <is>
          <t>R3</t>
        </is>
      </c>
      <c r="E21" s="2" t="inlineStr">
        <is>
          <t>Onboarding (date assumed)</t>
        </is>
      </c>
      <c r="F21" s="30">
        <f>IF(_xlfn.MINIFS($B$2:$B$500,$A$2:$A$500,A21,$B$2:$B$500,"&gt;"&amp;B21)=0,DATE(9999,12,31),_xlfn.MINIFS($B$2:$B$500,$A$2:$A$500,A21,$B$2:$B$500,"&gt;"&amp;B21)-1)</f>
        <v/>
      </c>
      <c r="G21" s="2">
        <f>IF(F21=DATE(9999,12,31),"Y","N")</f>
        <v/>
      </c>
    </row>
    <row r="22">
      <c r="A22" s="33" t="inlineStr">
        <is>
          <t>0017885621</t>
        </is>
      </c>
      <c r="B22" s="30" t="n">
        <v>43831</v>
      </c>
      <c r="C22" s="2" t="inlineStr">
        <is>
          <t>Mass</t>
        </is>
      </c>
      <c r="D22" s="2" t="inlineStr">
        <is>
          <t>R4</t>
        </is>
      </c>
      <c r="E22" s="2" t="inlineStr">
        <is>
          <t>Onboarding (date assumed)</t>
        </is>
      </c>
      <c r="F22" s="30">
        <f>IF(_xlfn.MINIFS($B$2:$B$500,$A$2:$A$500,A22,$B$2:$B$500,"&gt;"&amp;B22)=0,DATE(9999,12,31),_xlfn.MINIFS($B$2:$B$500,$A$2:$A$500,A22,$B$2:$B$500,"&gt;"&amp;B22)-1)</f>
        <v/>
      </c>
      <c r="G22" s="2">
        <f>IF(F22=DATE(9999,12,31),"Y","N")</f>
        <v/>
      </c>
    </row>
    <row r="23">
      <c r="A23" s="33" t="inlineStr">
        <is>
          <t>0053083943</t>
        </is>
      </c>
      <c r="B23" s="30" t="n">
        <v>43831</v>
      </c>
      <c r="C23" s="2" t="inlineStr">
        <is>
          <t>Affluent</t>
        </is>
      </c>
      <c r="D23" s="2" t="inlineStr">
        <is>
          <t>R3</t>
        </is>
      </c>
      <c r="E23" s="2" t="inlineStr">
        <is>
          <t>Onboarding (date assumed)</t>
        </is>
      </c>
      <c r="F23" s="30">
        <f>IF(_xlfn.MINIFS($B$2:$B$500,$A$2:$A$500,A23,$B$2:$B$500,"&gt;"&amp;B23)=0,DATE(9999,12,31),_xlfn.MINIFS($B$2:$B$500,$A$2:$A$500,A23,$B$2:$B$500,"&gt;"&amp;B23)-1)</f>
        <v/>
      </c>
      <c r="G23" s="2">
        <f>IF(F23=DATE(9999,12,31),"Y","N")</f>
        <v/>
      </c>
    </row>
    <row r="24">
      <c r="A24" s="33" t="inlineStr">
        <is>
          <t>0053083943</t>
        </is>
      </c>
      <c r="B24" s="30" t="n">
        <v>45792</v>
      </c>
      <c r="C24" s="2" t="inlineStr">
        <is>
          <t>Affluent</t>
        </is>
      </c>
      <c r="D24" s="2" t="inlineStr">
        <is>
          <t>R4</t>
        </is>
      </c>
      <c r="E24" s="2" t="inlineStr">
        <is>
          <t>Risk re-assessment</t>
        </is>
      </c>
      <c r="F24" s="30">
        <f>IF(_xlfn.MINIFS($B$2:$B$500,$A$2:$A$500,A24,$B$2:$B$500,"&gt;"&amp;B24)=0,DATE(9999,12,31),_xlfn.MINIFS($B$2:$B$500,$A$2:$A$500,A24,$B$2:$B$500,"&gt;"&amp;B24)-1)</f>
        <v/>
      </c>
      <c r="G24" s="2">
        <f>IF(F24=DATE(9999,12,31),"Y","N")</f>
        <v/>
      </c>
    </row>
    <row r="25">
      <c r="A25" s="33" t="inlineStr">
        <is>
          <t>0083289666</t>
        </is>
      </c>
      <c r="B25" s="30" t="n">
        <v>43831</v>
      </c>
      <c r="C25" s="2" t="inlineStr">
        <is>
          <t>Mass</t>
        </is>
      </c>
      <c r="D25" s="2" t="inlineStr">
        <is>
          <t>R2</t>
        </is>
      </c>
      <c r="E25" s="2" t="inlineStr">
        <is>
          <t>Onboarding (date assumed)</t>
        </is>
      </c>
      <c r="F25" s="30">
        <f>IF(_xlfn.MINIFS($B$2:$B$500,$A$2:$A$500,A25,$B$2:$B$500,"&gt;"&amp;B25)=0,DATE(9999,12,31),_xlfn.MINIFS($B$2:$B$500,$A$2:$A$500,A25,$B$2:$B$500,"&gt;"&amp;B25)-1)</f>
        <v/>
      </c>
      <c r="G25" s="2">
        <f>IF(F25=DATE(9999,12,31),"Y","N")</f>
        <v/>
      </c>
    </row>
    <row r="26">
      <c r="A26" s="33" t="inlineStr">
        <is>
          <t>0057825472</t>
        </is>
      </c>
      <c r="B26" s="30" t="n">
        <v>43831</v>
      </c>
      <c r="C26" s="2" t="inlineStr">
        <is>
          <t>Affluent</t>
        </is>
      </c>
      <c r="D26" s="2" t="inlineStr">
        <is>
          <t>R3</t>
        </is>
      </c>
      <c r="E26" s="2" t="inlineStr">
        <is>
          <t>Onboarding (date assumed)</t>
        </is>
      </c>
      <c r="F26" s="30">
        <f>IF(_xlfn.MINIFS($B$2:$B$500,$A$2:$A$500,A26,$B$2:$B$500,"&gt;"&amp;B26)=0,DATE(9999,12,31),_xlfn.MINIFS($B$2:$B$500,$A$2:$A$500,A26,$B$2:$B$500,"&gt;"&amp;B26)-1)</f>
        <v/>
      </c>
      <c r="G26" s="2">
        <f>IF(F26=DATE(9999,12,31),"Y","N")</f>
        <v/>
      </c>
    </row>
    <row r="27">
      <c r="A27" s="33" t="inlineStr">
        <is>
          <t>0086890319</t>
        </is>
      </c>
      <c r="B27" s="30" t="n">
        <v>43831</v>
      </c>
      <c r="C27" s="2" t="inlineStr">
        <is>
          <t>Mass</t>
        </is>
      </c>
      <c r="D27" s="2" t="inlineStr">
        <is>
          <t>R3</t>
        </is>
      </c>
      <c r="E27" s="2" t="inlineStr">
        <is>
          <t>Onboarding (date assumed)</t>
        </is>
      </c>
      <c r="F27" s="30">
        <f>IF(_xlfn.MINIFS($B$2:$B$500,$A$2:$A$500,A27,$B$2:$B$500,"&gt;"&amp;B27)=0,DATE(9999,12,31),_xlfn.MINIFS($B$2:$B$500,$A$2:$A$500,A27,$B$2:$B$500,"&gt;"&amp;B27)-1)</f>
        <v/>
      </c>
      <c r="G27" s="2">
        <f>IF(F27=DATE(9999,12,31),"Y","N")</f>
        <v/>
      </c>
    </row>
    <row r="28">
      <c r="A28" s="33" t="inlineStr">
        <is>
          <t>0019295191</t>
        </is>
      </c>
      <c r="B28" s="30" t="n">
        <v>43831</v>
      </c>
      <c r="C28" s="2" t="inlineStr">
        <is>
          <t>Affluent</t>
        </is>
      </c>
      <c r="D28" s="2" t="inlineStr">
        <is>
          <t>R5</t>
        </is>
      </c>
      <c r="E28" s="2" t="inlineStr">
        <is>
          <t>Onboarding (date assumed)</t>
        </is>
      </c>
      <c r="F28" s="30">
        <f>IF(_xlfn.MINIFS($B$2:$B$500,$A$2:$A$500,A28,$B$2:$B$500,"&gt;"&amp;B28)=0,DATE(9999,12,31),_xlfn.MINIFS($B$2:$B$500,$A$2:$A$500,A28,$B$2:$B$500,"&gt;"&amp;B28)-1)</f>
        <v/>
      </c>
      <c r="G28" s="2">
        <f>IF(F28=DATE(9999,12,31),"Y","N")</f>
        <v/>
      </c>
    </row>
    <row r="29">
      <c r="A29" s="33" t="inlineStr">
        <is>
          <t>0019295191</t>
        </is>
      </c>
      <c r="B29" s="30" t="n">
        <v>45802</v>
      </c>
      <c r="C29" s="2" t="inlineStr">
        <is>
          <t>Private</t>
        </is>
      </c>
      <c r="D29" s="2" t="inlineStr">
        <is>
          <t>R5</t>
        </is>
      </c>
      <c r="E29" s="2" t="inlineStr">
        <is>
          <t>Segment change</t>
        </is>
      </c>
      <c r="F29" s="30">
        <f>IF(_xlfn.MINIFS($B$2:$B$500,$A$2:$A$500,A29,$B$2:$B$500,"&gt;"&amp;B29)=0,DATE(9999,12,31),_xlfn.MINIFS($B$2:$B$500,$A$2:$A$500,A29,$B$2:$B$500,"&gt;"&amp;B29)-1)</f>
        <v/>
      </c>
      <c r="G29" s="2">
        <f>IF(F29=DATE(9999,12,31),"Y","N")</f>
        <v/>
      </c>
    </row>
    <row r="30">
      <c r="A30" s="33" t="inlineStr">
        <is>
          <t>0057619105</t>
        </is>
      </c>
      <c r="B30" s="30" t="n">
        <v>43831</v>
      </c>
      <c r="C30" s="2" t="inlineStr">
        <is>
          <t>Mass</t>
        </is>
      </c>
      <c r="D30" s="2" t="inlineStr">
        <is>
          <t>R3</t>
        </is>
      </c>
      <c r="E30" s="2" t="inlineStr">
        <is>
          <t>Onboarding (date assumed)</t>
        </is>
      </c>
      <c r="F30" s="30">
        <f>IF(_xlfn.MINIFS($B$2:$B$500,$A$2:$A$500,A30,$B$2:$B$500,"&gt;"&amp;B30)=0,DATE(9999,12,31),_xlfn.MINIFS($B$2:$B$500,$A$2:$A$500,A30,$B$2:$B$500,"&gt;"&amp;B30)-1)</f>
        <v/>
      </c>
      <c r="G30" s="2">
        <f>IF(F30=DATE(9999,12,31),"Y","N")</f>
        <v/>
      </c>
    </row>
    <row r="31">
      <c r="A31" s="33" t="inlineStr">
        <is>
          <t>1003425081</t>
        </is>
      </c>
      <c r="B31" s="30" t="n">
        <v>43831</v>
      </c>
      <c r="C31" s="2" t="inlineStr">
        <is>
          <t>Affluent</t>
        </is>
      </c>
      <c r="D31" s="2" t="inlineStr">
        <is>
          <t>R2</t>
        </is>
      </c>
      <c r="E31" s="2" t="inlineStr">
        <is>
          <t>Onboarding (date assumed)</t>
        </is>
      </c>
      <c r="F31" s="30">
        <f>IF(_xlfn.MINIFS($B$2:$B$500,$A$2:$A$500,A31,$B$2:$B$500,"&gt;"&amp;B31)=0,DATE(9999,12,31),_xlfn.MINIFS($B$2:$B$500,$A$2:$A$500,A31,$B$2:$B$500,"&gt;"&amp;B31)-1)</f>
        <v/>
      </c>
      <c r="G31" s="2">
        <f>IF(F31=DATE(9999,12,31),"Y","N")</f>
        <v/>
      </c>
    </row>
    <row r="32">
      <c r="A32" s="33" t="inlineStr">
        <is>
          <t>1272084999</t>
        </is>
      </c>
      <c r="B32" s="30" t="n">
        <v>43831</v>
      </c>
      <c r="C32" s="2" t="inlineStr">
        <is>
          <t>Mass</t>
        </is>
      </c>
      <c r="D32" s="2" t="inlineStr">
        <is>
          <t>R3</t>
        </is>
      </c>
      <c r="E32" s="2" t="inlineStr">
        <is>
          <t>Onboarding (date assumed)</t>
        </is>
      </c>
      <c r="F32" s="30">
        <f>IF(_xlfn.MINIFS($B$2:$B$500,$A$2:$A$500,A32,$B$2:$B$500,"&gt;"&amp;B32)=0,DATE(9999,12,31),_xlfn.MINIFS($B$2:$B$500,$A$2:$A$500,A32,$B$2:$B$500,"&gt;"&amp;B32)-1)</f>
        <v/>
      </c>
      <c r="G32" s="2">
        <f>IF(F32=DATE(9999,12,31),"Y","N")</f>
        <v/>
      </c>
    </row>
    <row r="33">
      <c r="A33" s="33" t="inlineStr">
        <is>
          <t>1272232039</t>
        </is>
      </c>
      <c r="B33" s="30" t="n">
        <v>43831</v>
      </c>
      <c r="C33" s="2" t="inlineStr">
        <is>
          <t>Private</t>
        </is>
      </c>
      <c r="D33" s="2" t="inlineStr">
        <is>
          <t>R4</t>
        </is>
      </c>
      <c r="E33" s="2" t="inlineStr">
        <is>
          <t>Onboarding (date assumed)</t>
        </is>
      </c>
      <c r="F33" s="30">
        <f>IF(_xlfn.MINIFS($B$2:$B$500,$A$2:$A$500,A33,$B$2:$B$500,"&gt;"&amp;B33)=0,DATE(9999,12,31),_xlfn.MINIFS($B$2:$B$500,$A$2:$A$500,A33,$B$2:$B$500,"&gt;"&amp;B33)-1)</f>
        <v/>
      </c>
      <c r="G33" s="2">
        <f>IF(F33=DATE(9999,12,31),"Y","N")</f>
        <v/>
      </c>
    </row>
    <row r="34">
      <c r="A34" s="33" t="inlineStr">
        <is>
          <t>1345733448</t>
        </is>
      </c>
      <c r="B34" s="30" t="n">
        <v>43831</v>
      </c>
      <c r="C34" s="2" t="inlineStr">
        <is>
          <t>Private</t>
        </is>
      </c>
      <c r="D34" s="2" t="inlineStr">
        <is>
          <t>R3</t>
        </is>
      </c>
      <c r="E34" s="2" t="inlineStr">
        <is>
          <t>Onboarding (date assumed)</t>
        </is>
      </c>
      <c r="F34" s="30">
        <f>IF(_xlfn.MINIFS($B$2:$B$500,$A$2:$A$500,A34,$B$2:$B$500,"&gt;"&amp;B34)=0,DATE(9999,12,31),_xlfn.MINIFS($B$2:$B$500,$A$2:$A$500,A34,$B$2:$B$500,"&gt;"&amp;B34)-1)</f>
        <v/>
      </c>
      <c r="G34" s="2">
        <f>IF(F34=DATE(9999,12,31),"Y","N")</f>
        <v/>
      </c>
    </row>
    <row r="35">
      <c r="A35" s="33" t="inlineStr">
        <is>
          <t>1369982817</t>
        </is>
      </c>
      <c r="B35" s="30" t="n">
        <v>43831</v>
      </c>
      <c r="C35" s="2" t="inlineStr">
        <is>
          <t>Mass</t>
        </is>
      </c>
      <c r="D35" s="2" t="inlineStr">
        <is>
          <t>R1</t>
        </is>
      </c>
      <c r="E35" s="2" t="inlineStr">
        <is>
          <t>Onboarding (date assumed)</t>
        </is>
      </c>
      <c r="F35" s="30">
        <f>IF(_xlfn.MINIFS($B$2:$B$500,$A$2:$A$500,A35,$B$2:$B$500,"&gt;"&amp;B35)=0,DATE(9999,12,31),_xlfn.MINIFS($B$2:$B$500,$A$2:$A$500,A35,$B$2:$B$500,"&gt;"&amp;B35)-1)</f>
        <v/>
      </c>
      <c r="G35" s="2">
        <f>IF(F35=DATE(9999,12,31),"Y","N")</f>
        <v/>
      </c>
    </row>
    <row r="36">
      <c r="A36" s="33" t="inlineStr">
        <is>
          <t>1777759401</t>
        </is>
      </c>
      <c r="B36" s="30" t="n">
        <v>43831</v>
      </c>
      <c r="C36" s="2" t="inlineStr">
        <is>
          <t>Affluent</t>
        </is>
      </c>
      <c r="D36" s="2" t="inlineStr">
        <is>
          <t>R3</t>
        </is>
      </c>
      <c r="E36" s="2" t="inlineStr">
        <is>
          <t>Onboarding (date assumed)</t>
        </is>
      </c>
      <c r="F36" s="30">
        <f>IF(_xlfn.MINIFS($B$2:$B$500,$A$2:$A$500,A36,$B$2:$B$500,"&gt;"&amp;B36)=0,DATE(9999,12,31),_xlfn.MINIFS($B$2:$B$500,$A$2:$A$500,A36,$B$2:$B$500,"&gt;"&amp;B36)-1)</f>
        <v/>
      </c>
      <c r="G36" s="2">
        <f>IF(F36=DATE(9999,12,31),"Y","N")</f>
        <v/>
      </c>
    </row>
    <row r="37">
      <c r="A37" s="33" t="inlineStr">
        <is>
          <t>1809923365</t>
        </is>
      </c>
      <c r="B37" s="30" t="n">
        <v>43831</v>
      </c>
      <c r="C37" s="2" t="inlineStr">
        <is>
          <t>Affluent</t>
        </is>
      </c>
      <c r="D37" s="2" t="inlineStr">
        <is>
          <t>R3</t>
        </is>
      </c>
      <c r="E37" s="2" t="inlineStr">
        <is>
          <t>Onboarding (date assumed)</t>
        </is>
      </c>
      <c r="F37" s="30">
        <f>IF(_xlfn.MINIFS($B$2:$B$500,$A$2:$A$500,A37,$B$2:$B$500,"&gt;"&amp;B37)=0,DATE(9999,12,31),_xlfn.MINIFS($B$2:$B$500,$A$2:$A$500,A37,$B$2:$B$500,"&gt;"&amp;B37)-1)</f>
        <v/>
      </c>
      <c r="G37" s="2">
        <f>IF(F37=DATE(9999,12,31),"Y","N")</f>
        <v/>
      </c>
    </row>
    <row r="38">
      <c r="A38" s="33" t="inlineStr">
        <is>
          <t>1809923365</t>
        </is>
      </c>
      <c r="B38" s="30" t="n">
        <v>45792</v>
      </c>
      <c r="C38" s="2" t="inlineStr">
        <is>
          <t>Private</t>
        </is>
      </c>
      <c r="D38" s="2" t="inlineStr">
        <is>
          <t>R3</t>
        </is>
      </c>
      <c r="E38" s="2" t="inlineStr">
        <is>
          <t>Segment change</t>
        </is>
      </c>
      <c r="F38" s="30">
        <f>IF(_xlfn.MINIFS($B$2:$B$500,$A$2:$A$500,A38,$B$2:$B$500,"&gt;"&amp;B38)=0,DATE(9999,12,31),_xlfn.MINIFS($B$2:$B$500,$A$2:$A$500,A38,$B$2:$B$500,"&gt;"&amp;B38)-1)</f>
        <v/>
      </c>
      <c r="G38" s="2">
        <f>IF(F38=DATE(9999,12,31),"Y","N")</f>
        <v/>
      </c>
    </row>
    <row r="39">
      <c r="A39" s="33" t="inlineStr">
        <is>
          <t>1842303686</t>
        </is>
      </c>
      <c r="B39" s="30" t="n">
        <v>43831</v>
      </c>
      <c r="C39" s="2" t="inlineStr">
        <is>
          <t>Mass</t>
        </is>
      </c>
      <c r="D39" s="2" t="inlineStr">
        <is>
          <t>R5</t>
        </is>
      </c>
      <c r="E39" s="2" t="inlineStr">
        <is>
          <t>Onboarding (date assumed)</t>
        </is>
      </c>
      <c r="F39" s="30">
        <f>IF(_xlfn.MINIFS($B$2:$B$500,$A$2:$A$500,A39,$B$2:$B$500,"&gt;"&amp;B39)=0,DATE(9999,12,31),_xlfn.MINIFS($B$2:$B$500,$A$2:$A$500,A39,$B$2:$B$500,"&gt;"&amp;B39)-1)</f>
        <v/>
      </c>
      <c r="G39" s="2">
        <f>IF(F39=DATE(9999,12,31),"Y","N")</f>
        <v/>
      </c>
    </row>
    <row r="40">
      <c r="A40" s="33" t="inlineStr">
        <is>
          <t>2203391157</t>
        </is>
      </c>
      <c r="B40" s="30" t="n">
        <v>43831</v>
      </c>
      <c r="C40" s="2" t="inlineStr">
        <is>
          <t>Affluent</t>
        </is>
      </c>
      <c r="D40" s="2" t="inlineStr">
        <is>
          <t>R2</t>
        </is>
      </c>
      <c r="E40" s="2" t="inlineStr">
        <is>
          <t>Onboarding (date assumed)</t>
        </is>
      </c>
      <c r="F40" s="30">
        <f>IF(_xlfn.MINIFS($B$2:$B$500,$A$2:$A$500,A40,$B$2:$B$500,"&gt;"&amp;B40)=0,DATE(9999,12,31),_xlfn.MINIFS($B$2:$B$500,$A$2:$A$500,A40,$B$2:$B$500,"&gt;"&amp;B40)-1)</f>
        <v/>
      </c>
      <c r="G40" s="2">
        <f>IF(F40=DATE(9999,12,31),"Y","N")</f>
        <v/>
      </c>
    </row>
    <row r="41">
      <c r="A41" s="33" t="inlineStr">
        <is>
          <t>2203391157</t>
        </is>
      </c>
      <c r="B41" s="30" t="n">
        <v>45717</v>
      </c>
      <c r="C41" s="2" t="inlineStr">
        <is>
          <t>Mass</t>
        </is>
      </c>
      <c r="D41" s="2" t="inlineStr">
        <is>
          <t>R2</t>
        </is>
      </c>
      <c r="E41" s="2" t="inlineStr">
        <is>
          <t>Segment change</t>
        </is>
      </c>
      <c r="F41" s="30">
        <f>IF(_xlfn.MINIFS($B$2:$B$500,$A$2:$A$500,A41,$B$2:$B$500,"&gt;"&amp;B41)=0,DATE(9999,12,31),_xlfn.MINIFS($B$2:$B$500,$A$2:$A$500,A41,$B$2:$B$500,"&gt;"&amp;B41)-1)</f>
        <v/>
      </c>
      <c r="G41" s="2">
        <f>IF(F41=DATE(9999,12,31),"Y","N")</f>
        <v/>
      </c>
    </row>
    <row r="42">
      <c r="A42" s="33" t="inlineStr">
        <is>
          <t>2277513075</t>
        </is>
      </c>
      <c r="B42" s="30" t="n">
        <v>43831</v>
      </c>
      <c r="C42" s="2" t="inlineStr">
        <is>
          <t>Affluent</t>
        </is>
      </c>
      <c r="D42" s="2" t="inlineStr">
        <is>
          <t>R2</t>
        </is>
      </c>
      <c r="E42" s="2" t="inlineStr">
        <is>
          <t>Onboarding (date assumed)</t>
        </is>
      </c>
      <c r="F42" s="30">
        <f>IF(_xlfn.MINIFS($B$2:$B$500,$A$2:$A$500,A42,$B$2:$B$500,"&gt;"&amp;B42)=0,DATE(9999,12,31),_xlfn.MINIFS($B$2:$B$500,$A$2:$A$500,A42,$B$2:$B$500,"&gt;"&amp;B42)-1)</f>
        <v/>
      </c>
      <c r="G42" s="2">
        <f>IF(F42=DATE(9999,12,31),"Y","N")</f>
        <v/>
      </c>
    </row>
    <row r="43">
      <c r="A43" s="33" t="inlineStr">
        <is>
          <t>2277513075</t>
        </is>
      </c>
      <c r="B43" s="30" t="n">
        <v>45784</v>
      </c>
      <c r="C43" s="2" t="inlineStr">
        <is>
          <t>Private</t>
        </is>
      </c>
      <c r="D43" s="2" t="inlineStr">
        <is>
          <t>R2</t>
        </is>
      </c>
      <c r="E43" s="2" t="inlineStr">
        <is>
          <t>Segment change</t>
        </is>
      </c>
      <c r="F43" s="30">
        <f>IF(_xlfn.MINIFS($B$2:$B$500,$A$2:$A$500,A43,$B$2:$B$500,"&gt;"&amp;B43)=0,DATE(9999,12,31),_xlfn.MINIFS($B$2:$B$500,$A$2:$A$500,A43,$B$2:$B$500,"&gt;"&amp;B43)-1)</f>
        <v/>
      </c>
      <c r="G43" s="2">
        <f>IF(F43=DATE(9999,12,31),"Y","N")</f>
        <v/>
      </c>
    </row>
    <row r="44">
      <c r="A44" s="33" t="inlineStr">
        <is>
          <t>2531925273</t>
        </is>
      </c>
      <c r="B44" s="30" t="n">
        <v>43831</v>
      </c>
      <c r="C44" s="2" t="inlineStr">
        <is>
          <t>Affluent</t>
        </is>
      </c>
      <c r="D44" s="2" t="inlineStr">
        <is>
          <t>R4</t>
        </is>
      </c>
      <c r="E44" s="2" t="inlineStr">
        <is>
          <t>Onboarding (date assumed)</t>
        </is>
      </c>
      <c r="F44" s="30">
        <f>IF(_xlfn.MINIFS($B$2:$B$500,$A$2:$A$500,A44,$B$2:$B$500,"&gt;"&amp;B44)=0,DATE(9999,12,31),_xlfn.MINIFS($B$2:$B$500,$A$2:$A$500,A44,$B$2:$B$500,"&gt;"&amp;B44)-1)</f>
        <v/>
      </c>
      <c r="G44" s="2">
        <f>IF(F44=DATE(9999,12,31),"Y","N")</f>
        <v/>
      </c>
    </row>
    <row r="45">
      <c r="A45" s="33" t="inlineStr">
        <is>
          <t>2639172015</t>
        </is>
      </c>
      <c r="B45" s="30" t="n">
        <v>43831</v>
      </c>
      <c r="C45" s="2" t="inlineStr">
        <is>
          <t>Private</t>
        </is>
      </c>
      <c r="D45" s="2" t="inlineStr">
        <is>
          <t>R5</t>
        </is>
      </c>
      <c r="E45" s="2" t="inlineStr">
        <is>
          <t>Onboarding (date assumed)</t>
        </is>
      </c>
      <c r="F45" s="30">
        <f>IF(_xlfn.MINIFS($B$2:$B$500,$A$2:$A$500,A45,$B$2:$B$500,"&gt;"&amp;B45)=0,DATE(9999,12,31),_xlfn.MINIFS($B$2:$B$500,$A$2:$A$500,A45,$B$2:$B$500,"&gt;"&amp;B45)-1)</f>
        <v/>
      </c>
      <c r="G45" s="2">
        <f>IF(F45=DATE(9999,12,31),"Y","N")</f>
        <v/>
      </c>
    </row>
    <row r="46">
      <c r="A46" s="33" t="inlineStr">
        <is>
          <t>2751672943</t>
        </is>
      </c>
      <c r="B46" s="30" t="n">
        <v>43831</v>
      </c>
      <c r="C46" s="2" t="inlineStr">
        <is>
          <t>Private</t>
        </is>
      </c>
      <c r="D46" s="2" t="inlineStr">
        <is>
          <t>R4</t>
        </is>
      </c>
      <c r="E46" s="2" t="inlineStr">
        <is>
          <t>Onboarding (date assumed)</t>
        </is>
      </c>
      <c r="F46" s="30">
        <f>IF(_xlfn.MINIFS($B$2:$B$500,$A$2:$A$500,A46,$B$2:$B$500,"&gt;"&amp;B46)=0,DATE(9999,12,31),_xlfn.MINIFS($B$2:$B$500,$A$2:$A$500,A46,$B$2:$B$500,"&gt;"&amp;B46)-1)</f>
        <v/>
      </c>
      <c r="G46" s="2">
        <f>IF(F46=DATE(9999,12,31),"Y","N")</f>
        <v/>
      </c>
    </row>
    <row r="47">
      <c r="A47" s="33" t="inlineStr">
        <is>
          <t>2783886952</t>
        </is>
      </c>
      <c r="B47" s="30" t="n">
        <v>43831</v>
      </c>
      <c r="C47" s="2" t="inlineStr">
        <is>
          <t>Affluent</t>
        </is>
      </c>
      <c r="D47" s="2" t="inlineStr">
        <is>
          <t>R4</t>
        </is>
      </c>
      <c r="E47" s="2" t="inlineStr">
        <is>
          <t>Onboarding (date assumed)</t>
        </is>
      </c>
      <c r="F47" s="30">
        <f>IF(_xlfn.MINIFS($B$2:$B$500,$A$2:$A$500,A47,$B$2:$B$500,"&gt;"&amp;B47)=0,DATE(9999,12,31),_xlfn.MINIFS($B$2:$B$500,$A$2:$A$500,A47,$B$2:$B$500,"&gt;"&amp;B47)-1)</f>
        <v/>
      </c>
      <c r="G47" s="2">
        <f>IF(F47=DATE(9999,12,31),"Y","N")</f>
        <v/>
      </c>
    </row>
    <row r="48">
      <c r="A48" s="33" t="inlineStr">
        <is>
          <t>2783886952</t>
        </is>
      </c>
      <c r="B48" s="30" t="n">
        <v>45729</v>
      </c>
      <c r="C48" s="2" t="inlineStr">
        <is>
          <t>Affluent</t>
        </is>
      </c>
      <c r="D48" s="2" t="inlineStr">
        <is>
          <t>R5</t>
        </is>
      </c>
      <c r="E48" s="2" t="inlineStr">
        <is>
          <t>Risk re-assessment</t>
        </is>
      </c>
      <c r="F48" s="30">
        <f>IF(_xlfn.MINIFS($B$2:$B$500,$A$2:$A$500,A48,$B$2:$B$500,"&gt;"&amp;B48)=0,DATE(9999,12,31),_xlfn.MINIFS($B$2:$B$500,$A$2:$A$500,A48,$B$2:$B$500,"&gt;"&amp;B48)-1)</f>
        <v/>
      </c>
      <c r="G48" s="2">
        <f>IF(F48=DATE(9999,12,31),"Y","N")</f>
        <v/>
      </c>
    </row>
    <row r="49">
      <c r="A49" s="33" t="inlineStr">
        <is>
          <t>2897597490</t>
        </is>
      </c>
      <c r="B49" s="30" t="n">
        <v>43831</v>
      </c>
      <c r="C49" s="2" t="inlineStr">
        <is>
          <t>Mass</t>
        </is>
      </c>
      <c r="D49" s="2" t="inlineStr">
        <is>
          <t>R4</t>
        </is>
      </c>
      <c r="E49" s="2" t="inlineStr">
        <is>
          <t>Onboarding (date assumed)</t>
        </is>
      </c>
      <c r="F49" s="30">
        <f>IF(_xlfn.MINIFS($B$2:$B$500,$A$2:$A$500,A49,$B$2:$B$500,"&gt;"&amp;B49)=0,DATE(9999,12,31),_xlfn.MINIFS($B$2:$B$500,$A$2:$A$500,A49,$B$2:$B$500,"&gt;"&amp;B49)-1)</f>
        <v/>
      </c>
      <c r="G49" s="2">
        <f>IF(F49=DATE(9999,12,31),"Y","N")</f>
        <v/>
      </c>
    </row>
    <row r="50">
      <c r="A50" s="33" t="inlineStr">
        <is>
          <t>3179016710</t>
        </is>
      </c>
      <c r="B50" s="30" t="n">
        <v>43831</v>
      </c>
      <c r="C50" s="2" t="inlineStr">
        <is>
          <t>Mass</t>
        </is>
      </c>
      <c r="D50" s="2" t="inlineStr">
        <is>
          <t>R4</t>
        </is>
      </c>
      <c r="E50" s="2" t="inlineStr">
        <is>
          <t>Onboarding (date assumed)</t>
        </is>
      </c>
      <c r="F50" s="30">
        <f>IF(_xlfn.MINIFS($B$2:$B$500,$A$2:$A$500,A50,$B$2:$B$500,"&gt;"&amp;B50)=0,DATE(9999,12,31),_xlfn.MINIFS($B$2:$B$500,$A$2:$A$500,A50,$B$2:$B$500,"&gt;"&amp;B50)-1)</f>
        <v/>
      </c>
      <c r="G50" s="2">
        <f>IF(F50=DATE(9999,12,31),"Y","N")</f>
        <v/>
      </c>
    </row>
    <row r="51">
      <c r="A51" s="33" t="inlineStr">
        <is>
          <t>3207719945</t>
        </is>
      </c>
      <c r="B51" s="30" t="n">
        <v>43831</v>
      </c>
      <c r="C51" s="2" t="inlineStr">
        <is>
          <t>Private</t>
        </is>
      </c>
      <c r="D51" s="2" t="inlineStr">
        <is>
          <t>R5</t>
        </is>
      </c>
      <c r="E51" s="2" t="inlineStr">
        <is>
          <t>Onboarding (date assumed)</t>
        </is>
      </c>
      <c r="F51" s="30">
        <f>IF(_xlfn.MINIFS($B$2:$B$500,$A$2:$A$500,A51,$B$2:$B$500,"&gt;"&amp;B51)=0,DATE(9999,12,31),_xlfn.MINIFS($B$2:$B$500,$A$2:$A$500,A51,$B$2:$B$500,"&gt;"&amp;B51)-1)</f>
        <v/>
      </c>
      <c r="G51" s="2">
        <f>IF(F51=DATE(9999,12,31),"Y","N")</f>
        <v/>
      </c>
    </row>
    <row r="52">
      <c r="A52" s="33" t="inlineStr">
        <is>
          <t>3328832319</t>
        </is>
      </c>
      <c r="B52" s="30" t="n">
        <v>43831</v>
      </c>
      <c r="C52" s="2" t="inlineStr">
        <is>
          <t>Mass</t>
        </is>
      </c>
      <c r="D52" s="2" t="inlineStr">
        <is>
          <t>R4</t>
        </is>
      </c>
      <c r="E52" s="2" t="inlineStr">
        <is>
          <t>Onboarding (date assumed)</t>
        </is>
      </c>
      <c r="F52" s="30">
        <f>IF(_xlfn.MINIFS($B$2:$B$500,$A$2:$A$500,A52,$B$2:$B$500,"&gt;"&amp;B52)=0,DATE(9999,12,31),_xlfn.MINIFS($B$2:$B$500,$A$2:$A$500,A52,$B$2:$B$500,"&gt;"&amp;B52)-1)</f>
        <v/>
      </c>
      <c r="G52" s="2">
        <f>IF(F52=DATE(9999,12,31),"Y","N")</f>
        <v/>
      </c>
    </row>
    <row r="53">
      <c r="A53" s="33" t="inlineStr">
        <is>
          <t>3694833017</t>
        </is>
      </c>
      <c r="B53" s="30" t="n">
        <v>43831</v>
      </c>
      <c r="C53" s="2" t="inlineStr">
        <is>
          <t>Mass</t>
        </is>
      </c>
      <c r="D53" s="2" t="inlineStr">
        <is>
          <t>R2</t>
        </is>
      </c>
      <c r="E53" s="2" t="inlineStr">
        <is>
          <t>Onboarding (date assumed)</t>
        </is>
      </c>
      <c r="F53" s="30">
        <f>IF(_xlfn.MINIFS($B$2:$B$500,$A$2:$A$500,A53,$B$2:$B$500,"&gt;"&amp;B53)=0,DATE(9999,12,31),_xlfn.MINIFS($B$2:$B$500,$A$2:$A$500,A53,$B$2:$B$500,"&gt;"&amp;B53)-1)</f>
        <v/>
      </c>
      <c r="G53" s="2">
        <f>IF(F53=DATE(9999,12,31),"Y","N")</f>
        <v/>
      </c>
    </row>
    <row r="54">
      <c r="A54" s="33" t="inlineStr">
        <is>
          <t>3814816203</t>
        </is>
      </c>
      <c r="B54" s="30" t="n">
        <v>43831</v>
      </c>
      <c r="C54" s="2" t="inlineStr">
        <is>
          <t>Affluent</t>
        </is>
      </c>
      <c r="D54" s="2" t="inlineStr">
        <is>
          <t>R2</t>
        </is>
      </c>
      <c r="E54" s="2" t="inlineStr">
        <is>
          <t>Onboarding (date assumed)</t>
        </is>
      </c>
      <c r="F54" s="30">
        <f>IF(_xlfn.MINIFS($B$2:$B$500,$A$2:$A$500,A54,$B$2:$B$500,"&gt;"&amp;B54)=0,DATE(9999,12,31),_xlfn.MINIFS($B$2:$B$500,$A$2:$A$500,A54,$B$2:$B$500,"&gt;"&amp;B54)-1)</f>
        <v/>
      </c>
      <c r="G54" s="2">
        <f>IF(F54=DATE(9999,12,31),"Y","N")</f>
        <v/>
      </c>
    </row>
    <row r="55">
      <c r="A55" s="33" t="inlineStr">
        <is>
          <t>3895453336</t>
        </is>
      </c>
      <c r="B55" s="30" t="n">
        <v>43831</v>
      </c>
      <c r="C55" s="2" t="inlineStr">
        <is>
          <t>Mass</t>
        </is>
      </c>
      <c r="D55" s="2" t="inlineStr">
        <is>
          <t>R5</t>
        </is>
      </c>
      <c r="E55" s="2" t="inlineStr">
        <is>
          <t>Onboarding (date assumed)</t>
        </is>
      </c>
      <c r="F55" s="30">
        <f>IF(_xlfn.MINIFS($B$2:$B$500,$A$2:$A$500,A55,$B$2:$B$500,"&gt;"&amp;B55)=0,DATE(9999,12,31),_xlfn.MINIFS($B$2:$B$500,$A$2:$A$500,A55,$B$2:$B$500,"&gt;"&amp;B55)-1)</f>
        <v/>
      </c>
      <c r="G55" s="2">
        <f>IF(F55=DATE(9999,12,31),"Y","N")</f>
        <v/>
      </c>
    </row>
    <row r="56">
      <c r="A56" s="33" t="inlineStr">
        <is>
          <t>4085391267</t>
        </is>
      </c>
      <c r="B56" s="30" t="n">
        <v>43831</v>
      </c>
      <c r="C56" s="2" t="inlineStr">
        <is>
          <t>Private</t>
        </is>
      </c>
      <c r="D56" s="2" t="inlineStr">
        <is>
          <t>R5</t>
        </is>
      </c>
      <c r="E56" s="2" t="inlineStr">
        <is>
          <t>Onboarding (date assumed)</t>
        </is>
      </c>
      <c r="F56" s="30">
        <f>IF(_xlfn.MINIFS($B$2:$B$500,$A$2:$A$500,A56,$B$2:$B$500,"&gt;"&amp;B56)=0,DATE(9999,12,31),_xlfn.MINIFS($B$2:$B$500,$A$2:$A$500,A56,$B$2:$B$500,"&gt;"&amp;B56)-1)</f>
        <v/>
      </c>
      <c r="G56" s="2">
        <f>IF(F56=DATE(9999,12,31),"Y","N")</f>
        <v/>
      </c>
    </row>
    <row r="57">
      <c r="A57" s="33" t="inlineStr">
        <is>
          <t>4100023781</t>
        </is>
      </c>
      <c r="B57" s="30" t="n">
        <v>43831</v>
      </c>
      <c r="C57" s="2" t="inlineStr">
        <is>
          <t>Affluent</t>
        </is>
      </c>
      <c r="D57" s="2" t="inlineStr">
        <is>
          <t>R3</t>
        </is>
      </c>
      <c r="E57" s="2" t="inlineStr">
        <is>
          <t>Onboarding (date assumed)</t>
        </is>
      </c>
      <c r="F57" s="30">
        <f>IF(_xlfn.MINIFS($B$2:$B$500,$A$2:$A$500,A57,$B$2:$B$500,"&gt;"&amp;B57)=0,DATE(9999,12,31),_xlfn.MINIFS($B$2:$B$500,$A$2:$A$500,A57,$B$2:$B$500,"&gt;"&amp;B57)-1)</f>
        <v/>
      </c>
      <c r="G57" s="2">
        <f>IF(F57=DATE(9999,12,31),"Y","N")</f>
        <v/>
      </c>
    </row>
    <row r="58">
      <c r="A58" s="33" t="inlineStr">
        <is>
          <t>4100023781</t>
        </is>
      </c>
      <c r="B58" s="30" t="n">
        <v>45721</v>
      </c>
      <c r="C58" s="2" t="inlineStr">
        <is>
          <t>Affluent</t>
        </is>
      </c>
      <c r="D58" s="2" t="inlineStr">
        <is>
          <t>R4</t>
        </is>
      </c>
      <c r="E58" s="2" t="inlineStr">
        <is>
          <t>Risk re-assessment</t>
        </is>
      </c>
      <c r="F58" s="30">
        <f>IF(_xlfn.MINIFS($B$2:$B$500,$A$2:$A$500,A58,$B$2:$B$500,"&gt;"&amp;B58)=0,DATE(9999,12,31),_xlfn.MINIFS($B$2:$B$500,$A$2:$A$500,A58,$B$2:$B$500,"&gt;"&amp;B58)-1)</f>
        <v/>
      </c>
      <c r="G58" s="2">
        <f>IF(F58=DATE(9999,12,31),"Y","N")</f>
        <v/>
      </c>
    </row>
    <row r="59">
      <c r="A59" s="33" t="inlineStr">
        <is>
          <t>4206911990</t>
        </is>
      </c>
      <c r="B59" s="30" t="n">
        <v>43831</v>
      </c>
      <c r="C59" s="2" t="inlineStr">
        <is>
          <t>Affluent</t>
        </is>
      </c>
      <c r="D59" s="2" t="inlineStr">
        <is>
          <t>R4</t>
        </is>
      </c>
      <c r="E59" s="2" t="inlineStr">
        <is>
          <t>Onboarding (date assumed)</t>
        </is>
      </c>
      <c r="F59" s="30">
        <f>IF(_xlfn.MINIFS($B$2:$B$500,$A$2:$A$500,A59,$B$2:$B$500,"&gt;"&amp;B59)=0,DATE(9999,12,31),_xlfn.MINIFS($B$2:$B$500,$A$2:$A$500,A59,$B$2:$B$500,"&gt;"&amp;B59)-1)</f>
        <v/>
      </c>
      <c r="G59" s="2">
        <f>IF(F59=DATE(9999,12,31),"Y","N")</f>
        <v/>
      </c>
    </row>
    <row r="60">
      <c r="A60" s="33" t="inlineStr">
        <is>
          <t>4256229846</t>
        </is>
      </c>
      <c r="B60" s="30" t="n">
        <v>43831</v>
      </c>
      <c r="C60" s="2" t="inlineStr">
        <is>
          <t>Mass</t>
        </is>
      </c>
      <c r="D60" s="2" t="inlineStr">
        <is>
          <t>R4</t>
        </is>
      </c>
      <c r="E60" s="2" t="inlineStr">
        <is>
          <t>Onboarding (date assumed)</t>
        </is>
      </c>
      <c r="F60" s="30">
        <f>IF(_xlfn.MINIFS($B$2:$B$500,$A$2:$A$500,A60,$B$2:$B$500,"&gt;"&amp;B60)=0,DATE(9999,12,31),_xlfn.MINIFS($B$2:$B$500,$A$2:$A$500,A60,$B$2:$B$500,"&gt;"&amp;B60)-1)</f>
        <v/>
      </c>
      <c r="G60" s="2">
        <f>IF(F60=DATE(9999,12,31),"Y","N")</f>
        <v/>
      </c>
    </row>
    <row r="61">
      <c r="A61" s="33" t="inlineStr">
        <is>
          <t>4256229846</t>
        </is>
      </c>
      <c r="B61" s="30" t="n">
        <v>45813</v>
      </c>
      <c r="C61" s="2" t="inlineStr">
        <is>
          <t>Mass</t>
        </is>
      </c>
      <c r="D61" s="2" t="inlineStr">
        <is>
          <t>R5</t>
        </is>
      </c>
      <c r="E61" s="2" t="inlineStr">
        <is>
          <t>Risk re-assessment</t>
        </is>
      </c>
      <c r="F61" s="30">
        <f>IF(_xlfn.MINIFS($B$2:$B$500,$A$2:$A$500,A61,$B$2:$B$500,"&gt;"&amp;B61)=0,DATE(9999,12,31),_xlfn.MINIFS($B$2:$B$500,$A$2:$A$500,A61,$B$2:$B$500,"&gt;"&amp;B61)-1)</f>
        <v/>
      </c>
      <c r="G61" s="2">
        <f>IF(F61=DATE(9999,12,31),"Y","N")</f>
        <v/>
      </c>
    </row>
    <row r="62">
      <c r="A62" s="33" t="inlineStr">
        <is>
          <t>4309083358</t>
        </is>
      </c>
      <c r="B62" s="30" t="n">
        <v>43831</v>
      </c>
      <c r="C62" s="2" t="inlineStr">
        <is>
          <t>Affluent</t>
        </is>
      </c>
      <c r="D62" s="2" t="inlineStr">
        <is>
          <t>R3</t>
        </is>
      </c>
      <c r="E62" s="2" t="inlineStr">
        <is>
          <t>Onboarding (date assumed)</t>
        </is>
      </c>
      <c r="F62" s="30">
        <f>IF(_xlfn.MINIFS($B$2:$B$500,$A$2:$A$500,A62,$B$2:$B$500,"&gt;"&amp;B62)=0,DATE(9999,12,31),_xlfn.MINIFS($B$2:$B$500,$A$2:$A$500,A62,$B$2:$B$500,"&gt;"&amp;B62)-1)</f>
        <v/>
      </c>
      <c r="G62" s="2">
        <f>IF(F62=DATE(9999,12,31),"Y","N")</f>
        <v/>
      </c>
    </row>
    <row r="63">
      <c r="A63" s="33" t="inlineStr">
        <is>
          <t>4387664751</t>
        </is>
      </c>
      <c r="B63" s="30" t="n">
        <v>43831</v>
      </c>
      <c r="C63" s="2" t="inlineStr">
        <is>
          <t>Mass</t>
        </is>
      </c>
      <c r="D63" s="2" t="inlineStr">
        <is>
          <t>R1</t>
        </is>
      </c>
      <c r="E63" s="2" t="inlineStr">
        <is>
          <t>Onboarding (date assumed)</t>
        </is>
      </c>
      <c r="F63" s="30">
        <f>IF(_xlfn.MINIFS($B$2:$B$500,$A$2:$A$500,A63,$B$2:$B$500,"&gt;"&amp;B63)=0,DATE(9999,12,31),_xlfn.MINIFS($B$2:$B$500,$A$2:$A$500,A63,$B$2:$B$500,"&gt;"&amp;B63)-1)</f>
        <v/>
      </c>
      <c r="G63" s="2">
        <f>IF(F63=DATE(9999,12,31),"Y","N")</f>
        <v/>
      </c>
    </row>
    <row r="64">
      <c r="A64" s="33" t="inlineStr">
        <is>
          <t>4402838304</t>
        </is>
      </c>
      <c r="B64" s="30" t="n">
        <v>43831</v>
      </c>
      <c r="C64" s="2" t="inlineStr">
        <is>
          <t>Mass</t>
        </is>
      </c>
      <c r="D64" s="2" t="inlineStr">
        <is>
          <t>R4</t>
        </is>
      </c>
      <c r="E64" s="2" t="inlineStr">
        <is>
          <t>Onboarding (date assumed)</t>
        </is>
      </c>
      <c r="F64" s="30">
        <f>IF(_xlfn.MINIFS($B$2:$B$500,$A$2:$A$500,A64,$B$2:$B$500,"&gt;"&amp;B64)=0,DATE(9999,12,31),_xlfn.MINIFS($B$2:$B$500,$A$2:$A$500,A64,$B$2:$B$500,"&gt;"&amp;B64)-1)</f>
        <v/>
      </c>
      <c r="G64" s="2">
        <f>IF(F64=DATE(9999,12,31),"Y","N")</f>
        <v/>
      </c>
    </row>
    <row r="65">
      <c r="A65" s="33" t="inlineStr">
        <is>
          <t>5134554812</t>
        </is>
      </c>
      <c r="B65" s="30" t="n">
        <v>43831</v>
      </c>
      <c r="C65" s="2" t="inlineStr">
        <is>
          <t>Mass</t>
        </is>
      </c>
      <c r="D65" s="2" t="inlineStr">
        <is>
          <t>R3</t>
        </is>
      </c>
      <c r="E65" s="2" t="inlineStr">
        <is>
          <t>Onboarding (date assumed)</t>
        </is>
      </c>
      <c r="F65" s="30">
        <f>IF(_xlfn.MINIFS($B$2:$B$500,$A$2:$A$500,A65,$B$2:$B$500,"&gt;"&amp;B65)=0,DATE(9999,12,31),_xlfn.MINIFS($B$2:$B$500,$A$2:$A$500,A65,$B$2:$B$500,"&gt;"&amp;B65)-1)</f>
        <v/>
      </c>
      <c r="G65" s="2">
        <f>IF(F65=DATE(9999,12,31),"Y","N")</f>
        <v/>
      </c>
    </row>
    <row r="66">
      <c r="A66" s="33" t="inlineStr">
        <is>
          <t>5138950247</t>
        </is>
      </c>
      <c r="B66" s="30" t="n">
        <v>43831</v>
      </c>
      <c r="C66" s="2" t="inlineStr">
        <is>
          <t>Private</t>
        </is>
      </c>
      <c r="D66" s="2" t="inlineStr">
        <is>
          <t>R4</t>
        </is>
      </c>
      <c r="E66" s="2" t="inlineStr">
        <is>
          <t>Onboarding (date assumed)</t>
        </is>
      </c>
      <c r="F66" s="30">
        <f>IF(_xlfn.MINIFS($B$2:$B$500,$A$2:$A$500,A66,$B$2:$B$500,"&gt;"&amp;B66)=0,DATE(9999,12,31),_xlfn.MINIFS($B$2:$B$500,$A$2:$A$500,A66,$B$2:$B$500,"&gt;"&amp;B66)-1)</f>
        <v/>
      </c>
      <c r="G66" s="2">
        <f>IF(F66=DATE(9999,12,31),"Y","N")</f>
        <v/>
      </c>
    </row>
    <row r="67">
      <c r="A67" s="33" t="inlineStr">
        <is>
          <t>5185642036</t>
        </is>
      </c>
      <c r="B67" s="30" t="n">
        <v>43831</v>
      </c>
      <c r="C67" s="2" t="inlineStr">
        <is>
          <t>Private</t>
        </is>
      </c>
      <c r="D67" s="2" t="inlineStr">
        <is>
          <t>R5</t>
        </is>
      </c>
      <c r="E67" s="2" t="inlineStr">
        <is>
          <t>Onboarding (date assumed)</t>
        </is>
      </c>
      <c r="F67" s="30">
        <f>IF(_xlfn.MINIFS($B$2:$B$500,$A$2:$A$500,A67,$B$2:$B$500,"&gt;"&amp;B67)=0,DATE(9999,12,31),_xlfn.MINIFS($B$2:$B$500,$A$2:$A$500,A67,$B$2:$B$500,"&gt;"&amp;B67)-1)</f>
        <v/>
      </c>
      <c r="G67" s="2">
        <f>IF(F67=DATE(9999,12,31),"Y","N")</f>
        <v/>
      </c>
    </row>
    <row r="68">
      <c r="A68" s="33" t="inlineStr">
        <is>
          <t>5379913896</t>
        </is>
      </c>
      <c r="B68" s="30" t="n">
        <v>44060</v>
      </c>
      <c r="C68" s="2" t="inlineStr">
        <is>
          <t>Mass</t>
        </is>
      </c>
      <c r="D68" s="2" t="inlineStr">
        <is>
          <t>R4</t>
        </is>
      </c>
      <c r="E68" s="2" t="inlineStr">
        <is>
          <t>Onboarding (date assumed)</t>
        </is>
      </c>
      <c r="F68" s="30">
        <f>IF(_xlfn.MINIFS($B$2:$B$500,$A$2:$A$500,A68,$B$2:$B$500,"&gt;"&amp;B68)=0,DATE(9999,12,31),_xlfn.MINIFS($B$2:$B$500,$A$2:$A$500,A68,$B$2:$B$500,"&gt;"&amp;B68)-1)</f>
        <v/>
      </c>
      <c r="G68" s="2">
        <f>IF(F68=DATE(9999,12,31),"Y","N")</f>
        <v/>
      </c>
    </row>
    <row r="69">
      <c r="A69" s="33" t="inlineStr">
        <is>
          <t>5505973626</t>
        </is>
      </c>
      <c r="B69" s="30" t="n">
        <v>43831</v>
      </c>
      <c r="C69" s="2" t="inlineStr">
        <is>
          <t>Affluent</t>
        </is>
      </c>
      <c r="D69" s="2" t="inlineStr">
        <is>
          <t>R3</t>
        </is>
      </c>
      <c r="E69" s="2" t="inlineStr">
        <is>
          <t>Onboarding (date assumed)</t>
        </is>
      </c>
      <c r="F69" s="30">
        <f>IF(_xlfn.MINIFS($B$2:$B$500,$A$2:$A$500,A69,$B$2:$B$500,"&gt;"&amp;B69)=0,DATE(9999,12,31),_xlfn.MINIFS($B$2:$B$500,$A$2:$A$500,A69,$B$2:$B$500,"&gt;"&amp;B69)-1)</f>
        <v/>
      </c>
      <c r="G69" s="2">
        <f>IF(F69=DATE(9999,12,31),"Y","N")</f>
        <v/>
      </c>
    </row>
    <row r="70">
      <c r="A70" s="33" t="inlineStr">
        <is>
          <t>5505973626</t>
        </is>
      </c>
      <c r="B70" s="30" t="n">
        <v>45764</v>
      </c>
      <c r="C70" s="2" t="inlineStr">
        <is>
          <t>Affluent</t>
        </is>
      </c>
      <c r="D70" s="2" t="inlineStr">
        <is>
          <t>R4</t>
        </is>
      </c>
      <c r="E70" s="2" t="inlineStr">
        <is>
          <t>Risk re-assessment</t>
        </is>
      </c>
      <c r="F70" s="30">
        <f>IF(_xlfn.MINIFS($B$2:$B$500,$A$2:$A$500,A70,$B$2:$B$500,"&gt;"&amp;B70)=0,DATE(9999,12,31),_xlfn.MINIFS($B$2:$B$500,$A$2:$A$500,A70,$B$2:$B$500,"&gt;"&amp;B70)-1)</f>
        <v/>
      </c>
      <c r="G70" s="2">
        <f>IF(F70=DATE(9999,12,31),"Y","N")</f>
        <v/>
      </c>
    </row>
    <row r="71">
      <c r="A71" s="33" t="inlineStr">
        <is>
          <t>5512098834</t>
        </is>
      </c>
      <c r="B71" s="30" t="n">
        <v>43831</v>
      </c>
      <c r="C71" s="2" t="inlineStr">
        <is>
          <t>Mass</t>
        </is>
      </c>
      <c r="D71" s="2" t="inlineStr">
        <is>
          <t>R3</t>
        </is>
      </c>
      <c r="E71" s="2" t="inlineStr">
        <is>
          <t>Onboarding (date assumed)</t>
        </is>
      </c>
      <c r="F71" s="30">
        <f>IF(_xlfn.MINIFS($B$2:$B$500,$A$2:$A$500,A71,$B$2:$B$500,"&gt;"&amp;B71)=0,DATE(9999,12,31),_xlfn.MINIFS($B$2:$B$500,$A$2:$A$500,A71,$B$2:$B$500,"&gt;"&amp;B71)-1)</f>
        <v/>
      </c>
      <c r="G71" s="2">
        <f>IF(F71=DATE(9999,12,31),"Y","N")</f>
        <v/>
      </c>
    </row>
    <row r="72">
      <c r="A72" s="33" t="inlineStr">
        <is>
          <t>5512098834</t>
        </is>
      </c>
      <c r="B72" s="30" t="n">
        <v>45744</v>
      </c>
      <c r="C72" s="2" t="inlineStr">
        <is>
          <t>Mass</t>
        </is>
      </c>
      <c r="D72" s="2" t="inlineStr">
        <is>
          <t>R4</t>
        </is>
      </c>
      <c r="E72" s="2" t="inlineStr">
        <is>
          <t>Risk re-assessment</t>
        </is>
      </c>
      <c r="F72" s="30">
        <f>IF(_xlfn.MINIFS($B$2:$B$500,$A$2:$A$500,A72,$B$2:$B$500,"&gt;"&amp;B72)=0,DATE(9999,12,31),_xlfn.MINIFS($B$2:$B$500,$A$2:$A$500,A72,$B$2:$B$500,"&gt;"&amp;B72)-1)</f>
        <v/>
      </c>
      <c r="G72" s="2">
        <f>IF(F72=DATE(9999,12,31),"Y","N")</f>
        <v/>
      </c>
    </row>
    <row r="73">
      <c r="A73" s="33" t="inlineStr">
        <is>
          <t>5512098834</t>
        </is>
      </c>
      <c r="B73" s="30" t="n">
        <v>45748</v>
      </c>
      <c r="C73" s="2" t="inlineStr">
        <is>
          <t>Affluent</t>
        </is>
      </c>
      <c r="D73" s="2" t="inlineStr">
        <is>
          <t>R4</t>
        </is>
      </c>
      <c r="E73" s="2" t="inlineStr">
        <is>
          <t>Segment change</t>
        </is>
      </c>
      <c r="F73" s="30">
        <f>IF(_xlfn.MINIFS($B$2:$B$500,$A$2:$A$500,A73,$B$2:$B$500,"&gt;"&amp;B73)=0,DATE(9999,12,31),_xlfn.MINIFS($B$2:$B$500,$A$2:$A$500,A73,$B$2:$B$500,"&gt;"&amp;B73)-1)</f>
        <v/>
      </c>
      <c r="G73" s="2">
        <f>IF(F73=DATE(9999,12,31),"Y","N")</f>
        <v/>
      </c>
    </row>
    <row r="74">
      <c r="A74" s="33" t="inlineStr">
        <is>
          <t>5637223790</t>
        </is>
      </c>
      <c r="B74" s="30" t="n">
        <v>43831</v>
      </c>
      <c r="C74" s="2" t="inlineStr">
        <is>
          <t>Mass</t>
        </is>
      </c>
      <c r="D74" s="2" t="inlineStr">
        <is>
          <t>R5</t>
        </is>
      </c>
      <c r="E74" s="2" t="inlineStr">
        <is>
          <t>Onboarding (date assumed)</t>
        </is>
      </c>
      <c r="F74" s="30">
        <f>IF(_xlfn.MINIFS($B$2:$B$500,$A$2:$A$500,A74,$B$2:$B$500,"&gt;"&amp;B74)=0,DATE(9999,12,31),_xlfn.MINIFS($B$2:$B$500,$A$2:$A$500,A74,$B$2:$B$500,"&gt;"&amp;B74)-1)</f>
        <v/>
      </c>
      <c r="G74" s="2">
        <f>IF(F74=DATE(9999,12,31),"Y","N")</f>
        <v/>
      </c>
    </row>
    <row r="75">
      <c r="A75" s="33" t="inlineStr">
        <is>
          <t>5910720333</t>
        </is>
      </c>
      <c r="B75" s="30" t="n">
        <v>43831</v>
      </c>
      <c r="C75" s="2" t="inlineStr">
        <is>
          <t>Affluent</t>
        </is>
      </c>
      <c r="D75" s="2" t="inlineStr">
        <is>
          <t>R4</t>
        </is>
      </c>
      <c r="E75" s="2" t="inlineStr">
        <is>
          <t>Onboarding (date assumed)</t>
        </is>
      </c>
      <c r="F75" s="30">
        <f>IF(_xlfn.MINIFS($B$2:$B$500,$A$2:$A$500,A75,$B$2:$B$500,"&gt;"&amp;B75)=0,DATE(9999,12,31),_xlfn.MINIFS($B$2:$B$500,$A$2:$A$500,A75,$B$2:$B$500,"&gt;"&amp;B75)-1)</f>
        <v/>
      </c>
      <c r="G75" s="2">
        <f>IF(F75=DATE(9999,12,31),"Y","N")</f>
        <v/>
      </c>
    </row>
    <row r="76">
      <c r="A76" s="33" t="inlineStr">
        <is>
          <t>5990686117</t>
        </is>
      </c>
      <c r="B76" s="30" t="n">
        <v>43831</v>
      </c>
      <c r="C76" s="2" t="inlineStr">
        <is>
          <t>Affluent</t>
        </is>
      </c>
      <c r="D76" s="2" t="inlineStr">
        <is>
          <t>R4</t>
        </is>
      </c>
      <c r="E76" s="2" t="inlineStr">
        <is>
          <t>Onboarding (date assumed)</t>
        </is>
      </c>
      <c r="F76" s="30">
        <f>IF(_xlfn.MINIFS($B$2:$B$500,$A$2:$A$500,A76,$B$2:$B$500,"&gt;"&amp;B76)=0,DATE(9999,12,31),_xlfn.MINIFS($B$2:$B$500,$A$2:$A$500,A76,$B$2:$B$500,"&gt;"&amp;B76)-1)</f>
        <v/>
      </c>
      <c r="G76" s="2">
        <f>IF(F76=DATE(9999,12,31),"Y","N")</f>
        <v/>
      </c>
    </row>
    <row r="77">
      <c r="A77" s="33" t="inlineStr">
        <is>
          <t>6106674386</t>
        </is>
      </c>
      <c r="B77" s="30" t="n">
        <v>43831</v>
      </c>
      <c r="C77" s="2" t="inlineStr">
        <is>
          <t>Mass</t>
        </is>
      </c>
      <c r="D77" s="2" t="inlineStr">
        <is>
          <t>R3</t>
        </is>
      </c>
      <c r="E77" s="2" t="inlineStr">
        <is>
          <t>Onboarding (date assumed)</t>
        </is>
      </c>
      <c r="F77" s="30">
        <f>IF(_xlfn.MINIFS($B$2:$B$500,$A$2:$A$500,A77,$B$2:$B$500,"&gt;"&amp;B77)=0,DATE(9999,12,31),_xlfn.MINIFS($B$2:$B$500,$A$2:$A$500,A77,$B$2:$B$500,"&gt;"&amp;B77)-1)</f>
        <v/>
      </c>
      <c r="G77" s="2">
        <f>IF(F77=DATE(9999,12,31),"Y","N")</f>
        <v/>
      </c>
    </row>
    <row r="78">
      <c r="A78" s="33" t="inlineStr">
        <is>
          <t>6130984472</t>
        </is>
      </c>
      <c r="B78" s="30" t="n">
        <v>43831</v>
      </c>
      <c r="C78" s="2" t="inlineStr">
        <is>
          <t>Mass</t>
        </is>
      </c>
      <c r="D78" s="2" t="inlineStr">
        <is>
          <t>R1</t>
        </is>
      </c>
      <c r="E78" s="2" t="inlineStr">
        <is>
          <t>Onboarding (date assumed)</t>
        </is>
      </c>
      <c r="F78" s="30">
        <f>IF(_xlfn.MINIFS($B$2:$B$500,$A$2:$A$500,A78,$B$2:$B$500,"&gt;"&amp;B78)=0,DATE(9999,12,31),_xlfn.MINIFS($B$2:$B$500,$A$2:$A$500,A78,$B$2:$B$500,"&gt;"&amp;B78)-1)</f>
        <v/>
      </c>
      <c r="G78" s="2">
        <f>IF(F78=DATE(9999,12,31),"Y","N")</f>
        <v/>
      </c>
    </row>
    <row r="79">
      <c r="A79" s="33" t="inlineStr">
        <is>
          <t>6429278715</t>
        </is>
      </c>
      <c r="B79" s="30" t="n">
        <v>43831</v>
      </c>
      <c r="C79" s="2" t="inlineStr">
        <is>
          <t>Private</t>
        </is>
      </c>
      <c r="D79" s="2" t="inlineStr">
        <is>
          <t>R4</t>
        </is>
      </c>
      <c r="E79" s="2" t="inlineStr">
        <is>
          <t>Onboarding (date assumed)</t>
        </is>
      </c>
      <c r="F79" s="30">
        <f>IF(_xlfn.MINIFS($B$2:$B$500,$A$2:$A$500,A79,$B$2:$B$500,"&gt;"&amp;B79)=0,DATE(9999,12,31),_xlfn.MINIFS($B$2:$B$500,$A$2:$A$500,A79,$B$2:$B$500,"&gt;"&amp;B79)-1)</f>
        <v/>
      </c>
      <c r="G79" s="2">
        <f>IF(F79=DATE(9999,12,31),"Y","N")</f>
        <v/>
      </c>
    </row>
    <row r="80">
      <c r="A80" s="33" t="inlineStr">
        <is>
          <t>6712542998</t>
        </is>
      </c>
      <c r="B80" s="30" t="n">
        <v>43831</v>
      </c>
      <c r="C80" s="2" t="inlineStr">
        <is>
          <t>Affluent</t>
        </is>
      </c>
      <c r="D80" s="2" t="inlineStr">
        <is>
          <t>R3</t>
        </is>
      </c>
      <c r="E80" s="2" t="inlineStr">
        <is>
          <t>Onboarding (date assumed)</t>
        </is>
      </c>
      <c r="F80" s="30">
        <f>IF(_xlfn.MINIFS($B$2:$B$500,$A$2:$A$500,A80,$B$2:$B$500,"&gt;"&amp;B80)=0,DATE(9999,12,31),_xlfn.MINIFS($B$2:$B$500,$A$2:$A$500,A80,$B$2:$B$500,"&gt;"&amp;B80)-1)</f>
        <v/>
      </c>
      <c r="G80" s="2">
        <f>IF(F80=DATE(9999,12,31),"Y","N")</f>
        <v/>
      </c>
    </row>
    <row r="81">
      <c r="A81" s="33" t="inlineStr">
        <is>
          <t>6737003611</t>
        </is>
      </c>
      <c r="B81" s="30" t="n">
        <v>43831</v>
      </c>
      <c r="C81" s="2" t="inlineStr">
        <is>
          <t>Mass</t>
        </is>
      </c>
      <c r="D81" s="2" t="inlineStr">
        <is>
          <t>R3</t>
        </is>
      </c>
      <c r="E81" s="2" t="inlineStr">
        <is>
          <t>Onboarding (date assumed)</t>
        </is>
      </c>
      <c r="F81" s="30">
        <f>IF(_xlfn.MINIFS($B$2:$B$500,$A$2:$A$500,A81,$B$2:$B$500,"&gt;"&amp;B81)=0,DATE(9999,12,31),_xlfn.MINIFS($B$2:$B$500,$A$2:$A$500,A81,$B$2:$B$500,"&gt;"&amp;B81)-1)</f>
        <v/>
      </c>
      <c r="G81" s="2">
        <f>IF(F81=DATE(9999,12,31),"Y","N")</f>
        <v/>
      </c>
    </row>
    <row r="82">
      <c r="A82" s="33" t="inlineStr">
        <is>
          <t>6989217536</t>
        </is>
      </c>
      <c r="B82" s="30" t="n">
        <v>43831</v>
      </c>
      <c r="C82" s="2" t="inlineStr">
        <is>
          <t>Affluent</t>
        </is>
      </c>
      <c r="D82" s="2" t="inlineStr">
        <is>
          <t>R3</t>
        </is>
      </c>
      <c r="E82" s="2" t="inlineStr">
        <is>
          <t>Onboarding (date assumed)</t>
        </is>
      </c>
      <c r="F82" s="30">
        <f>IF(_xlfn.MINIFS($B$2:$B$500,$A$2:$A$500,A82,$B$2:$B$500,"&gt;"&amp;B82)=0,DATE(9999,12,31),_xlfn.MINIFS($B$2:$B$500,$A$2:$A$500,A82,$B$2:$B$500,"&gt;"&amp;B82)-1)</f>
        <v/>
      </c>
      <c r="G82" s="2">
        <f>IF(F82=DATE(9999,12,31),"Y","N")</f>
        <v/>
      </c>
    </row>
    <row r="83">
      <c r="A83" s="33" t="inlineStr">
        <is>
          <t>7186063045</t>
        </is>
      </c>
      <c r="B83" s="30" t="n">
        <v>43831</v>
      </c>
      <c r="C83" s="2" t="inlineStr">
        <is>
          <t>Affluent</t>
        </is>
      </c>
      <c r="D83" s="2" t="inlineStr">
        <is>
          <t>R3</t>
        </is>
      </c>
      <c r="E83" s="2" t="inlineStr">
        <is>
          <t>Onboarding (date assumed)</t>
        </is>
      </c>
      <c r="F83" s="30">
        <f>IF(_xlfn.MINIFS($B$2:$B$500,$A$2:$A$500,A83,$B$2:$B$500,"&gt;"&amp;B83)=0,DATE(9999,12,31),_xlfn.MINIFS($B$2:$B$500,$A$2:$A$500,A83,$B$2:$B$500,"&gt;"&amp;B83)-1)</f>
        <v/>
      </c>
      <c r="G83" s="2">
        <f>IF(F83=DATE(9999,12,31),"Y","N")</f>
        <v/>
      </c>
    </row>
    <row r="84">
      <c r="A84" s="33" t="inlineStr">
        <is>
          <t>7186063045</t>
        </is>
      </c>
      <c r="B84" s="30" t="n">
        <v>45796</v>
      </c>
      <c r="C84" s="2" t="inlineStr">
        <is>
          <t>Private</t>
        </is>
      </c>
      <c r="D84" s="2" t="inlineStr">
        <is>
          <t>R3</t>
        </is>
      </c>
      <c r="E84" s="2" t="inlineStr">
        <is>
          <t>Segment change</t>
        </is>
      </c>
      <c r="F84" s="30">
        <f>IF(_xlfn.MINIFS($B$2:$B$500,$A$2:$A$500,A84,$B$2:$B$500,"&gt;"&amp;B84)=0,DATE(9999,12,31),_xlfn.MINIFS($B$2:$B$500,$A$2:$A$500,A84,$B$2:$B$500,"&gt;"&amp;B84)-1)</f>
        <v/>
      </c>
      <c r="G84" s="2">
        <f>IF(F84=DATE(9999,12,31),"Y","N")</f>
        <v/>
      </c>
    </row>
    <row r="85">
      <c r="A85" s="33" t="inlineStr">
        <is>
          <t>7504397999</t>
        </is>
      </c>
      <c r="B85" s="30" t="n">
        <v>43831</v>
      </c>
      <c r="C85" s="2" t="inlineStr">
        <is>
          <t>Private</t>
        </is>
      </c>
      <c r="D85" s="2" t="inlineStr">
        <is>
          <t>R3</t>
        </is>
      </c>
      <c r="E85" s="2" t="inlineStr">
        <is>
          <t>Onboarding (date assumed)</t>
        </is>
      </c>
      <c r="F85" s="30">
        <f>IF(_xlfn.MINIFS($B$2:$B$500,$A$2:$A$500,A85,$B$2:$B$500,"&gt;"&amp;B85)=0,DATE(9999,12,31),_xlfn.MINIFS($B$2:$B$500,$A$2:$A$500,A85,$B$2:$B$500,"&gt;"&amp;B85)-1)</f>
        <v/>
      </c>
      <c r="G85" s="2">
        <f>IF(F85=DATE(9999,12,31),"Y","N")</f>
        <v/>
      </c>
    </row>
    <row r="86">
      <c r="A86" s="33" t="inlineStr">
        <is>
          <t>7569827088</t>
        </is>
      </c>
      <c r="B86" s="30" t="n">
        <v>43831</v>
      </c>
      <c r="C86" s="2" t="inlineStr">
        <is>
          <t>Affluent</t>
        </is>
      </c>
      <c r="D86" s="2" t="inlineStr">
        <is>
          <t>R3</t>
        </is>
      </c>
      <c r="E86" s="2" t="inlineStr">
        <is>
          <t>Onboarding (date assumed)</t>
        </is>
      </c>
      <c r="F86" s="30">
        <f>IF(_xlfn.MINIFS($B$2:$B$500,$A$2:$A$500,A86,$B$2:$B$500,"&gt;"&amp;B86)=0,DATE(9999,12,31),_xlfn.MINIFS($B$2:$B$500,$A$2:$A$500,A86,$B$2:$B$500,"&gt;"&amp;B86)-1)</f>
        <v/>
      </c>
      <c r="G86" s="2">
        <f>IF(F86=DATE(9999,12,31),"Y","N")</f>
        <v/>
      </c>
    </row>
    <row r="87">
      <c r="A87" s="33" t="inlineStr">
        <is>
          <t>7569827088</t>
        </is>
      </c>
      <c r="B87" s="30" t="n">
        <v>45696</v>
      </c>
      <c r="C87" s="2" t="inlineStr">
        <is>
          <t>Affluent</t>
        </is>
      </c>
      <c r="D87" s="2" t="inlineStr">
        <is>
          <t>R4</t>
        </is>
      </c>
      <c r="E87" s="2" t="inlineStr">
        <is>
          <t>Risk re-assessment</t>
        </is>
      </c>
      <c r="F87" s="30">
        <f>IF(_xlfn.MINIFS($B$2:$B$500,$A$2:$A$500,A87,$B$2:$B$500,"&gt;"&amp;B87)=0,DATE(9999,12,31),_xlfn.MINIFS($B$2:$B$500,$A$2:$A$500,A87,$B$2:$B$500,"&gt;"&amp;B87)-1)</f>
        <v/>
      </c>
      <c r="G87" s="2">
        <f>IF(F87=DATE(9999,12,31),"Y","N")</f>
        <v/>
      </c>
    </row>
    <row r="88">
      <c r="A88" s="33" t="inlineStr">
        <is>
          <t>7667641457</t>
        </is>
      </c>
      <c r="B88" s="30" t="n">
        <v>43831</v>
      </c>
      <c r="C88" s="2" t="inlineStr">
        <is>
          <t>Mass</t>
        </is>
      </c>
      <c r="D88" s="2" t="inlineStr">
        <is>
          <t>R2</t>
        </is>
      </c>
      <c r="E88" s="2" t="inlineStr">
        <is>
          <t>Onboarding (date assumed)</t>
        </is>
      </c>
      <c r="F88" s="30">
        <f>IF(_xlfn.MINIFS($B$2:$B$500,$A$2:$A$500,A88,$B$2:$B$500,"&gt;"&amp;B88)=0,DATE(9999,12,31),_xlfn.MINIFS($B$2:$B$500,$A$2:$A$500,A88,$B$2:$B$500,"&gt;"&amp;B88)-1)</f>
        <v/>
      </c>
      <c r="G88" s="2">
        <f>IF(F88=DATE(9999,12,31),"Y","N")</f>
        <v/>
      </c>
    </row>
    <row r="89">
      <c r="A89" s="33" t="inlineStr">
        <is>
          <t>7667641457</t>
        </is>
      </c>
      <c r="B89" s="30" t="n">
        <v>45803</v>
      </c>
      <c r="C89" s="2" t="inlineStr">
        <is>
          <t>Affluent</t>
        </is>
      </c>
      <c r="D89" s="2" t="inlineStr">
        <is>
          <t>R2</t>
        </is>
      </c>
      <c r="E89" s="2" t="inlineStr">
        <is>
          <t>Segment change</t>
        </is>
      </c>
      <c r="F89" s="30">
        <f>IF(_xlfn.MINIFS($B$2:$B$500,$A$2:$A$500,A89,$B$2:$B$500,"&gt;"&amp;B89)=0,DATE(9999,12,31),_xlfn.MINIFS($B$2:$B$500,$A$2:$A$500,A89,$B$2:$B$500,"&gt;"&amp;B89)-1)</f>
        <v/>
      </c>
      <c r="G89" s="2">
        <f>IF(F89=DATE(9999,12,31),"Y","N")</f>
        <v/>
      </c>
    </row>
    <row r="90">
      <c r="A90" s="33" t="inlineStr">
        <is>
          <t>7745016628</t>
        </is>
      </c>
      <c r="B90" s="30" t="n">
        <v>43831</v>
      </c>
      <c r="C90" s="2" t="inlineStr">
        <is>
          <t>Private</t>
        </is>
      </c>
      <c r="D90" s="2" t="inlineStr">
        <is>
          <t>R5</t>
        </is>
      </c>
      <c r="E90" s="2" t="inlineStr">
        <is>
          <t>Onboarding (date assumed)</t>
        </is>
      </c>
      <c r="F90" s="30">
        <f>IF(_xlfn.MINIFS($B$2:$B$500,$A$2:$A$500,A90,$B$2:$B$500,"&gt;"&amp;B90)=0,DATE(9999,12,31),_xlfn.MINIFS($B$2:$B$500,$A$2:$A$500,A90,$B$2:$B$500,"&gt;"&amp;B90)-1)</f>
        <v/>
      </c>
      <c r="G90" s="2">
        <f>IF(F90=DATE(9999,12,31),"Y","N")</f>
        <v/>
      </c>
    </row>
    <row r="91">
      <c r="A91" s="33" t="inlineStr">
        <is>
          <t>8355315526</t>
        </is>
      </c>
      <c r="B91" s="30" t="n">
        <v>43831</v>
      </c>
      <c r="C91" s="2" t="inlineStr">
        <is>
          <t>Affluent</t>
        </is>
      </c>
      <c r="D91" s="2" t="inlineStr">
        <is>
          <t>R4</t>
        </is>
      </c>
      <c r="E91" s="2" t="inlineStr">
        <is>
          <t>Onboarding (date assumed)</t>
        </is>
      </c>
      <c r="F91" s="30">
        <f>IF(_xlfn.MINIFS($B$2:$B$500,$A$2:$A$500,A91,$B$2:$B$500,"&gt;"&amp;B91)=0,DATE(9999,12,31),_xlfn.MINIFS($B$2:$B$500,$A$2:$A$500,A91,$B$2:$B$500,"&gt;"&amp;B91)-1)</f>
        <v/>
      </c>
      <c r="G91" s="2">
        <f>IF(F91=DATE(9999,12,31),"Y","N")</f>
        <v/>
      </c>
    </row>
    <row r="92">
      <c r="A92" s="33" t="inlineStr">
        <is>
          <t>8383656346</t>
        </is>
      </c>
      <c r="B92" s="30" t="n">
        <v>43831</v>
      </c>
      <c r="C92" s="2" t="inlineStr">
        <is>
          <t>Mass</t>
        </is>
      </c>
      <c r="D92" s="2" t="inlineStr">
        <is>
          <t>R3</t>
        </is>
      </c>
      <c r="E92" s="2" t="inlineStr">
        <is>
          <t>Onboarding (date assumed)</t>
        </is>
      </c>
      <c r="F92" s="30">
        <f>IF(_xlfn.MINIFS($B$2:$B$500,$A$2:$A$500,A92,$B$2:$B$500,"&gt;"&amp;B92)=0,DATE(9999,12,31),_xlfn.MINIFS($B$2:$B$500,$A$2:$A$500,A92,$B$2:$B$500,"&gt;"&amp;B92)-1)</f>
        <v/>
      </c>
      <c r="G92" s="2">
        <f>IF(F92=DATE(9999,12,31),"Y","N")</f>
        <v/>
      </c>
    </row>
    <row r="93">
      <c r="A93" s="33" t="inlineStr">
        <is>
          <t>8487706006</t>
        </is>
      </c>
      <c r="B93" s="30" t="n">
        <v>43831</v>
      </c>
      <c r="C93" s="2" t="inlineStr">
        <is>
          <t>Private</t>
        </is>
      </c>
      <c r="D93" s="2" t="inlineStr">
        <is>
          <t>R4</t>
        </is>
      </c>
      <c r="E93" s="2" t="inlineStr">
        <is>
          <t>Onboarding (date assumed)</t>
        </is>
      </c>
      <c r="F93" s="30">
        <f>IF(_xlfn.MINIFS($B$2:$B$500,$A$2:$A$500,A93,$B$2:$B$500,"&gt;"&amp;B93)=0,DATE(9999,12,31),_xlfn.MINIFS($B$2:$B$500,$A$2:$A$500,A93,$B$2:$B$500,"&gt;"&amp;B93)-1)</f>
        <v/>
      </c>
      <c r="G93" s="2">
        <f>IF(F93=DATE(9999,12,31),"Y","N")</f>
        <v/>
      </c>
    </row>
    <row r="94">
      <c r="A94" s="33" t="inlineStr">
        <is>
          <t>8523286479</t>
        </is>
      </c>
      <c r="B94" s="30" t="n">
        <v>43831</v>
      </c>
      <c r="C94" s="2" t="inlineStr">
        <is>
          <t>Affluent</t>
        </is>
      </c>
      <c r="D94" s="2" t="inlineStr">
        <is>
          <t>R3</t>
        </is>
      </c>
      <c r="E94" s="2" t="inlineStr">
        <is>
          <t>Onboarding (date assumed)</t>
        </is>
      </c>
      <c r="F94" s="30">
        <f>IF(_xlfn.MINIFS($B$2:$B$500,$A$2:$A$500,A94,$B$2:$B$500,"&gt;"&amp;B94)=0,DATE(9999,12,31),_xlfn.MINIFS($B$2:$B$500,$A$2:$A$500,A94,$B$2:$B$500,"&gt;"&amp;B94)-1)</f>
        <v/>
      </c>
      <c r="G94" s="2">
        <f>IF(F94=DATE(9999,12,31),"Y","N")</f>
        <v/>
      </c>
    </row>
    <row r="95">
      <c r="A95" s="33" t="inlineStr">
        <is>
          <t>8585205808</t>
        </is>
      </c>
      <c r="B95" s="30" t="n">
        <v>43831</v>
      </c>
      <c r="C95" s="2" t="inlineStr">
        <is>
          <t>Mass</t>
        </is>
      </c>
      <c r="D95" s="2" t="inlineStr">
        <is>
          <t>R2</t>
        </is>
      </c>
      <c r="E95" s="2" t="inlineStr">
        <is>
          <t>Onboarding (date assumed)</t>
        </is>
      </c>
      <c r="F95" s="30">
        <f>IF(_xlfn.MINIFS($B$2:$B$500,$A$2:$A$500,A95,$B$2:$B$500,"&gt;"&amp;B95)=0,DATE(9999,12,31),_xlfn.MINIFS($B$2:$B$500,$A$2:$A$500,A95,$B$2:$B$500,"&gt;"&amp;B95)-1)</f>
        <v/>
      </c>
      <c r="G95" s="2">
        <f>IF(F95=DATE(9999,12,31),"Y","N")</f>
        <v/>
      </c>
    </row>
    <row r="96">
      <c r="A96" s="33" t="inlineStr">
        <is>
          <t>8805210249</t>
        </is>
      </c>
      <c r="B96" s="30" t="n">
        <v>43831</v>
      </c>
      <c r="C96" s="2" t="inlineStr">
        <is>
          <t>Mass</t>
        </is>
      </c>
      <c r="D96" s="2" t="inlineStr">
        <is>
          <t>R4</t>
        </is>
      </c>
      <c r="E96" s="2" t="inlineStr">
        <is>
          <t>Onboarding (date assumed)</t>
        </is>
      </c>
      <c r="F96" s="30">
        <f>IF(_xlfn.MINIFS($B$2:$B$500,$A$2:$A$500,A96,$B$2:$B$500,"&gt;"&amp;B96)=0,DATE(9999,12,31),_xlfn.MINIFS($B$2:$B$500,$A$2:$A$500,A96,$B$2:$B$500,"&gt;"&amp;B96)-1)</f>
        <v/>
      </c>
      <c r="G96" s="2">
        <f>IF(F96=DATE(9999,12,31),"Y","N")</f>
        <v/>
      </c>
    </row>
    <row r="97">
      <c r="A97" s="33" t="inlineStr">
        <is>
          <t>8871289681</t>
        </is>
      </c>
      <c r="B97" s="30" t="n">
        <v>43831</v>
      </c>
      <c r="C97" s="2" t="inlineStr">
        <is>
          <t>Affluent</t>
        </is>
      </c>
      <c r="D97" s="2" t="inlineStr">
        <is>
          <t>R3</t>
        </is>
      </c>
      <c r="E97" s="2" t="inlineStr">
        <is>
          <t>Onboarding (date assumed)</t>
        </is>
      </c>
      <c r="F97" s="30">
        <f>IF(_xlfn.MINIFS($B$2:$B$500,$A$2:$A$500,A97,$B$2:$B$500,"&gt;"&amp;B97)=0,DATE(9999,12,31),_xlfn.MINIFS($B$2:$B$500,$A$2:$A$500,A97,$B$2:$B$500,"&gt;"&amp;B97)-1)</f>
        <v/>
      </c>
      <c r="G97" s="2">
        <f>IF(F97=DATE(9999,12,31),"Y","N")</f>
        <v/>
      </c>
    </row>
    <row r="98">
      <c r="A98" s="33" t="inlineStr">
        <is>
          <t>8964346572</t>
        </is>
      </c>
      <c r="B98" s="30" t="n">
        <v>43831</v>
      </c>
      <c r="C98" s="2" t="inlineStr">
        <is>
          <t>Affluent</t>
        </is>
      </c>
      <c r="D98" s="2" t="inlineStr">
        <is>
          <t>R4</t>
        </is>
      </c>
      <c r="E98" s="2" t="inlineStr">
        <is>
          <t>Onboarding (date assumed)</t>
        </is>
      </c>
      <c r="F98" s="30">
        <f>IF(_xlfn.MINIFS($B$2:$B$500,$A$2:$A$500,A98,$B$2:$B$500,"&gt;"&amp;B98)=0,DATE(9999,12,31),_xlfn.MINIFS($B$2:$B$500,$A$2:$A$500,A98,$B$2:$B$500,"&gt;"&amp;B98)-1)</f>
        <v/>
      </c>
      <c r="G98" s="2">
        <f>IF(F98=DATE(9999,12,31),"Y","N")</f>
        <v/>
      </c>
    </row>
    <row r="99">
      <c r="A99" s="33" t="inlineStr">
        <is>
          <t>9448071998</t>
        </is>
      </c>
      <c r="B99" s="30" t="n">
        <v>43831</v>
      </c>
      <c r="C99" s="2" t="inlineStr">
        <is>
          <t>Mass</t>
        </is>
      </c>
      <c r="D99" s="2" t="inlineStr">
        <is>
          <t>R1</t>
        </is>
      </c>
      <c r="E99" s="2" t="inlineStr">
        <is>
          <t>Onboarding (date assumed)</t>
        </is>
      </c>
      <c r="F99" s="30">
        <f>IF(_xlfn.MINIFS($B$2:$B$500,$A$2:$A$500,A99,$B$2:$B$500,"&gt;"&amp;B99)=0,DATE(9999,12,31),_xlfn.MINIFS($B$2:$B$500,$A$2:$A$500,A99,$B$2:$B$500,"&gt;"&amp;B99)-1)</f>
        <v/>
      </c>
      <c r="G99" s="2">
        <f>IF(F99=DATE(9999,12,31),"Y","N")</f>
        <v/>
      </c>
    </row>
    <row r="100">
      <c r="A100" s="33" t="inlineStr">
        <is>
          <t>9567133447</t>
        </is>
      </c>
      <c r="B100" s="30" t="n">
        <v>43831</v>
      </c>
      <c r="C100" s="2" t="inlineStr">
        <is>
          <t>Affluent</t>
        </is>
      </c>
      <c r="D100" s="2" t="inlineStr">
        <is>
          <t>R3</t>
        </is>
      </c>
      <c r="E100" s="2" t="inlineStr">
        <is>
          <t>Onboarding (date assumed)</t>
        </is>
      </c>
      <c r="F100" s="30">
        <f>IF(_xlfn.MINIFS($B$2:$B$500,$A$2:$A$500,A100,$B$2:$B$500,"&gt;"&amp;B100)=0,DATE(9999,12,31),_xlfn.MINIFS($B$2:$B$500,$A$2:$A$500,A100,$B$2:$B$500,"&gt;"&amp;B100)-1)</f>
        <v/>
      </c>
      <c r="G100" s="2">
        <f>IF(F100=DATE(9999,12,31),"Y","N")</f>
        <v/>
      </c>
    </row>
    <row r="101">
      <c r="A101" s="33" t="inlineStr">
        <is>
          <t>9627692505</t>
        </is>
      </c>
      <c r="B101" s="30" t="n">
        <v>43831</v>
      </c>
      <c r="C101" s="2" t="inlineStr">
        <is>
          <t>Private</t>
        </is>
      </c>
      <c r="D101" s="2" t="inlineStr">
        <is>
          <t>R2</t>
        </is>
      </c>
      <c r="E101" s="2" t="inlineStr">
        <is>
          <t>Onboarding (date assumed)</t>
        </is>
      </c>
      <c r="F101" s="30">
        <f>IF(_xlfn.MINIFS($B$2:$B$500,$A$2:$A$500,A101,$B$2:$B$500,"&gt;"&amp;B101)=0,DATE(9999,12,31),_xlfn.MINIFS($B$2:$B$500,$A$2:$A$500,A101,$B$2:$B$500,"&gt;"&amp;B101)-1)</f>
        <v/>
      </c>
      <c r="G101" s="2">
        <f>IF(F101=DATE(9999,12,31),"Y","N")</f>
        <v/>
      </c>
    </row>
    <row r="102">
      <c r="A102" s="33" t="inlineStr">
        <is>
          <t>9794231618</t>
        </is>
      </c>
      <c r="B102" s="30" t="n">
        <v>43831</v>
      </c>
      <c r="C102" s="2" t="inlineStr">
        <is>
          <t>Mass</t>
        </is>
      </c>
      <c r="D102" s="2" t="inlineStr">
        <is>
          <t>R5</t>
        </is>
      </c>
      <c r="E102" s="2" t="inlineStr">
        <is>
          <t>Onboarding (date assumed)</t>
        </is>
      </c>
      <c r="F102" s="30">
        <f>IF(_xlfn.MINIFS($B$2:$B$500,$A$2:$A$500,A102,$B$2:$B$500,"&gt;"&amp;B102)=0,DATE(9999,12,31),_xlfn.MINIFS($B$2:$B$500,$A$2:$A$500,A102,$B$2:$B$500,"&gt;"&amp;B102)-1)</f>
        <v/>
      </c>
      <c r="G102" s="2">
        <f>IF(F102=DATE(9999,12,31),"Y","N")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00B0F0"/>
    <outlinePr summaryBelow="1" summaryRight="1"/>
    <pageSetUpPr/>
  </sheetPr>
  <dimension ref="A1:G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20" customWidth="1" min="4" max="4"/>
    <col width="15" customWidth="1" min="5" max="5"/>
    <col width="22" customWidth="1" min="7" max="7"/>
  </cols>
  <sheetData>
    <row r="1">
      <c r="A1" s="27" t="inlineStr">
        <is>
          <t>currency_code (PK)</t>
        </is>
      </c>
      <c r="B1" s="27" t="inlineStr">
        <is>
          <t>rate_date (PK)</t>
        </is>
      </c>
      <c r="C1" s="27" t="inlineStr">
        <is>
          <t>units_per_usd</t>
        </is>
      </c>
      <c r="D1" s="28" t="inlineStr">
        <is>
          <t>rate_to_hkd (derived)</t>
        </is>
      </c>
      <c r="F1" s="2" t="n"/>
      <c r="G1" s="2" t="n"/>
    </row>
    <row r="2">
      <c r="A2" s="2" t="inlineStr">
        <is>
          <t>USD</t>
        </is>
      </c>
      <c r="B2" s="30" t="n">
        <v>45659</v>
      </c>
      <c r="C2" s="8" t="n">
        <v>1</v>
      </c>
      <c r="D2" s="8">
        <f>SUMIFS($C$2:$C$385,$A$2:$A$385,"HKD",$B$2:$B$385,B2)/C2</f>
        <v/>
      </c>
      <c r="F2" s="29" t="inlineStr">
        <is>
          <t>Daily FX reference: one row per currency per business day, as delivered by a market-data feed.</t>
        </is>
      </c>
      <c r="G2" s="2" t="n"/>
    </row>
    <row r="3">
      <c r="A3" s="2" t="inlineStr">
        <is>
          <t>HKD</t>
        </is>
      </c>
      <c r="B3" s="30" t="n">
        <v>45659</v>
      </c>
      <c r="C3" s="8" t="n">
        <v>7.7827</v>
      </c>
      <c r="D3" s="8">
        <f>SUMIFS($C$2:$C$385,$A$2:$A$385,"HKD",$B$2:$B$385,B3)/C3</f>
        <v/>
      </c>
      <c r="F3" s="29" t="inlineStr">
        <is>
          <t>Source: daily FX rates (USDHKD, USDCNY) pulled from the Wind API / Bloomberg API. The values in this public mock version are illustrative.</t>
        </is>
      </c>
      <c r="G3" s="2" t="n"/>
    </row>
    <row r="4">
      <c r="A4" s="2" t="inlineStr">
        <is>
          <t>CNY</t>
        </is>
      </c>
      <c r="B4" s="30" t="n">
        <v>45659</v>
      </c>
      <c r="C4" s="8" t="n">
        <v>7.3038</v>
      </c>
      <c r="D4" s="8">
        <f>SUMIFS($C$2:$C$385,$A$2:$A$385,"HKD",$B$2:$B$385,B4)/C4</f>
        <v/>
      </c>
      <c r="F4" s="29" t="inlineStr">
        <is>
          <t>units_per_usd = units of the currency per 1 USD (the market quote). rate_to_hkd = HKD per USD / currency per USD on the same day.</t>
        </is>
      </c>
      <c r="G4" s="2" t="n"/>
    </row>
    <row r="5">
      <c r="A5" s="2" t="inlineStr">
        <is>
          <t>USD</t>
        </is>
      </c>
      <c r="B5" s="30" t="n">
        <v>45660</v>
      </c>
      <c r="C5" s="8" t="n">
        <v>1</v>
      </c>
      <c r="D5" s="8">
        <f>SUMIFS($C$2:$C$385,$A$2:$A$385,"HKD",$B$2:$B$385,B5)/C5</f>
        <v/>
      </c>
      <c r="F5" s="29" t="inlineStr">
        <is>
          <t>No rates exist on weekends or holidays, so a sale uses the latest rate ON OR BEFORE its date (as-of lookup, like the branch history).</t>
        </is>
      </c>
      <c r="G5" s="2" t="n"/>
    </row>
    <row r="6">
      <c r="A6" s="2" t="inlineStr">
        <is>
          <t>HKD</t>
        </is>
      </c>
      <c r="B6" s="30" t="n">
        <v>45660</v>
      </c>
      <c r="C6" s="8" t="n">
        <v>7.7886</v>
      </c>
      <c r="D6" s="8">
        <f>SUMIFS($C$2:$C$385,$A$2:$A$385,"HKD",$B$2:$B$385,B6)/C6</f>
        <v/>
      </c>
      <c r="F6" s="29" t="inlineStr">
        <is>
          <t>Key = currency_code + rate_date. The feed only appends new days; existing rows are never edited.</t>
        </is>
      </c>
      <c r="G6" s="2" t="n"/>
    </row>
    <row r="7">
      <c r="A7" s="2" t="inlineStr">
        <is>
          <t>CNY</t>
        </is>
      </c>
      <c r="B7" s="30" t="n">
        <v>45660</v>
      </c>
      <c r="C7" s="8" t="n">
        <v>7.297</v>
      </c>
      <c r="D7" s="8">
        <f>SUMIFS($C$2:$C$385,$A$2:$A$385,"HKD",$B$2:$B$385,B7)/C7</f>
        <v/>
      </c>
      <c r="F7" s="2" t="n"/>
      <c r="G7" s="2" t="n"/>
    </row>
    <row r="8">
      <c r="A8" s="2" t="inlineStr">
        <is>
          <t>USD</t>
        </is>
      </c>
      <c r="B8" s="30" t="n">
        <v>45663</v>
      </c>
      <c r="C8" s="8" t="n">
        <v>1</v>
      </c>
      <c r="D8" s="8">
        <f>SUMIFS($C$2:$C$385,$A$2:$A$385,"HKD",$B$2:$B$385,B8)/C8</f>
        <v/>
      </c>
      <c r="F8" s="2" t="n"/>
      <c r="G8" s="2" t="n"/>
    </row>
    <row r="9">
      <c r="A9" s="2" t="inlineStr">
        <is>
          <t>HKD</t>
        </is>
      </c>
      <c r="B9" s="30" t="n">
        <v>45663</v>
      </c>
      <c r="C9" s="8" t="n">
        <v>7.7807</v>
      </c>
      <c r="D9" s="8">
        <f>SUMIFS($C$2:$C$385,$A$2:$A$385,"HKD",$B$2:$B$385,B9)/C9</f>
        <v/>
      </c>
      <c r="F9" s="2" t="n"/>
      <c r="G9" s="2" t="n"/>
    </row>
    <row r="10">
      <c r="A10" s="2" t="inlineStr">
        <is>
          <t>CNY</t>
        </is>
      </c>
      <c r="B10" s="30" t="n">
        <v>45663</v>
      </c>
      <c r="C10" s="8" t="n">
        <v>7.2955</v>
      </c>
      <c r="D10" s="8">
        <f>SUMIFS($C$2:$C$385,$A$2:$A$385,"HKD",$B$2:$B$385,B10)/C10</f>
        <v/>
      </c>
      <c r="F10" s="2" t="n"/>
      <c r="G10" s="2" t="n"/>
    </row>
    <row r="11">
      <c r="A11" s="2" t="inlineStr">
        <is>
          <t>USD</t>
        </is>
      </c>
      <c r="B11" s="30" t="n">
        <v>45664</v>
      </c>
      <c r="C11" s="8" t="n">
        <v>1</v>
      </c>
      <c r="D11" s="8">
        <f>SUMIFS($C$2:$C$385,$A$2:$A$385,"HKD",$B$2:$B$385,B11)/C11</f>
        <v/>
      </c>
      <c r="F11" s="2" t="n"/>
      <c r="G11" s="2" t="n"/>
    </row>
    <row r="12">
      <c r="A12" s="2" t="inlineStr">
        <is>
          <t>HKD</t>
        </is>
      </c>
      <c r="B12" s="30" t="n">
        <v>45664</v>
      </c>
      <c r="C12" s="8" t="n">
        <v>7.7835</v>
      </c>
      <c r="D12" s="8">
        <f>SUMIFS($C$2:$C$385,$A$2:$A$385,"HKD",$B$2:$B$385,B12)/C12</f>
        <v/>
      </c>
      <c r="F12" s="2" t="n"/>
      <c r="G12" s="2" t="n"/>
    </row>
    <row r="13">
      <c r="A13" s="2" t="inlineStr">
        <is>
          <t>CNY</t>
        </is>
      </c>
      <c r="B13" s="30" t="n">
        <v>45664</v>
      </c>
      <c r="C13" s="8" t="n">
        <v>7.308</v>
      </c>
      <c r="D13" s="8">
        <f>SUMIFS($C$2:$C$385,$A$2:$A$385,"HKD",$B$2:$B$385,B13)/C13</f>
        <v/>
      </c>
      <c r="F13" s="2" t="n"/>
      <c r="G13" s="2" t="n"/>
    </row>
    <row r="14">
      <c r="A14" s="2" t="inlineStr">
        <is>
          <t>USD</t>
        </is>
      </c>
      <c r="B14" s="30" t="n">
        <v>45665</v>
      </c>
      <c r="C14" s="8" t="n">
        <v>1</v>
      </c>
      <c r="D14" s="8">
        <f>SUMIFS($C$2:$C$385,$A$2:$A$385,"HKD",$B$2:$B$385,B14)/C14</f>
        <v/>
      </c>
      <c r="F14" s="2" t="n"/>
      <c r="G14" s="2" t="n"/>
    </row>
    <row r="15">
      <c r="A15" s="2" t="inlineStr">
        <is>
          <t>HKD</t>
        </is>
      </c>
      <c r="B15" s="30" t="n">
        <v>45665</v>
      </c>
      <c r="C15" s="8" t="n">
        <v>7.7762</v>
      </c>
      <c r="D15" s="8">
        <f>SUMIFS($C$2:$C$385,$A$2:$A$385,"HKD",$B$2:$B$385,B15)/C15</f>
        <v/>
      </c>
    </row>
    <row r="16">
      <c r="A16" s="2" t="inlineStr">
        <is>
          <t>CNY</t>
        </is>
      </c>
      <c r="B16" s="30" t="n">
        <v>45665</v>
      </c>
      <c r="C16" s="8" t="n">
        <v>7.2918</v>
      </c>
      <c r="D16" s="8">
        <f>SUMIFS($C$2:$C$385,$A$2:$A$385,"HKD",$B$2:$B$385,B16)/C16</f>
        <v/>
      </c>
    </row>
    <row r="17">
      <c r="A17" s="2" t="inlineStr">
        <is>
          <t>USD</t>
        </is>
      </c>
      <c r="B17" s="30" t="n">
        <v>45666</v>
      </c>
      <c r="C17" s="8" t="n">
        <v>1</v>
      </c>
      <c r="D17" s="8">
        <f>SUMIFS($C$2:$C$385,$A$2:$A$385,"HKD",$B$2:$B$385,B17)/C17</f>
        <v/>
      </c>
    </row>
    <row r="18">
      <c r="A18" s="2" t="inlineStr">
        <is>
          <t>HKD</t>
        </is>
      </c>
      <c r="B18" s="30" t="n">
        <v>45666</v>
      </c>
      <c r="C18" s="8" t="n">
        <v>7.7805</v>
      </c>
      <c r="D18" s="8">
        <f>SUMIFS($C$2:$C$385,$A$2:$A$385,"HKD",$B$2:$B$385,B18)/C18</f>
        <v/>
      </c>
    </row>
    <row r="19">
      <c r="A19" s="2" t="inlineStr">
        <is>
          <t>CNY</t>
        </is>
      </c>
      <c r="B19" s="30" t="n">
        <v>45666</v>
      </c>
      <c r="C19" s="8" t="n">
        <v>7.2967</v>
      </c>
      <c r="D19" s="8">
        <f>SUMIFS($C$2:$C$385,$A$2:$A$385,"HKD",$B$2:$B$385,B19)/C19</f>
        <v/>
      </c>
    </row>
    <row r="20">
      <c r="A20" s="2" t="inlineStr">
        <is>
          <t>USD</t>
        </is>
      </c>
      <c r="B20" s="30" t="n">
        <v>45667</v>
      </c>
      <c r="C20" s="8" t="n">
        <v>1</v>
      </c>
      <c r="D20" s="8">
        <f>SUMIFS($C$2:$C$385,$A$2:$A$385,"HKD",$B$2:$B$385,B20)/C20</f>
        <v/>
      </c>
    </row>
    <row r="21">
      <c r="A21" s="2" t="inlineStr">
        <is>
          <t>HKD</t>
        </is>
      </c>
      <c r="B21" s="30" t="n">
        <v>45667</v>
      </c>
      <c r="C21" s="8" t="n">
        <v>7.7897</v>
      </c>
      <c r="D21" s="8">
        <f>SUMIFS($C$2:$C$385,$A$2:$A$385,"HKD",$B$2:$B$385,B21)/C21</f>
        <v/>
      </c>
    </row>
    <row r="22">
      <c r="A22" s="2" t="inlineStr">
        <is>
          <t>CNY</t>
        </is>
      </c>
      <c r="B22" s="30" t="n">
        <v>45667</v>
      </c>
      <c r="C22" s="8" t="n">
        <v>7.3078</v>
      </c>
      <c r="D22" s="8">
        <f>SUMIFS($C$2:$C$385,$A$2:$A$385,"HKD",$B$2:$B$385,B22)/C22</f>
        <v/>
      </c>
    </row>
    <row r="23">
      <c r="A23" s="2" t="inlineStr">
        <is>
          <t>USD</t>
        </is>
      </c>
      <c r="B23" s="30" t="n">
        <v>45670</v>
      </c>
      <c r="C23" s="8" t="n">
        <v>1</v>
      </c>
      <c r="D23" s="8">
        <f>SUMIFS($C$2:$C$385,$A$2:$A$385,"HKD",$B$2:$B$385,B23)/C23</f>
        <v/>
      </c>
    </row>
    <row r="24">
      <c r="A24" s="2" t="inlineStr">
        <is>
          <t>HKD</t>
        </is>
      </c>
      <c r="B24" s="30" t="n">
        <v>45670</v>
      </c>
      <c r="C24" s="8" t="n">
        <v>7.7891</v>
      </c>
      <c r="D24" s="8">
        <f>SUMIFS($C$2:$C$385,$A$2:$A$385,"HKD",$B$2:$B$385,B24)/C24</f>
        <v/>
      </c>
    </row>
    <row r="25">
      <c r="A25" s="2" t="inlineStr">
        <is>
          <t>CNY</t>
        </is>
      </c>
      <c r="B25" s="30" t="n">
        <v>45670</v>
      </c>
      <c r="C25" s="8" t="n">
        <v>7.3038</v>
      </c>
      <c r="D25" s="8">
        <f>SUMIFS($C$2:$C$385,$A$2:$A$385,"HKD",$B$2:$B$385,B25)/C25</f>
        <v/>
      </c>
    </row>
    <row r="26">
      <c r="A26" s="2" t="inlineStr">
        <is>
          <t>USD</t>
        </is>
      </c>
      <c r="B26" s="30" t="n">
        <v>45671</v>
      </c>
      <c r="C26" s="8" t="n">
        <v>1</v>
      </c>
      <c r="D26" s="8">
        <f>SUMIFS($C$2:$C$385,$A$2:$A$385,"HKD",$B$2:$B$385,B26)/C26</f>
        <v/>
      </c>
    </row>
    <row r="27">
      <c r="A27" s="2" t="inlineStr">
        <is>
          <t>HKD</t>
        </is>
      </c>
      <c r="B27" s="30" t="n">
        <v>45671</v>
      </c>
      <c r="C27" s="8" t="n">
        <v>7.8045</v>
      </c>
      <c r="D27" s="8">
        <f>SUMIFS($C$2:$C$385,$A$2:$A$385,"HKD",$B$2:$B$385,B27)/C27</f>
        <v/>
      </c>
    </row>
    <row r="28">
      <c r="A28" s="2" t="inlineStr">
        <is>
          <t>CNY</t>
        </is>
      </c>
      <c r="B28" s="30" t="n">
        <v>45671</v>
      </c>
      <c r="C28" s="8" t="n">
        <v>7.2997</v>
      </c>
      <c r="D28" s="8">
        <f>SUMIFS($C$2:$C$385,$A$2:$A$385,"HKD",$B$2:$B$385,B28)/C28</f>
        <v/>
      </c>
    </row>
    <row r="29">
      <c r="A29" s="2" t="inlineStr">
        <is>
          <t>USD</t>
        </is>
      </c>
      <c r="B29" s="30" t="n">
        <v>45672</v>
      </c>
      <c r="C29" s="8" t="n">
        <v>1</v>
      </c>
      <c r="D29" s="8">
        <f>SUMIFS($C$2:$C$385,$A$2:$A$385,"HKD",$B$2:$B$385,B29)/C29</f>
        <v/>
      </c>
    </row>
    <row r="30">
      <c r="A30" s="2" t="inlineStr">
        <is>
          <t>HKD</t>
        </is>
      </c>
      <c r="B30" s="30" t="n">
        <v>45672</v>
      </c>
      <c r="C30" s="8" t="n">
        <v>7.7998</v>
      </c>
      <c r="D30" s="8">
        <f>SUMIFS($C$2:$C$385,$A$2:$A$385,"HKD",$B$2:$B$385,B30)/C30</f>
        <v/>
      </c>
    </row>
    <row r="31">
      <c r="A31" s="2" t="inlineStr">
        <is>
          <t>CNY</t>
        </is>
      </c>
      <c r="B31" s="30" t="n">
        <v>45672</v>
      </c>
      <c r="C31" s="8" t="n">
        <v>7.2853</v>
      </c>
      <c r="D31" s="8">
        <f>SUMIFS($C$2:$C$385,$A$2:$A$385,"HKD",$B$2:$B$385,B31)/C31</f>
        <v/>
      </c>
    </row>
    <row r="32">
      <c r="A32" s="2" t="inlineStr">
        <is>
          <t>USD</t>
        </is>
      </c>
      <c r="B32" s="30" t="n">
        <v>45673</v>
      </c>
      <c r="C32" s="8" t="n">
        <v>1</v>
      </c>
      <c r="D32" s="8">
        <f>SUMIFS($C$2:$C$385,$A$2:$A$385,"HKD",$B$2:$B$385,B32)/C32</f>
        <v/>
      </c>
    </row>
    <row r="33">
      <c r="A33" s="2" t="inlineStr">
        <is>
          <t>HKD</t>
        </is>
      </c>
      <c r="B33" s="30" t="n">
        <v>45673</v>
      </c>
      <c r="C33" s="8" t="n">
        <v>7.8003</v>
      </c>
      <c r="D33" s="8">
        <f>SUMIFS($C$2:$C$385,$A$2:$A$385,"HKD",$B$2:$B$385,B33)/C33</f>
        <v/>
      </c>
    </row>
    <row r="34">
      <c r="A34" s="2" t="inlineStr">
        <is>
          <t>CNY</t>
        </is>
      </c>
      <c r="B34" s="30" t="n">
        <v>45673</v>
      </c>
      <c r="C34" s="8" t="n">
        <v>7.2864</v>
      </c>
      <c r="D34" s="8">
        <f>SUMIFS($C$2:$C$385,$A$2:$A$385,"HKD",$B$2:$B$385,B34)/C34</f>
        <v/>
      </c>
    </row>
    <row r="35">
      <c r="A35" s="2" t="inlineStr">
        <is>
          <t>USD</t>
        </is>
      </c>
      <c r="B35" s="30" t="n">
        <v>45674</v>
      </c>
      <c r="C35" s="8" t="n">
        <v>1</v>
      </c>
      <c r="D35" s="8">
        <f>SUMIFS($C$2:$C$385,$A$2:$A$385,"HKD",$B$2:$B$385,B35)/C35</f>
        <v/>
      </c>
    </row>
    <row r="36">
      <c r="A36" s="2" t="inlineStr">
        <is>
          <t>HKD</t>
        </is>
      </c>
      <c r="B36" s="30" t="n">
        <v>45674</v>
      </c>
      <c r="C36" s="8" t="n">
        <v>7.7983</v>
      </c>
      <c r="D36" s="8">
        <f>SUMIFS($C$2:$C$385,$A$2:$A$385,"HKD",$B$2:$B$385,B36)/C36</f>
        <v/>
      </c>
    </row>
    <row r="37">
      <c r="A37" s="2" t="inlineStr">
        <is>
          <t>CNY</t>
        </is>
      </c>
      <c r="B37" s="30" t="n">
        <v>45674</v>
      </c>
      <c r="C37" s="8" t="n">
        <v>7.2849</v>
      </c>
      <c r="D37" s="8">
        <f>SUMIFS($C$2:$C$385,$A$2:$A$385,"HKD",$B$2:$B$385,B37)/C37</f>
        <v/>
      </c>
    </row>
    <row r="38">
      <c r="A38" s="2" t="inlineStr">
        <is>
          <t>USD</t>
        </is>
      </c>
      <c r="B38" s="30" t="n">
        <v>45677</v>
      </c>
      <c r="C38" s="8" t="n">
        <v>1</v>
      </c>
      <c r="D38" s="8">
        <f>SUMIFS($C$2:$C$385,$A$2:$A$385,"HKD",$B$2:$B$385,B38)/C38</f>
        <v/>
      </c>
    </row>
    <row r="39">
      <c r="A39" s="2" t="inlineStr">
        <is>
          <t>HKD</t>
        </is>
      </c>
      <c r="B39" s="30" t="n">
        <v>45677</v>
      </c>
      <c r="C39" s="8" t="n">
        <v>7.7999</v>
      </c>
      <c r="D39" s="8">
        <f>SUMIFS($C$2:$C$385,$A$2:$A$385,"HKD",$B$2:$B$385,B39)/C39</f>
        <v/>
      </c>
    </row>
    <row r="40">
      <c r="A40" s="2" t="inlineStr">
        <is>
          <t>CNY</t>
        </is>
      </c>
      <c r="B40" s="30" t="n">
        <v>45677</v>
      </c>
      <c r="C40" s="8" t="n">
        <v>7.2925</v>
      </c>
      <c r="D40" s="8">
        <f>SUMIFS($C$2:$C$385,$A$2:$A$385,"HKD",$B$2:$B$385,B40)/C40</f>
        <v/>
      </c>
    </row>
    <row r="41">
      <c r="A41" s="2" t="inlineStr">
        <is>
          <t>USD</t>
        </is>
      </c>
      <c r="B41" s="30" t="n">
        <v>45678</v>
      </c>
      <c r="C41" s="8" t="n">
        <v>1</v>
      </c>
      <c r="D41" s="8">
        <f>SUMIFS($C$2:$C$385,$A$2:$A$385,"HKD",$B$2:$B$385,B41)/C41</f>
        <v/>
      </c>
    </row>
    <row r="42">
      <c r="A42" s="2" t="inlineStr">
        <is>
          <t>HKD</t>
        </is>
      </c>
      <c r="B42" s="30" t="n">
        <v>45678</v>
      </c>
      <c r="C42" s="8" t="n">
        <v>7.8065</v>
      </c>
      <c r="D42" s="8">
        <f>SUMIFS($C$2:$C$385,$A$2:$A$385,"HKD",$B$2:$B$385,B42)/C42</f>
        <v/>
      </c>
    </row>
    <row r="43">
      <c r="A43" s="2" t="inlineStr">
        <is>
          <t>CNY</t>
        </is>
      </c>
      <c r="B43" s="30" t="n">
        <v>45678</v>
      </c>
      <c r="C43" s="8" t="n">
        <v>7.2943</v>
      </c>
      <c r="D43" s="8">
        <f>SUMIFS($C$2:$C$385,$A$2:$A$385,"HKD",$B$2:$B$385,B43)/C43</f>
        <v/>
      </c>
    </row>
    <row r="44">
      <c r="A44" s="2" t="inlineStr">
        <is>
          <t>USD</t>
        </is>
      </c>
      <c r="B44" s="30" t="n">
        <v>45679</v>
      </c>
      <c r="C44" s="8" t="n">
        <v>1</v>
      </c>
      <c r="D44" s="8">
        <f>SUMIFS($C$2:$C$385,$A$2:$A$385,"HKD",$B$2:$B$385,B44)/C44</f>
        <v/>
      </c>
    </row>
    <row r="45">
      <c r="A45" s="2" t="inlineStr">
        <is>
          <t>HKD</t>
        </is>
      </c>
      <c r="B45" s="30" t="n">
        <v>45679</v>
      </c>
      <c r="C45" s="8" t="n">
        <v>7.7957</v>
      </c>
      <c r="D45" s="8">
        <f>SUMIFS($C$2:$C$385,$A$2:$A$385,"HKD",$B$2:$B$385,B45)/C45</f>
        <v/>
      </c>
    </row>
    <row r="46">
      <c r="A46" s="2" t="inlineStr">
        <is>
          <t>CNY</t>
        </is>
      </c>
      <c r="B46" s="30" t="n">
        <v>45679</v>
      </c>
      <c r="C46" s="8" t="n">
        <v>7.3021</v>
      </c>
      <c r="D46" s="8">
        <f>SUMIFS($C$2:$C$385,$A$2:$A$385,"HKD",$B$2:$B$385,B46)/C46</f>
        <v/>
      </c>
    </row>
    <row r="47">
      <c r="A47" s="2" t="inlineStr">
        <is>
          <t>USD</t>
        </is>
      </c>
      <c r="B47" s="30" t="n">
        <v>45680</v>
      </c>
      <c r="C47" s="8" t="n">
        <v>1</v>
      </c>
      <c r="D47" s="8">
        <f>SUMIFS($C$2:$C$385,$A$2:$A$385,"HKD",$B$2:$B$385,B47)/C47</f>
        <v/>
      </c>
    </row>
    <row r="48">
      <c r="A48" s="2" t="inlineStr">
        <is>
          <t>HKD</t>
        </is>
      </c>
      <c r="B48" s="30" t="n">
        <v>45680</v>
      </c>
      <c r="C48" s="8" t="n">
        <v>7.7872</v>
      </c>
      <c r="D48" s="8">
        <f>SUMIFS($C$2:$C$385,$A$2:$A$385,"HKD",$B$2:$B$385,B48)/C48</f>
        <v/>
      </c>
    </row>
    <row r="49">
      <c r="A49" s="2" t="inlineStr">
        <is>
          <t>CNY</t>
        </is>
      </c>
      <c r="B49" s="30" t="n">
        <v>45680</v>
      </c>
      <c r="C49" s="8" t="n">
        <v>7.2993</v>
      </c>
      <c r="D49" s="8">
        <f>SUMIFS($C$2:$C$385,$A$2:$A$385,"HKD",$B$2:$B$385,B49)/C49</f>
        <v/>
      </c>
    </row>
    <row r="50">
      <c r="A50" s="2" t="inlineStr">
        <is>
          <t>USD</t>
        </is>
      </c>
      <c r="B50" s="30" t="n">
        <v>45681</v>
      </c>
      <c r="C50" s="8" t="n">
        <v>1</v>
      </c>
      <c r="D50" s="8">
        <f>SUMIFS($C$2:$C$385,$A$2:$A$385,"HKD",$B$2:$B$385,B50)/C50</f>
        <v/>
      </c>
    </row>
    <row r="51">
      <c r="A51" s="2" t="inlineStr">
        <is>
          <t>HKD</t>
        </is>
      </c>
      <c r="B51" s="30" t="n">
        <v>45681</v>
      </c>
      <c r="C51" s="8" t="n">
        <v>7.7784</v>
      </c>
      <c r="D51" s="8">
        <f>SUMIFS($C$2:$C$385,$A$2:$A$385,"HKD",$B$2:$B$385,B51)/C51</f>
        <v/>
      </c>
    </row>
    <row r="52">
      <c r="A52" s="2" t="inlineStr">
        <is>
          <t>CNY</t>
        </is>
      </c>
      <c r="B52" s="30" t="n">
        <v>45681</v>
      </c>
      <c r="C52" s="8" t="n">
        <v>7.2986</v>
      </c>
      <c r="D52" s="8">
        <f>SUMIFS($C$2:$C$385,$A$2:$A$385,"HKD",$B$2:$B$385,B52)/C52</f>
        <v/>
      </c>
    </row>
    <row r="53">
      <c r="A53" s="2" t="inlineStr">
        <is>
          <t>USD</t>
        </is>
      </c>
      <c r="B53" s="30" t="n">
        <v>45684</v>
      </c>
      <c r="C53" s="8" t="n">
        <v>1</v>
      </c>
      <c r="D53" s="8">
        <f>SUMIFS($C$2:$C$385,$A$2:$A$385,"HKD",$B$2:$B$385,B53)/C53</f>
        <v/>
      </c>
    </row>
    <row r="54">
      <c r="A54" s="2" t="inlineStr">
        <is>
          <t>HKD</t>
        </is>
      </c>
      <c r="B54" s="30" t="n">
        <v>45684</v>
      </c>
      <c r="C54" s="8" t="n">
        <v>7.7737</v>
      </c>
      <c r="D54" s="8">
        <f>SUMIFS($C$2:$C$385,$A$2:$A$385,"HKD",$B$2:$B$385,B54)/C54</f>
        <v/>
      </c>
    </row>
    <row r="55">
      <c r="A55" s="2" t="inlineStr">
        <is>
          <t>CNY</t>
        </is>
      </c>
      <c r="B55" s="30" t="n">
        <v>45684</v>
      </c>
      <c r="C55" s="8" t="n">
        <v>7.3005</v>
      </c>
      <c r="D55" s="8">
        <f>SUMIFS($C$2:$C$385,$A$2:$A$385,"HKD",$B$2:$B$385,B55)/C55</f>
        <v/>
      </c>
    </row>
    <row r="56">
      <c r="A56" s="2" t="inlineStr">
        <is>
          <t>USD</t>
        </is>
      </c>
      <c r="B56" s="30" t="n">
        <v>45685</v>
      </c>
      <c r="C56" s="8" t="n">
        <v>1</v>
      </c>
      <c r="D56" s="8">
        <f>SUMIFS($C$2:$C$385,$A$2:$A$385,"HKD",$B$2:$B$385,B56)/C56</f>
        <v/>
      </c>
    </row>
    <row r="57">
      <c r="A57" s="2" t="inlineStr">
        <is>
          <t>HKD</t>
        </is>
      </c>
      <c r="B57" s="30" t="n">
        <v>45685</v>
      </c>
      <c r="C57" s="8" t="n">
        <v>7.7935</v>
      </c>
      <c r="D57" s="8">
        <f>SUMIFS($C$2:$C$385,$A$2:$A$385,"HKD",$B$2:$B$385,B57)/C57</f>
        <v/>
      </c>
    </row>
    <row r="58">
      <c r="A58" s="2" t="inlineStr">
        <is>
          <t>CNY</t>
        </is>
      </c>
      <c r="B58" s="30" t="n">
        <v>45685</v>
      </c>
      <c r="C58" s="8" t="n">
        <v>7.2992</v>
      </c>
      <c r="D58" s="8">
        <f>SUMIFS($C$2:$C$385,$A$2:$A$385,"HKD",$B$2:$B$385,B58)/C58</f>
        <v/>
      </c>
    </row>
    <row r="59">
      <c r="A59" s="2" t="inlineStr">
        <is>
          <t>USD</t>
        </is>
      </c>
      <c r="B59" s="30" t="n">
        <v>45686</v>
      </c>
      <c r="C59" s="8" t="n">
        <v>1</v>
      </c>
      <c r="D59" s="8">
        <f>SUMIFS($C$2:$C$385,$A$2:$A$385,"HKD",$B$2:$B$385,B59)/C59</f>
        <v/>
      </c>
    </row>
    <row r="60">
      <c r="A60" s="2" t="inlineStr">
        <is>
          <t>HKD</t>
        </is>
      </c>
      <c r="B60" s="30" t="n">
        <v>45686</v>
      </c>
      <c r="C60" s="8" t="n">
        <v>7.7986</v>
      </c>
      <c r="D60" s="8">
        <f>SUMIFS($C$2:$C$385,$A$2:$A$385,"HKD",$B$2:$B$385,B60)/C60</f>
        <v/>
      </c>
    </row>
    <row r="61">
      <c r="A61" s="2" t="inlineStr">
        <is>
          <t>CNY</t>
        </is>
      </c>
      <c r="B61" s="30" t="n">
        <v>45686</v>
      </c>
      <c r="C61" s="8" t="n">
        <v>7.2826</v>
      </c>
      <c r="D61" s="8">
        <f>SUMIFS($C$2:$C$385,$A$2:$A$385,"HKD",$B$2:$B$385,B61)/C61</f>
        <v/>
      </c>
    </row>
    <row r="62">
      <c r="A62" s="2" t="inlineStr">
        <is>
          <t>USD</t>
        </is>
      </c>
      <c r="B62" s="30" t="n">
        <v>45687</v>
      </c>
      <c r="C62" s="8" t="n">
        <v>1</v>
      </c>
      <c r="D62" s="8">
        <f>SUMIFS($C$2:$C$385,$A$2:$A$385,"HKD",$B$2:$B$385,B62)/C62</f>
        <v/>
      </c>
    </row>
    <row r="63">
      <c r="A63" s="2" t="inlineStr">
        <is>
          <t>HKD</t>
        </is>
      </c>
      <c r="B63" s="30" t="n">
        <v>45687</v>
      </c>
      <c r="C63" s="8" t="n">
        <v>7.7968</v>
      </c>
      <c r="D63" s="8">
        <f>SUMIFS($C$2:$C$385,$A$2:$A$385,"HKD",$B$2:$B$385,B63)/C63</f>
        <v/>
      </c>
    </row>
    <row r="64">
      <c r="A64" s="2" t="inlineStr">
        <is>
          <t>CNY</t>
        </is>
      </c>
      <c r="B64" s="30" t="n">
        <v>45687</v>
      </c>
      <c r="C64" s="8" t="n">
        <v>7.2899</v>
      </c>
      <c r="D64" s="8">
        <f>SUMIFS($C$2:$C$385,$A$2:$A$385,"HKD",$B$2:$B$385,B64)/C64</f>
        <v/>
      </c>
    </row>
    <row r="65">
      <c r="A65" s="2" t="inlineStr">
        <is>
          <t>USD</t>
        </is>
      </c>
      <c r="B65" s="30" t="n">
        <v>45688</v>
      </c>
      <c r="C65" s="8" t="n">
        <v>1</v>
      </c>
      <c r="D65" s="8">
        <f>SUMIFS($C$2:$C$385,$A$2:$A$385,"HKD",$B$2:$B$385,B65)/C65</f>
        <v/>
      </c>
    </row>
    <row r="66">
      <c r="A66" s="2" t="inlineStr">
        <is>
          <t>HKD</t>
        </is>
      </c>
      <c r="B66" s="30" t="n">
        <v>45688</v>
      </c>
      <c r="C66" s="8" t="n">
        <v>7.7963</v>
      </c>
      <c r="D66" s="8">
        <f>SUMIFS($C$2:$C$385,$A$2:$A$385,"HKD",$B$2:$B$385,B66)/C66</f>
        <v/>
      </c>
    </row>
    <row r="67">
      <c r="A67" s="2" t="inlineStr">
        <is>
          <t>CNY</t>
        </is>
      </c>
      <c r="B67" s="30" t="n">
        <v>45688</v>
      </c>
      <c r="C67" s="8" t="n">
        <v>7.2936</v>
      </c>
      <c r="D67" s="8">
        <f>SUMIFS($C$2:$C$385,$A$2:$A$385,"HKD",$B$2:$B$385,B67)/C67</f>
        <v/>
      </c>
    </row>
    <row r="68">
      <c r="A68" s="2" t="inlineStr">
        <is>
          <t>USD</t>
        </is>
      </c>
      <c r="B68" s="30" t="n">
        <v>45691</v>
      </c>
      <c r="C68" s="8" t="n">
        <v>1</v>
      </c>
      <c r="D68" s="8">
        <f>SUMIFS($C$2:$C$385,$A$2:$A$385,"HKD",$B$2:$B$385,B68)/C68</f>
        <v/>
      </c>
    </row>
    <row r="69">
      <c r="A69" s="2" t="inlineStr">
        <is>
          <t>HKD</t>
        </is>
      </c>
      <c r="B69" s="30" t="n">
        <v>45691</v>
      </c>
      <c r="C69" s="8" t="n">
        <v>7.7969</v>
      </c>
      <c r="D69" s="8">
        <f>SUMIFS($C$2:$C$385,$A$2:$A$385,"HKD",$B$2:$B$385,B69)/C69</f>
        <v/>
      </c>
    </row>
    <row r="70">
      <c r="A70" s="2" t="inlineStr">
        <is>
          <t>CNY</t>
        </is>
      </c>
      <c r="B70" s="30" t="n">
        <v>45691</v>
      </c>
      <c r="C70" s="8" t="n">
        <v>7.2808</v>
      </c>
      <c r="D70" s="8">
        <f>SUMIFS($C$2:$C$385,$A$2:$A$385,"HKD",$B$2:$B$385,B70)/C70</f>
        <v/>
      </c>
    </row>
    <row r="71">
      <c r="A71" s="2" t="inlineStr">
        <is>
          <t>USD</t>
        </is>
      </c>
      <c r="B71" s="30" t="n">
        <v>45692</v>
      </c>
      <c r="C71" s="8" t="n">
        <v>1</v>
      </c>
      <c r="D71" s="8">
        <f>SUMIFS($C$2:$C$385,$A$2:$A$385,"HKD",$B$2:$B$385,B71)/C71</f>
        <v/>
      </c>
    </row>
    <row r="72">
      <c r="A72" s="2" t="inlineStr">
        <is>
          <t>HKD</t>
        </is>
      </c>
      <c r="B72" s="30" t="n">
        <v>45692</v>
      </c>
      <c r="C72" s="8" t="n">
        <v>7.8003</v>
      </c>
      <c r="D72" s="8">
        <f>SUMIFS($C$2:$C$385,$A$2:$A$385,"HKD",$B$2:$B$385,B72)/C72</f>
        <v/>
      </c>
    </row>
    <row r="73">
      <c r="A73" s="2" t="inlineStr">
        <is>
          <t>CNY</t>
        </is>
      </c>
      <c r="B73" s="30" t="n">
        <v>45692</v>
      </c>
      <c r="C73" s="8" t="n">
        <v>7.2704</v>
      </c>
      <c r="D73" s="8">
        <f>SUMIFS($C$2:$C$385,$A$2:$A$385,"HKD",$B$2:$B$385,B73)/C73</f>
        <v/>
      </c>
    </row>
    <row r="74">
      <c r="A74" s="2" t="inlineStr">
        <is>
          <t>USD</t>
        </is>
      </c>
      <c r="B74" s="30" t="n">
        <v>45693</v>
      </c>
      <c r="C74" s="8" t="n">
        <v>1</v>
      </c>
      <c r="D74" s="8">
        <f>SUMIFS($C$2:$C$385,$A$2:$A$385,"HKD",$B$2:$B$385,B74)/C74</f>
        <v/>
      </c>
    </row>
    <row r="75">
      <c r="A75" s="2" t="inlineStr">
        <is>
          <t>HKD</t>
        </is>
      </c>
      <c r="B75" s="30" t="n">
        <v>45693</v>
      </c>
      <c r="C75" s="8" t="n">
        <v>7.8115</v>
      </c>
      <c r="D75" s="8">
        <f>SUMIFS($C$2:$C$385,$A$2:$A$385,"HKD",$B$2:$B$385,B75)/C75</f>
        <v/>
      </c>
    </row>
    <row r="76">
      <c r="A76" s="2" t="inlineStr">
        <is>
          <t>CNY</t>
        </is>
      </c>
      <c r="B76" s="30" t="n">
        <v>45693</v>
      </c>
      <c r="C76" s="8" t="n">
        <v>7.2636</v>
      </c>
      <c r="D76" s="8">
        <f>SUMIFS($C$2:$C$385,$A$2:$A$385,"HKD",$B$2:$B$385,B76)/C76</f>
        <v/>
      </c>
    </row>
    <row r="77">
      <c r="A77" s="2" t="inlineStr">
        <is>
          <t>USD</t>
        </is>
      </c>
      <c r="B77" s="30" t="n">
        <v>45694</v>
      </c>
      <c r="C77" s="8" t="n">
        <v>1</v>
      </c>
      <c r="D77" s="8">
        <f>SUMIFS($C$2:$C$385,$A$2:$A$385,"HKD",$B$2:$B$385,B77)/C77</f>
        <v/>
      </c>
    </row>
    <row r="78">
      <c r="A78" s="2" t="inlineStr">
        <is>
          <t>HKD</t>
        </is>
      </c>
      <c r="B78" s="30" t="n">
        <v>45694</v>
      </c>
      <c r="C78" s="8" t="n">
        <v>7.8156</v>
      </c>
      <c r="D78" s="8">
        <f>SUMIFS($C$2:$C$385,$A$2:$A$385,"HKD",$B$2:$B$385,B78)/C78</f>
        <v/>
      </c>
    </row>
    <row r="79">
      <c r="A79" s="2" t="inlineStr">
        <is>
          <t>CNY</t>
        </is>
      </c>
      <c r="B79" s="30" t="n">
        <v>45694</v>
      </c>
      <c r="C79" s="8" t="n">
        <v>7.263</v>
      </c>
      <c r="D79" s="8">
        <f>SUMIFS($C$2:$C$385,$A$2:$A$385,"HKD",$B$2:$B$385,B79)/C79</f>
        <v/>
      </c>
    </row>
    <row r="80">
      <c r="A80" s="2" t="inlineStr">
        <is>
          <t>USD</t>
        </is>
      </c>
      <c r="B80" s="30" t="n">
        <v>45695</v>
      </c>
      <c r="C80" s="8" t="n">
        <v>1</v>
      </c>
      <c r="D80" s="8">
        <f>SUMIFS($C$2:$C$385,$A$2:$A$385,"HKD",$B$2:$B$385,B80)/C80</f>
        <v/>
      </c>
    </row>
    <row r="81">
      <c r="A81" s="2" t="inlineStr">
        <is>
          <t>HKD</t>
        </is>
      </c>
      <c r="B81" s="30" t="n">
        <v>45695</v>
      </c>
      <c r="C81" s="8" t="n">
        <v>7.8214</v>
      </c>
      <c r="D81" s="8">
        <f>SUMIFS($C$2:$C$385,$A$2:$A$385,"HKD",$B$2:$B$385,B81)/C81</f>
        <v/>
      </c>
    </row>
    <row r="82">
      <c r="A82" s="2" t="inlineStr">
        <is>
          <t>CNY</t>
        </is>
      </c>
      <c r="B82" s="30" t="n">
        <v>45695</v>
      </c>
      <c r="C82" s="8" t="n">
        <v>7.255</v>
      </c>
      <c r="D82" s="8">
        <f>SUMIFS($C$2:$C$385,$A$2:$A$385,"HKD",$B$2:$B$385,B82)/C82</f>
        <v/>
      </c>
    </row>
    <row r="83">
      <c r="A83" s="2" t="inlineStr">
        <is>
          <t>USD</t>
        </is>
      </c>
      <c r="B83" s="30" t="n">
        <v>45698</v>
      </c>
      <c r="C83" s="8" t="n">
        <v>1</v>
      </c>
      <c r="D83" s="8">
        <f>SUMIFS($C$2:$C$385,$A$2:$A$385,"HKD",$B$2:$B$385,B83)/C83</f>
        <v/>
      </c>
    </row>
    <row r="84">
      <c r="A84" s="2" t="inlineStr">
        <is>
          <t>HKD</t>
        </is>
      </c>
      <c r="B84" s="30" t="n">
        <v>45698</v>
      </c>
      <c r="C84" s="8" t="n">
        <v>7.8273</v>
      </c>
      <c r="D84" s="8">
        <f>SUMIFS($C$2:$C$385,$A$2:$A$385,"HKD",$B$2:$B$385,B84)/C84</f>
        <v/>
      </c>
    </row>
    <row r="85">
      <c r="A85" s="2" t="inlineStr">
        <is>
          <t>CNY</t>
        </is>
      </c>
      <c r="B85" s="30" t="n">
        <v>45698</v>
      </c>
      <c r="C85" s="8" t="n">
        <v>7.2529</v>
      </c>
      <c r="D85" s="8">
        <f>SUMIFS($C$2:$C$385,$A$2:$A$385,"HKD",$B$2:$B$385,B85)/C85</f>
        <v/>
      </c>
    </row>
    <row r="86">
      <c r="A86" s="2" t="inlineStr">
        <is>
          <t>USD</t>
        </is>
      </c>
      <c r="B86" s="30" t="n">
        <v>45699</v>
      </c>
      <c r="C86" s="8" t="n">
        <v>1</v>
      </c>
      <c r="D86" s="8">
        <f>SUMIFS($C$2:$C$385,$A$2:$A$385,"HKD",$B$2:$B$385,B86)/C86</f>
        <v/>
      </c>
    </row>
    <row r="87">
      <c r="A87" s="2" t="inlineStr">
        <is>
          <t>HKD</t>
        </is>
      </c>
      <c r="B87" s="30" t="n">
        <v>45699</v>
      </c>
      <c r="C87" s="8" t="n">
        <v>7.8349</v>
      </c>
      <c r="D87" s="8">
        <f>SUMIFS($C$2:$C$385,$A$2:$A$385,"HKD",$B$2:$B$385,B87)/C87</f>
        <v/>
      </c>
    </row>
    <row r="88">
      <c r="A88" s="2" t="inlineStr">
        <is>
          <t>CNY</t>
        </is>
      </c>
      <c r="B88" s="30" t="n">
        <v>45699</v>
      </c>
      <c r="C88" s="8" t="n">
        <v>7.2596</v>
      </c>
      <c r="D88" s="8">
        <f>SUMIFS($C$2:$C$385,$A$2:$A$385,"HKD",$B$2:$B$385,B88)/C88</f>
        <v/>
      </c>
    </row>
    <row r="89">
      <c r="A89" s="2" t="inlineStr">
        <is>
          <t>USD</t>
        </is>
      </c>
      <c r="B89" s="30" t="n">
        <v>45700</v>
      </c>
      <c r="C89" s="8" t="n">
        <v>1</v>
      </c>
      <c r="D89" s="8">
        <f>SUMIFS($C$2:$C$385,$A$2:$A$385,"HKD",$B$2:$B$385,B89)/C89</f>
        <v/>
      </c>
    </row>
    <row r="90">
      <c r="A90" s="2" t="inlineStr">
        <is>
          <t>HKD</t>
        </is>
      </c>
      <c r="B90" s="30" t="n">
        <v>45700</v>
      </c>
      <c r="C90" s="8" t="n">
        <v>7.8358</v>
      </c>
      <c r="D90" s="8">
        <f>SUMIFS($C$2:$C$385,$A$2:$A$385,"HKD",$B$2:$B$385,B90)/C90</f>
        <v/>
      </c>
    </row>
    <row r="91">
      <c r="A91" s="2" t="inlineStr">
        <is>
          <t>CNY</t>
        </is>
      </c>
      <c r="B91" s="30" t="n">
        <v>45700</v>
      </c>
      <c r="C91" s="8" t="n">
        <v>7.2496</v>
      </c>
      <c r="D91" s="8">
        <f>SUMIFS($C$2:$C$385,$A$2:$A$385,"HKD",$B$2:$B$385,B91)/C91</f>
        <v/>
      </c>
    </row>
    <row r="92">
      <c r="A92" s="2" t="inlineStr">
        <is>
          <t>USD</t>
        </is>
      </c>
      <c r="B92" s="30" t="n">
        <v>45701</v>
      </c>
      <c r="C92" s="8" t="n">
        <v>1</v>
      </c>
      <c r="D92" s="8">
        <f>SUMIFS($C$2:$C$385,$A$2:$A$385,"HKD",$B$2:$B$385,B92)/C92</f>
        <v/>
      </c>
    </row>
    <row r="93">
      <c r="A93" s="2" t="inlineStr">
        <is>
          <t>HKD</t>
        </is>
      </c>
      <c r="B93" s="30" t="n">
        <v>45701</v>
      </c>
      <c r="C93" s="8" t="n">
        <v>7.8404</v>
      </c>
      <c r="D93" s="8">
        <f>SUMIFS($C$2:$C$385,$A$2:$A$385,"HKD",$B$2:$B$385,B93)/C93</f>
        <v/>
      </c>
    </row>
    <row r="94">
      <c r="A94" s="2" t="inlineStr">
        <is>
          <t>CNY</t>
        </is>
      </c>
      <c r="B94" s="30" t="n">
        <v>45701</v>
      </c>
      <c r="C94" s="8" t="n">
        <v>7.2545</v>
      </c>
      <c r="D94" s="8">
        <f>SUMIFS($C$2:$C$385,$A$2:$A$385,"HKD",$B$2:$B$385,B94)/C94</f>
        <v/>
      </c>
    </row>
    <row r="95">
      <c r="A95" s="2" t="inlineStr">
        <is>
          <t>USD</t>
        </is>
      </c>
      <c r="B95" s="30" t="n">
        <v>45702</v>
      </c>
      <c r="C95" s="8" t="n">
        <v>1</v>
      </c>
      <c r="D95" s="8">
        <f>SUMIFS($C$2:$C$385,$A$2:$A$385,"HKD",$B$2:$B$385,B95)/C95</f>
        <v/>
      </c>
    </row>
    <row r="96">
      <c r="A96" s="2" t="inlineStr">
        <is>
          <t>HKD</t>
        </is>
      </c>
      <c r="B96" s="30" t="n">
        <v>45702</v>
      </c>
      <c r="C96" s="8" t="n">
        <v>7.85</v>
      </c>
      <c r="D96" s="8">
        <f>SUMIFS($C$2:$C$385,$A$2:$A$385,"HKD",$B$2:$B$385,B96)/C96</f>
        <v/>
      </c>
    </row>
    <row r="97">
      <c r="A97" s="2" t="inlineStr">
        <is>
          <t>CNY</t>
        </is>
      </c>
      <c r="B97" s="30" t="n">
        <v>45702</v>
      </c>
      <c r="C97" s="8" t="n">
        <v>7.2493</v>
      </c>
      <c r="D97" s="8">
        <f>SUMIFS($C$2:$C$385,$A$2:$A$385,"HKD",$B$2:$B$385,B97)/C97</f>
        <v/>
      </c>
    </row>
    <row r="98">
      <c r="A98" s="2" t="inlineStr">
        <is>
          <t>USD</t>
        </is>
      </c>
      <c r="B98" s="30" t="n">
        <v>45705</v>
      </c>
      <c r="C98" s="8" t="n">
        <v>1</v>
      </c>
      <c r="D98" s="8">
        <f>SUMIFS($C$2:$C$385,$A$2:$A$385,"HKD",$B$2:$B$385,B98)/C98</f>
        <v/>
      </c>
    </row>
    <row r="99">
      <c r="A99" s="2" t="inlineStr">
        <is>
          <t>HKD</t>
        </is>
      </c>
      <c r="B99" s="30" t="n">
        <v>45705</v>
      </c>
      <c r="C99" s="8" t="n">
        <v>7.85</v>
      </c>
      <c r="D99" s="8">
        <f>SUMIFS($C$2:$C$385,$A$2:$A$385,"HKD",$B$2:$B$385,B99)/C99</f>
        <v/>
      </c>
    </row>
    <row r="100">
      <c r="A100" s="2" t="inlineStr">
        <is>
          <t>CNY</t>
        </is>
      </c>
      <c r="B100" s="30" t="n">
        <v>45705</v>
      </c>
      <c r="C100" s="8" t="n">
        <v>7.2547</v>
      </c>
      <c r="D100" s="8">
        <f>SUMIFS($C$2:$C$385,$A$2:$A$385,"HKD",$B$2:$B$385,B100)/C100</f>
        <v/>
      </c>
    </row>
    <row r="101">
      <c r="A101" s="2" t="inlineStr">
        <is>
          <t>USD</t>
        </is>
      </c>
      <c r="B101" s="30" t="n">
        <v>45706</v>
      </c>
      <c r="C101" s="8" t="n">
        <v>1</v>
      </c>
      <c r="D101" s="8">
        <f>SUMIFS($C$2:$C$385,$A$2:$A$385,"HKD",$B$2:$B$385,B101)/C101</f>
        <v/>
      </c>
    </row>
    <row r="102">
      <c r="A102" s="2" t="inlineStr">
        <is>
          <t>HKD</t>
        </is>
      </c>
      <c r="B102" s="30" t="n">
        <v>45706</v>
      </c>
      <c r="C102" s="8" t="n">
        <v>7.85</v>
      </c>
      <c r="D102" s="8">
        <f>SUMIFS($C$2:$C$385,$A$2:$A$385,"HKD",$B$2:$B$385,B102)/C102</f>
        <v/>
      </c>
    </row>
    <row r="103">
      <c r="A103" s="2" t="inlineStr">
        <is>
          <t>CNY</t>
        </is>
      </c>
      <c r="B103" s="30" t="n">
        <v>45706</v>
      </c>
      <c r="C103" s="8" t="n">
        <v>7.2565</v>
      </c>
      <c r="D103" s="8">
        <f>SUMIFS($C$2:$C$385,$A$2:$A$385,"HKD",$B$2:$B$385,B103)/C103</f>
        <v/>
      </c>
    </row>
    <row r="104">
      <c r="A104" s="2" t="inlineStr">
        <is>
          <t>USD</t>
        </is>
      </c>
      <c r="B104" s="30" t="n">
        <v>45707</v>
      </c>
      <c r="C104" s="8" t="n">
        <v>1</v>
      </c>
      <c r="D104" s="8">
        <f>SUMIFS($C$2:$C$385,$A$2:$A$385,"HKD",$B$2:$B$385,B104)/C104</f>
        <v/>
      </c>
    </row>
    <row r="105">
      <c r="A105" s="2" t="inlineStr">
        <is>
          <t>HKD</t>
        </is>
      </c>
      <c r="B105" s="30" t="n">
        <v>45707</v>
      </c>
      <c r="C105" s="8" t="n">
        <v>7.85</v>
      </c>
      <c r="D105" s="8">
        <f>SUMIFS($C$2:$C$385,$A$2:$A$385,"HKD",$B$2:$B$385,B105)/C105</f>
        <v/>
      </c>
    </row>
    <row r="106">
      <c r="A106" s="2" t="inlineStr">
        <is>
          <t>CNY</t>
        </is>
      </c>
      <c r="B106" s="30" t="n">
        <v>45707</v>
      </c>
      <c r="C106" s="8" t="n">
        <v>7.2486</v>
      </c>
      <c r="D106" s="8">
        <f>SUMIFS($C$2:$C$385,$A$2:$A$385,"HKD",$B$2:$B$385,B106)/C106</f>
        <v/>
      </c>
    </row>
    <row r="107">
      <c r="A107" s="2" t="inlineStr">
        <is>
          <t>USD</t>
        </is>
      </c>
      <c r="B107" s="30" t="n">
        <v>45708</v>
      </c>
      <c r="C107" s="8" t="n">
        <v>1</v>
      </c>
      <c r="D107" s="8">
        <f>SUMIFS($C$2:$C$385,$A$2:$A$385,"HKD",$B$2:$B$385,B107)/C107</f>
        <v/>
      </c>
    </row>
    <row r="108">
      <c r="A108" s="2" t="inlineStr">
        <is>
          <t>HKD</t>
        </is>
      </c>
      <c r="B108" s="30" t="n">
        <v>45708</v>
      </c>
      <c r="C108" s="8" t="n">
        <v>7.8439</v>
      </c>
      <c r="D108" s="8">
        <f>SUMIFS($C$2:$C$385,$A$2:$A$385,"HKD",$B$2:$B$385,B108)/C108</f>
        <v/>
      </c>
    </row>
    <row r="109">
      <c r="A109" s="2" t="inlineStr">
        <is>
          <t>CNY</t>
        </is>
      </c>
      <c r="B109" s="30" t="n">
        <v>45708</v>
      </c>
      <c r="C109" s="8" t="n">
        <v>7.2431</v>
      </c>
      <c r="D109" s="8">
        <f>SUMIFS($C$2:$C$385,$A$2:$A$385,"HKD",$B$2:$B$385,B109)/C109</f>
        <v/>
      </c>
    </row>
    <row r="110">
      <c r="A110" s="2" t="inlineStr">
        <is>
          <t>USD</t>
        </is>
      </c>
      <c r="B110" s="30" t="n">
        <v>45709</v>
      </c>
      <c r="C110" s="8" t="n">
        <v>1</v>
      </c>
      <c r="D110" s="8">
        <f>SUMIFS($C$2:$C$385,$A$2:$A$385,"HKD",$B$2:$B$385,B110)/C110</f>
        <v/>
      </c>
    </row>
    <row r="111">
      <c r="A111" s="2" t="inlineStr">
        <is>
          <t>HKD</t>
        </is>
      </c>
      <c r="B111" s="30" t="n">
        <v>45709</v>
      </c>
      <c r="C111" s="8" t="n">
        <v>7.8475</v>
      </c>
      <c r="D111" s="8">
        <f>SUMIFS($C$2:$C$385,$A$2:$A$385,"HKD",$B$2:$B$385,B111)/C111</f>
        <v/>
      </c>
    </row>
    <row r="112">
      <c r="A112" s="2" t="inlineStr">
        <is>
          <t>CNY</t>
        </is>
      </c>
      <c r="B112" s="30" t="n">
        <v>45709</v>
      </c>
      <c r="C112" s="8" t="n">
        <v>7.2606</v>
      </c>
      <c r="D112" s="8">
        <f>SUMIFS($C$2:$C$385,$A$2:$A$385,"HKD",$B$2:$B$385,B112)/C112</f>
        <v/>
      </c>
    </row>
    <row r="113">
      <c r="A113" s="2" t="inlineStr">
        <is>
          <t>USD</t>
        </is>
      </c>
      <c r="B113" s="30" t="n">
        <v>45712</v>
      </c>
      <c r="C113" s="8" t="n">
        <v>1</v>
      </c>
      <c r="D113" s="8">
        <f>SUMIFS($C$2:$C$385,$A$2:$A$385,"HKD",$B$2:$B$385,B113)/C113</f>
        <v/>
      </c>
    </row>
    <row r="114">
      <c r="A114" s="2" t="inlineStr">
        <is>
          <t>HKD</t>
        </is>
      </c>
      <c r="B114" s="30" t="n">
        <v>45712</v>
      </c>
      <c r="C114" s="8" t="n">
        <v>7.85</v>
      </c>
      <c r="D114" s="8">
        <f>SUMIFS($C$2:$C$385,$A$2:$A$385,"HKD",$B$2:$B$385,B114)/C114</f>
        <v/>
      </c>
    </row>
    <row r="115">
      <c r="A115" s="2" t="inlineStr">
        <is>
          <t>CNY</t>
        </is>
      </c>
      <c r="B115" s="30" t="n">
        <v>45712</v>
      </c>
      <c r="C115" s="8" t="n">
        <v>7.2725</v>
      </c>
      <c r="D115" s="8">
        <f>SUMIFS($C$2:$C$385,$A$2:$A$385,"HKD",$B$2:$B$385,B115)/C115</f>
        <v/>
      </c>
    </row>
    <row r="116">
      <c r="A116" s="2" t="inlineStr">
        <is>
          <t>USD</t>
        </is>
      </c>
      <c r="B116" s="30" t="n">
        <v>45713</v>
      </c>
      <c r="C116" s="8" t="n">
        <v>1</v>
      </c>
      <c r="D116" s="8">
        <f>SUMIFS($C$2:$C$385,$A$2:$A$385,"HKD",$B$2:$B$385,B116)/C116</f>
        <v/>
      </c>
    </row>
    <row r="117">
      <c r="A117" s="2" t="inlineStr">
        <is>
          <t>HKD</t>
        </is>
      </c>
      <c r="B117" s="30" t="n">
        <v>45713</v>
      </c>
      <c r="C117" s="8" t="n">
        <v>7.85</v>
      </c>
      <c r="D117" s="8">
        <f>SUMIFS($C$2:$C$385,$A$2:$A$385,"HKD",$B$2:$B$385,B117)/C117</f>
        <v/>
      </c>
    </row>
    <row r="118">
      <c r="A118" s="2" t="inlineStr">
        <is>
          <t>CNY</t>
        </is>
      </c>
      <c r="B118" s="30" t="n">
        <v>45713</v>
      </c>
      <c r="C118" s="8" t="n">
        <v>7.2802</v>
      </c>
      <c r="D118" s="8">
        <f>SUMIFS($C$2:$C$385,$A$2:$A$385,"HKD",$B$2:$B$385,B118)/C118</f>
        <v/>
      </c>
    </row>
    <row r="119">
      <c r="A119" s="2" t="inlineStr">
        <is>
          <t>USD</t>
        </is>
      </c>
      <c r="B119" s="30" t="n">
        <v>45714</v>
      </c>
      <c r="C119" s="8" t="n">
        <v>1</v>
      </c>
      <c r="D119" s="8">
        <f>SUMIFS($C$2:$C$385,$A$2:$A$385,"HKD",$B$2:$B$385,B119)/C119</f>
        <v/>
      </c>
    </row>
    <row r="120">
      <c r="A120" s="2" t="inlineStr">
        <is>
          <t>HKD</t>
        </is>
      </c>
      <c r="B120" s="30" t="n">
        <v>45714</v>
      </c>
      <c r="C120" s="8" t="n">
        <v>7.85</v>
      </c>
      <c r="D120" s="8">
        <f>SUMIFS($C$2:$C$385,$A$2:$A$385,"HKD",$B$2:$B$385,B120)/C120</f>
        <v/>
      </c>
    </row>
    <row r="121">
      <c r="A121" s="2" t="inlineStr">
        <is>
          <t>CNY</t>
        </is>
      </c>
      <c r="B121" s="30" t="n">
        <v>45714</v>
      </c>
      <c r="C121" s="8" t="n">
        <v>7.2887</v>
      </c>
      <c r="D121" s="8">
        <f>SUMIFS($C$2:$C$385,$A$2:$A$385,"HKD",$B$2:$B$385,B121)/C121</f>
        <v/>
      </c>
    </row>
    <row r="122">
      <c r="A122" s="2" t="inlineStr">
        <is>
          <t>USD</t>
        </is>
      </c>
      <c r="B122" s="30" t="n">
        <v>45715</v>
      </c>
      <c r="C122" s="8" t="n">
        <v>1</v>
      </c>
      <c r="D122" s="8">
        <f>SUMIFS($C$2:$C$385,$A$2:$A$385,"HKD",$B$2:$B$385,B122)/C122</f>
        <v/>
      </c>
    </row>
    <row r="123">
      <c r="A123" s="2" t="inlineStr">
        <is>
          <t>HKD</t>
        </is>
      </c>
      <c r="B123" s="30" t="n">
        <v>45715</v>
      </c>
      <c r="C123" s="8" t="n">
        <v>7.85</v>
      </c>
      <c r="D123" s="8">
        <f>SUMIFS($C$2:$C$385,$A$2:$A$385,"HKD",$B$2:$B$385,B123)/C123</f>
        <v/>
      </c>
    </row>
    <row r="124">
      <c r="A124" s="2" t="inlineStr">
        <is>
          <t>CNY</t>
        </is>
      </c>
      <c r="B124" s="30" t="n">
        <v>45715</v>
      </c>
      <c r="C124" s="8" t="n">
        <v>7.2841</v>
      </c>
      <c r="D124" s="8">
        <f>SUMIFS($C$2:$C$385,$A$2:$A$385,"HKD",$B$2:$B$385,B124)/C124</f>
        <v/>
      </c>
    </row>
    <row r="125">
      <c r="A125" s="2" t="inlineStr">
        <is>
          <t>USD</t>
        </is>
      </c>
      <c r="B125" s="30" t="n">
        <v>45716</v>
      </c>
      <c r="C125" s="8" t="n">
        <v>1</v>
      </c>
      <c r="D125" s="8">
        <f>SUMIFS($C$2:$C$385,$A$2:$A$385,"HKD",$B$2:$B$385,B125)/C125</f>
        <v/>
      </c>
    </row>
    <row r="126">
      <c r="A126" s="2" t="inlineStr">
        <is>
          <t>HKD</t>
        </is>
      </c>
      <c r="B126" s="30" t="n">
        <v>45716</v>
      </c>
      <c r="C126" s="8" t="n">
        <v>7.8458</v>
      </c>
      <c r="D126" s="8">
        <f>SUMIFS($C$2:$C$385,$A$2:$A$385,"HKD",$B$2:$B$385,B126)/C126</f>
        <v/>
      </c>
    </row>
    <row r="127">
      <c r="A127" s="2" t="inlineStr">
        <is>
          <t>CNY</t>
        </is>
      </c>
      <c r="B127" s="30" t="n">
        <v>45716</v>
      </c>
      <c r="C127" s="8" t="n">
        <v>7.3069</v>
      </c>
      <c r="D127" s="8">
        <f>SUMIFS($C$2:$C$385,$A$2:$A$385,"HKD",$B$2:$B$385,B127)/C127</f>
        <v/>
      </c>
    </row>
    <row r="128">
      <c r="A128" s="2" t="inlineStr">
        <is>
          <t>USD</t>
        </is>
      </c>
      <c r="B128" s="30" t="n">
        <v>45719</v>
      </c>
      <c r="C128" s="8" t="n">
        <v>1</v>
      </c>
      <c r="D128" s="8">
        <f>SUMIFS($C$2:$C$385,$A$2:$A$385,"HKD",$B$2:$B$385,B128)/C128</f>
        <v/>
      </c>
    </row>
    <row r="129">
      <c r="A129" s="2" t="inlineStr">
        <is>
          <t>HKD</t>
        </is>
      </c>
      <c r="B129" s="30" t="n">
        <v>45719</v>
      </c>
      <c r="C129" s="8" t="n">
        <v>7.8473</v>
      </c>
      <c r="D129" s="8">
        <f>SUMIFS($C$2:$C$385,$A$2:$A$385,"HKD",$B$2:$B$385,B129)/C129</f>
        <v/>
      </c>
    </row>
    <row r="130">
      <c r="A130" s="2" t="inlineStr">
        <is>
          <t>CNY</t>
        </is>
      </c>
      <c r="B130" s="30" t="n">
        <v>45719</v>
      </c>
      <c r="C130" s="8" t="n">
        <v>7.3179</v>
      </c>
      <c r="D130" s="8">
        <f>SUMIFS($C$2:$C$385,$A$2:$A$385,"HKD",$B$2:$B$385,B130)/C130</f>
        <v/>
      </c>
    </row>
    <row r="131">
      <c r="A131" s="2" t="inlineStr">
        <is>
          <t>USD</t>
        </is>
      </c>
      <c r="B131" s="30" t="n">
        <v>45720</v>
      </c>
      <c r="C131" s="8" t="n">
        <v>1</v>
      </c>
      <c r="D131" s="8">
        <f>SUMIFS($C$2:$C$385,$A$2:$A$385,"HKD",$B$2:$B$385,B131)/C131</f>
        <v/>
      </c>
    </row>
    <row r="132">
      <c r="A132" s="2" t="inlineStr">
        <is>
          <t>HKD</t>
        </is>
      </c>
      <c r="B132" s="30" t="n">
        <v>45720</v>
      </c>
      <c r="C132" s="8" t="n">
        <v>7.85</v>
      </c>
      <c r="D132" s="8">
        <f>SUMIFS($C$2:$C$385,$A$2:$A$385,"HKD",$B$2:$B$385,B132)/C132</f>
        <v/>
      </c>
    </row>
    <row r="133">
      <c r="A133" s="2" t="inlineStr">
        <is>
          <t>CNY</t>
        </is>
      </c>
      <c r="B133" s="30" t="n">
        <v>45720</v>
      </c>
      <c r="C133" s="8" t="n">
        <v>7.3036</v>
      </c>
      <c r="D133" s="8">
        <f>SUMIFS($C$2:$C$385,$A$2:$A$385,"HKD",$B$2:$B$385,B133)/C133</f>
        <v/>
      </c>
    </row>
    <row r="134">
      <c r="A134" s="2" t="inlineStr">
        <is>
          <t>USD</t>
        </is>
      </c>
      <c r="B134" s="30" t="n">
        <v>45721</v>
      </c>
      <c r="C134" s="8" t="n">
        <v>1</v>
      </c>
      <c r="D134" s="8">
        <f>SUMIFS($C$2:$C$385,$A$2:$A$385,"HKD",$B$2:$B$385,B134)/C134</f>
        <v/>
      </c>
    </row>
    <row r="135">
      <c r="A135" s="2" t="inlineStr">
        <is>
          <t>HKD</t>
        </is>
      </c>
      <c r="B135" s="30" t="n">
        <v>45721</v>
      </c>
      <c r="C135" s="8" t="n">
        <v>7.85</v>
      </c>
      <c r="D135" s="8">
        <f>SUMIFS($C$2:$C$385,$A$2:$A$385,"HKD",$B$2:$B$385,B135)/C135</f>
        <v/>
      </c>
    </row>
    <row r="136">
      <c r="A136" s="2" t="inlineStr">
        <is>
          <t>CNY</t>
        </is>
      </c>
      <c r="B136" s="30" t="n">
        <v>45721</v>
      </c>
      <c r="C136" s="8" t="n">
        <v>7.3242</v>
      </c>
      <c r="D136" s="8">
        <f>SUMIFS($C$2:$C$385,$A$2:$A$385,"HKD",$B$2:$B$385,B136)/C136</f>
        <v/>
      </c>
    </row>
    <row r="137">
      <c r="A137" s="2" t="inlineStr">
        <is>
          <t>USD</t>
        </is>
      </c>
      <c r="B137" s="30" t="n">
        <v>45722</v>
      </c>
      <c r="C137" s="8" t="n">
        <v>1</v>
      </c>
      <c r="D137" s="8">
        <f>SUMIFS($C$2:$C$385,$A$2:$A$385,"HKD",$B$2:$B$385,B137)/C137</f>
        <v/>
      </c>
    </row>
    <row r="138">
      <c r="A138" s="2" t="inlineStr">
        <is>
          <t>HKD</t>
        </is>
      </c>
      <c r="B138" s="30" t="n">
        <v>45722</v>
      </c>
      <c r="C138" s="8" t="n">
        <v>7.85</v>
      </c>
      <c r="D138" s="8">
        <f>SUMIFS($C$2:$C$385,$A$2:$A$385,"HKD",$B$2:$B$385,B138)/C138</f>
        <v/>
      </c>
    </row>
    <row r="139">
      <c r="A139" s="2" t="inlineStr">
        <is>
          <t>CNY</t>
        </is>
      </c>
      <c r="B139" s="30" t="n">
        <v>45722</v>
      </c>
      <c r="C139" s="8" t="n">
        <v>7.3325</v>
      </c>
      <c r="D139" s="8">
        <f>SUMIFS($C$2:$C$385,$A$2:$A$385,"HKD",$B$2:$B$385,B139)/C139</f>
        <v/>
      </c>
    </row>
    <row r="140">
      <c r="A140" s="2" t="inlineStr">
        <is>
          <t>USD</t>
        </is>
      </c>
      <c r="B140" s="30" t="n">
        <v>45723</v>
      </c>
      <c r="C140" s="8" t="n">
        <v>1</v>
      </c>
      <c r="D140" s="8">
        <f>SUMIFS($C$2:$C$385,$A$2:$A$385,"HKD",$B$2:$B$385,B140)/C140</f>
        <v/>
      </c>
    </row>
    <row r="141">
      <c r="A141" s="2" t="inlineStr">
        <is>
          <t>HKD</t>
        </is>
      </c>
      <c r="B141" s="30" t="n">
        <v>45723</v>
      </c>
      <c r="C141" s="8" t="n">
        <v>7.85</v>
      </c>
      <c r="D141" s="8">
        <f>SUMIFS($C$2:$C$385,$A$2:$A$385,"HKD",$B$2:$B$385,B141)/C141</f>
        <v/>
      </c>
    </row>
    <row r="142">
      <c r="A142" s="2" t="inlineStr">
        <is>
          <t>CNY</t>
        </is>
      </c>
      <c r="B142" s="30" t="n">
        <v>45723</v>
      </c>
      <c r="C142" s="8" t="n">
        <v>7.3212</v>
      </c>
      <c r="D142" s="8">
        <f>SUMIFS($C$2:$C$385,$A$2:$A$385,"HKD",$B$2:$B$385,B142)/C142</f>
        <v/>
      </c>
    </row>
    <row r="143">
      <c r="A143" s="2" t="inlineStr">
        <is>
          <t>USD</t>
        </is>
      </c>
      <c r="B143" s="30" t="n">
        <v>45726</v>
      </c>
      <c r="C143" s="8" t="n">
        <v>1</v>
      </c>
      <c r="D143" s="8">
        <f>SUMIFS($C$2:$C$385,$A$2:$A$385,"HKD",$B$2:$B$385,B143)/C143</f>
        <v/>
      </c>
    </row>
    <row r="144">
      <c r="A144" s="2" t="inlineStr">
        <is>
          <t>HKD</t>
        </is>
      </c>
      <c r="B144" s="30" t="n">
        <v>45726</v>
      </c>
      <c r="C144" s="8" t="n">
        <v>7.8493</v>
      </c>
      <c r="D144" s="8">
        <f>SUMIFS($C$2:$C$385,$A$2:$A$385,"HKD",$B$2:$B$385,B144)/C144</f>
        <v/>
      </c>
    </row>
    <row r="145">
      <c r="A145" s="2" t="inlineStr">
        <is>
          <t>CNY</t>
        </is>
      </c>
      <c r="B145" s="30" t="n">
        <v>45726</v>
      </c>
      <c r="C145" s="8" t="n">
        <v>7.325</v>
      </c>
      <c r="D145" s="8">
        <f>SUMIFS($C$2:$C$385,$A$2:$A$385,"HKD",$B$2:$B$385,B145)/C145</f>
        <v/>
      </c>
    </row>
    <row r="146">
      <c r="A146" s="2" t="inlineStr">
        <is>
          <t>USD</t>
        </is>
      </c>
      <c r="B146" s="30" t="n">
        <v>45727</v>
      </c>
      <c r="C146" s="8" t="n">
        <v>1</v>
      </c>
      <c r="D146" s="8">
        <f>SUMIFS($C$2:$C$385,$A$2:$A$385,"HKD",$B$2:$B$385,B146)/C146</f>
        <v/>
      </c>
    </row>
    <row r="147">
      <c r="A147" s="2" t="inlineStr">
        <is>
          <t>HKD</t>
        </is>
      </c>
      <c r="B147" s="30" t="n">
        <v>45727</v>
      </c>
      <c r="C147" s="8" t="n">
        <v>7.85</v>
      </c>
      <c r="D147" s="8">
        <f>SUMIFS($C$2:$C$385,$A$2:$A$385,"HKD",$B$2:$B$385,B147)/C147</f>
        <v/>
      </c>
    </row>
    <row r="148">
      <c r="A148" s="2" t="inlineStr">
        <is>
          <t>CNY</t>
        </is>
      </c>
      <c r="B148" s="30" t="n">
        <v>45727</v>
      </c>
      <c r="C148" s="8" t="n">
        <v>7.3328</v>
      </c>
      <c r="D148" s="8">
        <f>SUMIFS($C$2:$C$385,$A$2:$A$385,"HKD",$B$2:$B$385,B148)/C148</f>
        <v/>
      </c>
    </row>
    <row r="149">
      <c r="A149" s="2" t="inlineStr">
        <is>
          <t>USD</t>
        </is>
      </c>
      <c r="B149" s="30" t="n">
        <v>45728</v>
      </c>
      <c r="C149" s="8" t="n">
        <v>1</v>
      </c>
      <c r="D149" s="8">
        <f>SUMIFS($C$2:$C$385,$A$2:$A$385,"HKD",$B$2:$B$385,B149)/C149</f>
        <v/>
      </c>
    </row>
    <row r="150">
      <c r="A150" s="2" t="inlineStr">
        <is>
          <t>HKD</t>
        </is>
      </c>
      <c r="B150" s="30" t="n">
        <v>45728</v>
      </c>
      <c r="C150" s="8" t="n">
        <v>7.85</v>
      </c>
      <c r="D150" s="8">
        <f>SUMIFS($C$2:$C$385,$A$2:$A$385,"HKD",$B$2:$B$385,B150)/C150</f>
        <v/>
      </c>
    </row>
    <row r="151">
      <c r="A151" s="2" t="inlineStr">
        <is>
          <t>CNY</t>
        </is>
      </c>
      <c r="B151" s="30" t="n">
        <v>45728</v>
      </c>
      <c r="C151" s="8" t="n">
        <v>7.3483</v>
      </c>
      <c r="D151" s="8">
        <f>SUMIFS($C$2:$C$385,$A$2:$A$385,"HKD",$B$2:$B$385,B151)/C151</f>
        <v/>
      </c>
    </row>
    <row r="152">
      <c r="A152" s="2" t="inlineStr">
        <is>
          <t>USD</t>
        </is>
      </c>
      <c r="B152" s="30" t="n">
        <v>45729</v>
      </c>
      <c r="C152" s="8" t="n">
        <v>1</v>
      </c>
      <c r="D152" s="8">
        <f>SUMIFS($C$2:$C$385,$A$2:$A$385,"HKD",$B$2:$B$385,B152)/C152</f>
        <v/>
      </c>
    </row>
    <row r="153">
      <c r="A153" s="2" t="inlineStr">
        <is>
          <t>HKD</t>
        </is>
      </c>
      <c r="B153" s="30" t="n">
        <v>45729</v>
      </c>
      <c r="C153" s="8" t="n">
        <v>7.8454</v>
      </c>
      <c r="D153" s="8">
        <f>SUMIFS($C$2:$C$385,$A$2:$A$385,"HKD",$B$2:$B$385,B153)/C153</f>
        <v/>
      </c>
    </row>
    <row r="154">
      <c r="A154" s="2" t="inlineStr">
        <is>
          <t>CNY</t>
        </is>
      </c>
      <c r="B154" s="30" t="n">
        <v>45729</v>
      </c>
      <c r="C154" s="8" t="n">
        <v>7.35</v>
      </c>
      <c r="D154" s="8">
        <f>SUMIFS($C$2:$C$385,$A$2:$A$385,"HKD",$B$2:$B$385,B154)/C154</f>
        <v/>
      </c>
    </row>
    <row r="155">
      <c r="A155" s="2" t="inlineStr">
        <is>
          <t>USD</t>
        </is>
      </c>
      <c r="B155" s="30" t="n">
        <v>45730</v>
      </c>
      <c r="C155" s="8" t="n">
        <v>1</v>
      </c>
      <c r="D155" s="8">
        <f>SUMIFS($C$2:$C$385,$A$2:$A$385,"HKD",$B$2:$B$385,B155)/C155</f>
        <v/>
      </c>
    </row>
    <row r="156">
      <c r="A156" s="2" t="inlineStr">
        <is>
          <t>HKD</t>
        </is>
      </c>
      <c r="B156" s="30" t="n">
        <v>45730</v>
      </c>
      <c r="C156" s="8" t="n">
        <v>7.85</v>
      </c>
      <c r="D156" s="8">
        <f>SUMIFS($C$2:$C$385,$A$2:$A$385,"HKD",$B$2:$B$385,B156)/C156</f>
        <v/>
      </c>
    </row>
    <row r="157">
      <c r="A157" s="2" t="inlineStr">
        <is>
          <t>CNY</t>
        </is>
      </c>
      <c r="B157" s="30" t="n">
        <v>45730</v>
      </c>
      <c r="C157" s="8" t="n">
        <v>7.3458</v>
      </c>
      <c r="D157" s="8">
        <f>SUMIFS($C$2:$C$385,$A$2:$A$385,"HKD",$B$2:$B$385,B157)/C157</f>
        <v/>
      </c>
    </row>
    <row r="158">
      <c r="A158" s="2" t="inlineStr">
        <is>
          <t>USD</t>
        </is>
      </c>
      <c r="B158" s="30" t="n">
        <v>45733</v>
      </c>
      <c r="C158" s="8" t="n">
        <v>1</v>
      </c>
      <c r="D158" s="8">
        <f>SUMIFS($C$2:$C$385,$A$2:$A$385,"HKD",$B$2:$B$385,B158)/C158</f>
        <v/>
      </c>
    </row>
    <row r="159">
      <c r="A159" s="2" t="inlineStr">
        <is>
          <t>HKD</t>
        </is>
      </c>
      <c r="B159" s="30" t="n">
        <v>45733</v>
      </c>
      <c r="C159" s="8" t="n">
        <v>7.8393</v>
      </c>
      <c r="D159" s="8">
        <f>SUMIFS($C$2:$C$385,$A$2:$A$385,"HKD",$B$2:$B$385,B159)/C159</f>
        <v/>
      </c>
    </row>
    <row r="160">
      <c r="A160" s="2" t="inlineStr">
        <is>
          <t>CNY</t>
        </is>
      </c>
      <c r="B160" s="30" t="n">
        <v>45733</v>
      </c>
      <c r="C160" s="8" t="n">
        <v>7.3342</v>
      </c>
      <c r="D160" s="8">
        <f>SUMIFS($C$2:$C$385,$A$2:$A$385,"HKD",$B$2:$B$385,B160)/C160</f>
        <v/>
      </c>
    </row>
    <row r="161">
      <c r="A161" s="2" t="inlineStr">
        <is>
          <t>USD</t>
        </is>
      </c>
      <c r="B161" s="30" t="n">
        <v>45734</v>
      </c>
      <c r="C161" s="8" t="n">
        <v>1</v>
      </c>
      <c r="D161" s="8">
        <f>SUMIFS($C$2:$C$385,$A$2:$A$385,"HKD",$B$2:$B$385,B161)/C161</f>
        <v/>
      </c>
    </row>
    <row r="162">
      <c r="A162" s="2" t="inlineStr">
        <is>
          <t>HKD</t>
        </is>
      </c>
      <c r="B162" s="30" t="n">
        <v>45734</v>
      </c>
      <c r="C162" s="8" t="n">
        <v>7.8407</v>
      </c>
      <c r="D162" s="8">
        <f>SUMIFS($C$2:$C$385,$A$2:$A$385,"HKD",$B$2:$B$385,B162)/C162</f>
        <v/>
      </c>
    </row>
    <row r="163">
      <c r="A163" s="2" t="inlineStr">
        <is>
          <t>CNY</t>
        </is>
      </c>
      <c r="B163" s="30" t="n">
        <v>45734</v>
      </c>
      <c r="C163" s="8" t="n">
        <v>7.3399</v>
      </c>
      <c r="D163" s="8">
        <f>SUMIFS($C$2:$C$385,$A$2:$A$385,"HKD",$B$2:$B$385,B163)/C163</f>
        <v/>
      </c>
    </row>
    <row r="164">
      <c r="A164" s="2" t="inlineStr">
        <is>
          <t>USD</t>
        </is>
      </c>
      <c r="B164" s="30" t="n">
        <v>45735</v>
      </c>
      <c r="C164" s="8" t="n">
        <v>1</v>
      </c>
      <c r="D164" s="8">
        <f>SUMIFS($C$2:$C$385,$A$2:$A$385,"HKD",$B$2:$B$385,B164)/C164</f>
        <v/>
      </c>
    </row>
    <row r="165">
      <c r="A165" s="2" t="inlineStr">
        <is>
          <t>HKD</t>
        </is>
      </c>
      <c r="B165" s="30" t="n">
        <v>45735</v>
      </c>
      <c r="C165" s="8" t="n">
        <v>7.85</v>
      </c>
      <c r="D165" s="8">
        <f>SUMIFS($C$2:$C$385,$A$2:$A$385,"HKD",$B$2:$B$385,B165)/C165</f>
        <v/>
      </c>
    </row>
    <row r="166">
      <c r="A166" s="2" t="inlineStr">
        <is>
          <t>CNY</t>
        </is>
      </c>
      <c r="B166" s="30" t="n">
        <v>45735</v>
      </c>
      <c r="C166" s="8" t="n">
        <v>7.3271</v>
      </c>
      <c r="D166" s="8">
        <f>SUMIFS($C$2:$C$385,$A$2:$A$385,"HKD",$B$2:$B$385,B166)/C166</f>
        <v/>
      </c>
    </row>
    <row r="167">
      <c r="A167" s="2" t="inlineStr">
        <is>
          <t>USD</t>
        </is>
      </c>
      <c r="B167" s="30" t="n">
        <v>45736</v>
      </c>
      <c r="C167" s="8" t="n">
        <v>1</v>
      </c>
      <c r="D167" s="8">
        <f>SUMIFS($C$2:$C$385,$A$2:$A$385,"HKD",$B$2:$B$385,B167)/C167</f>
        <v/>
      </c>
    </row>
    <row r="168">
      <c r="A168" s="2" t="inlineStr">
        <is>
          <t>HKD</t>
        </is>
      </c>
      <c r="B168" s="30" t="n">
        <v>45736</v>
      </c>
      <c r="C168" s="8" t="n">
        <v>7.85</v>
      </c>
      <c r="D168" s="8">
        <f>SUMIFS($C$2:$C$385,$A$2:$A$385,"HKD",$B$2:$B$385,B168)/C168</f>
        <v/>
      </c>
    </row>
    <row r="169">
      <c r="A169" s="2" t="inlineStr">
        <is>
          <t>CNY</t>
        </is>
      </c>
      <c r="B169" s="30" t="n">
        <v>45736</v>
      </c>
      <c r="C169" s="8" t="n">
        <v>7.3342</v>
      </c>
      <c r="D169" s="8">
        <f>SUMIFS($C$2:$C$385,$A$2:$A$385,"HKD",$B$2:$B$385,B169)/C169</f>
        <v/>
      </c>
    </row>
    <row r="170">
      <c r="A170" s="2" t="inlineStr">
        <is>
          <t>USD</t>
        </is>
      </c>
      <c r="B170" s="30" t="n">
        <v>45737</v>
      </c>
      <c r="C170" s="8" t="n">
        <v>1</v>
      </c>
      <c r="D170" s="8">
        <f>SUMIFS($C$2:$C$385,$A$2:$A$385,"HKD",$B$2:$B$385,B170)/C170</f>
        <v/>
      </c>
    </row>
    <row r="171">
      <c r="A171" s="2" t="inlineStr">
        <is>
          <t>HKD</t>
        </is>
      </c>
      <c r="B171" s="30" t="n">
        <v>45737</v>
      </c>
      <c r="C171" s="8" t="n">
        <v>7.849</v>
      </c>
      <c r="D171" s="8">
        <f>SUMIFS($C$2:$C$385,$A$2:$A$385,"HKD",$B$2:$B$385,B171)/C171</f>
        <v/>
      </c>
    </row>
    <row r="172">
      <c r="A172" s="2" t="inlineStr">
        <is>
          <t>CNY</t>
        </is>
      </c>
      <c r="B172" s="30" t="n">
        <v>45737</v>
      </c>
      <c r="C172" s="8" t="n">
        <v>7.3051</v>
      </c>
      <c r="D172" s="8">
        <f>SUMIFS($C$2:$C$385,$A$2:$A$385,"HKD",$B$2:$B$385,B172)/C172</f>
        <v/>
      </c>
    </row>
    <row r="173">
      <c r="A173" s="2" t="inlineStr">
        <is>
          <t>USD</t>
        </is>
      </c>
      <c r="B173" s="30" t="n">
        <v>45740</v>
      </c>
      <c r="C173" s="8" t="n">
        <v>1</v>
      </c>
      <c r="D173" s="8">
        <f>SUMIFS($C$2:$C$385,$A$2:$A$385,"HKD",$B$2:$B$385,B173)/C173</f>
        <v/>
      </c>
    </row>
    <row r="174">
      <c r="A174" s="2" t="inlineStr">
        <is>
          <t>HKD</t>
        </is>
      </c>
      <c r="B174" s="30" t="n">
        <v>45740</v>
      </c>
      <c r="C174" s="8" t="n">
        <v>7.85</v>
      </c>
      <c r="D174" s="8">
        <f>SUMIFS($C$2:$C$385,$A$2:$A$385,"HKD",$B$2:$B$385,B174)/C174</f>
        <v/>
      </c>
    </row>
    <row r="175">
      <c r="A175" s="2" t="inlineStr">
        <is>
          <t>CNY</t>
        </is>
      </c>
      <c r="B175" s="30" t="n">
        <v>45740</v>
      </c>
      <c r="C175" s="8" t="n">
        <v>7.3321</v>
      </c>
      <c r="D175" s="8">
        <f>SUMIFS($C$2:$C$385,$A$2:$A$385,"HKD",$B$2:$B$385,B175)/C175</f>
        <v/>
      </c>
    </row>
    <row r="176">
      <c r="A176" s="2" t="inlineStr">
        <is>
          <t>USD</t>
        </is>
      </c>
      <c r="B176" s="30" t="n">
        <v>45741</v>
      </c>
      <c r="C176" s="8" t="n">
        <v>1</v>
      </c>
      <c r="D176" s="8">
        <f>SUMIFS($C$2:$C$385,$A$2:$A$385,"HKD",$B$2:$B$385,B176)/C176</f>
        <v/>
      </c>
    </row>
    <row r="177">
      <c r="A177" s="2" t="inlineStr">
        <is>
          <t>HKD</t>
        </is>
      </c>
      <c r="B177" s="30" t="n">
        <v>45741</v>
      </c>
      <c r="C177" s="8" t="n">
        <v>7.85</v>
      </c>
      <c r="D177" s="8">
        <f>SUMIFS($C$2:$C$385,$A$2:$A$385,"HKD",$B$2:$B$385,B177)/C177</f>
        <v/>
      </c>
    </row>
    <row r="178">
      <c r="A178" s="2" t="inlineStr">
        <is>
          <t>CNY</t>
        </is>
      </c>
      <c r="B178" s="30" t="n">
        <v>45741</v>
      </c>
      <c r="C178" s="8" t="n">
        <v>7.3204</v>
      </c>
      <c r="D178" s="8">
        <f>SUMIFS($C$2:$C$385,$A$2:$A$385,"HKD",$B$2:$B$385,B178)/C178</f>
        <v/>
      </c>
    </row>
    <row r="179">
      <c r="A179" s="2" t="inlineStr">
        <is>
          <t>USD</t>
        </is>
      </c>
      <c r="B179" s="30" t="n">
        <v>45742</v>
      </c>
      <c r="C179" s="8" t="n">
        <v>1</v>
      </c>
      <c r="D179" s="8">
        <f>SUMIFS($C$2:$C$385,$A$2:$A$385,"HKD",$B$2:$B$385,B179)/C179</f>
        <v/>
      </c>
    </row>
    <row r="180">
      <c r="A180" s="2" t="inlineStr">
        <is>
          <t>HKD</t>
        </is>
      </c>
      <c r="B180" s="30" t="n">
        <v>45742</v>
      </c>
      <c r="C180" s="8" t="n">
        <v>7.8475</v>
      </c>
      <c r="D180" s="8">
        <f>SUMIFS($C$2:$C$385,$A$2:$A$385,"HKD",$B$2:$B$385,B180)/C180</f>
        <v/>
      </c>
    </row>
    <row r="181">
      <c r="A181" s="2" t="inlineStr">
        <is>
          <t>CNY</t>
        </is>
      </c>
      <c r="B181" s="30" t="n">
        <v>45742</v>
      </c>
      <c r="C181" s="8" t="n">
        <v>7.3224</v>
      </c>
      <c r="D181" s="8">
        <f>SUMIFS($C$2:$C$385,$A$2:$A$385,"HKD",$B$2:$B$385,B181)/C181</f>
        <v/>
      </c>
    </row>
    <row r="182">
      <c r="A182" s="2" t="inlineStr">
        <is>
          <t>USD</t>
        </is>
      </c>
      <c r="B182" s="30" t="n">
        <v>45743</v>
      </c>
      <c r="C182" s="8" t="n">
        <v>1</v>
      </c>
      <c r="D182" s="8">
        <f>SUMIFS($C$2:$C$385,$A$2:$A$385,"HKD",$B$2:$B$385,B182)/C182</f>
        <v/>
      </c>
    </row>
    <row r="183">
      <c r="A183" s="2" t="inlineStr">
        <is>
          <t>HKD</t>
        </is>
      </c>
      <c r="B183" s="30" t="n">
        <v>45743</v>
      </c>
      <c r="C183" s="8" t="n">
        <v>7.85</v>
      </c>
      <c r="D183" s="8">
        <f>SUMIFS($C$2:$C$385,$A$2:$A$385,"HKD",$B$2:$B$385,B183)/C183</f>
        <v/>
      </c>
    </row>
    <row r="184">
      <c r="A184" s="2" t="inlineStr">
        <is>
          <t>CNY</t>
        </is>
      </c>
      <c r="B184" s="30" t="n">
        <v>45743</v>
      </c>
      <c r="C184" s="8" t="n">
        <v>7.3291</v>
      </c>
      <c r="D184" s="8">
        <f>SUMIFS($C$2:$C$385,$A$2:$A$385,"HKD",$B$2:$B$385,B184)/C184</f>
        <v/>
      </c>
    </row>
    <row r="185">
      <c r="A185" s="2" t="inlineStr">
        <is>
          <t>USD</t>
        </is>
      </c>
      <c r="B185" s="30" t="n">
        <v>45744</v>
      </c>
      <c r="C185" s="8" t="n">
        <v>1</v>
      </c>
      <c r="D185" s="8">
        <f>SUMIFS($C$2:$C$385,$A$2:$A$385,"HKD",$B$2:$B$385,B185)/C185</f>
        <v/>
      </c>
    </row>
    <row r="186">
      <c r="A186" s="2" t="inlineStr">
        <is>
          <t>HKD</t>
        </is>
      </c>
      <c r="B186" s="30" t="n">
        <v>45744</v>
      </c>
      <c r="C186" s="8" t="n">
        <v>7.85</v>
      </c>
      <c r="D186" s="8">
        <f>SUMIFS($C$2:$C$385,$A$2:$A$385,"HKD",$B$2:$B$385,B186)/C186</f>
        <v/>
      </c>
    </row>
    <row r="187">
      <c r="A187" s="2" t="inlineStr">
        <is>
          <t>CNY</t>
        </is>
      </c>
      <c r="B187" s="30" t="n">
        <v>45744</v>
      </c>
      <c r="C187" s="8" t="n">
        <v>7.3471</v>
      </c>
      <c r="D187" s="8">
        <f>SUMIFS($C$2:$C$385,$A$2:$A$385,"HKD",$B$2:$B$385,B187)/C187</f>
        <v/>
      </c>
    </row>
    <row r="188">
      <c r="A188" s="2" t="inlineStr">
        <is>
          <t>USD</t>
        </is>
      </c>
      <c r="B188" s="30" t="n">
        <v>45747</v>
      </c>
      <c r="C188" s="8" t="n">
        <v>1</v>
      </c>
      <c r="D188" s="8">
        <f>SUMIFS($C$2:$C$385,$A$2:$A$385,"HKD",$B$2:$B$385,B188)/C188</f>
        <v/>
      </c>
    </row>
    <row r="189">
      <c r="A189" s="2" t="inlineStr">
        <is>
          <t>HKD</t>
        </is>
      </c>
      <c r="B189" s="30" t="n">
        <v>45747</v>
      </c>
      <c r="C189" s="8" t="n">
        <v>7.8495</v>
      </c>
      <c r="D189" s="8">
        <f>SUMIFS($C$2:$C$385,$A$2:$A$385,"HKD",$B$2:$B$385,B189)/C189</f>
        <v/>
      </c>
    </row>
    <row r="190">
      <c r="A190" s="2" t="inlineStr">
        <is>
          <t>CNY</t>
        </is>
      </c>
      <c r="B190" s="30" t="n">
        <v>45747</v>
      </c>
      <c r="C190" s="8" t="n">
        <v>7.35</v>
      </c>
      <c r="D190" s="8">
        <f>SUMIFS($C$2:$C$385,$A$2:$A$385,"HKD",$B$2:$B$385,B190)/C190</f>
        <v/>
      </c>
    </row>
    <row r="191">
      <c r="A191" s="2" t="inlineStr">
        <is>
          <t>USD</t>
        </is>
      </c>
      <c r="B191" s="30" t="n">
        <v>45748</v>
      </c>
      <c r="C191" s="8" t="n">
        <v>1</v>
      </c>
      <c r="D191" s="8">
        <f>SUMIFS($C$2:$C$385,$A$2:$A$385,"HKD",$B$2:$B$385,B191)/C191</f>
        <v/>
      </c>
    </row>
    <row r="192">
      <c r="A192" s="2" t="inlineStr">
        <is>
          <t>HKD</t>
        </is>
      </c>
      <c r="B192" s="30" t="n">
        <v>45748</v>
      </c>
      <c r="C192" s="8" t="n">
        <v>7.8454</v>
      </c>
      <c r="D192" s="8">
        <f>SUMIFS($C$2:$C$385,$A$2:$A$385,"HKD",$B$2:$B$385,B192)/C192</f>
        <v/>
      </c>
    </row>
    <row r="193">
      <c r="A193" s="2" t="inlineStr">
        <is>
          <t>CNY</t>
        </is>
      </c>
      <c r="B193" s="30" t="n">
        <v>45748</v>
      </c>
      <c r="C193" s="8" t="n">
        <v>7.3436</v>
      </c>
      <c r="D193" s="8">
        <f>SUMIFS($C$2:$C$385,$A$2:$A$385,"HKD",$B$2:$B$385,B193)/C193</f>
        <v/>
      </c>
    </row>
    <row r="194">
      <c r="A194" s="2" t="inlineStr">
        <is>
          <t>USD</t>
        </is>
      </c>
      <c r="B194" s="30" t="n">
        <v>45749</v>
      </c>
      <c r="C194" s="8" t="n">
        <v>1</v>
      </c>
      <c r="D194" s="8">
        <f>SUMIFS($C$2:$C$385,$A$2:$A$385,"HKD",$B$2:$B$385,B194)/C194</f>
        <v/>
      </c>
    </row>
    <row r="195">
      <c r="A195" s="2" t="inlineStr">
        <is>
          <t>HKD</t>
        </is>
      </c>
      <c r="B195" s="30" t="n">
        <v>45749</v>
      </c>
      <c r="C195" s="8" t="n">
        <v>7.8497</v>
      </c>
      <c r="D195" s="8">
        <f>SUMIFS($C$2:$C$385,$A$2:$A$385,"HKD",$B$2:$B$385,B195)/C195</f>
        <v/>
      </c>
    </row>
    <row r="196">
      <c r="A196" s="2" t="inlineStr">
        <is>
          <t>CNY</t>
        </is>
      </c>
      <c r="B196" s="30" t="n">
        <v>45749</v>
      </c>
      <c r="C196" s="8" t="n">
        <v>7.35</v>
      </c>
      <c r="D196" s="8">
        <f>SUMIFS($C$2:$C$385,$A$2:$A$385,"HKD",$B$2:$B$385,B196)/C196</f>
        <v/>
      </c>
    </row>
    <row r="197">
      <c r="A197" s="2" t="inlineStr">
        <is>
          <t>USD</t>
        </is>
      </c>
      <c r="B197" s="30" t="n">
        <v>45750</v>
      </c>
      <c r="C197" s="8" t="n">
        <v>1</v>
      </c>
      <c r="D197" s="8">
        <f>SUMIFS($C$2:$C$385,$A$2:$A$385,"HKD",$B$2:$B$385,B197)/C197</f>
        <v/>
      </c>
    </row>
    <row r="198">
      <c r="A198" s="2" t="inlineStr">
        <is>
          <t>HKD</t>
        </is>
      </c>
      <c r="B198" s="30" t="n">
        <v>45750</v>
      </c>
      <c r="C198" s="8" t="n">
        <v>7.85</v>
      </c>
      <c r="D198" s="8">
        <f>SUMIFS($C$2:$C$385,$A$2:$A$385,"HKD",$B$2:$B$385,B198)/C198</f>
        <v/>
      </c>
    </row>
    <row r="199">
      <c r="A199" s="2" t="inlineStr">
        <is>
          <t>CNY</t>
        </is>
      </c>
      <c r="B199" s="30" t="n">
        <v>45750</v>
      </c>
      <c r="C199" s="8" t="n">
        <v>7.35</v>
      </c>
      <c r="D199" s="8">
        <f>SUMIFS($C$2:$C$385,$A$2:$A$385,"HKD",$B$2:$B$385,B199)/C199</f>
        <v/>
      </c>
    </row>
    <row r="200">
      <c r="A200" s="2" t="inlineStr">
        <is>
          <t>USD</t>
        </is>
      </c>
      <c r="B200" s="30" t="n">
        <v>45751</v>
      </c>
      <c r="C200" s="8" t="n">
        <v>1</v>
      </c>
      <c r="D200" s="8">
        <f>SUMIFS($C$2:$C$385,$A$2:$A$385,"HKD",$B$2:$B$385,B200)/C200</f>
        <v/>
      </c>
    </row>
    <row r="201">
      <c r="A201" s="2" t="inlineStr">
        <is>
          <t>HKD</t>
        </is>
      </c>
      <c r="B201" s="30" t="n">
        <v>45751</v>
      </c>
      <c r="C201" s="8" t="n">
        <v>7.8391</v>
      </c>
      <c r="D201" s="8">
        <f>SUMIFS($C$2:$C$385,$A$2:$A$385,"HKD",$B$2:$B$385,B201)/C201</f>
        <v/>
      </c>
    </row>
    <row r="202">
      <c r="A202" s="2" t="inlineStr">
        <is>
          <t>CNY</t>
        </is>
      </c>
      <c r="B202" s="30" t="n">
        <v>45751</v>
      </c>
      <c r="C202" s="8" t="n">
        <v>7.3407</v>
      </c>
      <c r="D202" s="8">
        <f>SUMIFS($C$2:$C$385,$A$2:$A$385,"HKD",$B$2:$B$385,B202)/C202</f>
        <v/>
      </c>
    </row>
    <row r="203">
      <c r="A203" s="2" t="inlineStr">
        <is>
          <t>USD</t>
        </is>
      </c>
      <c r="B203" s="30" t="n">
        <v>45754</v>
      </c>
      <c r="C203" s="8" t="n">
        <v>1</v>
      </c>
      <c r="D203" s="8">
        <f>SUMIFS($C$2:$C$385,$A$2:$A$385,"HKD",$B$2:$B$385,B203)/C203</f>
        <v/>
      </c>
    </row>
    <row r="204">
      <c r="A204" s="2" t="inlineStr">
        <is>
          <t>HKD</t>
        </is>
      </c>
      <c r="B204" s="30" t="n">
        <v>45754</v>
      </c>
      <c r="C204" s="8" t="n">
        <v>7.8354</v>
      </c>
      <c r="D204" s="8">
        <f>SUMIFS($C$2:$C$385,$A$2:$A$385,"HKD",$B$2:$B$385,B204)/C204</f>
        <v/>
      </c>
    </row>
    <row r="205">
      <c r="A205" s="2" t="inlineStr">
        <is>
          <t>CNY</t>
        </is>
      </c>
      <c r="B205" s="30" t="n">
        <v>45754</v>
      </c>
      <c r="C205" s="8" t="n">
        <v>7.3336</v>
      </c>
      <c r="D205" s="8">
        <f>SUMIFS($C$2:$C$385,$A$2:$A$385,"HKD",$B$2:$B$385,B205)/C205</f>
        <v/>
      </c>
    </row>
    <row r="206">
      <c r="A206" s="2" t="inlineStr">
        <is>
          <t>USD</t>
        </is>
      </c>
      <c r="B206" s="30" t="n">
        <v>45755</v>
      </c>
      <c r="C206" s="8" t="n">
        <v>1</v>
      </c>
      <c r="D206" s="8">
        <f>SUMIFS($C$2:$C$385,$A$2:$A$385,"HKD",$B$2:$B$385,B206)/C206</f>
        <v/>
      </c>
    </row>
    <row r="207">
      <c r="A207" s="2" t="inlineStr">
        <is>
          <t>HKD</t>
        </is>
      </c>
      <c r="B207" s="30" t="n">
        <v>45755</v>
      </c>
      <c r="C207" s="8" t="n">
        <v>7.8389</v>
      </c>
      <c r="D207" s="8">
        <f>SUMIFS($C$2:$C$385,$A$2:$A$385,"HKD",$B$2:$B$385,B207)/C207</f>
        <v/>
      </c>
    </row>
    <row r="208">
      <c r="A208" s="2" t="inlineStr">
        <is>
          <t>CNY</t>
        </is>
      </c>
      <c r="B208" s="30" t="n">
        <v>45755</v>
      </c>
      <c r="C208" s="8" t="n">
        <v>7.3289</v>
      </c>
      <c r="D208" s="8">
        <f>SUMIFS($C$2:$C$385,$A$2:$A$385,"HKD",$B$2:$B$385,B208)/C208</f>
        <v/>
      </c>
    </row>
    <row r="209">
      <c r="A209" s="2" t="inlineStr">
        <is>
          <t>USD</t>
        </is>
      </c>
      <c r="B209" s="30" t="n">
        <v>45756</v>
      </c>
      <c r="C209" s="8" t="n">
        <v>1</v>
      </c>
      <c r="D209" s="8">
        <f>SUMIFS($C$2:$C$385,$A$2:$A$385,"HKD",$B$2:$B$385,B209)/C209</f>
        <v/>
      </c>
    </row>
    <row r="210">
      <c r="A210" s="2" t="inlineStr">
        <is>
          <t>HKD</t>
        </is>
      </c>
      <c r="B210" s="30" t="n">
        <v>45756</v>
      </c>
      <c r="C210" s="8" t="n">
        <v>7.8437</v>
      </c>
      <c r="D210" s="8">
        <f>SUMIFS($C$2:$C$385,$A$2:$A$385,"HKD",$B$2:$B$385,B210)/C210</f>
        <v/>
      </c>
    </row>
    <row r="211">
      <c r="A211" s="2" t="inlineStr">
        <is>
          <t>CNY</t>
        </is>
      </c>
      <c r="B211" s="30" t="n">
        <v>45756</v>
      </c>
      <c r="C211" s="8" t="n">
        <v>7.3292</v>
      </c>
      <c r="D211" s="8">
        <f>SUMIFS($C$2:$C$385,$A$2:$A$385,"HKD",$B$2:$B$385,B211)/C211</f>
        <v/>
      </c>
    </row>
    <row r="212">
      <c r="A212" s="2" t="inlineStr">
        <is>
          <t>USD</t>
        </is>
      </c>
      <c r="B212" s="30" t="n">
        <v>45757</v>
      </c>
      <c r="C212" s="8" t="n">
        <v>1</v>
      </c>
      <c r="D212" s="8">
        <f>SUMIFS($C$2:$C$385,$A$2:$A$385,"HKD",$B$2:$B$385,B212)/C212</f>
        <v/>
      </c>
    </row>
    <row r="213">
      <c r="A213" s="2" t="inlineStr">
        <is>
          <t>HKD</t>
        </is>
      </c>
      <c r="B213" s="30" t="n">
        <v>45757</v>
      </c>
      <c r="C213" s="8" t="n">
        <v>7.8417</v>
      </c>
      <c r="D213" s="8">
        <f>SUMIFS($C$2:$C$385,$A$2:$A$385,"HKD",$B$2:$B$385,B213)/C213</f>
        <v/>
      </c>
    </row>
    <row r="214">
      <c r="A214" s="2" t="inlineStr">
        <is>
          <t>CNY</t>
        </is>
      </c>
      <c r="B214" s="30" t="n">
        <v>45757</v>
      </c>
      <c r="C214" s="8" t="n">
        <v>7.3299</v>
      </c>
      <c r="D214" s="8">
        <f>SUMIFS($C$2:$C$385,$A$2:$A$385,"HKD",$B$2:$B$385,B214)/C214</f>
        <v/>
      </c>
    </row>
    <row r="215">
      <c r="A215" s="2" t="inlineStr">
        <is>
          <t>USD</t>
        </is>
      </c>
      <c r="B215" s="30" t="n">
        <v>45758</v>
      </c>
      <c r="C215" s="8" t="n">
        <v>1</v>
      </c>
      <c r="D215" s="8">
        <f>SUMIFS($C$2:$C$385,$A$2:$A$385,"HKD",$B$2:$B$385,B215)/C215</f>
        <v/>
      </c>
    </row>
    <row r="216">
      <c r="A216" s="2" t="inlineStr">
        <is>
          <t>HKD</t>
        </is>
      </c>
      <c r="B216" s="30" t="n">
        <v>45758</v>
      </c>
      <c r="C216" s="8" t="n">
        <v>7.8442</v>
      </c>
      <c r="D216" s="8">
        <f>SUMIFS($C$2:$C$385,$A$2:$A$385,"HKD",$B$2:$B$385,B216)/C216</f>
        <v/>
      </c>
    </row>
    <row r="217">
      <c r="A217" s="2" t="inlineStr">
        <is>
          <t>CNY</t>
        </is>
      </c>
      <c r="B217" s="30" t="n">
        <v>45758</v>
      </c>
      <c r="C217" s="8" t="n">
        <v>7.3395</v>
      </c>
      <c r="D217" s="8">
        <f>SUMIFS($C$2:$C$385,$A$2:$A$385,"HKD",$B$2:$B$385,B217)/C217</f>
        <v/>
      </c>
    </row>
    <row r="218">
      <c r="A218" s="2" t="inlineStr">
        <is>
          <t>USD</t>
        </is>
      </c>
      <c r="B218" s="30" t="n">
        <v>45761</v>
      </c>
      <c r="C218" s="8" t="n">
        <v>1</v>
      </c>
      <c r="D218" s="8">
        <f>SUMIFS($C$2:$C$385,$A$2:$A$385,"HKD",$B$2:$B$385,B218)/C218</f>
        <v/>
      </c>
    </row>
    <row r="219">
      <c r="A219" s="2" t="inlineStr">
        <is>
          <t>HKD</t>
        </is>
      </c>
      <c r="B219" s="30" t="n">
        <v>45761</v>
      </c>
      <c r="C219" s="8" t="n">
        <v>7.8414</v>
      </c>
      <c r="D219" s="8">
        <f>SUMIFS($C$2:$C$385,$A$2:$A$385,"HKD",$B$2:$B$385,B219)/C219</f>
        <v/>
      </c>
    </row>
    <row r="220">
      <c r="A220" s="2" t="inlineStr">
        <is>
          <t>CNY</t>
        </is>
      </c>
      <c r="B220" s="30" t="n">
        <v>45761</v>
      </c>
      <c r="C220" s="8" t="n">
        <v>7.336</v>
      </c>
      <c r="D220" s="8">
        <f>SUMIFS($C$2:$C$385,$A$2:$A$385,"HKD",$B$2:$B$385,B220)/C220</f>
        <v/>
      </c>
    </row>
    <row r="221">
      <c r="A221" s="2" t="inlineStr">
        <is>
          <t>USD</t>
        </is>
      </c>
      <c r="B221" s="30" t="n">
        <v>45762</v>
      </c>
      <c r="C221" s="8" t="n">
        <v>1</v>
      </c>
      <c r="D221" s="8">
        <f>SUMIFS($C$2:$C$385,$A$2:$A$385,"HKD",$B$2:$B$385,B221)/C221</f>
        <v/>
      </c>
    </row>
    <row r="222">
      <c r="A222" s="2" t="inlineStr">
        <is>
          <t>HKD</t>
        </is>
      </c>
      <c r="B222" s="30" t="n">
        <v>45762</v>
      </c>
      <c r="C222" s="8" t="n">
        <v>7.8332</v>
      </c>
      <c r="D222" s="8">
        <f>SUMIFS($C$2:$C$385,$A$2:$A$385,"HKD",$B$2:$B$385,B222)/C222</f>
        <v/>
      </c>
    </row>
    <row r="223">
      <c r="A223" s="2" t="inlineStr">
        <is>
          <t>CNY</t>
        </is>
      </c>
      <c r="B223" s="30" t="n">
        <v>45762</v>
      </c>
      <c r="C223" s="8" t="n">
        <v>7.35</v>
      </c>
      <c r="D223" s="8">
        <f>SUMIFS($C$2:$C$385,$A$2:$A$385,"HKD",$B$2:$B$385,B223)/C223</f>
        <v/>
      </c>
    </row>
    <row r="224">
      <c r="A224" s="2" t="inlineStr">
        <is>
          <t>USD</t>
        </is>
      </c>
      <c r="B224" s="30" t="n">
        <v>45763</v>
      </c>
      <c r="C224" s="8" t="n">
        <v>1</v>
      </c>
      <c r="D224" s="8">
        <f>SUMIFS($C$2:$C$385,$A$2:$A$385,"HKD",$B$2:$B$385,B224)/C224</f>
        <v/>
      </c>
    </row>
    <row r="225">
      <c r="A225" s="2" t="inlineStr">
        <is>
          <t>HKD</t>
        </is>
      </c>
      <c r="B225" s="30" t="n">
        <v>45763</v>
      </c>
      <c r="C225" s="8" t="n">
        <v>7.8419</v>
      </c>
      <c r="D225" s="8">
        <f>SUMIFS($C$2:$C$385,$A$2:$A$385,"HKD",$B$2:$B$385,B225)/C225</f>
        <v/>
      </c>
    </row>
    <row r="226">
      <c r="A226" s="2" t="inlineStr">
        <is>
          <t>CNY</t>
        </is>
      </c>
      <c r="B226" s="30" t="n">
        <v>45763</v>
      </c>
      <c r="C226" s="8" t="n">
        <v>7.3472</v>
      </c>
      <c r="D226" s="8">
        <f>SUMIFS($C$2:$C$385,$A$2:$A$385,"HKD",$B$2:$B$385,B226)/C226</f>
        <v/>
      </c>
    </row>
    <row r="227">
      <c r="A227" s="2" t="inlineStr">
        <is>
          <t>USD</t>
        </is>
      </c>
      <c r="B227" s="30" t="n">
        <v>45764</v>
      </c>
      <c r="C227" s="8" t="n">
        <v>1</v>
      </c>
      <c r="D227" s="8">
        <f>SUMIFS($C$2:$C$385,$A$2:$A$385,"HKD",$B$2:$B$385,B227)/C227</f>
        <v/>
      </c>
    </row>
    <row r="228">
      <c r="A228" s="2" t="inlineStr">
        <is>
          <t>HKD</t>
        </is>
      </c>
      <c r="B228" s="30" t="n">
        <v>45764</v>
      </c>
      <c r="C228" s="8" t="n">
        <v>7.839</v>
      </c>
      <c r="D228" s="8">
        <f>SUMIFS($C$2:$C$385,$A$2:$A$385,"HKD",$B$2:$B$385,B228)/C228</f>
        <v/>
      </c>
    </row>
    <row r="229">
      <c r="A229" s="2" t="inlineStr">
        <is>
          <t>CNY</t>
        </is>
      </c>
      <c r="B229" s="30" t="n">
        <v>45764</v>
      </c>
      <c r="C229" s="8" t="n">
        <v>7.3316</v>
      </c>
      <c r="D229" s="8">
        <f>SUMIFS($C$2:$C$385,$A$2:$A$385,"HKD",$B$2:$B$385,B229)/C229</f>
        <v/>
      </c>
    </row>
    <row r="230">
      <c r="A230" s="2" t="inlineStr">
        <is>
          <t>USD</t>
        </is>
      </c>
      <c r="B230" s="30" t="n">
        <v>45765</v>
      </c>
      <c r="C230" s="8" t="n">
        <v>1</v>
      </c>
      <c r="D230" s="8">
        <f>SUMIFS($C$2:$C$385,$A$2:$A$385,"HKD",$B$2:$B$385,B230)/C230</f>
        <v/>
      </c>
    </row>
    <row r="231">
      <c r="A231" s="2" t="inlineStr">
        <is>
          <t>HKD</t>
        </is>
      </c>
      <c r="B231" s="30" t="n">
        <v>45765</v>
      </c>
      <c r="C231" s="8" t="n">
        <v>7.84</v>
      </c>
      <c r="D231" s="8">
        <f>SUMIFS($C$2:$C$385,$A$2:$A$385,"HKD",$B$2:$B$385,B231)/C231</f>
        <v/>
      </c>
    </row>
    <row r="232">
      <c r="A232" s="2" t="inlineStr">
        <is>
          <t>CNY</t>
        </is>
      </c>
      <c r="B232" s="30" t="n">
        <v>45765</v>
      </c>
      <c r="C232" s="8" t="n">
        <v>7.3334</v>
      </c>
      <c r="D232" s="8">
        <f>SUMIFS($C$2:$C$385,$A$2:$A$385,"HKD",$B$2:$B$385,B232)/C232</f>
        <v/>
      </c>
    </row>
    <row r="233">
      <c r="A233" s="2" t="inlineStr">
        <is>
          <t>USD</t>
        </is>
      </c>
      <c r="B233" s="30" t="n">
        <v>45768</v>
      </c>
      <c r="C233" s="8" t="n">
        <v>1</v>
      </c>
      <c r="D233" s="8">
        <f>SUMIFS($C$2:$C$385,$A$2:$A$385,"HKD",$B$2:$B$385,B233)/C233</f>
        <v/>
      </c>
    </row>
    <row r="234">
      <c r="A234" s="2" t="inlineStr">
        <is>
          <t>HKD</t>
        </is>
      </c>
      <c r="B234" s="30" t="n">
        <v>45768</v>
      </c>
      <c r="C234" s="8" t="n">
        <v>7.85</v>
      </c>
      <c r="D234" s="8">
        <f>SUMIFS($C$2:$C$385,$A$2:$A$385,"HKD",$B$2:$B$385,B234)/C234</f>
        <v/>
      </c>
    </row>
    <row r="235">
      <c r="A235" s="2" t="inlineStr">
        <is>
          <t>CNY</t>
        </is>
      </c>
      <c r="B235" s="30" t="n">
        <v>45768</v>
      </c>
      <c r="C235" s="8" t="n">
        <v>7.3357</v>
      </c>
      <c r="D235" s="8">
        <f>SUMIFS($C$2:$C$385,$A$2:$A$385,"HKD",$B$2:$B$385,B235)/C235</f>
        <v/>
      </c>
    </row>
    <row r="236">
      <c r="A236" s="2" t="inlineStr">
        <is>
          <t>USD</t>
        </is>
      </c>
      <c r="B236" s="30" t="n">
        <v>45769</v>
      </c>
      <c r="C236" s="8" t="n">
        <v>1</v>
      </c>
      <c r="D236" s="8">
        <f>SUMIFS($C$2:$C$385,$A$2:$A$385,"HKD",$B$2:$B$385,B236)/C236</f>
        <v/>
      </c>
    </row>
    <row r="237">
      <c r="A237" s="2" t="inlineStr">
        <is>
          <t>HKD</t>
        </is>
      </c>
      <c r="B237" s="30" t="n">
        <v>45769</v>
      </c>
      <c r="C237" s="8" t="n">
        <v>7.8453</v>
      </c>
      <c r="D237" s="8">
        <f>SUMIFS($C$2:$C$385,$A$2:$A$385,"HKD",$B$2:$B$385,B237)/C237</f>
        <v/>
      </c>
    </row>
    <row r="238">
      <c r="A238" s="2" t="inlineStr">
        <is>
          <t>CNY</t>
        </is>
      </c>
      <c r="B238" s="30" t="n">
        <v>45769</v>
      </c>
      <c r="C238" s="8" t="n">
        <v>7.3056</v>
      </c>
      <c r="D238" s="8">
        <f>SUMIFS($C$2:$C$385,$A$2:$A$385,"HKD",$B$2:$B$385,B238)/C238</f>
        <v/>
      </c>
    </row>
    <row r="239">
      <c r="A239" s="2" t="inlineStr">
        <is>
          <t>USD</t>
        </is>
      </c>
      <c r="B239" s="30" t="n">
        <v>45770</v>
      </c>
      <c r="C239" s="8" t="n">
        <v>1</v>
      </c>
      <c r="D239" s="8">
        <f>SUMIFS($C$2:$C$385,$A$2:$A$385,"HKD",$B$2:$B$385,B239)/C239</f>
        <v/>
      </c>
    </row>
    <row r="240">
      <c r="A240" s="2" t="inlineStr">
        <is>
          <t>HKD</t>
        </is>
      </c>
      <c r="B240" s="30" t="n">
        <v>45770</v>
      </c>
      <c r="C240" s="8" t="n">
        <v>7.85</v>
      </c>
      <c r="D240" s="8">
        <f>SUMIFS($C$2:$C$385,$A$2:$A$385,"HKD",$B$2:$B$385,B240)/C240</f>
        <v/>
      </c>
    </row>
    <row r="241">
      <c r="A241" s="2" t="inlineStr">
        <is>
          <t>CNY</t>
        </is>
      </c>
      <c r="B241" s="30" t="n">
        <v>45770</v>
      </c>
      <c r="C241" s="8" t="n">
        <v>7.3072</v>
      </c>
      <c r="D241" s="8">
        <f>SUMIFS($C$2:$C$385,$A$2:$A$385,"HKD",$B$2:$B$385,B241)/C241</f>
        <v/>
      </c>
    </row>
    <row r="242">
      <c r="A242" s="2" t="inlineStr">
        <is>
          <t>USD</t>
        </is>
      </c>
      <c r="B242" s="30" t="n">
        <v>45771</v>
      </c>
      <c r="C242" s="8" t="n">
        <v>1</v>
      </c>
      <c r="D242" s="8">
        <f>SUMIFS($C$2:$C$385,$A$2:$A$385,"HKD",$B$2:$B$385,B242)/C242</f>
        <v/>
      </c>
    </row>
    <row r="243">
      <c r="A243" s="2" t="inlineStr">
        <is>
          <t>HKD</t>
        </is>
      </c>
      <c r="B243" s="30" t="n">
        <v>45771</v>
      </c>
      <c r="C243" s="8" t="n">
        <v>7.8403</v>
      </c>
      <c r="D243" s="8">
        <f>SUMIFS($C$2:$C$385,$A$2:$A$385,"HKD",$B$2:$B$385,B243)/C243</f>
        <v/>
      </c>
    </row>
    <row r="244">
      <c r="A244" s="2" t="inlineStr">
        <is>
          <t>CNY</t>
        </is>
      </c>
      <c r="B244" s="30" t="n">
        <v>45771</v>
      </c>
      <c r="C244" s="8" t="n">
        <v>7.3087</v>
      </c>
      <c r="D244" s="8">
        <f>SUMIFS($C$2:$C$385,$A$2:$A$385,"HKD",$B$2:$B$385,B244)/C244</f>
        <v/>
      </c>
    </row>
    <row r="245">
      <c r="A245" s="2" t="inlineStr">
        <is>
          <t>USD</t>
        </is>
      </c>
      <c r="B245" s="30" t="n">
        <v>45772</v>
      </c>
      <c r="C245" s="8" t="n">
        <v>1</v>
      </c>
      <c r="D245" s="8">
        <f>SUMIFS($C$2:$C$385,$A$2:$A$385,"HKD",$B$2:$B$385,B245)/C245</f>
        <v/>
      </c>
    </row>
    <row r="246">
      <c r="A246" s="2" t="inlineStr">
        <is>
          <t>HKD</t>
        </is>
      </c>
      <c r="B246" s="30" t="n">
        <v>45772</v>
      </c>
      <c r="C246" s="8" t="n">
        <v>7.8307</v>
      </c>
      <c r="D246" s="8">
        <f>SUMIFS($C$2:$C$385,$A$2:$A$385,"HKD",$B$2:$B$385,B246)/C246</f>
        <v/>
      </c>
    </row>
    <row r="247">
      <c r="A247" s="2" t="inlineStr">
        <is>
          <t>CNY</t>
        </is>
      </c>
      <c r="B247" s="30" t="n">
        <v>45772</v>
      </c>
      <c r="C247" s="8" t="n">
        <v>7.3497</v>
      </c>
      <c r="D247" s="8">
        <f>SUMIFS($C$2:$C$385,$A$2:$A$385,"HKD",$B$2:$B$385,B247)/C247</f>
        <v/>
      </c>
    </row>
    <row r="248">
      <c r="A248" s="2" t="inlineStr">
        <is>
          <t>USD</t>
        </is>
      </c>
      <c r="B248" s="30" t="n">
        <v>45775</v>
      </c>
      <c r="C248" s="8" t="n">
        <v>1</v>
      </c>
      <c r="D248" s="8">
        <f>SUMIFS($C$2:$C$385,$A$2:$A$385,"HKD",$B$2:$B$385,B248)/C248</f>
        <v/>
      </c>
    </row>
    <row r="249">
      <c r="A249" s="2" t="inlineStr">
        <is>
          <t>HKD</t>
        </is>
      </c>
      <c r="B249" s="30" t="n">
        <v>45775</v>
      </c>
      <c r="C249" s="8" t="n">
        <v>7.8374</v>
      </c>
      <c r="D249" s="8">
        <f>SUMIFS($C$2:$C$385,$A$2:$A$385,"HKD",$B$2:$B$385,B249)/C249</f>
        <v/>
      </c>
    </row>
    <row r="250">
      <c r="A250" s="2" t="inlineStr">
        <is>
          <t>CNY</t>
        </is>
      </c>
      <c r="B250" s="30" t="n">
        <v>45775</v>
      </c>
      <c r="C250" s="8" t="n">
        <v>7.35</v>
      </c>
      <c r="D250" s="8">
        <f>SUMIFS($C$2:$C$385,$A$2:$A$385,"HKD",$B$2:$B$385,B250)/C250</f>
        <v/>
      </c>
    </row>
    <row r="251">
      <c r="A251" s="2" t="inlineStr">
        <is>
          <t>USD</t>
        </is>
      </c>
      <c r="B251" s="30" t="n">
        <v>45776</v>
      </c>
      <c r="C251" s="8" t="n">
        <v>1</v>
      </c>
      <c r="D251" s="8">
        <f>SUMIFS($C$2:$C$385,$A$2:$A$385,"HKD",$B$2:$B$385,B251)/C251</f>
        <v/>
      </c>
    </row>
    <row r="252">
      <c r="A252" s="2" t="inlineStr">
        <is>
          <t>HKD</t>
        </is>
      </c>
      <c r="B252" s="30" t="n">
        <v>45776</v>
      </c>
      <c r="C252" s="8" t="n">
        <v>7.8364</v>
      </c>
      <c r="D252" s="8">
        <f>SUMIFS($C$2:$C$385,$A$2:$A$385,"HKD",$B$2:$B$385,B252)/C252</f>
        <v/>
      </c>
    </row>
    <row r="253">
      <c r="A253" s="2" t="inlineStr">
        <is>
          <t>CNY</t>
        </is>
      </c>
      <c r="B253" s="30" t="n">
        <v>45776</v>
      </c>
      <c r="C253" s="8" t="n">
        <v>7.3236</v>
      </c>
      <c r="D253" s="8">
        <f>SUMIFS($C$2:$C$385,$A$2:$A$385,"HKD",$B$2:$B$385,B253)/C253</f>
        <v/>
      </c>
    </row>
    <row r="254">
      <c r="A254" s="2" t="inlineStr">
        <is>
          <t>USD</t>
        </is>
      </c>
      <c r="B254" s="30" t="n">
        <v>45777</v>
      </c>
      <c r="C254" s="8" t="n">
        <v>1</v>
      </c>
      <c r="D254" s="8">
        <f>SUMIFS($C$2:$C$385,$A$2:$A$385,"HKD",$B$2:$B$385,B254)/C254</f>
        <v/>
      </c>
    </row>
    <row r="255">
      <c r="A255" s="2" t="inlineStr">
        <is>
          <t>HKD</t>
        </is>
      </c>
      <c r="B255" s="30" t="n">
        <v>45777</v>
      </c>
      <c r="C255" s="8" t="n">
        <v>7.8356</v>
      </c>
      <c r="D255" s="8">
        <f>SUMIFS($C$2:$C$385,$A$2:$A$385,"HKD",$B$2:$B$385,B255)/C255</f>
        <v/>
      </c>
    </row>
    <row r="256">
      <c r="A256" s="2" t="inlineStr">
        <is>
          <t>CNY</t>
        </is>
      </c>
      <c r="B256" s="30" t="n">
        <v>45777</v>
      </c>
      <c r="C256" s="8" t="n">
        <v>7.3043</v>
      </c>
      <c r="D256" s="8">
        <f>SUMIFS($C$2:$C$385,$A$2:$A$385,"HKD",$B$2:$B$385,B256)/C256</f>
        <v/>
      </c>
    </row>
    <row r="257">
      <c r="A257" s="2" t="inlineStr">
        <is>
          <t>USD</t>
        </is>
      </c>
      <c r="B257" s="30" t="n">
        <v>45778</v>
      </c>
      <c r="C257" s="8" t="n">
        <v>1</v>
      </c>
      <c r="D257" s="8">
        <f>SUMIFS($C$2:$C$385,$A$2:$A$385,"HKD",$B$2:$B$385,B257)/C257</f>
        <v/>
      </c>
    </row>
    <row r="258">
      <c r="A258" s="2" t="inlineStr">
        <is>
          <t>HKD</t>
        </is>
      </c>
      <c r="B258" s="30" t="n">
        <v>45778</v>
      </c>
      <c r="C258" s="8" t="n">
        <v>7.8392</v>
      </c>
      <c r="D258" s="8">
        <f>SUMIFS($C$2:$C$385,$A$2:$A$385,"HKD",$B$2:$B$385,B258)/C258</f>
        <v/>
      </c>
    </row>
    <row r="259">
      <c r="A259" s="2" t="inlineStr">
        <is>
          <t>CNY</t>
        </is>
      </c>
      <c r="B259" s="30" t="n">
        <v>45778</v>
      </c>
      <c r="C259" s="8" t="n">
        <v>7.2779</v>
      </c>
      <c r="D259" s="8">
        <f>SUMIFS($C$2:$C$385,$A$2:$A$385,"HKD",$B$2:$B$385,B259)/C259</f>
        <v/>
      </c>
    </row>
    <row r="260">
      <c r="A260" s="2" t="inlineStr">
        <is>
          <t>USD</t>
        </is>
      </c>
      <c r="B260" s="30" t="n">
        <v>45779</v>
      </c>
      <c r="C260" s="8" t="n">
        <v>1</v>
      </c>
      <c r="D260" s="8">
        <f>SUMIFS($C$2:$C$385,$A$2:$A$385,"HKD",$B$2:$B$385,B260)/C260</f>
        <v/>
      </c>
    </row>
    <row r="261">
      <c r="A261" s="2" t="inlineStr">
        <is>
          <t>HKD</t>
        </is>
      </c>
      <c r="B261" s="30" t="n">
        <v>45779</v>
      </c>
      <c r="C261" s="8" t="n">
        <v>7.8337</v>
      </c>
      <c r="D261" s="8">
        <f>SUMIFS($C$2:$C$385,$A$2:$A$385,"HKD",$B$2:$B$385,B261)/C261</f>
        <v/>
      </c>
    </row>
    <row r="262">
      <c r="A262" s="2" t="inlineStr">
        <is>
          <t>CNY</t>
        </is>
      </c>
      <c r="B262" s="30" t="n">
        <v>45779</v>
      </c>
      <c r="C262" s="8" t="n">
        <v>7.2918</v>
      </c>
      <c r="D262" s="8">
        <f>SUMIFS($C$2:$C$385,$A$2:$A$385,"HKD",$B$2:$B$385,B262)/C262</f>
        <v/>
      </c>
    </row>
    <row r="263">
      <c r="A263" s="2" t="inlineStr">
        <is>
          <t>USD</t>
        </is>
      </c>
      <c r="B263" s="30" t="n">
        <v>45782</v>
      </c>
      <c r="C263" s="8" t="n">
        <v>1</v>
      </c>
      <c r="D263" s="8">
        <f>SUMIFS($C$2:$C$385,$A$2:$A$385,"HKD",$B$2:$B$385,B263)/C263</f>
        <v/>
      </c>
    </row>
    <row r="264">
      <c r="A264" s="2" t="inlineStr">
        <is>
          <t>HKD</t>
        </is>
      </c>
      <c r="B264" s="30" t="n">
        <v>45782</v>
      </c>
      <c r="C264" s="8" t="n">
        <v>7.8436</v>
      </c>
      <c r="D264" s="8">
        <f>SUMIFS($C$2:$C$385,$A$2:$A$385,"HKD",$B$2:$B$385,B264)/C264</f>
        <v/>
      </c>
    </row>
    <row r="265">
      <c r="A265" s="2" t="inlineStr">
        <is>
          <t>CNY</t>
        </is>
      </c>
      <c r="B265" s="30" t="n">
        <v>45782</v>
      </c>
      <c r="C265" s="8" t="n">
        <v>7.277</v>
      </c>
      <c r="D265" s="8">
        <f>SUMIFS($C$2:$C$385,$A$2:$A$385,"HKD",$B$2:$B$385,B265)/C265</f>
        <v/>
      </c>
    </row>
    <row r="266">
      <c r="A266" s="2" t="inlineStr">
        <is>
          <t>USD</t>
        </is>
      </c>
      <c r="B266" s="30" t="n">
        <v>45783</v>
      </c>
      <c r="C266" s="8" t="n">
        <v>1</v>
      </c>
      <c r="D266" s="8">
        <f>SUMIFS($C$2:$C$385,$A$2:$A$385,"HKD",$B$2:$B$385,B266)/C266</f>
        <v/>
      </c>
    </row>
    <row r="267">
      <c r="A267" s="2" t="inlineStr">
        <is>
          <t>HKD</t>
        </is>
      </c>
      <c r="B267" s="30" t="n">
        <v>45783</v>
      </c>
      <c r="C267" s="8" t="n">
        <v>7.8344</v>
      </c>
      <c r="D267" s="8">
        <f>SUMIFS($C$2:$C$385,$A$2:$A$385,"HKD",$B$2:$B$385,B267)/C267</f>
        <v/>
      </c>
    </row>
    <row r="268">
      <c r="A268" s="2" t="inlineStr">
        <is>
          <t>CNY</t>
        </is>
      </c>
      <c r="B268" s="30" t="n">
        <v>45783</v>
      </c>
      <c r="C268" s="8" t="n">
        <v>7.2868</v>
      </c>
      <c r="D268" s="8">
        <f>SUMIFS($C$2:$C$385,$A$2:$A$385,"HKD",$B$2:$B$385,B268)/C268</f>
        <v/>
      </c>
    </row>
    <row r="269">
      <c r="A269" s="2" t="inlineStr">
        <is>
          <t>USD</t>
        </is>
      </c>
      <c r="B269" s="30" t="n">
        <v>45784</v>
      </c>
      <c r="C269" s="8" t="n">
        <v>1</v>
      </c>
      <c r="D269" s="8">
        <f>SUMIFS($C$2:$C$385,$A$2:$A$385,"HKD",$B$2:$B$385,B269)/C269</f>
        <v/>
      </c>
    </row>
    <row r="270">
      <c r="A270" s="2" t="inlineStr">
        <is>
          <t>HKD</t>
        </is>
      </c>
      <c r="B270" s="30" t="n">
        <v>45784</v>
      </c>
      <c r="C270" s="8" t="n">
        <v>7.8395</v>
      </c>
      <c r="D270" s="8">
        <f>SUMIFS($C$2:$C$385,$A$2:$A$385,"HKD",$B$2:$B$385,B270)/C270</f>
        <v/>
      </c>
    </row>
    <row r="271">
      <c r="A271" s="2" t="inlineStr">
        <is>
          <t>CNY</t>
        </is>
      </c>
      <c r="B271" s="30" t="n">
        <v>45784</v>
      </c>
      <c r="C271" s="8" t="n">
        <v>7.2743</v>
      </c>
      <c r="D271" s="8">
        <f>SUMIFS($C$2:$C$385,$A$2:$A$385,"HKD",$B$2:$B$385,B271)/C271</f>
        <v/>
      </c>
    </row>
    <row r="272">
      <c r="A272" s="2" t="inlineStr">
        <is>
          <t>USD</t>
        </is>
      </c>
      <c r="B272" s="30" t="n">
        <v>45785</v>
      </c>
      <c r="C272" s="8" t="n">
        <v>1</v>
      </c>
      <c r="D272" s="8">
        <f>SUMIFS($C$2:$C$385,$A$2:$A$385,"HKD",$B$2:$B$385,B272)/C272</f>
        <v/>
      </c>
    </row>
    <row r="273">
      <c r="A273" s="2" t="inlineStr">
        <is>
          <t>HKD</t>
        </is>
      </c>
      <c r="B273" s="30" t="n">
        <v>45785</v>
      </c>
      <c r="C273" s="8" t="n">
        <v>7.8353</v>
      </c>
      <c r="D273" s="8">
        <f>SUMIFS($C$2:$C$385,$A$2:$A$385,"HKD",$B$2:$B$385,B273)/C273</f>
        <v/>
      </c>
    </row>
    <row r="274">
      <c r="A274" s="2" t="inlineStr">
        <is>
          <t>CNY</t>
        </is>
      </c>
      <c r="B274" s="30" t="n">
        <v>45785</v>
      </c>
      <c r="C274" s="8" t="n">
        <v>7.2652</v>
      </c>
      <c r="D274" s="8">
        <f>SUMIFS($C$2:$C$385,$A$2:$A$385,"HKD",$B$2:$B$385,B274)/C274</f>
        <v/>
      </c>
    </row>
    <row r="275">
      <c r="A275" s="2" t="inlineStr">
        <is>
          <t>USD</t>
        </is>
      </c>
      <c r="B275" s="30" t="n">
        <v>45786</v>
      </c>
      <c r="C275" s="8" t="n">
        <v>1</v>
      </c>
      <c r="D275" s="8">
        <f>SUMIFS($C$2:$C$385,$A$2:$A$385,"HKD",$B$2:$B$385,B275)/C275</f>
        <v/>
      </c>
    </row>
    <row r="276">
      <c r="A276" s="2" t="inlineStr">
        <is>
          <t>HKD</t>
        </is>
      </c>
      <c r="B276" s="30" t="n">
        <v>45786</v>
      </c>
      <c r="C276" s="8" t="n">
        <v>7.8282</v>
      </c>
      <c r="D276" s="8">
        <f>SUMIFS($C$2:$C$385,$A$2:$A$385,"HKD",$B$2:$B$385,B276)/C276</f>
        <v/>
      </c>
    </row>
    <row r="277">
      <c r="A277" s="2" t="inlineStr">
        <is>
          <t>CNY</t>
        </is>
      </c>
      <c r="B277" s="30" t="n">
        <v>45786</v>
      </c>
      <c r="C277" s="8" t="n">
        <v>7.2564</v>
      </c>
      <c r="D277" s="8">
        <f>SUMIFS($C$2:$C$385,$A$2:$A$385,"HKD",$B$2:$B$385,B277)/C277</f>
        <v/>
      </c>
    </row>
    <row r="278">
      <c r="A278" s="2" t="inlineStr">
        <is>
          <t>USD</t>
        </is>
      </c>
      <c r="B278" s="30" t="n">
        <v>45789</v>
      </c>
      <c r="C278" s="8" t="n">
        <v>1</v>
      </c>
      <c r="D278" s="8">
        <f>SUMIFS($C$2:$C$385,$A$2:$A$385,"HKD",$B$2:$B$385,B278)/C278</f>
        <v/>
      </c>
    </row>
    <row r="279">
      <c r="A279" s="2" t="inlineStr">
        <is>
          <t>HKD</t>
        </is>
      </c>
      <c r="B279" s="30" t="n">
        <v>45789</v>
      </c>
      <c r="C279" s="8" t="n">
        <v>7.8357</v>
      </c>
      <c r="D279" s="8">
        <f>SUMIFS($C$2:$C$385,$A$2:$A$385,"HKD",$B$2:$B$385,B279)/C279</f>
        <v/>
      </c>
    </row>
    <row r="280">
      <c r="A280" s="2" t="inlineStr">
        <is>
          <t>CNY</t>
        </is>
      </c>
      <c r="B280" s="30" t="n">
        <v>45789</v>
      </c>
      <c r="C280" s="8" t="n">
        <v>7.264</v>
      </c>
      <c r="D280" s="8">
        <f>SUMIFS($C$2:$C$385,$A$2:$A$385,"HKD",$B$2:$B$385,B280)/C280</f>
        <v/>
      </c>
    </row>
    <row r="281">
      <c r="A281" s="2" t="inlineStr">
        <is>
          <t>USD</t>
        </is>
      </c>
      <c r="B281" s="30" t="n">
        <v>45790</v>
      </c>
      <c r="C281" s="8" t="n">
        <v>1</v>
      </c>
      <c r="D281" s="8">
        <f>SUMIFS($C$2:$C$385,$A$2:$A$385,"HKD",$B$2:$B$385,B281)/C281</f>
        <v/>
      </c>
    </row>
    <row r="282">
      <c r="A282" s="2" t="inlineStr">
        <is>
          <t>HKD</t>
        </is>
      </c>
      <c r="B282" s="30" t="n">
        <v>45790</v>
      </c>
      <c r="C282" s="8" t="n">
        <v>7.848</v>
      </c>
      <c r="D282" s="8">
        <f>SUMIFS($C$2:$C$385,$A$2:$A$385,"HKD",$B$2:$B$385,B282)/C282</f>
        <v/>
      </c>
    </row>
    <row r="283">
      <c r="A283" s="2" t="inlineStr">
        <is>
          <t>CNY</t>
        </is>
      </c>
      <c r="B283" s="30" t="n">
        <v>45790</v>
      </c>
      <c r="C283" s="8" t="n">
        <v>7.2622</v>
      </c>
      <c r="D283" s="8">
        <f>SUMIFS($C$2:$C$385,$A$2:$A$385,"HKD",$B$2:$B$385,B283)/C283</f>
        <v/>
      </c>
    </row>
    <row r="284">
      <c r="A284" s="2" t="inlineStr">
        <is>
          <t>USD</t>
        </is>
      </c>
      <c r="B284" s="30" t="n">
        <v>45791</v>
      </c>
      <c r="C284" s="8" t="n">
        <v>1</v>
      </c>
      <c r="D284" s="8">
        <f>SUMIFS($C$2:$C$385,$A$2:$A$385,"HKD",$B$2:$B$385,B284)/C284</f>
        <v/>
      </c>
    </row>
    <row r="285">
      <c r="A285" s="2" t="inlineStr">
        <is>
          <t>HKD</t>
        </is>
      </c>
      <c r="B285" s="30" t="n">
        <v>45791</v>
      </c>
      <c r="C285" s="8" t="n">
        <v>7.8472</v>
      </c>
      <c r="D285" s="8">
        <f>SUMIFS($C$2:$C$385,$A$2:$A$385,"HKD",$B$2:$B$385,B285)/C285</f>
        <v/>
      </c>
    </row>
    <row r="286">
      <c r="A286" s="2" t="inlineStr">
        <is>
          <t>CNY</t>
        </is>
      </c>
      <c r="B286" s="30" t="n">
        <v>45791</v>
      </c>
      <c r="C286" s="8" t="n">
        <v>7.2497</v>
      </c>
      <c r="D286" s="8">
        <f>SUMIFS($C$2:$C$385,$A$2:$A$385,"HKD",$B$2:$B$385,B286)/C286</f>
        <v/>
      </c>
    </row>
    <row r="287">
      <c r="A287" s="2" t="inlineStr">
        <is>
          <t>USD</t>
        </is>
      </c>
      <c r="B287" s="30" t="n">
        <v>45792</v>
      </c>
      <c r="C287" s="8" t="n">
        <v>1</v>
      </c>
      <c r="D287" s="8">
        <f>SUMIFS($C$2:$C$385,$A$2:$A$385,"HKD",$B$2:$B$385,B287)/C287</f>
        <v/>
      </c>
    </row>
    <row r="288">
      <c r="A288" s="2" t="inlineStr">
        <is>
          <t>HKD</t>
        </is>
      </c>
      <c r="B288" s="30" t="n">
        <v>45792</v>
      </c>
      <c r="C288" s="8" t="n">
        <v>7.8465</v>
      </c>
      <c r="D288" s="8">
        <f>SUMIFS($C$2:$C$385,$A$2:$A$385,"HKD",$B$2:$B$385,B288)/C288</f>
        <v/>
      </c>
    </row>
    <row r="289">
      <c r="A289" s="2" t="inlineStr">
        <is>
          <t>CNY</t>
        </is>
      </c>
      <c r="B289" s="30" t="n">
        <v>45792</v>
      </c>
      <c r="C289" s="8" t="n">
        <v>7.2333</v>
      </c>
      <c r="D289" s="8">
        <f>SUMIFS($C$2:$C$385,$A$2:$A$385,"HKD",$B$2:$B$385,B289)/C289</f>
        <v/>
      </c>
    </row>
    <row r="290">
      <c r="A290" s="2" t="inlineStr">
        <is>
          <t>USD</t>
        </is>
      </c>
      <c r="B290" s="30" t="n">
        <v>45793</v>
      </c>
      <c r="C290" s="8" t="n">
        <v>1</v>
      </c>
      <c r="D290" s="8">
        <f>SUMIFS($C$2:$C$385,$A$2:$A$385,"HKD",$B$2:$B$385,B290)/C290</f>
        <v/>
      </c>
    </row>
    <row r="291">
      <c r="A291" s="2" t="inlineStr">
        <is>
          <t>HKD</t>
        </is>
      </c>
      <c r="B291" s="30" t="n">
        <v>45793</v>
      </c>
      <c r="C291" s="8" t="n">
        <v>7.8358</v>
      </c>
      <c r="D291" s="8">
        <f>SUMIFS($C$2:$C$385,$A$2:$A$385,"HKD",$B$2:$B$385,B291)/C291</f>
        <v/>
      </c>
    </row>
    <row r="292">
      <c r="A292" s="2" t="inlineStr">
        <is>
          <t>CNY</t>
        </is>
      </c>
      <c r="B292" s="30" t="n">
        <v>45793</v>
      </c>
      <c r="C292" s="8" t="n">
        <v>7.2409</v>
      </c>
      <c r="D292" s="8">
        <f>SUMIFS($C$2:$C$385,$A$2:$A$385,"HKD",$B$2:$B$385,B292)/C292</f>
        <v/>
      </c>
    </row>
    <row r="293">
      <c r="A293" s="2" t="inlineStr">
        <is>
          <t>USD</t>
        </is>
      </c>
      <c r="B293" s="30" t="n">
        <v>45796</v>
      </c>
      <c r="C293" s="8" t="n">
        <v>1</v>
      </c>
      <c r="D293" s="8">
        <f>SUMIFS($C$2:$C$385,$A$2:$A$385,"HKD",$B$2:$B$385,B293)/C293</f>
        <v/>
      </c>
    </row>
    <row r="294">
      <c r="A294" s="2" t="inlineStr">
        <is>
          <t>HKD</t>
        </is>
      </c>
      <c r="B294" s="30" t="n">
        <v>45796</v>
      </c>
      <c r="C294" s="8" t="n">
        <v>7.8445</v>
      </c>
      <c r="D294" s="8">
        <f>SUMIFS($C$2:$C$385,$A$2:$A$385,"HKD",$B$2:$B$385,B294)/C294</f>
        <v/>
      </c>
    </row>
    <row r="295">
      <c r="A295" s="2" t="inlineStr">
        <is>
          <t>CNY</t>
        </is>
      </c>
      <c r="B295" s="30" t="n">
        <v>45796</v>
      </c>
      <c r="C295" s="8" t="n">
        <v>7.2503</v>
      </c>
      <c r="D295" s="8">
        <f>SUMIFS($C$2:$C$385,$A$2:$A$385,"HKD",$B$2:$B$385,B295)/C295</f>
        <v/>
      </c>
    </row>
    <row r="296">
      <c r="A296" s="2" t="inlineStr">
        <is>
          <t>USD</t>
        </is>
      </c>
      <c r="B296" s="30" t="n">
        <v>45797</v>
      </c>
      <c r="C296" s="8" t="n">
        <v>1</v>
      </c>
      <c r="D296" s="8">
        <f>SUMIFS($C$2:$C$385,$A$2:$A$385,"HKD",$B$2:$B$385,B296)/C296</f>
        <v/>
      </c>
    </row>
    <row r="297">
      <c r="A297" s="2" t="inlineStr">
        <is>
          <t>HKD</t>
        </is>
      </c>
      <c r="B297" s="30" t="n">
        <v>45797</v>
      </c>
      <c r="C297" s="8" t="n">
        <v>7.85</v>
      </c>
      <c r="D297" s="8">
        <f>SUMIFS($C$2:$C$385,$A$2:$A$385,"HKD",$B$2:$B$385,B297)/C297</f>
        <v/>
      </c>
    </row>
    <row r="298">
      <c r="A298" s="2" t="inlineStr">
        <is>
          <t>CNY</t>
        </is>
      </c>
      <c r="B298" s="30" t="n">
        <v>45797</v>
      </c>
      <c r="C298" s="8" t="n">
        <v>7.2526</v>
      </c>
      <c r="D298" s="8">
        <f>SUMIFS($C$2:$C$385,$A$2:$A$385,"HKD",$B$2:$B$385,B298)/C298</f>
        <v/>
      </c>
    </row>
    <row r="299">
      <c r="A299" s="2" t="inlineStr">
        <is>
          <t>USD</t>
        </is>
      </c>
      <c r="B299" s="30" t="n">
        <v>45798</v>
      </c>
      <c r="C299" s="8" t="n">
        <v>1</v>
      </c>
      <c r="D299" s="8">
        <f>SUMIFS($C$2:$C$385,$A$2:$A$385,"HKD",$B$2:$B$385,B299)/C299</f>
        <v/>
      </c>
    </row>
    <row r="300">
      <c r="A300" s="2" t="inlineStr">
        <is>
          <t>HKD</t>
        </is>
      </c>
      <c r="B300" s="30" t="n">
        <v>45798</v>
      </c>
      <c r="C300" s="8" t="n">
        <v>7.8457</v>
      </c>
      <c r="D300" s="8">
        <f>SUMIFS($C$2:$C$385,$A$2:$A$385,"HKD",$B$2:$B$385,B300)/C300</f>
        <v/>
      </c>
    </row>
    <row r="301">
      <c r="A301" s="2" t="inlineStr">
        <is>
          <t>CNY</t>
        </is>
      </c>
      <c r="B301" s="30" t="n">
        <v>45798</v>
      </c>
      <c r="C301" s="8" t="n">
        <v>7.253</v>
      </c>
      <c r="D301" s="8">
        <f>SUMIFS($C$2:$C$385,$A$2:$A$385,"HKD",$B$2:$B$385,B301)/C301</f>
        <v/>
      </c>
    </row>
    <row r="302">
      <c r="A302" s="2" t="inlineStr">
        <is>
          <t>USD</t>
        </is>
      </c>
      <c r="B302" s="30" t="n">
        <v>45799</v>
      </c>
      <c r="C302" s="8" t="n">
        <v>1</v>
      </c>
      <c r="D302" s="8">
        <f>SUMIFS($C$2:$C$385,$A$2:$A$385,"HKD",$B$2:$B$385,B302)/C302</f>
        <v/>
      </c>
    </row>
    <row r="303">
      <c r="A303" s="2" t="inlineStr">
        <is>
          <t>HKD</t>
        </is>
      </c>
      <c r="B303" s="30" t="n">
        <v>45799</v>
      </c>
      <c r="C303" s="8" t="n">
        <v>7.8434</v>
      </c>
      <c r="D303" s="8">
        <f>SUMIFS($C$2:$C$385,$A$2:$A$385,"HKD",$B$2:$B$385,B303)/C303</f>
        <v/>
      </c>
    </row>
    <row r="304">
      <c r="A304" s="2" t="inlineStr">
        <is>
          <t>CNY</t>
        </is>
      </c>
      <c r="B304" s="30" t="n">
        <v>45799</v>
      </c>
      <c r="C304" s="8" t="n">
        <v>7.2389</v>
      </c>
      <c r="D304" s="8">
        <f>SUMIFS($C$2:$C$385,$A$2:$A$385,"HKD",$B$2:$B$385,B304)/C304</f>
        <v/>
      </c>
    </row>
    <row r="305">
      <c r="A305" s="2" t="inlineStr">
        <is>
          <t>USD</t>
        </is>
      </c>
      <c r="B305" s="30" t="n">
        <v>45800</v>
      </c>
      <c r="C305" s="8" t="n">
        <v>1</v>
      </c>
      <c r="D305" s="8">
        <f>SUMIFS($C$2:$C$385,$A$2:$A$385,"HKD",$B$2:$B$385,B305)/C305</f>
        <v/>
      </c>
    </row>
    <row r="306">
      <c r="A306" s="2" t="inlineStr">
        <is>
          <t>HKD</t>
        </is>
      </c>
      <c r="B306" s="30" t="n">
        <v>45800</v>
      </c>
      <c r="C306" s="8" t="n">
        <v>7.8333</v>
      </c>
      <c r="D306" s="8">
        <f>SUMIFS($C$2:$C$385,$A$2:$A$385,"HKD",$B$2:$B$385,B306)/C306</f>
        <v/>
      </c>
    </row>
    <row r="307">
      <c r="A307" s="2" t="inlineStr">
        <is>
          <t>CNY</t>
        </is>
      </c>
      <c r="B307" s="30" t="n">
        <v>45800</v>
      </c>
      <c r="C307" s="8" t="n">
        <v>7.2204</v>
      </c>
      <c r="D307" s="8">
        <f>SUMIFS($C$2:$C$385,$A$2:$A$385,"HKD",$B$2:$B$385,B307)/C307</f>
        <v/>
      </c>
    </row>
    <row r="308">
      <c r="A308" s="2" t="inlineStr">
        <is>
          <t>USD</t>
        </is>
      </c>
      <c r="B308" s="30" t="n">
        <v>45803</v>
      </c>
      <c r="C308" s="8" t="n">
        <v>1</v>
      </c>
      <c r="D308" s="8">
        <f>SUMIFS($C$2:$C$385,$A$2:$A$385,"HKD",$B$2:$B$385,B308)/C308</f>
        <v/>
      </c>
    </row>
    <row r="309">
      <c r="A309" s="2" t="inlineStr">
        <is>
          <t>HKD</t>
        </is>
      </c>
      <c r="B309" s="30" t="n">
        <v>45803</v>
      </c>
      <c r="C309" s="8" t="n">
        <v>7.8333</v>
      </c>
      <c r="D309" s="8">
        <f>SUMIFS($C$2:$C$385,$A$2:$A$385,"HKD",$B$2:$B$385,B309)/C309</f>
        <v/>
      </c>
    </row>
    <row r="310">
      <c r="A310" s="2" t="inlineStr">
        <is>
          <t>CNY</t>
        </is>
      </c>
      <c r="B310" s="30" t="n">
        <v>45803</v>
      </c>
      <c r="C310" s="8" t="n">
        <v>7.2215</v>
      </c>
      <c r="D310" s="8">
        <f>SUMIFS($C$2:$C$385,$A$2:$A$385,"HKD",$B$2:$B$385,B310)/C310</f>
        <v/>
      </c>
    </row>
    <row r="311">
      <c r="A311" s="2" t="inlineStr">
        <is>
          <t>USD</t>
        </is>
      </c>
      <c r="B311" s="30" t="n">
        <v>45804</v>
      </c>
      <c r="C311" s="8" t="n">
        <v>1</v>
      </c>
      <c r="D311" s="8">
        <f>SUMIFS($C$2:$C$385,$A$2:$A$385,"HKD",$B$2:$B$385,B311)/C311</f>
        <v/>
      </c>
    </row>
    <row r="312">
      <c r="A312" s="2" t="inlineStr">
        <is>
          <t>HKD</t>
        </is>
      </c>
      <c r="B312" s="30" t="n">
        <v>45804</v>
      </c>
      <c r="C312" s="8" t="n">
        <v>7.8304</v>
      </c>
      <c r="D312" s="8">
        <f>SUMIFS($C$2:$C$385,$A$2:$A$385,"HKD",$B$2:$B$385,B312)/C312</f>
        <v/>
      </c>
    </row>
    <row r="313">
      <c r="A313" s="2" t="inlineStr">
        <is>
          <t>CNY</t>
        </is>
      </c>
      <c r="B313" s="30" t="n">
        <v>45804</v>
      </c>
      <c r="C313" s="8" t="n">
        <v>7.238</v>
      </c>
      <c r="D313" s="8">
        <f>SUMIFS($C$2:$C$385,$A$2:$A$385,"HKD",$B$2:$B$385,B313)/C313</f>
        <v/>
      </c>
    </row>
    <row r="314">
      <c r="A314" s="2" t="inlineStr">
        <is>
          <t>USD</t>
        </is>
      </c>
      <c r="B314" s="30" t="n">
        <v>45805</v>
      </c>
      <c r="C314" s="8" t="n">
        <v>1</v>
      </c>
      <c r="D314" s="8">
        <f>SUMIFS($C$2:$C$385,$A$2:$A$385,"HKD",$B$2:$B$385,B314)/C314</f>
        <v/>
      </c>
    </row>
    <row r="315">
      <c r="A315" s="2" t="inlineStr">
        <is>
          <t>HKD</t>
        </is>
      </c>
      <c r="B315" s="30" t="n">
        <v>45805</v>
      </c>
      <c r="C315" s="8" t="n">
        <v>7.8315</v>
      </c>
      <c r="D315" s="8">
        <f>SUMIFS($C$2:$C$385,$A$2:$A$385,"HKD",$B$2:$B$385,B315)/C315</f>
        <v/>
      </c>
    </row>
    <row r="316">
      <c r="A316" s="2" t="inlineStr">
        <is>
          <t>CNY</t>
        </is>
      </c>
      <c r="B316" s="30" t="n">
        <v>45805</v>
      </c>
      <c r="C316" s="8" t="n">
        <v>7.2443</v>
      </c>
      <c r="D316" s="8">
        <f>SUMIFS($C$2:$C$385,$A$2:$A$385,"HKD",$B$2:$B$385,B316)/C316</f>
        <v/>
      </c>
    </row>
    <row r="317">
      <c r="A317" s="2" t="inlineStr">
        <is>
          <t>USD</t>
        </is>
      </c>
      <c r="B317" s="30" t="n">
        <v>45806</v>
      </c>
      <c r="C317" s="8" t="n">
        <v>1</v>
      </c>
      <c r="D317" s="8">
        <f>SUMIFS($C$2:$C$385,$A$2:$A$385,"HKD",$B$2:$B$385,B317)/C317</f>
        <v/>
      </c>
    </row>
    <row r="318">
      <c r="A318" s="2" t="inlineStr">
        <is>
          <t>HKD</t>
        </is>
      </c>
      <c r="B318" s="30" t="n">
        <v>45806</v>
      </c>
      <c r="C318" s="8" t="n">
        <v>7.8388</v>
      </c>
      <c r="D318" s="8">
        <f>SUMIFS($C$2:$C$385,$A$2:$A$385,"HKD",$B$2:$B$385,B318)/C318</f>
        <v/>
      </c>
    </row>
    <row r="319">
      <c r="A319" s="2" t="inlineStr">
        <is>
          <t>CNY</t>
        </is>
      </c>
      <c r="B319" s="30" t="n">
        <v>45806</v>
      </c>
      <c r="C319" s="8" t="n">
        <v>7.2337</v>
      </c>
      <c r="D319" s="8">
        <f>SUMIFS($C$2:$C$385,$A$2:$A$385,"HKD",$B$2:$B$385,B319)/C319</f>
        <v/>
      </c>
    </row>
    <row r="320">
      <c r="A320" s="2" t="inlineStr">
        <is>
          <t>USD</t>
        </is>
      </c>
      <c r="B320" s="30" t="n">
        <v>45807</v>
      </c>
      <c r="C320" s="8" t="n">
        <v>1</v>
      </c>
      <c r="D320" s="8">
        <f>SUMIFS($C$2:$C$385,$A$2:$A$385,"HKD",$B$2:$B$385,B320)/C320</f>
        <v/>
      </c>
    </row>
    <row r="321">
      <c r="A321" s="2" t="inlineStr">
        <is>
          <t>HKD</t>
        </is>
      </c>
      <c r="B321" s="30" t="n">
        <v>45807</v>
      </c>
      <c r="C321" s="8" t="n">
        <v>7.827</v>
      </c>
      <c r="D321" s="8">
        <f>SUMIFS($C$2:$C$385,$A$2:$A$385,"HKD",$B$2:$B$385,B321)/C321</f>
        <v/>
      </c>
    </row>
    <row r="322">
      <c r="A322" s="2" t="inlineStr">
        <is>
          <t>CNY</t>
        </is>
      </c>
      <c r="B322" s="30" t="n">
        <v>45807</v>
      </c>
      <c r="C322" s="8" t="n">
        <v>7.2421</v>
      </c>
      <c r="D322" s="8">
        <f>SUMIFS($C$2:$C$385,$A$2:$A$385,"HKD",$B$2:$B$385,B322)/C322</f>
        <v/>
      </c>
    </row>
    <row r="323">
      <c r="A323" s="2" t="inlineStr">
        <is>
          <t>USD</t>
        </is>
      </c>
      <c r="B323" s="30" t="n">
        <v>45810</v>
      </c>
      <c r="C323" s="8" t="n">
        <v>1</v>
      </c>
      <c r="D323" s="8">
        <f>SUMIFS($C$2:$C$385,$A$2:$A$385,"HKD",$B$2:$B$385,B323)/C323</f>
        <v/>
      </c>
    </row>
    <row r="324">
      <c r="A324" s="2" t="inlineStr">
        <is>
          <t>HKD</t>
        </is>
      </c>
      <c r="B324" s="30" t="n">
        <v>45810</v>
      </c>
      <c r="C324" s="8" t="n">
        <v>7.8228</v>
      </c>
      <c r="D324" s="8">
        <f>SUMIFS($C$2:$C$385,$A$2:$A$385,"HKD",$B$2:$B$385,B324)/C324</f>
        <v/>
      </c>
    </row>
    <row r="325">
      <c r="A325" s="2" t="inlineStr">
        <is>
          <t>CNY</t>
        </is>
      </c>
      <c r="B325" s="30" t="n">
        <v>45810</v>
      </c>
      <c r="C325" s="8" t="n">
        <v>7.2571</v>
      </c>
      <c r="D325" s="8">
        <f>SUMIFS($C$2:$C$385,$A$2:$A$385,"HKD",$B$2:$B$385,B325)/C325</f>
        <v/>
      </c>
    </row>
    <row r="326">
      <c r="A326" s="2" t="inlineStr">
        <is>
          <t>USD</t>
        </is>
      </c>
      <c r="B326" s="30" t="n">
        <v>45811</v>
      </c>
      <c r="C326" s="8" t="n">
        <v>1</v>
      </c>
      <c r="D326" s="8">
        <f>SUMIFS($C$2:$C$385,$A$2:$A$385,"HKD",$B$2:$B$385,B326)/C326</f>
        <v/>
      </c>
    </row>
    <row r="327">
      <c r="A327" s="2" t="inlineStr">
        <is>
          <t>HKD</t>
        </is>
      </c>
      <c r="B327" s="30" t="n">
        <v>45811</v>
      </c>
      <c r="C327" s="8" t="n">
        <v>7.8249</v>
      </c>
      <c r="D327" s="8">
        <f>SUMIFS($C$2:$C$385,$A$2:$A$385,"HKD",$B$2:$B$385,B327)/C327</f>
        <v/>
      </c>
    </row>
    <row r="328">
      <c r="A328" s="2" t="inlineStr">
        <is>
          <t>CNY</t>
        </is>
      </c>
      <c r="B328" s="30" t="n">
        <v>45811</v>
      </c>
      <c r="C328" s="8" t="n">
        <v>7.2685</v>
      </c>
      <c r="D328" s="8">
        <f>SUMIFS($C$2:$C$385,$A$2:$A$385,"HKD",$B$2:$B$385,B328)/C328</f>
        <v/>
      </c>
    </row>
    <row r="329">
      <c r="A329" s="2" t="inlineStr">
        <is>
          <t>USD</t>
        </is>
      </c>
      <c r="B329" s="30" t="n">
        <v>45812</v>
      </c>
      <c r="C329" s="8" t="n">
        <v>1</v>
      </c>
      <c r="D329" s="8">
        <f>SUMIFS($C$2:$C$385,$A$2:$A$385,"HKD",$B$2:$B$385,B329)/C329</f>
        <v/>
      </c>
    </row>
    <row r="330">
      <c r="A330" s="2" t="inlineStr">
        <is>
          <t>HKD</t>
        </is>
      </c>
      <c r="B330" s="30" t="n">
        <v>45812</v>
      </c>
      <c r="C330" s="8" t="n">
        <v>7.8295</v>
      </c>
      <c r="D330" s="8">
        <f>SUMIFS($C$2:$C$385,$A$2:$A$385,"HKD",$B$2:$B$385,B330)/C330</f>
        <v/>
      </c>
    </row>
    <row r="331">
      <c r="A331" s="2" t="inlineStr">
        <is>
          <t>CNY</t>
        </is>
      </c>
      <c r="B331" s="30" t="n">
        <v>45812</v>
      </c>
      <c r="C331" s="8" t="n">
        <v>7.2428</v>
      </c>
      <c r="D331" s="8">
        <f>SUMIFS($C$2:$C$385,$A$2:$A$385,"HKD",$B$2:$B$385,B331)/C331</f>
        <v/>
      </c>
    </row>
    <row r="332">
      <c r="A332" s="2" t="inlineStr">
        <is>
          <t>USD</t>
        </is>
      </c>
      <c r="B332" s="30" t="n">
        <v>45813</v>
      </c>
      <c r="C332" s="8" t="n">
        <v>1</v>
      </c>
      <c r="D332" s="8">
        <f>SUMIFS($C$2:$C$385,$A$2:$A$385,"HKD",$B$2:$B$385,B332)/C332</f>
        <v/>
      </c>
    </row>
    <row r="333">
      <c r="A333" s="2" t="inlineStr">
        <is>
          <t>HKD</t>
        </is>
      </c>
      <c r="B333" s="30" t="n">
        <v>45813</v>
      </c>
      <c r="C333" s="8" t="n">
        <v>7.8338</v>
      </c>
      <c r="D333" s="8">
        <f>SUMIFS($C$2:$C$385,$A$2:$A$385,"HKD",$B$2:$B$385,B333)/C333</f>
        <v/>
      </c>
    </row>
    <row r="334">
      <c r="A334" s="2" t="inlineStr">
        <is>
          <t>CNY</t>
        </is>
      </c>
      <c r="B334" s="30" t="n">
        <v>45813</v>
      </c>
      <c r="C334" s="8" t="n">
        <v>7.234</v>
      </c>
      <c r="D334" s="8">
        <f>SUMIFS($C$2:$C$385,$A$2:$A$385,"HKD",$B$2:$B$385,B334)/C334</f>
        <v/>
      </c>
    </row>
    <row r="335">
      <c r="A335" s="2" t="inlineStr">
        <is>
          <t>USD</t>
        </is>
      </c>
      <c r="B335" s="30" t="n">
        <v>45814</v>
      </c>
      <c r="C335" s="8" t="n">
        <v>1</v>
      </c>
      <c r="D335" s="8">
        <f>SUMIFS($C$2:$C$385,$A$2:$A$385,"HKD",$B$2:$B$385,B335)/C335</f>
        <v/>
      </c>
    </row>
    <row r="336">
      <c r="A336" s="2" t="inlineStr">
        <is>
          <t>HKD</t>
        </is>
      </c>
      <c r="B336" s="30" t="n">
        <v>45814</v>
      </c>
      <c r="C336" s="8" t="n">
        <v>7.8292</v>
      </c>
      <c r="D336" s="8">
        <f>SUMIFS($C$2:$C$385,$A$2:$A$385,"HKD",$B$2:$B$385,B336)/C336</f>
        <v/>
      </c>
    </row>
    <row r="337">
      <c r="A337" s="2" t="inlineStr">
        <is>
          <t>CNY</t>
        </is>
      </c>
      <c r="B337" s="30" t="n">
        <v>45814</v>
      </c>
      <c r="C337" s="8" t="n">
        <v>7.2281</v>
      </c>
      <c r="D337" s="8">
        <f>SUMIFS($C$2:$C$385,$A$2:$A$385,"HKD",$B$2:$B$385,B337)/C337</f>
        <v/>
      </c>
    </row>
    <row r="338">
      <c r="A338" s="2" t="inlineStr">
        <is>
          <t>USD</t>
        </is>
      </c>
      <c r="B338" s="30" t="n">
        <v>45817</v>
      </c>
      <c r="C338" s="8" t="n">
        <v>1</v>
      </c>
      <c r="D338" s="8">
        <f>SUMIFS($C$2:$C$385,$A$2:$A$385,"HKD",$B$2:$B$385,B338)/C338</f>
        <v/>
      </c>
    </row>
    <row r="339">
      <c r="A339" s="2" t="inlineStr">
        <is>
          <t>HKD</t>
        </is>
      </c>
      <c r="B339" s="30" t="n">
        <v>45817</v>
      </c>
      <c r="C339" s="8" t="n">
        <v>7.8338</v>
      </c>
      <c r="D339" s="8">
        <f>SUMIFS($C$2:$C$385,$A$2:$A$385,"HKD",$B$2:$B$385,B339)/C339</f>
        <v/>
      </c>
    </row>
    <row r="340">
      <c r="A340" s="2" t="inlineStr">
        <is>
          <t>CNY</t>
        </is>
      </c>
      <c r="B340" s="30" t="n">
        <v>45817</v>
      </c>
      <c r="C340" s="8" t="n">
        <v>7.238</v>
      </c>
      <c r="D340" s="8">
        <f>SUMIFS($C$2:$C$385,$A$2:$A$385,"HKD",$B$2:$B$385,B340)/C340</f>
        <v/>
      </c>
    </row>
    <row r="341">
      <c r="A341" s="2" t="inlineStr">
        <is>
          <t>USD</t>
        </is>
      </c>
      <c r="B341" s="30" t="n">
        <v>45818</v>
      </c>
      <c r="C341" s="8" t="n">
        <v>1</v>
      </c>
      <c r="D341" s="8">
        <f>SUMIFS($C$2:$C$385,$A$2:$A$385,"HKD",$B$2:$B$385,B341)/C341</f>
        <v/>
      </c>
    </row>
    <row r="342">
      <c r="A342" s="2" t="inlineStr">
        <is>
          <t>HKD</t>
        </is>
      </c>
      <c r="B342" s="30" t="n">
        <v>45818</v>
      </c>
      <c r="C342" s="8" t="n">
        <v>7.8399</v>
      </c>
      <c r="D342" s="8">
        <f>SUMIFS($C$2:$C$385,$A$2:$A$385,"HKD",$B$2:$B$385,B342)/C342</f>
        <v/>
      </c>
    </row>
    <row r="343">
      <c r="A343" s="2" t="inlineStr">
        <is>
          <t>CNY</t>
        </is>
      </c>
      <c r="B343" s="30" t="n">
        <v>45818</v>
      </c>
      <c r="C343" s="8" t="n">
        <v>7.2174</v>
      </c>
      <c r="D343" s="8">
        <f>SUMIFS($C$2:$C$385,$A$2:$A$385,"HKD",$B$2:$B$385,B343)/C343</f>
        <v/>
      </c>
    </row>
    <row r="344">
      <c r="A344" s="2" t="inlineStr">
        <is>
          <t>USD</t>
        </is>
      </c>
      <c r="B344" s="30" t="n">
        <v>45819</v>
      </c>
      <c r="C344" s="8" t="n">
        <v>1</v>
      </c>
      <c r="D344" s="8">
        <f>SUMIFS($C$2:$C$385,$A$2:$A$385,"HKD",$B$2:$B$385,B344)/C344</f>
        <v/>
      </c>
    </row>
    <row r="345">
      <c r="A345" s="2" t="inlineStr">
        <is>
          <t>HKD</t>
        </is>
      </c>
      <c r="B345" s="30" t="n">
        <v>45819</v>
      </c>
      <c r="C345" s="8" t="n">
        <v>7.8364</v>
      </c>
      <c r="D345" s="8">
        <f>SUMIFS($C$2:$C$385,$A$2:$A$385,"HKD",$B$2:$B$385,B345)/C345</f>
        <v/>
      </c>
    </row>
    <row r="346">
      <c r="A346" s="2" t="inlineStr">
        <is>
          <t>CNY</t>
        </is>
      </c>
      <c r="B346" s="30" t="n">
        <v>45819</v>
      </c>
      <c r="C346" s="8" t="n">
        <v>7.1882</v>
      </c>
      <c r="D346" s="8">
        <f>SUMIFS($C$2:$C$385,$A$2:$A$385,"HKD",$B$2:$B$385,B346)/C346</f>
        <v/>
      </c>
    </row>
    <row r="347">
      <c r="A347" s="2" t="inlineStr">
        <is>
          <t>USD</t>
        </is>
      </c>
      <c r="B347" s="30" t="n">
        <v>45820</v>
      </c>
      <c r="C347" s="8" t="n">
        <v>1</v>
      </c>
      <c r="D347" s="8">
        <f>SUMIFS($C$2:$C$385,$A$2:$A$385,"HKD",$B$2:$B$385,B347)/C347</f>
        <v/>
      </c>
    </row>
    <row r="348">
      <c r="A348" s="2" t="inlineStr">
        <is>
          <t>HKD</t>
        </is>
      </c>
      <c r="B348" s="30" t="n">
        <v>45820</v>
      </c>
      <c r="C348" s="8" t="n">
        <v>7.8358</v>
      </c>
      <c r="D348" s="8">
        <f>SUMIFS($C$2:$C$385,$A$2:$A$385,"HKD",$B$2:$B$385,B348)/C348</f>
        <v/>
      </c>
    </row>
    <row r="349">
      <c r="A349" s="2" t="inlineStr">
        <is>
          <t>CNY</t>
        </is>
      </c>
      <c r="B349" s="30" t="n">
        <v>45820</v>
      </c>
      <c r="C349" s="8" t="n">
        <v>7.1947</v>
      </c>
      <c r="D349" s="8">
        <f>SUMIFS($C$2:$C$385,$A$2:$A$385,"HKD",$B$2:$B$385,B349)/C349</f>
        <v/>
      </c>
    </row>
    <row r="350">
      <c r="A350" s="2" t="inlineStr">
        <is>
          <t>USD</t>
        </is>
      </c>
      <c r="B350" s="30" t="n">
        <v>45821</v>
      </c>
      <c r="C350" s="8" t="n">
        <v>1</v>
      </c>
      <c r="D350" s="8">
        <f>SUMIFS($C$2:$C$385,$A$2:$A$385,"HKD",$B$2:$B$385,B350)/C350</f>
        <v/>
      </c>
    </row>
    <row r="351">
      <c r="A351" s="2" t="inlineStr">
        <is>
          <t>HKD</t>
        </is>
      </c>
      <c r="B351" s="30" t="n">
        <v>45821</v>
      </c>
      <c r="C351" s="8" t="n">
        <v>7.8312</v>
      </c>
      <c r="D351" s="8">
        <f>SUMIFS($C$2:$C$385,$A$2:$A$385,"HKD",$B$2:$B$385,B351)/C351</f>
        <v/>
      </c>
    </row>
    <row r="352">
      <c r="A352" s="2" t="inlineStr">
        <is>
          <t>CNY</t>
        </is>
      </c>
      <c r="B352" s="30" t="n">
        <v>45821</v>
      </c>
      <c r="C352" s="8" t="n">
        <v>7.1969</v>
      </c>
      <c r="D352" s="8">
        <f>SUMIFS($C$2:$C$385,$A$2:$A$385,"HKD",$B$2:$B$385,B352)/C352</f>
        <v/>
      </c>
    </row>
    <row r="353">
      <c r="A353" s="2" t="inlineStr">
        <is>
          <t>USD</t>
        </is>
      </c>
      <c r="B353" s="30" t="n">
        <v>45824</v>
      </c>
      <c r="C353" s="8" t="n">
        <v>1</v>
      </c>
      <c r="D353" s="8">
        <f>SUMIFS($C$2:$C$385,$A$2:$A$385,"HKD",$B$2:$B$385,B353)/C353</f>
        <v/>
      </c>
    </row>
    <row r="354">
      <c r="A354" s="2" t="inlineStr">
        <is>
          <t>HKD</t>
        </is>
      </c>
      <c r="B354" s="30" t="n">
        <v>45824</v>
      </c>
      <c r="C354" s="8" t="n">
        <v>7.8326</v>
      </c>
      <c r="D354" s="8">
        <f>SUMIFS($C$2:$C$385,$A$2:$A$385,"HKD",$B$2:$B$385,B354)/C354</f>
        <v/>
      </c>
    </row>
    <row r="355">
      <c r="A355" s="2" t="inlineStr">
        <is>
          <t>CNY</t>
        </is>
      </c>
      <c r="B355" s="30" t="n">
        <v>45824</v>
      </c>
      <c r="C355" s="8" t="n">
        <v>7.2083</v>
      </c>
      <c r="D355" s="8">
        <f>SUMIFS($C$2:$C$385,$A$2:$A$385,"HKD",$B$2:$B$385,B355)/C355</f>
        <v/>
      </c>
    </row>
    <row r="356">
      <c r="A356" s="2" t="inlineStr">
        <is>
          <t>USD</t>
        </is>
      </c>
      <c r="B356" s="30" t="n">
        <v>45825</v>
      </c>
      <c r="C356" s="8" t="n">
        <v>1</v>
      </c>
      <c r="D356" s="8">
        <f>SUMIFS($C$2:$C$385,$A$2:$A$385,"HKD",$B$2:$B$385,B356)/C356</f>
        <v/>
      </c>
    </row>
    <row r="357">
      <c r="A357" s="2" t="inlineStr">
        <is>
          <t>HKD</t>
        </is>
      </c>
      <c r="B357" s="30" t="n">
        <v>45825</v>
      </c>
      <c r="C357" s="8" t="n">
        <v>7.8276</v>
      </c>
      <c r="D357" s="8">
        <f>SUMIFS($C$2:$C$385,$A$2:$A$385,"HKD",$B$2:$B$385,B357)/C357</f>
        <v/>
      </c>
    </row>
    <row r="358">
      <c r="A358" s="2" t="inlineStr">
        <is>
          <t>CNY</t>
        </is>
      </c>
      <c r="B358" s="30" t="n">
        <v>45825</v>
      </c>
      <c r="C358" s="8" t="n">
        <v>7.1977</v>
      </c>
      <c r="D358" s="8">
        <f>SUMIFS($C$2:$C$385,$A$2:$A$385,"HKD",$B$2:$B$385,B358)/C358</f>
        <v/>
      </c>
    </row>
    <row r="359">
      <c r="A359" s="2" t="inlineStr">
        <is>
          <t>USD</t>
        </is>
      </c>
      <c r="B359" s="30" t="n">
        <v>45826</v>
      </c>
      <c r="C359" s="8" t="n">
        <v>1</v>
      </c>
      <c r="D359" s="8">
        <f>SUMIFS($C$2:$C$385,$A$2:$A$385,"HKD",$B$2:$B$385,B359)/C359</f>
        <v/>
      </c>
    </row>
    <row r="360">
      <c r="A360" s="2" t="inlineStr">
        <is>
          <t>HKD</t>
        </is>
      </c>
      <c r="B360" s="30" t="n">
        <v>45826</v>
      </c>
      <c r="C360" s="8" t="n">
        <v>7.8231</v>
      </c>
      <c r="D360" s="8">
        <f>SUMIFS($C$2:$C$385,$A$2:$A$385,"HKD",$B$2:$B$385,B360)/C360</f>
        <v/>
      </c>
    </row>
    <row r="361">
      <c r="A361" s="2" t="inlineStr">
        <is>
          <t>CNY</t>
        </is>
      </c>
      <c r="B361" s="30" t="n">
        <v>45826</v>
      </c>
      <c r="C361" s="8" t="n">
        <v>7.218</v>
      </c>
      <c r="D361" s="8">
        <f>SUMIFS($C$2:$C$385,$A$2:$A$385,"HKD",$B$2:$B$385,B361)/C361</f>
        <v/>
      </c>
    </row>
    <row r="362">
      <c r="A362" s="2" t="inlineStr">
        <is>
          <t>USD</t>
        </is>
      </c>
      <c r="B362" s="30" t="n">
        <v>45827</v>
      </c>
      <c r="C362" s="8" t="n">
        <v>1</v>
      </c>
      <c r="D362" s="8">
        <f>SUMIFS($C$2:$C$385,$A$2:$A$385,"HKD",$B$2:$B$385,B362)/C362</f>
        <v/>
      </c>
    </row>
    <row r="363">
      <c r="A363" s="2" t="inlineStr">
        <is>
          <t>HKD</t>
        </is>
      </c>
      <c r="B363" s="30" t="n">
        <v>45827</v>
      </c>
      <c r="C363" s="8" t="n">
        <v>7.8296</v>
      </c>
      <c r="D363" s="8">
        <f>SUMIFS($C$2:$C$385,$A$2:$A$385,"HKD",$B$2:$B$385,B363)/C363</f>
        <v/>
      </c>
    </row>
    <row r="364">
      <c r="A364" s="2" t="inlineStr">
        <is>
          <t>CNY</t>
        </is>
      </c>
      <c r="B364" s="30" t="n">
        <v>45827</v>
      </c>
      <c r="C364" s="8" t="n">
        <v>7.2158</v>
      </c>
      <c r="D364" s="8">
        <f>SUMIFS($C$2:$C$385,$A$2:$A$385,"HKD",$B$2:$B$385,B364)/C364</f>
        <v/>
      </c>
    </row>
    <row r="365">
      <c r="A365" s="2" t="inlineStr">
        <is>
          <t>USD</t>
        </is>
      </c>
      <c r="B365" s="30" t="n">
        <v>45828</v>
      </c>
      <c r="C365" s="8" t="n">
        <v>1</v>
      </c>
      <c r="D365" s="8">
        <f>SUMIFS($C$2:$C$385,$A$2:$A$385,"HKD",$B$2:$B$385,B365)/C365</f>
        <v/>
      </c>
    </row>
    <row r="366">
      <c r="A366" s="2" t="inlineStr">
        <is>
          <t>HKD</t>
        </is>
      </c>
      <c r="B366" s="30" t="n">
        <v>45828</v>
      </c>
      <c r="C366" s="8" t="n">
        <v>7.8309</v>
      </c>
      <c r="D366" s="8">
        <f>SUMIFS($C$2:$C$385,$A$2:$A$385,"HKD",$B$2:$B$385,B366)/C366</f>
        <v/>
      </c>
    </row>
    <row r="367">
      <c r="A367" s="2" t="inlineStr">
        <is>
          <t>CNY</t>
        </is>
      </c>
      <c r="B367" s="30" t="n">
        <v>45828</v>
      </c>
      <c r="C367" s="8" t="n">
        <v>7.2165</v>
      </c>
      <c r="D367" s="8">
        <f>SUMIFS($C$2:$C$385,$A$2:$A$385,"HKD",$B$2:$B$385,B367)/C367</f>
        <v/>
      </c>
    </row>
    <row r="368">
      <c r="A368" s="2" t="inlineStr">
        <is>
          <t>USD</t>
        </is>
      </c>
      <c r="B368" s="30" t="n">
        <v>45831</v>
      </c>
      <c r="C368" s="8" t="n">
        <v>1</v>
      </c>
      <c r="D368" s="8">
        <f>SUMIFS($C$2:$C$385,$A$2:$A$385,"HKD",$B$2:$B$385,B368)/C368</f>
        <v/>
      </c>
    </row>
    <row r="369">
      <c r="A369" s="2" t="inlineStr">
        <is>
          <t>HKD</t>
        </is>
      </c>
      <c r="B369" s="30" t="n">
        <v>45831</v>
      </c>
      <c r="C369" s="8" t="n">
        <v>7.8322</v>
      </c>
      <c r="D369" s="8">
        <f>SUMIFS($C$2:$C$385,$A$2:$A$385,"HKD",$B$2:$B$385,B369)/C369</f>
        <v/>
      </c>
    </row>
    <row r="370">
      <c r="A370" s="2" t="inlineStr">
        <is>
          <t>CNY</t>
        </is>
      </c>
      <c r="B370" s="30" t="n">
        <v>45831</v>
      </c>
      <c r="C370" s="8" t="n">
        <v>7.2133</v>
      </c>
      <c r="D370" s="8">
        <f>SUMIFS($C$2:$C$385,$A$2:$A$385,"HKD",$B$2:$B$385,B370)/C370</f>
        <v/>
      </c>
    </row>
    <row r="371">
      <c r="A371" s="2" t="inlineStr">
        <is>
          <t>USD</t>
        </is>
      </c>
      <c r="B371" s="30" t="n">
        <v>45832</v>
      </c>
      <c r="C371" s="8" t="n">
        <v>1</v>
      </c>
      <c r="D371" s="8">
        <f>SUMIFS($C$2:$C$385,$A$2:$A$385,"HKD",$B$2:$B$385,B371)/C371</f>
        <v/>
      </c>
    </row>
    <row r="372">
      <c r="A372" s="2" t="inlineStr">
        <is>
          <t>HKD</t>
        </is>
      </c>
      <c r="B372" s="30" t="n">
        <v>45832</v>
      </c>
      <c r="C372" s="8" t="n">
        <v>7.8302</v>
      </c>
      <c r="D372" s="8">
        <f>SUMIFS($C$2:$C$385,$A$2:$A$385,"HKD",$B$2:$B$385,B372)/C372</f>
        <v/>
      </c>
    </row>
    <row r="373">
      <c r="A373" s="2" t="inlineStr">
        <is>
          <t>CNY</t>
        </is>
      </c>
      <c r="B373" s="30" t="n">
        <v>45832</v>
      </c>
      <c r="C373" s="8" t="n">
        <v>7.1975</v>
      </c>
      <c r="D373" s="8">
        <f>SUMIFS($C$2:$C$385,$A$2:$A$385,"HKD",$B$2:$B$385,B373)/C373</f>
        <v/>
      </c>
    </row>
    <row r="374">
      <c r="A374" s="2" t="inlineStr">
        <is>
          <t>USD</t>
        </is>
      </c>
      <c r="B374" s="30" t="n">
        <v>45833</v>
      </c>
      <c r="C374" s="8" t="n">
        <v>1</v>
      </c>
      <c r="D374" s="8">
        <f>SUMIFS($C$2:$C$385,$A$2:$A$385,"HKD",$B$2:$B$385,B374)/C374</f>
        <v/>
      </c>
    </row>
    <row r="375">
      <c r="A375" s="2" t="inlineStr">
        <is>
          <t>HKD</t>
        </is>
      </c>
      <c r="B375" s="30" t="n">
        <v>45833</v>
      </c>
      <c r="C375" s="8" t="n">
        <v>7.8263</v>
      </c>
      <c r="D375" s="8">
        <f>SUMIFS($C$2:$C$385,$A$2:$A$385,"HKD",$B$2:$B$385,B375)/C375</f>
        <v/>
      </c>
    </row>
    <row r="376">
      <c r="A376" s="2" t="inlineStr">
        <is>
          <t>CNY</t>
        </is>
      </c>
      <c r="B376" s="30" t="n">
        <v>45833</v>
      </c>
      <c r="C376" s="8" t="n">
        <v>7.2166</v>
      </c>
      <c r="D376" s="8">
        <f>SUMIFS($C$2:$C$385,$A$2:$A$385,"HKD",$B$2:$B$385,B376)/C376</f>
        <v/>
      </c>
    </row>
    <row r="377">
      <c r="A377" s="2" t="inlineStr">
        <is>
          <t>USD</t>
        </is>
      </c>
      <c r="B377" s="30" t="n">
        <v>45834</v>
      </c>
      <c r="C377" s="8" t="n">
        <v>1</v>
      </c>
      <c r="D377" s="8">
        <f>SUMIFS($C$2:$C$385,$A$2:$A$385,"HKD",$B$2:$B$385,B377)/C377</f>
        <v/>
      </c>
    </row>
    <row r="378">
      <c r="A378" s="2" t="inlineStr">
        <is>
          <t>HKD</t>
        </is>
      </c>
      <c r="B378" s="30" t="n">
        <v>45834</v>
      </c>
      <c r="C378" s="8" t="n">
        <v>7.8295</v>
      </c>
      <c r="D378" s="8">
        <f>SUMIFS($C$2:$C$385,$A$2:$A$385,"HKD",$B$2:$B$385,B378)/C378</f>
        <v/>
      </c>
    </row>
    <row r="379">
      <c r="A379" s="2" t="inlineStr">
        <is>
          <t>CNY</t>
        </is>
      </c>
      <c r="B379" s="30" t="n">
        <v>45834</v>
      </c>
      <c r="C379" s="8" t="n">
        <v>7.2167</v>
      </c>
      <c r="D379" s="8">
        <f>SUMIFS($C$2:$C$385,$A$2:$A$385,"HKD",$B$2:$B$385,B379)/C379</f>
        <v/>
      </c>
    </row>
    <row r="380">
      <c r="A380" s="2" t="inlineStr">
        <is>
          <t>USD</t>
        </is>
      </c>
      <c r="B380" s="30" t="n">
        <v>45835</v>
      </c>
      <c r="C380" s="8" t="n">
        <v>1</v>
      </c>
      <c r="D380" s="8">
        <f>SUMIFS($C$2:$C$385,$A$2:$A$385,"HKD",$B$2:$B$385,B380)/C380</f>
        <v/>
      </c>
    </row>
    <row r="381">
      <c r="A381" s="2" t="inlineStr">
        <is>
          <t>HKD</t>
        </is>
      </c>
      <c r="B381" s="30" t="n">
        <v>45835</v>
      </c>
      <c r="C381" s="8" t="n">
        <v>7.8282</v>
      </c>
      <c r="D381" s="8">
        <f>SUMIFS($C$2:$C$385,$A$2:$A$385,"HKD",$B$2:$B$385,B381)/C381</f>
        <v/>
      </c>
    </row>
    <row r="382">
      <c r="A382" s="2" t="inlineStr">
        <is>
          <t>CNY</t>
        </is>
      </c>
      <c r="B382" s="30" t="n">
        <v>45835</v>
      </c>
      <c r="C382" s="8" t="n">
        <v>7.2167</v>
      </c>
      <c r="D382" s="8">
        <f>SUMIFS($C$2:$C$385,$A$2:$A$385,"HKD",$B$2:$B$385,B382)/C382</f>
        <v/>
      </c>
    </row>
    <row r="383">
      <c r="A383" s="2" t="inlineStr">
        <is>
          <t>USD</t>
        </is>
      </c>
      <c r="B383" s="30" t="n">
        <v>45838</v>
      </c>
      <c r="C383" s="8" t="n">
        <v>1</v>
      </c>
      <c r="D383" s="8">
        <f>SUMIFS($C$2:$C$385,$A$2:$A$385,"HKD",$B$2:$B$385,B383)/C383</f>
        <v/>
      </c>
    </row>
    <row r="384">
      <c r="A384" s="2" t="inlineStr">
        <is>
          <t>HKD</t>
        </is>
      </c>
      <c r="B384" s="30" t="n">
        <v>45838</v>
      </c>
      <c r="C384" s="8" t="n">
        <v>7.8304</v>
      </c>
      <c r="D384" s="8">
        <f>SUMIFS($C$2:$C$385,$A$2:$A$385,"HKD",$B$2:$B$385,B384)/C384</f>
        <v/>
      </c>
    </row>
    <row r="385">
      <c r="A385" s="2" t="inlineStr">
        <is>
          <t>CNY</t>
        </is>
      </c>
      <c r="B385" s="30" t="n">
        <v>45838</v>
      </c>
      <c r="C385" s="8" t="n">
        <v>7.2083</v>
      </c>
      <c r="D385" s="8">
        <f>SUMIFS($C$2:$C$385,$A$2:$A$385,"HKD",$B$2:$B$385,B385)/C385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2F5597"/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9" customWidth="1" min="3" max="3"/>
  </cols>
  <sheetData>
    <row r="1">
      <c r="A1" s="27" t="inlineStr">
        <is>
          <t>sales_person_id (PK)</t>
        </is>
      </c>
      <c r="B1" s="27" t="inlineStr">
        <is>
          <t>sales_person_name</t>
        </is>
      </c>
    </row>
    <row r="2">
      <c r="A2" s="2" t="inlineStr">
        <is>
          <t>E101</t>
        </is>
      </c>
      <c r="B2" s="2" t="inlineStr">
        <is>
          <t>Alice Chan</t>
        </is>
      </c>
    </row>
    <row r="3">
      <c r="A3" s="2" t="inlineStr">
        <is>
          <t>E102</t>
        </is>
      </c>
      <c r="B3" s="2" t="inlineStr">
        <is>
          <t>Brian Lau</t>
        </is>
      </c>
    </row>
    <row r="4">
      <c r="A4" s="2" t="inlineStr">
        <is>
          <t>E103</t>
        </is>
      </c>
      <c r="B4" s="2" t="inlineStr">
        <is>
          <t>Cindy Ng</t>
        </is>
      </c>
    </row>
    <row r="5">
      <c r="A5" s="2" t="inlineStr">
        <is>
          <t>E104</t>
        </is>
      </c>
      <c r="B5" s="2" t="inlineStr">
        <is>
          <t>Derek Yip</t>
        </is>
      </c>
    </row>
    <row r="6">
      <c r="A6" s="2" t="inlineStr">
        <is>
          <t>E105</t>
        </is>
      </c>
      <c r="B6" s="2" t="inlineStr">
        <is>
          <t>Grace Ho</t>
        </is>
      </c>
    </row>
    <row r="7">
      <c r="A7" s="2" t="inlineStr">
        <is>
          <t>E106</t>
        </is>
      </c>
      <c r="B7" s="2" t="inlineStr">
        <is>
          <t>Henry Lam</t>
        </is>
      </c>
    </row>
    <row r="8">
      <c r="A8" s="2" t="inlineStr">
        <is>
          <t>E107</t>
        </is>
      </c>
      <c r="B8" s="2" t="inlineStr">
        <is>
          <t>Frank Wu</t>
        </is>
      </c>
    </row>
    <row r="9">
      <c r="A9" s="2" t="inlineStr">
        <is>
          <t>E108</t>
        </is>
      </c>
      <c r="B9" s="2" t="inlineStr">
        <is>
          <t>Michael Chan</t>
        </is>
      </c>
    </row>
    <row r="10">
      <c r="A10" s="2" t="inlineStr">
        <is>
          <t>E109</t>
        </is>
      </c>
      <c r="B10" s="2" t="inlineStr">
        <is>
          <t>Michael Chan</t>
        </is>
      </c>
    </row>
    <row r="11">
      <c r="A11" s="2" t="inlineStr">
        <is>
          <t>E110</t>
        </is>
      </c>
      <c r="B11" s="2" t="inlineStr">
        <is>
          <t>Irene Kwok</t>
        </is>
      </c>
    </row>
    <row r="12">
      <c r="A12" s="2" t="inlineStr">
        <is>
          <t>E111</t>
        </is>
      </c>
      <c r="B12" s="2" t="inlineStr">
        <is>
          <t>Kelvin Lee</t>
        </is>
      </c>
    </row>
    <row r="13">
      <c r="A13" s="2" t="n"/>
      <c r="B13" s="2" t="n"/>
      <c r="C13" s="2" t="n"/>
    </row>
    <row r="14">
      <c r="A14" s="29" t="inlineStr">
        <is>
          <t>One row per salesperson. The ID is the key; the name is only an attribute (two different people are both called 'Michael Chan': E108 and E109).</t>
        </is>
      </c>
      <c r="B14" s="2" t="n"/>
      <c r="C14" s="2" t="n"/>
    </row>
    <row r="15">
      <c r="A15" s="29" t="inlineStr">
        <is>
          <t>The selling log holds only the ID a salesperson types when they sign the sale. Names are looked up from here.</t>
        </is>
      </c>
      <c r="B15" s="2" t="n"/>
      <c r="C15" s="2" t="n"/>
    </row>
    <row r="16">
      <c r="A16" s="29" t="inlineStr">
        <is>
          <t>Mistyped IDs go to 12_sales_person_confirmation; once confirmed, the sale counts for the confirmed person.</t>
        </is>
      </c>
      <c r="B16" s="2" t="n"/>
      <c r="C16" s="2" t="n"/>
    </row>
    <row r="17">
      <c r="A17" s="2" t="n"/>
      <c r="B17" s="2" t="n"/>
      <c r="C17" s="2" t="n"/>
    </row>
    <row r="18">
      <c r="A18" s="2" t="n"/>
      <c r="B18" s="2" t="n"/>
      <c r="C18" s="2" t="n"/>
    </row>
    <row r="19">
      <c r="A19" s="2" t="n"/>
      <c r="B19" s="2" t="n"/>
      <c r="C19" s="2" t="n"/>
    </row>
    <row r="20">
      <c r="A20" s="2" t="n"/>
      <c r="B20" s="2" t="n"/>
      <c r="C20" s="2" t="n"/>
    </row>
    <row r="21">
      <c r="A21" s="2" t="n"/>
      <c r="B21" s="2" t="n"/>
      <c r="C21" s="2" t="n"/>
    </row>
    <row r="22">
      <c r="A22" s="2" t="n"/>
      <c r="B22" s="2" t="n"/>
      <c r="C22" s="2" t="n"/>
    </row>
    <row r="23">
      <c r="A23" s="2" t="n"/>
      <c r="B23" s="2" t="n"/>
      <c r="C23" s="2" t="n"/>
    </row>
    <row r="24">
      <c r="A24" s="2" t="n"/>
      <c r="B24" s="2" t="n"/>
      <c r="C24" s="2" t="n"/>
    </row>
    <row r="25">
      <c r="A25" s="2" t="n"/>
      <c r="B25" s="2" t="n"/>
      <c r="C25" s="2" t="n"/>
    </row>
    <row r="26">
      <c r="A26" s="2" t="n"/>
      <c r="B26" s="2" t="n"/>
      <c r="C26" s="2" t="n"/>
    </row>
    <row r="27">
      <c r="A27" s="2" t="n"/>
      <c r="B27" s="2" t="n"/>
      <c r="C27" s="2" t="n"/>
    </row>
    <row r="28">
      <c r="A28" s="2" t="n"/>
      <c r="B28" s="2" t="n"/>
      <c r="C28" s="2" t="n"/>
    </row>
    <row r="29">
      <c r="A29" s="2" t="n"/>
      <c r="B29" s="2" t="n"/>
      <c r="C29" s="2" t="n"/>
    </row>
    <row r="30">
      <c r="A30" s="2" t="n"/>
      <c r="B30" s="2" t="n"/>
      <c r="C30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2F5597"/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4" customWidth="1" min="5" max="5"/>
    <col width="13" customWidth="1" min="6" max="6"/>
    <col width="15" customWidth="1" min="7" max="7"/>
    <col width="15" customWidth="1" min="8" max="8"/>
    <col width="12" customWidth="1" min="9" max="9"/>
    <col width="18" customWidth="1" min="10" max="10"/>
    <col width="24" customWidth="1" min="12" max="12"/>
  </cols>
  <sheetData>
    <row r="1">
      <c r="A1" s="27" t="inlineStr">
        <is>
          <t>txn_id (PK)</t>
        </is>
      </c>
      <c r="B1" s="28" t="inlineStr">
        <is>
          <t>txn_date</t>
        </is>
      </c>
      <c r="C1" s="28" t="inlineStr">
        <is>
          <t>branch_code</t>
        </is>
      </c>
      <c r="D1" s="28" t="inlineStr">
        <is>
          <t>typed_id</t>
        </is>
      </c>
      <c r="E1" s="27" t="inlineStr">
        <is>
          <t>action</t>
        </is>
      </c>
      <c r="F1" s="27" t="inlineStr">
        <is>
          <t>confirmed_id</t>
        </is>
      </c>
      <c r="G1" s="27" t="inlineStr">
        <is>
          <t>confirmed_by</t>
        </is>
      </c>
      <c r="H1" s="27" t="inlineStr">
        <is>
          <t>confirmed_date</t>
        </is>
      </c>
      <c r="I1" s="28" t="inlineStr">
        <is>
          <t>status</t>
        </is>
      </c>
      <c r="J1" s="28" t="inlineStr">
        <is>
          <t>confirmed_name</t>
        </is>
      </c>
      <c r="L1" s="2" t="n"/>
      <c r="M1" s="2" t="n"/>
    </row>
    <row r="2">
      <c r="A2" s="2" t="inlineStr">
        <is>
          <t>T00025</t>
        </is>
      </c>
      <c r="B2" s="30">
        <f>INDEX('2_enriched_log'!$L:$L,MATCH(A2,'2_enriched_log'!$A:$A,0))</f>
        <v/>
      </c>
      <c r="C2" s="2">
        <f>INDEX('2_enriched_log'!$C:$C,MATCH(A2,'2_enriched_log'!$A:$A,0))</f>
        <v/>
      </c>
      <c r="D2" s="2">
        <f>INDEX('2_enriched_log'!$J:$J,MATCH(A2,'2_enriched_log'!$A:$A,0))</f>
        <v/>
      </c>
      <c r="E2" s="2" t="inlineStr">
        <is>
          <t>Corrected</t>
        </is>
      </c>
      <c r="F2" s="2" t="inlineStr">
        <is>
          <t>E104</t>
        </is>
      </c>
      <c r="G2" s="2" t="inlineStr">
        <is>
          <t>Ops team</t>
        </is>
      </c>
      <c r="H2" s="30" t="n">
        <v>45673</v>
      </c>
      <c r="I2" s="2">
        <f>IF(E2="","PENDING",IF(OR(F2="",G2="",H2=""),"INCOMPLETE",IF(ISNA(MATCH(F2,'11_3nf_sales_person'!$A:$A,0)),"INVALID ID","CONFIRMED")))</f>
        <v/>
      </c>
      <c r="J2" s="2">
        <f>IF(I2="CONFIRMED",INDEX('11_3nf_sales_person'!$B:$B,MATCH(F2,'11_3nf_sales_person'!$A:$A,0)),"")</f>
        <v/>
      </c>
      <c r="L2" s="29" t="inlineStr">
        <is>
          <t>Workflow for salesperson IDs that don't exist (mistyped). One row per flagged sale, keyed by txn_id.</t>
        </is>
      </c>
      <c r="M2" s="2" t="n"/>
    </row>
    <row r="3">
      <c r="A3" s="2" t="inlineStr">
        <is>
          <t>T00036</t>
        </is>
      </c>
      <c r="B3" s="30">
        <f>INDEX('2_enriched_log'!$L:$L,MATCH(A3,'2_enriched_log'!$A:$A,0))</f>
        <v/>
      </c>
      <c r="C3" s="2">
        <f>INDEX('2_enriched_log'!$C:$C,MATCH(A3,'2_enriched_log'!$A:$A,0))</f>
        <v/>
      </c>
      <c r="D3" s="2">
        <f>INDEX('2_enriched_log'!$J:$J,MATCH(A3,'2_enriched_log'!$A:$A,0))</f>
        <v/>
      </c>
      <c r="E3" s="2" t="inlineStr">
        <is>
          <t>Acknowledged</t>
        </is>
      </c>
      <c r="F3" s="2" t="inlineStr">
        <is>
          <t>E103</t>
        </is>
      </c>
      <c r="G3" s="2" t="inlineStr">
        <is>
          <t>E103</t>
        </is>
      </c>
      <c r="H3" s="30" t="n">
        <v>45676</v>
      </c>
      <c r="I3" s="2">
        <f>IF(E3="","PENDING",IF(OR(F3="",G3="",H3=""),"INCOMPLETE",IF(ISNA(MATCH(F3,'11_3nf_sales_person'!$A:$A,0)),"INVALID ID","CONFIRMED")))</f>
        <v/>
      </c>
      <c r="J3" s="2">
        <f>IF(I3="CONFIRMED",INDEX('11_3nf_sales_person'!$B:$B,MATCH(F3,'11_3nf_sales_person'!$A:$A,0)),"")</f>
        <v/>
      </c>
      <c r="L3" s="29" t="inlineStr">
        <is>
          <t>Grey columns are pulled automatically from the log. A person fills the blue columns:</t>
        </is>
      </c>
      <c r="M3" s="2" t="n"/>
    </row>
    <row r="4">
      <c r="A4" s="2" t="inlineStr">
        <is>
          <t>T00046</t>
        </is>
      </c>
      <c r="B4" s="30">
        <f>INDEX('2_enriched_log'!$L:$L,MATCH(A4,'2_enriched_log'!$A:$A,0))</f>
        <v/>
      </c>
      <c r="C4" s="2">
        <f>INDEX('2_enriched_log'!$C:$C,MATCH(A4,'2_enriched_log'!$A:$A,0))</f>
        <v/>
      </c>
      <c r="D4" s="2">
        <f>INDEX('2_enriched_log'!$J:$J,MATCH(A4,'2_enriched_log'!$A:$A,0))</f>
        <v/>
      </c>
      <c r="E4" s="2" t="inlineStr">
        <is>
          <t>Corrected</t>
        </is>
      </c>
      <c r="F4" s="2" t="inlineStr">
        <is>
          <t>E103</t>
        </is>
      </c>
      <c r="G4" s="2" t="inlineStr">
        <is>
          <t>Ops team</t>
        </is>
      </c>
      <c r="H4" s="30" t="n">
        <v>45683</v>
      </c>
      <c r="I4" s="2">
        <f>IF(E4="","PENDING",IF(OR(F4="",G4="",H4=""),"INCOMPLETE",IF(ISNA(MATCH(F4,'11_3nf_sales_person'!$A:$A,0)),"INVALID ID","CONFIRMED")))</f>
        <v/>
      </c>
      <c r="J4" s="2">
        <f>IF(I4="CONFIRMED",INDEX('11_3nf_sales_person'!$B:$B,MATCH(F4,'11_3nf_sales_person'!$A:$A,0)),"")</f>
        <v/>
      </c>
      <c r="L4" s="29" t="inlineStr">
        <is>
          <t xml:space="preserve">  Acknowledged = the salesperson confirms the sale was theirs and gives their correct ID (confirmed_by = their ID).</t>
        </is>
      </c>
      <c r="M4" s="2" t="n"/>
    </row>
    <row r="5">
      <c r="A5" s="2" t="inlineStr">
        <is>
          <t>T00056</t>
        </is>
      </c>
      <c r="B5" s="30">
        <f>INDEX('2_enriched_log'!$L:$L,MATCH(A5,'2_enriched_log'!$A:$A,0))</f>
        <v/>
      </c>
      <c r="C5" s="2">
        <f>INDEX('2_enriched_log'!$C:$C,MATCH(A5,'2_enriched_log'!$A:$A,0))</f>
        <v/>
      </c>
      <c r="D5" s="2">
        <f>INDEX('2_enriched_log'!$J:$J,MATCH(A5,'2_enriched_log'!$A:$A,0))</f>
        <v/>
      </c>
      <c r="E5" s="2" t="inlineStr">
        <is>
          <t>Acknowledged</t>
        </is>
      </c>
      <c r="F5" s="2" t="inlineStr">
        <is>
          <t>E104</t>
        </is>
      </c>
      <c r="G5" s="2" t="inlineStr">
        <is>
          <t>E104</t>
        </is>
      </c>
      <c r="H5" s="30" t="n">
        <v>45682</v>
      </c>
      <c r="I5" s="2">
        <f>IF(E5="","PENDING",IF(OR(F5="",G5="",H5=""),"INCOMPLETE",IF(ISNA(MATCH(F5,'11_3nf_sales_person'!$A:$A,0)),"INVALID ID","CONFIRMED")))</f>
        <v/>
      </c>
      <c r="J5" s="2">
        <f>IF(I5="CONFIRMED",INDEX('11_3nf_sales_person'!$B:$B,MATCH(F5,'11_3nf_sales_person'!$A:$A,0)),"")</f>
        <v/>
      </c>
      <c r="L5" s="29" t="inlineStr">
        <is>
          <t xml:space="preserve">  Corrected = the operations team checks the sale and assigns the right salesperson (confirmed_by = Ops team).</t>
        </is>
      </c>
      <c r="M5" s="2" t="n"/>
    </row>
    <row r="6">
      <c r="A6" s="2" t="inlineStr">
        <is>
          <t>T00058</t>
        </is>
      </c>
      <c r="B6" s="30">
        <f>INDEX('2_enriched_log'!$L:$L,MATCH(A6,'2_enriched_log'!$A:$A,0))</f>
        <v/>
      </c>
      <c r="C6" s="2">
        <f>INDEX('2_enriched_log'!$C:$C,MATCH(A6,'2_enriched_log'!$A:$A,0))</f>
        <v/>
      </c>
      <c r="D6" s="2">
        <f>INDEX('2_enriched_log'!$J:$J,MATCH(A6,'2_enriched_log'!$A:$A,0))</f>
        <v/>
      </c>
      <c r="E6" s="2" t="inlineStr">
        <is>
          <t>Acknowledged</t>
        </is>
      </c>
      <c r="F6" s="2" t="inlineStr">
        <is>
          <t>E103</t>
        </is>
      </c>
      <c r="G6" s="2" t="inlineStr">
        <is>
          <t>E103</t>
        </is>
      </c>
      <c r="H6" s="30" t="n">
        <v>45683</v>
      </c>
      <c r="I6" s="2">
        <f>IF(E6="","PENDING",IF(OR(F6="",G6="",H6=""),"INCOMPLETE",IF(ISNA(MATCH(F6,'11_3nf_sales_person'!$A:$A,0)),"INVALID ID","CONFIRMED")))</f>
        <v/>
      </c>
      <c r="J6" s="2">
        <f>IF(I6="CONFIRMED",INDEX('11_3nf_sales_person'!$B:$B,MATCH(F6,'11_3nf_sales_person'!$A:$A,0)),"")</f>
        <v/>
      </c>
      <c r="L6" s="29" t="inlineStr">
        <is>
          <t>Until action, confirmed_id, confirmed_by and confirmed_date are all filled with a valid ID, the sale stays PENDING and has no salesperson in 2_enriched_log.</t>
        </is>
      </c>
      <c r="M6" s="2" t="n"/>
    </row>
    <row r="7">
      <c r="A7" s="2" t="inlineStr">
        <is>
          <t>T00146</t>
        </is>
      </c>
      <c r="B7" s="30">
        <f>INDEX('2_enriched_log'!$L:$L,MATCH(A7,'2_enriched_log'!$A:$A,0))</f>
        <v/>
      </c>
      <c r="C7" s="2">
        <f>INDEX('2_enriched_log'!$C:$C,MATCH(A7,'2_enriched_log'!$A:$A,0))</f>
        <v/>
      </c>
      <c r="D7" s="2">
        <f>INDEX('2_enriched_log'!$J:$J,MATCH(A7,'2_enriched_log'!$A:$A,0))</f>
        <v/>
      </c>
      <c r="E7" s="2" t="inlineStr">
        <is>
          <t>Acknowledged</t>
        </is>
      </c>
      <c r="F7" s="2" t="inlineStr">
        <is>
          <t>E103</t>
        </is>
      </c>
      <c r="G7" s="2" t="inlineStr">
        <is>
          <t>E103</t>
        </is>
      </c>
      <c r="H7" s="30" t="n">
        <v>45710</v>
      </c>
      <c r="I7" s="2">
        <f>IF(E7="","PENDING",IF(OR(F7="",G7="",H7=""),"INCOMPLETE",IF(ISNA(MATCH(F7,'11_3nf_sales_person'!$A:$A,0)),"INVALID ID","CONFIRMED")))</f>
        <v/>
      </c>
      <c r="J7" s="2">
        <f>IF(I7="CONFIRMED",INDEX('11_3nf_sales_person'!$B:$B,MATCH(F7,'11_3nf_sales_person'!$A:$A,0)),"")</f>
        <v/>
      </c>
      <c r="L7" s="29" t="inlineStr">
        <is>
          <t>Never guessed: e.g. 'E11' could be E101 or E111, so T00165 and T00283 wait for a person.</t>
        </is>
      </c>
      <c r="M7" s="2" t="n"/>
    </row>
    <row r="8">
      <c r="A8" s="2" t="inlineStr">
        <is>
          <t>T00165</t>
        </is>
      </c>
      <c r="B8" s="30">
        <f>INDEX('2_enriched_log'!$L:$L,MATCH(A8,'2_enriched_log'!$A:$A,0))</f>
        <v/>
      </c>
      <c r="C8" s="2">
        <f>INDEX('2_enriched_log'!$C:$C,MATCH(A8,'2_enriched_log'!$A:$A,0))</f>
        <v/>
      </c>
      <c r="D8" s="2">
        <f>INDEX('2_enriched_log'!$J:$J,MATCH(A8,'2_enriched_log'!$A:$A,0))</f>
        <v/>
      </c>
      <c r="E8" s="2" t="n"/>
      <c r="F8" s="2" t="n"/>
      <c r="G8" s="2" t="n"/>
      <c r="H8" s="2" t="n"/>
      <c r="I8" s="2">
        <f>IF(E8="","PENDING",IF(OR(F8="",G8="",H8=""),"INCOMPLETE",IF(ISNA(MATCH(F8,'11_3nf_sales_person'!$A:$A,0)),"INVALID ID","CONFIRMED")))</f>
        <v/>
      </c>
      <c r="J8" s="2">
        <f>IF(I8="CONFIRMED",INDEX('11_3nf_sales_person'!$B:$B,MATCH(F8,'11_3nf_sales_person'!$A:$A,0)),"")</f>
        <v/>
      </c>
      <c r="L8" s="2" t="n"/>
      <c r="M8" s="2" t="n"/>
    </row>
    <row r="9">
      <c r="A9" s="2" t="inlineStr">
        <is>
          <t>T00245</t>
        </is>
      </c>
      <c r="B9" s="30">
        <f>INDEX('2_enriched_log'!$L:$L,MATCH(A9,'2_enriched_log'!$A:$A,0))</f>
        <v/>
      </c>
      <c r="C9" s="2">
        <f>INDEX('2_enriched_log'!$C:$C,MATCH(A9,'2_enriched_log'!$A:$A,0))</f>
        <v/>
      </c>
      <c r="D9" s="2">
        <f>INDEX('2_enriched_log'!$J:$J,MATCH(A9,'2_enriched_log'!$A:$A,0))</f>
        <v/>
      </c>
      <c r="E9" s="2" t="inlineStr">
        <is>
          <t>Acknowledged</t>
        </is>
      </c>
      <c r="F9" s="2" t="inlineStr">
        <is>
          <t>E103</t>
        </is>
      </c>
      <c r="G9" s="2" t="inlineStr">
        <is>
          <t>E103</t>
        </is>
      </c>
      <c r="H9" s="30" t="n">
        <v>45745</v>
      </c>
      <c r="I9" s="2">
        <f>IF(E9="","PENDING",IF(OR(F9="",G9="",H9=""),"INCOMPLETE",IF(ISNA(MATCH(F9,'11_3nf_sales_person'!$A:$A,0)),"INVALID ID","CONFIRMED")))</f>
        <v/>
      </c>
      <c r="J9" s="2">
        <f>IF(I9="CONFIRMED",INDEX('11_3nf_sales_person'!$B:$B,MATCH(F9,'11_3nf_sales_person'!$A:$A,0)),"")</f>
        <v/>
      </c>
      <c r="L9" s="2" t="n"/>
      <c r="M9" s="2" t="n"/>
    </row>
    <row r="10">
      <c r="A10" s="2" t="inlineStr">
        <is>
          <t>T00275</t>
        </is>
      </c>
      <c r="B10" s="30">
        <f>INDEX('2_enriched_log'!$L:$L,MATCH(A10,'2_enriched_log'!$A:$A,0))</f>
        <v/>
      </c>
      <c r="C10" s="2">
        <f>INDEX('2_enriched_log'!$C:$C,MATCH(A10,'2_enriched_log'!$A:$A,0))</f>
        <v/>
      </c>
      <c r="D10" s="2">
        <f>INDEX('2_enriched_log'!$J:$J,MATCH(A10,'2_enriched_log'!$A:$A,0))</f>
        <v/>
      </c>
      <c r="E10" s="2" t="inlineStr">
        <is>
          <t>Acknowledged</t>
        </is>
      </c>
      <c r="F10" s="2" t="inlineStr">
        <is>
          <t>E105</t>
        </is>
      </c>
      <c r="G10" s="2" t="inlineStr">
        <is>
          <t>E105</t>
        </is>
      </c>
      <c r="H10" s="30" t="n">
        <v>45757</v>
      </c>
      <c r="I10" s="2">
        <f>IF(E10="","PENDING",IF(OR(F10="",G10="",H10=""),"INCOMPLETE",IF(ISNA(MATCH(F10,'11_3nf_sales_person'!$A:$A,0)),"INVALID ID","CONFIRMED")))</f>
        <v/>
      </c>
      <c r="J10" s="2">
        <f>IF(I10="CONFIRMED",INDEX('11_3nf_sales_person'!$B:$B,MATCH(F10,'11_3nf_sales_person'!$A:$A,0)),"")</f>
        <v/>
      </c>
      <c r="L10" s="2" t="n"/>
      <c r="M10" s="2" t="n"/>
    </row>
    <row r="11">
      <c r="A11" s="2" t="inlineStr">
        <is>
          <t>T00278</t>
        </is>
      </c>
      <c r="B11" s="30">
        <f>INDEX('2_enriched_log'!$L:$L,MATCH(A11,'2_enriched_log'!$A:$A,0))</f>
        <v/>
      </c>
      <c r="C11" s="2">
        <f>INDEX('2_enriched_log'!$C:$C,MATCH(A11,'2_enriched_log'!$A:$A,0))</f>
        <v/>
      </c>
      <c r="D11" s="2">
        <f>INDEX('2_enriched_log'!$J:$J,MATCH(A11,'2_enriched_log'!$A:$A,0))</f>
        <v/>
      </c>
      <c r="E11" s="2" t="inlineStr">
        <is>
          <t>Acknowledged</t>
        </is>
      </c>
      <c r="F11" s="2" t="inlineStr">
        <is>
          <t>E110</t>
        </is>
      </c>
      <c r="G11" s="2" t="inlineStr">
        <is>
          <t>E110</t>
        </is>
      </c>
      <c r="H11" s="30" t="n">
        <v>45757</v>
      </c>
      <c r="I11" s="2">
        <f>IF(E11="","PENDING",IF(OR(F11="",G11="",H11=""),"INCOMPLETE",IF(ISNA(MATCH(F11,'11_3nf_sales_person'!$A:$A,0)),"INVALID ID","CONFIRMED")))</f>
        <v/>
      </c>
      <c r="J11" s="2">
        <f>IF(I11="CONFIRMED",INDEX('11_3nf_sales_person'!$B:$B,MATCH(F11,'11_3nf_sales_person'!$A:$A,0)),"")</f>
        <v/>
      </c>
      <c r="L11" s="2" t="n"/>
      <c r="M11" s="2" t="n"/>
    </row>
    <row r="12">
      <c r="A12" s="2" t="inlineStr">
        <is>
          <t>T00283</t>
        </is>
      </c>
      <c r="B12" s="30">
        <f>INDEX('2_enriched_log'!$L:$L,MATCH(A12,'2_enriched_log'!$A:$A,0))</f>
        <v/>
      </c>
      <c r="C12" s="2">
        <f>INDEX('2_enriched_log'!$C:$C,MATCH(A12,'2_enriched_log'!$A:$A,0))</f>
        <v/>
      </c>
      <c r="D12" s="2">
        <f>INDEX('2_enriched_log'!$J:$J,MATCH(A12,'2_enriched_log'!$A:$A,0))</f>
        <v/>
      </c>
      <c r="E12" s="2" t="n"/>
      <c r="F12" s="2" t="n"/>
      <c r="G12" s="2" t="n"/>
      <c r="H12" s="2" t="n"/>
      <c r="I12" s="2">
        <f>IF(E12="","PENDING",IF(OR(F12="",G12="",H12=""),"INCOMPLETE",IF(ISNA(MATCH(F12,'11_3nf_sales_person'!$A:$A,0)),"INVALID ID","CONFIRMED")))</f>
        <v/>
      </c>
      <c r="J12" s="2">
        <f>IF(I12="CONFIRMED",INDEX('11_3nf_sales_person'!$B:$B,MATCH(F12,'11_3nf_sales_person'!$A:$A,0)),"")</f>
        <v/>
      </c>
      <c r="L12" s="2" t="n"/>
      <c r="M12" s="2" t="n"/>
    </row>
    <row r="13">
      <c r="A13" s="2" t="inlineStr">
        <is>
          <t>T00330</t>
        </is>
      </c>
      <c r="B13" s="30">
        <f>INDEX('2_enriched_log'!$L:$L,MATCH(A13,'2_enriched_log'!$A:$A,0))</f>
        <v/>
      </c>
      <c r="C13" s="2">
        <f>INDEX('2_enriched_log'!$C:$C,MATCH(A13,'2_enriched_log'!$A:$A,0))</f>
        <v/>
      </c>
      <c r="D13" s="2">
        <f>INDEX('2_enriched_log'!$J:$J,MATCH(A13,'2_enriched_log'!$A:$A,0))</f>
        <v/>
      </c>
      <c r="E13" s="2" t="n"/>
      <c r="F13" s="2" t="n"/>
      <c r="G13" s="2" t="n"/>
      <c r="H13" s="2" t="n"/>
      <c r="I13" s="2">
        <f>IF(E13="","PENDING",IF(OR(F13="",G13="",H13=""),"INCOMPLETE",IF(ISNA(MATCH(F13,'11_3nf_sales_person'!$A:$A,0)),"INVALID ID","CONFIRMED")))</f>
        <v/>
      </c>
      <c r="J13" s="2">
        <f>IF(I13="CONFIRMED",INDEX('11_3nf_sales_person'!$B:$B,MATCH(F13,'11_3nf_sales_person'!$A:$A,0)),"")</f>
        <v/>
      </c>
      <c r="L13" s="2" t="n"/>
      <c r="M13" s="2" t="n"/>
    </row>
    <row r="14">
      <c r="A14" s="2" t="inlineStr">
        <is>
          <t>T00360</t>
        </is>
      </c>
      <c r="B14" s="30">
        <f>INDEX('2_enriched_log'!$L:$L,MATCH(A14,'2_enriched_log'!$A:$A,0))</f>
        <v/>
      </c>
      <c r="C14" s="2">
        <f>INDEX('2_enriched_log'!$C:$C,MATCH(A14,'2_enriched_log'!$A:$A,0))</f>
        <v/>
      </c>
      <c r="D14" s="2">
        <f>INDEX('2_enriched_log'!$J:$J,MATCH(A14,'2_enriched_log'!$A:$A,0))</f>
        <v/>
      </c>
      <c r="E14" s="2" t="n"/>
      <c r="F14" s="2" t="n"/>
      <c r="G14" s="2" t="n"/>
      <c r="H14" s="2" t="n"/>
      <c r="I14" s="2">
        <f>IF(E14="","PENDING",IF(OR(F14="",G14="",H14=""),"INCOMPLETE",IF(ISNA(MATCH(F14,'11_3nf_sales_person'!$A:$A,0)),"INVALID ID","CONFIRMED")))</f>
        <v/>
      </c>
      <c r="J14" s="2">
        <f>IF(I14="CONFIRMED",INDEX('11_3nf_sales_person'!$B:$B,MATCH(F14,'11_3nf_sales_person'!$A:$A,0)),"")</f>
        <v/>
      </c>
      <c r="L14" s="2" t="n"/>
      <c r="M14" s="2" t="n"/>
    </row>
    <row r="15">
      <c r="A15" s="2" t="inlineStr">
        <is>
          <t>T00377</t>
        </is>
      </c>
      <c r="B15" s="30">
        <f>INDEX('2_enriched_log'!$L:$L,MATCH(A15,'2_enriched_log'!$A:$A,0))</f>
        <v/>
      </c>
      <c r="C15" s="2">
        <f>INDEX('2_enriched_log'!$C:$C,MATCH(A15,'2_enriched_log'!$A:$A,0))</f>
        <v/>
      </c>
      <c r="D15" s="2">
        <f>INDEX('2_enriched_log'!$J:$J,MATCH(A15,'2_enriched_log'!$A:$A,0))</f>
        <v/>
      </c>
      <c r="E15" s="2" t="inlineStr">
        <is>
          <t>Corrected</t>
        </is>
      </c>
      <c r="F15" s="2" t="inlineStr">
        <is>
          <t>E101</t>
        </is>
      </c>
      <c r="G15" s="2" t="inlineStr">
        <is>
          <t>Ops team</t>
        </is>
      </c>
      <c r="H15" s="30" t="n">
        <v>45803</v>
      </c>
      <c r="I15" s="2">
        <f>IF(E15="","PENDING",IF(OR(F15="",G15="",H15=""),"INCOMPLETE",IF(ISNA(MATCH(F15,'11_3nf_sales_person'!$A:$A,0)),"INVALID ID","CONFIRMED")))</f>
        <v/>
      </c>
      <c r="J15" s="2">
        <f>IF(I15="CONFIRMED",INDEX('11_3nf_sales_person'!$B:$B,MATCH(F15,'11_3nf_sales_person'!$A:$A,0)),"")</f>
        <v/>
      </c>
    </row>
  </sheetData>
  <conditionalFormatting sqref="I2:I200">
    <cfRule type="expression" priority="1" dxfId="6">
      <formula>I2="CONFIRMED"</formula>
    </cfRule>
    <cfRule type="expression" priority="2" dxfId="4">
      <formula>OR(I2="PENDING",I2="INCOMPLETE",I2="INVALID ID")</formula>
    </cfRule>
  </conditionalFormatting>
  <dataValidations count="1">
    <dataValidation sqref="E2:E200" showDropDown="0" showInputMessage="0" showErrorMessage="0" allowBlank="1" type="list">
      <formula1>"Acknowledged,Corrected"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833C0B"/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4" customWidth="1" min="2" max="2"/>
    <col width="12" customWidth="1" min="3" max="3"/>
    <col width="10" customWidth="1" min="4" max="4"/>
  </cols>
  <sheetData>
    <row r="1">
      <c r="A1" s="38" t="inlineStr">
        <is>
          <t>area</t>
        </is>
      </c>
      <c r="B1" s="38" t="inlineStr">
        <is>
          <t>check</t>
        </is>
      </c>
      <c r="C1" s="38" t="inlineStr">
        <is>
          <t>violations</t>
        </is>
      </c>
      <c r="D1" s="38" t="inlineStr">
        <is>
          <t>result</t>
        </is>
      </c>
    </row>
    <row r="2">
      <c r="A2" s="2" t="inlineStr">
        <is>
          <t>Raw log</t>
        </is>
      </c>
      <c r="B2" s="2" t="inlineStr">
        <is>
          <t>txn_id is unique (duplicate rows)</t>
        </is>
      </c>
      <c r="C2" s="2">
        <f>SUMPRODUCT(--('1_raw_log'!A2:A5000&lt;&gt;""))-SUMPRODUCT(('1_raw_log'!A2:A5000&lt;&gt;"")/COUNTIF('1_raw_log'!A2:A5000,'1_raw_log'!A2:A5000&amp;""))</f>
        <v/>
      </c>
      <c r="D2" s="2">
        <f>IF(C2=0,"PASS","FAIL")</f>
        <v/>
      </c>
    </row>
    <row r="3">
      <c r="A3" s="2" t="inlineStr">
        <is>
          <t>Raw log</t>
        </is>
      </c>
      <c r="B3" s="2" t="inlineStr">
        <is>
          <t>txn_id format is T + 5 digits</t>
        </is>
      </c>
      <c r="C3" s="2">
        <f>SUMPRODUCT(('1_raw_log'!A2:A5000&lt;&gt;"")*((LEN('1_raw_log'!A2:A5000)&lt;&gt;6)+(LEFT('1_raw_log'!A2:A5000,1)&lt;&gt;"T")&gt;0))</f>
        <v/>
      </c>
      <c r="D3" s="2">
        <f>IF(C3=0,"PASS","FAIL")</f>
        <v/>
      </c>
    </row>
    <row r="4">
      <c r="A4" s="2" t="inlineStr">
        <is>
          <t>Enriched log</t>
        </is>
      </c>
      <c r="B4" s="2" t="inlineStr">
        <is>
          <t>every raw row appears in the enriched log</t>
        </is>
      </c>
      <c r="C4" s="2">
        <f>ABS(COUNTA('2_enriched_log'!A:A)-COUNTA('1_raw_log'!A:A))</f>
        <v/>
      </c>
      <c r="D4" s="2">
        <f>IF(C4=0,"PASS","FAIL")</f>
        <v/>
      </c>
    </row>
    <row r="5">
      <c r="A5" s="2" t="inlineStr">
        <is>
          <t>Date / time</t>
        </is>
      </c>
      <c r="B5" s="2" t="inlineStr">
        <is>
          <t>every sale date exists in 3_ref_date</t>
        </is>
      </c>
      <c r="C5" s="2">
        <f>COUNTIF('2_enriched_log'!$N:$N,"NOT FOUND")</f>
        <v/>
      </c>
      <c r="D5" s="2">
        <f>IF(C5=0,"PASS","FAIL")</f>
        <v/>
      </c>
    </row>
    <row r="6">
      <c r="A6" s="2" t="inlineStr">
        <is>
          <t>Date / time</t>
        </is>
      </c>
      <c r="B6" s="2" t="inlineStr">
        <is>
          <t>every sale time exists in 4_ref_time</t>
        </is>
      </c>
      <c r="C6" s="2">
        <f>COUNTIF('2_enriched_log'!$S:$S,"NOT FOUND")</f>
        <v/>
      </c>
      <c r="D6" s="2">
        <f>IF(C6=0,"PASS","FAIL")</f>
        <v/>
      </c>
    </row>
    <row r="7">
      <c r="A7" s="2" t="inlineStr">
        <is>
          <t>Branch</t>
        </is>
      </c>
      <c r="B7" s="2" t="inlineStr">
        <is>
          <t>every sale finds its branch version on the sale date</t>
        </is>
      </c>
      <c r="C7" s="2">
        <f>COUNTIF('2_enriched_log'!$U:$U,"NOT FOUND")</f>
        <v/>
      </c>
      <c r="D7" s="2">
        <f>IF(C7=0,"PASS","FAIL")</f>
        <v/>
      </c>
    </row>
    <row r="8">
      <c r="A8" s="2" t="inlineStr">
        <is>
          <t>Branch</t>
        </is>
      </c>
      <c r="B8" s="2" t="inlineStr">
        <is>
          <t>no sale is booked to a branch that was closed on the sale date</t>
        </is>
      </c>
      <c r="C8" s="2">
        <f>COUNTIF('2_enriched_log'!$X:$X,"Closed")</f>
        <v/>
      </c>
      <c r="D8" s="2">
        <f>IF(C8=0,"PASS","FAIL")</f>
        <v/>
      </c>
    </row>
    <row r="9">
      <c r="A9" s="2" t="inlineStr">
        <is>
          <t>Branch</t>
        </is>
      </c>
      <c r="B9" s="2" t="inlineStr">
        <is>
          <t>branch history: no duplicate keys (code + effective_date)</t>
        </is>
      </c>
      <c r="C9" s="2">
        <f>SUMPRODUCT(('6_3nf_branch_history'!$A$2:$A$50&lt;&gt;"")*ISNUMBER('6_3nf_branch_history'!$B$2:$B$50)*(COUNTIFS('6_3nf_branch_history'!$A$2:$A$50,'6_3nf_branch_history'!$A$2:$A$50,'6_3nf_branch_history'!$B$2:$B$50,'6_3nf_branch_history'!$B$2:$B$50)&gt;1))</f>
        <v/>
      </c>
      <c r="D9" s="2">
        <f>IF(C9=0,"PASS","FAIL")</f>
        <v/>
      </c>
    </row>
    <row r="10">
      <c r="A10" s="2" t="inlineStr">
        <is>
          <t>Branch</t>
        </is>
      </c>
      <c r="B10" s="2" t="inlineStr">
        <is>
          <t>branch history: every code exists in 5_branch</t>
        </is>
      </c>
      <c r="C10" s="2">
        <f>SUMPRODUCT(ISNUMBER('6_3nf_branch_history'!$B$2:$B$50)*ISNA(MATCH('6_3nf_branch_history'!$A$2:$A$50,'5_branch'!$A:$A,0)))</f>
        <v/>
      </c>
      <c r="D10" s="2">
        <f>IF(C10=0,"PASS","FAIL")</f>
        <v/>
      </c>
    </row>
    <row r="11">
      <c r="A11" s="2" t="inlineStr">
        <is>
          <t>Branch</t>
        </is>
      </c>
      <c r="B11" s="2" t="inlineStr">
        <is>
          <t>closed versions name a successor branch that exists</t>
        </is>
      </c>
      <c r="C11" s="2">
        <f>SUMPRODUCT(('6_3nf_branch_history'!$E$2:$E$50="Closed")*ISNA(MATCH('6_3nf_branch_history'!$F$2:$F$50,'5_branch'!$A:$A,0)))</f>
        <v/>
      </c>
      <c r="D11" s="2">
        <f>IF(C11=0,"PASS","FAIL")</f>
        <v/>
      </c>
    </row>
    <row r="12">
      <c r="A12" s="2" t="inlineStr">
        <is>
          <t>Product</t>
        </is>
      </c>
      <c r="B12" s="2" t="inlineStr">
        <is>
          <t>every sale finds its product</t>
        </is>
      </c>
      <c r="C12" s="2">
        <f>COUNTIF('2_enriched_log'!$Z:$Z,"NOT FOUND")</f>
        <v/>
      </c>
      <c r="D12" s="2">
        <f>IF(C12=0,"PASS","FAIL")</f>
        <v/>
      </c>
    </row>
    <row r="13">
      <c r="A13" s="2" t="inlineStr">
        <is>
          <t>Customer</t>
        </is>
      </c>
      <c r="B13" s="2" t="inlineStr">
        <is>
          <t>every cust_id in the log rectifies to 10 digits</t>
        </is>
      </c>
      <c r="C13" s="2">
        <f>COUNTIF('2_enriched_log'!$AD:$AD,"CHECK")</f>
        <v/>
      </c>
      <c r="D13" s="2">
        <f>IF(C13=0,"PASS","FAIL")</f>
        <v/>
      </c>
    </row>
    <row r="14">
      <c r="A14" s="2" t="inlineStr">
        <is>
          <t>Customer</t>
        </is>
      </c>
      <c r="B14" s="2" t="inlineStr">
        <is>
          <t>every customer master ID rectifies to 10 digits</t>
        </is>
      </c>
      <c r="C14" s="2">
        <f>COUNTIF('8_3nf_customer'!$B:$B,"CHECK")</f>
        <v/>
      </c>
      <c r="D14" s="2">
        <f>IF(C14=0,"PASS","FAIL")</f>
        <v/>
      </c>
    </row>
    <row r="15">
      <c r="A15" s="2" t="inlineStr">
        <is>
          <t>Customer</t>
        </is>
      </c>
      <c r="B15" s="2" t="inlineStr">
        <is>
          <t>customer master: no duplicate rectified IDs</t>
        </is>
      </c>
      <c r="C15" s="2">
        <f>SUMPRODUCT(('8_3nf_customer'!$B$2:$B$500&lt;&gt;"")*(COUNTIF('8_3nf_customer'!$B$2:$B$500,'8_3nf_customer'!$B$2:$B$500&amp;"")&gt;1))</f>
        <v/>
      </c>
      <c r="D15" s="2">
        <f>IF(C15=0,"PASS","FAIL")</f>
        <v/>
      </c>
    </row>
    <row r="16">
      <c r="A16" s="2" t="inlineStr">
        <is>
          <t>Customer</t>
        </is>
      </c>
      <c r="B16" s="2" t="inlineStr">
        <is>
          <t>every sale finds its customer</t>
        </is>
      </c>
      <c r="C16" s="2">
        <f>COUNTIF('2_enriched_log'!$AE:$AE,"NOT FOUND")</f>
        <v/>
      </c>
      <c r="D16" s="2">
        <f>IF(C16=0,"PASS","FAIL")</f>
        <v/>
      </c>
    </row>
    <row r="17">
      <c r="A17" s="2" t="inlineStr">
        <is>
          <t>Customer</t>
        </is>
      </c>
      <c r="B17" s="2" t="inlineStr">
        <is>
          <t>every sale finds its segment / risk version</t>
        </is>
      </c>
      <c r="C17" s="2">
        <f>COUNTIF('2_enriched_log'!$AI:$AI,"NOT FOUND")</f>
        <v/>
      </c>
      <c r="D17" s="2">
        <f>IF(C17=0,"PASS","FAIL")</f>
        <v/>
      </c>
    </row>
    <row r="18">
      <c r="A18" s="2" t="inlineStr">
        <is>
          <t>Customer</t>
        </is>
      </c>
      <c r="B18" s="2" t="inlineStr">
        <is>
          <t>customer history: no duplicate keys (id + effective_date)</t>
        </is>
      </c>
      <c r="C18" s="2">
        <f>SUMPRODUCT(('9_3nf_customer_history'!$A$2:$A$500&lt;&gt;"")*ISNUMBER('9_3nf_customer_history'!$B$2:$B$500)*(COUNTIFS('9_3nf_customer_history'!$A$2:$A$500,'9_3nf_customer_history'!$A$2:$A$500,'9_3nf_customer_history'!$B$2:$B$500,'9_3nf_customer_history'!$B$2:$B$500)&gt;1))</f>
        <v/>
      </c>
      <c r="D18" s="2">
        <f>IF(C18=0,"PASS","FAIL")</f>
        <v/>
      </c>
    </row>
    <row r="19">
      <c r="A19" s="2" t="inlineStr">
        <is>
          <t>Customer</t>
        </is>
      </c>
      <c r="B19" s="2" t="inlineStr">
        <is>
          <t>customer history: every ID exists in 8_3nf_customer</t>
        </is>
      </c>
      <c r="C19" s="2">
        <f>SUMPRODUCT(ISNUMBER('9_3nf_customer_history'!$B$2:$B$500)*ISNA(MATCH('9_3nf_customer_history'!$A$2:$A$500,'8_3nf_customer'!$B:$B,0)))</f>
        <v/>
      </c>
      <c r="D19" s="2">
        <f>IF(C19=0,"PASS","FAIL")</f>
        <v/>
      </c>
    </row>
    <row r="20">
      <c r="A20" s="2" t="inlineStr">
        <is>
          <t>Customer</t>
        </is>
      </c>
      <c r="B20" s="2" t="inlineStr">
        <is>
          <t>customers are 18+ at onboarding</t>
        </is>
      </c>
      <c r="C20" s="2">
        <f>SUMPRODUCT(ISNUMBER('9_3nf_customer_history'!$B$2:$B$500)*('9_3nf_customer_history'!$B$2:$B$500=_xlfn.MINIFS('9_3nf_customer_history'!$B$2:$B$500,'9_3nf_customer_history'!$A$2:$A$500,'9_3nf_customer_history'!$A$2:$A$500))*(IFERROR(DATEDIF(SUMIFS('8_3nf_customer'!$D:$D,'8_3nf_customer'!$B:$B,'9_3nf_customer_history'!$A$2:$A$500),'9_3nf_customer_history'!$B$2:$B$500,"y"),0)&lt;18))</f>
        <v/>
      </c>
      <c r="D20" s="2">
        <f>IF(C20=0,"PASS","FAIL")</f>
        <v/>
      </c>
    </row>
    <row r="21">
      <c r="A21" s="2" t="inlineStr">
        <is>
          <t>FX</t>
        </is>
      </c>
      <c r="B21" s="2" t="inlineStr">
        <is>
          <t>every sale finds a rate on or before its date</t>
        </is>
      </c>
      <c r="C21" s="2">
        <f>COUNTIF('2_enriched_log'!$AM:$AM,"NOT FOUND")</f>
        <v/>
      </c>
      <c r="D21" s="2">
        <f>IF(C21=0,"PASS","FAIL")</f>
        <v/>
      </c>
    </row>
    <row r="22">
      <c r="A22" s="2" t="inlineStr">
        <is>
          <t>FX</t>
        </is>
      </c>
      <c r="B22" s="2" t="inlineStr">
        <is>
          <t>FX table: no duplicate keys (currency + rate_date)</t>
        </is>
      </c>
      <c r="C22" s="2">
        <f>SUMPRODUCT(('10_ref_fx_rate'!$A$2:$A$2000&lt;&gt;"")*ISNUMBER('10_ref_fx_rate'!$B$2:$B$2000)*(COUNTIFS('10_ref_fx_rate'!$A$2:$A$2000,'10_ref_fx_rate'!$A$2:$A$2000,'10_ref_fx_rate'!$B$2:$B$2000,'10_ref_fx_rate'!$B$2:$B$2000)&gt;1))</f>
        <v/>
      </c>
      <c r="D22" s="2">
        <f>IF(C22=0,"PASS","FAIL")</f>
        <v/>
      </c>
    </row>
    <row r="23">
      <c r="A23" s="2" t="inlineStr">
        <is>
          <t>Salesperson</t>
        </is>
      </c>
      <c r="B23" s="2" t="inlineStr">
        <is>
          <t>every mistyped ID is logged for confirmation</t>
        </is>
      </c>
      <c r="C23" s="2">
        <f>COUNTIF('2_enriched_log'!$AQ:$AQ,"CONFIRM (not logged)")</f>
        <v/>
      </c>
      <c r="D23" s="2">
        <f>IF(C23=0,"PASS","FAIL")</f>
        <v/>
      </c>
    </row>
    <row r="24">
      <c r="A24" s="2" t="inlineStr">
        <is>
          <t>Salesperson</t>
        </is>
      </c>
      <c r="B24" s="2" t="inlineStr">
        <is>
          <t>confirmation rows are complete with a valid ID (when actioned)</t>
        </is>
      </c>
      <c r="C24" s="2">
        <f>COUNTIF('12_sales_person_confirmation'!$I:$I,"INCOMPLETE")+COUNTIF('12_sales_person_confirmation'!$I:$I,"INVALID ID")</f>
        <v/>
      </c>
      <c r="D24" s="2">
        <f>IF(C24=0,"PASS","FAIL")</f>
        <v/>
      </c>
    </row>
    <row r="25">
      <c r="A25" s="2" t="inlineStr">
        <is>
          <t>Capacity</t>
        </is>
      </c>
      <c r="B25" s="2" t="inlineStr">
        <is>
          <t>3_ref_date calendar reaches the latest sale (400 days prepared)</t>
        </is>
      </c>
      <c r="C25" s="2">
        <f>IF(MAX('3_ref_date'!A2:A401)&gt;=INT(MAX('1_raw_log'!B:B)),0,1)</f>
        <v/>
      </c>
      <c r="D25" s="2">
        <f>IF(C25=0,"PASS","FAIL")</f>
        <v/>
      </c>
    </row>
    <row r="26">
      <c r="A26" s="2" t="inlineStr">
        <is>
          <t>Capacity</t>
        </is>
      </c>
      <c r="B26" s="2" t="inlineStr">
        <is>
          <t>6_3nf_branch_history within formula range (49 rows)</t>
        </is>
      </c>
      <c r="C26" s="2">
        <f>MAX(0,COUNT('6_3nf_branch_history'!B:B)-49)</f>
        <v/>
      </c>
      <c r="D26" s="2">
        <f>IF(C26=0,"PASS","FAIL")</f>
        <v/>
      </c>
    </row>
    <row r="27">
      <c r="A27" s="2" t="inlineStr">
        <is>
          <t>Capacity</t>
        </is>
      </c>
      <c r="B27" s="2" t="inlineStr">
        <is>
          <t>9_3nf_customer_history within formula range (499 rows)</t>
        </is>
      </c>
      <c r="C27" s="2">
        <f>MAX(0,COUNT('9_3nf_customer_history'!B:B)-499)</f>
        <v/>
      </c>
      <c r="D27" s="2">
        <f>IF(C27=0,"PASS","FAIL")</f>
        <v/>
      </c>
    </row>
    <row r="28">
      <c r="A28" s="2" t="inlineStr">
        <is>
          <t>Capacity</t>
        </is>
      </c>
      <c r="B28" s="2" t="inlineStr">
        <is>
          <t>10_ref_fx_rate within formula range (1,999 rows)</t>
        </is>
      </c>
      <c r="C28" s="2">
        <f>MAX(0,COUNT('10_ref_fx_rate'!B:B)-1999)</f>
        <v/>
      </c>
      <c r="D28" s="2">
        <f>IF(C28=0,"PASS","FAIL")</f>
        <v/>
      </c>
    </row>
    <row r="29">
      <c r="A29" s="2" t="inlineStr">
        <is>
          <t>Salesperson</t>
        </is>
      </c>
      <c r="B29" s="2" t="inlineStr">
        <is>
          <t>sales still waiting for confirmation (expected work)</t>
        </is>
      </c>
      <c r="C29" s="2">
        <f>COUNTIF('2_enriched_log'!$AQ:$AQ,"PENDING CONFIRM")</f>
        <v/>
      </c>
      <c r="D29" s="2">
        <f>IF(C29=0,"PASS","INFO")</f>
        <v/>
      </c>
    </row>
    <row r="31">
      <c r="B31" s="34" t="inlineStr">
        <is>
          <t>Overall (INFO rows are expected work, not errors)</t>
        </is>
      </c>
      <c r="D31" s="34">
        <f>IF(COUNTIF(D2:D29,"FAIL")=0,"ALL PASS","FAIL")</f>
        <v/>
      </c>
    </row>
    <row r="33">
      <c r="A33" s="29" t="inlineStr">
        <is>
          <t>All data-quality checks live here, not in the tables: the tables describe their entities, the checks describe the data flowing through them.</t>
        </is>
      </c>
    </row>
    <row r="34">
      <c r="A34" s="29" t="inlineStr">
        <is>
          <t>Every check re-runs as the log grows. violations = number of rows breaking the rule.</t>
        </is>
      </c>
    </row>
    <row r="35">
      <c r="A35" s="29" t="inlineStr">
        <is>
          <t>Capacity rows: Excel formulas look at fixed ranges (e.g. branch history rows 2-50). If a table outgrows its range, that check fails and the ranges must be extended. The SQL version has no such limit.</t>
        </is>
      </c>
    </row>
  </sheetData>
  <conditionalFormatting sqref="D2:D31">
    <cfRule type="expression" priority="1" dxfId="6">
      <formula>OR(D2="PASS",D2="ALL PASS")</formula>
    </cfRule>
    <cfRule type="expression" priority="2" dxfId="4">
      <formula>D2="FAIL"</formula>
    </cfRule>
    <cfRule type="expression" priority="3" dxfId="5">
      <formula>D2="INFO"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7030A0"/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1" t="inlineStr">
        <is>
          <t>Retail sales report, Jan–Jun 2025</t>
        </is>
      </c>
    </row>
    <row r="2">
      <c r="A2" s="42" t="inlineStr">
        <is>
          <t>Rules used in every chart: Completed sales only · amounts in HKD millions (converted with the daily FX rate) · customer segment as at the time of sale ·</t>
        </is>
      </c>
    </row>
    <row r="3">
      <c r="A3" s="42" t="inlineStr">
        <is>
          <t>branches grouped by branch_code and shown with today's name (closed branches marked) · source: 2_enriched_log · refresh only when 13_checks shows ALL PASS.</t>
        </is>
      </c>
    </row>
    <row r="5">
      <c r="A5" s="40" t="inlineStr">
        <is>
          <t>1. Is the business growing? Net sales by month (HKD m)</t>
        </is>
      </c>
    </row>
    <row r="6">
      <c r="A6" s="43" t="inlineStr">
        <is>
          <t>month</t>
        </is>
      </c>
      <c r="B6" s="43" t="inlineStr">
        <is>
          <t>net sales</t>
        </is>
      </c>
    </row>
    <row r="7">
      <c r="A7" s="2" t="inlineStr">
        <is>
          <t>Jan</t>
        </is>
      </c>
      <c r="B7" s="44">
        <f>SUMIFS('2_enriched_log'!$AO:$AO,'2_enriched_log'!$K:$K,"Completed",'2_enriched_log'!$P:$P,1)/1000000</f>
        <v/>
      </c>
    </row>
    <row r="8">
      <c r="A8" s="2" t="inlineStr">
        <is>
          <t>Feb</t>
        </is>
      </c>
      <c r="B8" s="44">
        <f>SUMIFS('2_enriched_log'!$AO:$AO,'2_enriched_log'!$K:$K,"Completed",'2_enriched_log'!$P:$P,2)/1000000</f>
        <v/>
      </c>
    </row>
    <row r="9">
      <c r="A9" s="2" t="inlineStr">
        <is>
          <t>Mar</t>
        </is>
      </c>
      <c r="B9" s="44">
        <f>SUMIFS('2_enriched_log'!$AO:$AO,'2_enriched_log'!$K:$K,"Completed",'2_enriched_log'!$P:$P,3)/1000000</f>
        <v/>
      </c>
    </row>
    <row r="10">
      <c r="A10" s="2" t="inlineStr">
        <is>
          <t>Apr</t>
        </is>
      </c>
      <c r="B10" s="44">
        <f>SUMIFS('2_enriched_log'!$AO:$AO,'2_enriched_log'!$K:$K,"Completed",'2_enriched_log'!$P:$P,4)/1000000</f>
        <v/>
      </c>
    </row>
    <row r="11">
      <c r="A11" s="2" t="inlineStr">
        <is>
          <t>May</t>
        </is>
      </c>
      <c r="B11" s="44">
        <f>SUMIFS('2_enriched_log'!$AO:$AO,'2_enriched_log'!$K:$K,"Completed",'2_enriched_log'!$P:$P,5)/1000000</f>
        <v/>
      </c>
    </row>
    <row r="12">
      <c r="A12" s="2" t="inlineStr">
        <is>
          <t>Jun</t>
        </is>
      </c>
      <c r="B12" s="44">
        <f>SUMIFS('2_enriched_log'!$AO:$AO,'2_enriched_log'!$K:$K,"Completed",'2_enriched_log'!$P:$P,6)/1000000</f>
        <v/>
      </c>
    </row>
    <row r="14">
      <c r="A14" s="40" t="inlineStr">
        <is>
          <t>2. What sells? Net sales by product category and quarter (HKD m)</t>
        </is>
      </c>
    </row>
    <row r="15">
      <c r="A15" s="43" t="inlineStr">
        <is>
          <t>product_category</t>
        </is>
      </c>
      <c r="B15" s="43" t="inlineStr">
        <is>
          <t>Q1</t>
        </is>
      </c>
      <c r="C15" s="43" t="inlineStr">
        <is>
          <t>Q2</t>
        </is>
      </c>
    </row>
    <row r="16">
      <c r="A16" s="2" t="inlineStr">
        <is>
          <t>Mutual Fund</t>
        </is>
      </c>
      <c r="B16" s="44">
        <f>SUMIFS('2_enriched_log'!$AO:$AO,'2_enriched_log'!$K:$K,"Completed",'2_enriched_log'!$AA:$AA,$A16,'2_enriched_log'!$O:$O,"Q1")/1000000</f>
        <v/>
      </c>
      <c r="C16" s="44">
        <f>SUMIFS('2_enriched_log'!$AO:$AO,'2_enriched_log'!$K:$K,"Completed",'2_enriched_log'!$AA:$AA,$A16,'2_enriched_log'!$O:$O,"Q2")/1000000</f>
        <v/>
      </c>
    </row>
    <row r="17">
      <c r="A17" s="2" t="inlineStr">
        <is>
          <t>Insurance</t>
        </is>
      </c>
      <c r="B17" s="44">
        <f>SUMIFS('2_enriched_log'!$AO:$AO,'2_enriched_log'!$K:$K,"Completed",'2_enriched_log'!$AA:$AA,$A17,'2_enriched_log'!$O:$O,"Q1")/1000000</f>
        <v/>
      </c>
      <c r="C17" s="44">
        <f>SUMIFS('2_enriched_log'!$AO:$AO,'2_enriched_log'!$K:$K,"Completed",'2_enriched_log'!$AA:$AA,$A17,'2_enriched_log'!$O:$O,"Q2")/1000000</f>
        <v/>
      </c>
    </row>
    <row r="18">
      <c r="A18" s="2" t="inlineStr">
        <is>
          <t>Structured Product</t>
        </is>
      </c>
      <c r="B18" s="44">
        <f>SUMIFS('2_enriched_log'!$AO:$AO,'2_enriched_log'!$K:$K,"Completed",'2_enriched_log'!$AA:$AA,$A18,'2_enriched_log'!$O:$O,"Q1")/1000000</f>
        <v/>
      </c>
      <c r="C18" s="44">
        <f>SUMIFS('2_enriched_log'!$AO:$AO,'2_enriched_log'!$K:$K,"Completed",'2_enriched_log'!$AA:$AA,$A18,'2_enriched_log'!$O:$O,"Q2")/1000000</f>
        <v/>
      </c>
    </row>
    <row r="19">
      <c r="A19" s="2" t="inlineStr">
        <is>
          <t>Deposit</t>
        </is>
      </c>
      <c r="B19" s="44">
        <f>SUMIFS('2_enriched_log'!$AO:$AO,'2_enriched_log'!$K:$K,"Completed",'2_enriched_log'!$AA:$AA,$A19,'2_enriched_log'!$O:$O,"Q1")/1000000</f>
        <v/>
      </c>
      <c r="C19" s="44">
        <f>SUMIFS('2_enriched_log'!$AO:$AO,'2_enriched_log'!$K:$K,"Completed",'2_enriched_log'!$AA:$AA,$A19,'2_enriched_log'!$O:$O,"Q2")/1000000</f>
        <v/>
      </c>
    </row>
    <row r="20">
      <c r="A20" s="2" t="inlineStr">
        <is>
          <t>Bond</t>
        </is>
      </c>
      <c r="B20" s="44">
        <f>SUMIFS('2_enriched_log'!$AO:$AO,'2_enriched_log'!$K:$K,"Completed",'2_enriched_log'!$AA:$AA,$A20,'2_enriched_log'!$O:$O,"Q1")/1000000</f>
        <v/>
      </c>
      <c r="C20" s="44">
        <f>SUMIFS('2_enriched_log'!$AO:$AO,'2_enriched_log'!$K:$K,"Completed",'2_enriched_log'!$AA:$AA,$A20,'2_enriched_log'!$O:$O,"Q2")/1000000</f>
        <v/>
      </c>
    </row>
    <row r="22">
      <c r="A22" s="40" t="inlineStr">
        <is>
          <t>3. When do customers buy on their own? Completed sales by time of day (count)</t>
        </is>
      </c>
    </row>
    <row r="23">
      <c r="A23" s="43" t="inlineStr">
        <is>
          <t>day_part</t>
        </is>
      </c>
      <c r="B23" s="43" t="inlineStr">
        <is>
          <t>RM-assisted</t>
        </is>
      </c>
      <c r="C23" s="43" t="inlineStr">
        <is>
          <t>Self-directed</t>
        </is>
      </c>
    </row>
    <row r="24">
      <c r="A24" s="2" t="inlineStr">
        <is>
          <t>Morning</t>
        </is>
      </c>
      <c r="B24" s="7">
        <f>COUNTIFS('2_enriched_log'!$K:$K,"Completed",'2_enriched_log'!$S:$S,"Morning",'2_enriched_log'!$AQ:$AQ,"&lt;&gt;SELF-DIRECTED")</f>
        <v/>
      </c>
      <c r="C24" s="7">
        <f>COUNTIFS('2_enriched_log'!$K:$K,"Completed",'2_enriched_log'!$S:$S,"Morning",'2_enriched_log'!$AQ:$AQ,"SELF-DIRECTED")</f>
        <v/>
      </c>
    </row>
    <row r="25">
      <c r="A25" s="2" t="inlineStr">
        <is>
          <t>Afternoon</t>
        </is>
      </c>
      <c r="B25" s="7">
        <f>COUNTIFS('2_enriched_log'!$K:$K,"Completed",'2_enriched_log'!$S:$S,"Afternoon",'2_enriched_log'!$AQ:$AQ,"&lt;&gt;SELF-DIRECTED")</f>
        <v/>
      </c>
      <c r="C25" s="7">
        <f>COUNTIFS('2_enriched_log'!$K:$K,"Completed",'2_enriched_log'!$S:$S,"Afternoon",'2_enriched_log'!$AQ:$AQ,"SELF-DIRECTED")</f>
        <v/>
      </c>
    </row>
    <row r="26">
      <c r="A26" s="2" t="inlineStr">
        <is>
          <t>Evening</t>
        </is>
      </c>
      <c r="B26" s="7">
        <f>COUNTIFS('2_enriched_log'!$K:$K,"Completed",'2_enriched_log'!$S:$S,"Evening",'2_enriched_log'!$AQ:$AQ,"&lt;&gt;SELF-DIRECTED")</f>
        <v/>
      </c>
      <c r="C26" s="7">
        <f>COUNTIFS('2_enriched_log'!$K:$K,"Completed",'2_enriched_log'!$S:$S,"Evening",'2_enriched_log'!$AQ:$AQ,"SELF-DIRECTED")</f>
        <v/>
      </c>
    </row>
    <row r="27">
      <c r="A27" s="2" t="inlineStr">
        <is>
          <t>Night</t>
        </is>
      </c>
      <c r="B27" s="7">
        <f>COUNTIFS('2_enriched_log'!$K:$K,"Completed",'2_enriched_log'!$S:$S,"Night",'2_enriched_log'!$AQ:$AQ,"&lt;&gt;SELF-DIRECTED")</f>
        <v/>
      </c>
      <c r="C27" s="7">
        <f>COUNTIFS('2_enriched_log'!$K:$K,"Completed",'2_enriched_log'!$S:$S,"Night",'2_enriched_log'!$AQ:$AQ,"SELF-DIRECTED")</f>
        <v/>
      </c>
    </row>
    <row r="29">
      <c r="A29" s="40" t="inlineStr">
        <is>
          <t>4. Who buys? Net sales by customer segment at time of sale (HKD m)</t>
        </is>
      </c>
    </row>
    <row r="30">
      <c r="A30" s="43" t="inlineStr">
        <is>
          <t>cust_segment</t>
        </is>
      </c>
      <c r="B30" s="43" t="inlineStr">
        <is>
          <t>net sales</t>
        </is>
      </c>
    </row>
    <row r="31">
      <c r="A31" s="2" t="inlineStr">
        <is>
          <t>Mass</t>
        </is>
      </c>
      <c r="B31" s="44">
        <f>SUMIFS('2_enriched_log'!$AO:$AO,'2_enriched_log'!$K:$K,"Completed",'2_enriched_log'!$AJ:$AJ,"Mass")/1000000</f>
        <v/>
      </c>
    </row>
    <row r="32">
      <c r="A32" s="2" t="inlineStr">
        <is>
          <t>Affluent</t>
        </is>
      </c>
      <c r="B32" s="44">
        <f>SUMIFS('2_enriched_log'!$AO:$AO,'2_enriched_log'!$K:$K,"Completed",'2_enriched_log'!$AJ:$AJ,"Affluent")/1000000</f>
        <v/>
      </c>
    </row>
    <row r="33">
      <c r="A33" s="2" t="inlineStr">
        <is>
          <t>Private</t>
        </is>
      </c>
      <c r="B33" s="44">
        <f>SUMIFS('2_enriched_log'!$AO:$AO,'2_enriched_log'!$K:$K,"Completed",'2_enriched_log'!$AJ:$AJ,"Private")/1000000</f>
        <v/>
      </c>
    </row>
    <row r="35">
      <c r="A35" s="40" t="inlineStr">
        <is>
          <t>5. Where? Net sales by branch (HKD m)</t>
        </is>
      </c>
    </row>
    <row r="36">
      <c r="A36" s="43" t="inlineStr">
        <is>
          <t>branch</t>
        </is>
      </c>
      <c r="B36" s="43" t="inlineStr">
        <is>
          <t>net sales</t>
        </is>
      </c>
    </row>
    <row r="37">
      <c r="A37" s="2">
        <f>'5_branch'!B2&amp;IF('5_branch'!D2="Closed"," (closed)","")</f>
        <v/>
      </c>
      <c r="B37" s="44">
        <f>SUMIFS('2_enriched_log'!$AO:$AO,'2_enriched_log'!$K:$K,"Completed",'2_enriched_log'!$T:$T,"B01")/1000000</f>
        <v/>
      </c>
    </row>
    <row r="38">
      <c r="A38" s="2">
        <f>'5_branch'!B3&amp;IF('5_branch'!D3="Closed"," (closed)","")</f>
        <v/>
      </c>
      <c r="B38" s="44">
        <f>SUMIFS('2_enriched_log'!$AO:$AO,'2_enriched_log'!$K:$K,"Completed",'2_enriched_log'!$T:$T,"B02")/1000000</f>
        <v/>
      </c>
    </row>
    <row r="39">
      <c r="A39" s="2">
        <f>'5_branch'!B4&amp;IF('5_branch'!D4="Closed"," (closed)","")</f>
        <v/>
      </c>
      <c r="B39" s="44">
        <f>SUMIFS('2_enriched_log'!$AO:$AO,'2_enriched_log'!$K:$K,"Completed",'2_enriched_log'!$T:$T,"B03")/1000000</f>
        <v/>
      </c>
    </row>
    <row r="40">
      <c r="A40" s="2">
        <f>'5_branch'!B5&amp;IF('5_branch'!D5="Closed"," (closed)","")</f>
        <v/>
      </c>
      <c r="B40" s="44">
        <f>SUMIFS('2_enriched_log'!$AO:$AO,'2_enriched_log'!$K:$K,"Completed",'2_enriched_log'!$T:$T,"B04")/1000000</f>
        <v/>
      </c>
    </row>
    <row r="41">
      <c r="A41" s="2">
        <f>'5_branch'!B6&amp;IF('5_branch'!D6="Closed"," (closed)","")</f>
        <v/>
      </c>
      <c r="B41" s="44">
        <f>SUMIFS('2_enriched_log'!$AO:$AO,'2_enriched_log'!$K:$K,"Completed",'2_enriched_log'!$T:$T,"B05")/1000000</f>
        <v/>
      </c>
    </row>
    <row r="43">
      <c r="A43" s="40" t="inlineStr">
        <is>
          <t>6. Suitability: completed sales of a product riskier than the customer's risk profile at the time</t>
        </is>
      </c>
    </row>
    <row r="44">
      <c r="A44" s="2" t="inlineStr">
        <is>
          <t>sales flagged</t>
        </is>
      </c>
      <c r="B44" s="45">
        <f>COUNTIFS('2_enriched_log'!$K:$K,"Completed",'2_enriched_log'!$AB:$AB,"R2",'2_enriched_log'!$AK:$AK,"R1")+COUNTIFS('2_enriched_log'!$K:$K,"Completed",'2_enriched_log'!$AB:$AB,"R3",'2_enriched_log'!$AK:$AK,"R1")+COUNTIFS('2_enriched_log'!$K:$K,"Completed",'2_enriched_log'!$AB:$AB,"R3",'2_enriched_log'!$AK:$AK,"R2")+COUNTIFS('2_enriched_log'!$K:$K,"Completed",'2_enriched_log'!$AB:$AB,"R4",'2_enriched_log'!$AK:$AK,"R1")+COUNTIFS('2_enriched_log'!$K:$K,"Completed",'2_enriched_log'!$AB:$AB,"R4",'2_enriched_log'!$AK:$AK,"R2")+COUNTIFS('2_enriched_log'!$K:$K,"Completed",'2_enriched_log'!$AB:$AB,"R4",'2_enriched_log'!$AK:$AK,"R3")+COUNTIFS('2_enriched_log'!$K:$K,"Completed",'2_enriched_log'!$AB:$AB,"R5",'2_enriched_log'!$AK:$AK,"R1")+COUNTIFS('2_enriched_log'!$K:$K,"Completed",'2_enriched_log'!$AB:$AB,"R5",'2_enriched_log'!$AK:$AK,"R2")+COUNTIFS('2_enriched_log'!$K:$K,"Completed",'2_enriched_log'!$AB:$AB,"R5",'2_enriched_log'!$AK:$AK,"R3")+COUNTIFS('2_enriched_log'!$K:$K,"Completed",'2_enriched_log'!$AB:$AB,"R5",'2_enriched_log'!$AK:$AK,"R4")</f>
        <v/>
      </c>
    </row>
    <row r="45">
      <c r="A45" s="2" t="inlineStr">
        <is>
          <t>share of completed sales</t>
        </is>
      </c>
      <c r="B45" s="46">
        <f>B44/COUNTIFS('2_enriched_log'!$K:$K,"Completed")</f>
        <v/>
      </c>
    </row>
    <row r="46">
      <c r="A46" s="42" t="inlineStr">
        <is>
          <t>Shown as a number, not a chart: one headline figure needs no axis.</t>
        </is>
      </c>
    </row>
    <row r="48">
      <c r="A48" s="40" t="inlineStr">
        <is>
          <t>Control total</t>
        </is>
      </c>
    </row>
    <row r="49">
      <c r="A49" s="2" t="inlineStr">
        <is>
          <t>sum of chart 1 (HKD m)</t>
        </is>
      </c>
      <c r="B49" s="47">
        <f>SUM(B7:B12)</f>
        <v/>
      </c>
    </row>
    <row r="50">
      <c r="A50" s="2" t="inlineStr">
        <is>
          <t>completed sales in 2_enriched_log (HKD m)</t>
        </is>
      </c>
      <c r="B50" s="47">
        <f>SUMIFS('2_enriched_log'!$AO:$AO,'2_enriched_log'!$K:$K,"Completed")/1000000</f>
        <v/>
      </c>
    </row>
    <row r="51">
      <c r="A51" s="14" t="inlineStr">
        <is>
          <t>result</t>
        </is>
      </c>
      <c r="B51" s="14">
        <f>IF(ABS(B49-B50)&lt;0.001,"PASS","FAIL")</f>
        <v/>
      </c>
    </row>
  </sheetData>
  <conditionalFormatting sqref="B51">
    <cfRule type="expression" priority="1" dxfId="6">
      <formula>B51="PASS"</formula>
    </cfRule>
    <cfRule type="expression" priority="2" dxfId="4">
      <formula>B51="FAIL"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FF000000"/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4.5"/>
  <cols>
    <col width="160" customWidth="1" min="1" max="1"/>
  </cols>
  <sheetData>
    <row r="1">
      <c r="A1" s="39" t="inlineStr">
        <is>
          <t>Bank Retail Sales – Mock Database (Excel version)</t>
        </is>
      </c>
    </row>
    <row r="2">
      <c r="A2" s="10" t="inlineStr">
        <is>
          <t>A mock rebuild of a retail wealth-sales database: raw selling log → enriched log → reference / 3NF tables → data-quality checks. All names, IDs, rates and amounts are fictional.</t>
        </is>
      </c>
    </row>
    <row r="3">
      <c r="A3" s="10" t="inlineStr"/>
    </row>
    <row r="4">
      <c r="A4" s="40" t="inlineStr">
        <is>
          <t>Sheets</t>
        </is>
      </c>
    </row>
    <row r="5">
      <c r="A5" s="10" t="inlineStr">
        <is>
          <t>1_raw_log – the landing layer: 500 sales (2 Jan – 30 Jun 2025) exactly as captured. Never edited. Only facts of the sale and foreign keys (branch_code, product_code, cust_id, sales_person_id).</t>
        </is>
      </c>
    </row>
    <row r="6">
      <c r="A6" s="10" t="inlineStr">
        <is>
          <t>2_enriched_log – a live copy of the raw log (gold) plus looked-up columns: date/time, branch (as of sale date), product, customer (as of sale date), FX and HKD amount, salesperson. Cleaned keys end in _std.</t>
        </is>
      </c>
    </row>
    <row r="7">
      <c r="A7" s="10" t="inlineStr">
        <is>
          <t>3_ref_date / 4_ref_time – date and time-of-day references; every date/time attribute is defined once here.</t>
        </is>
      </c>
    </row>
    <row r="8">
      <c r="A8" s="10" t="inlineStr">
        <is>
          <t>5_branch – current view of each branch (name, region, status, successor), calculated from 6_3nf_branch_history.</t>
        </is>
      </c>
    </row>
    <row r="9">
      <c r="A9" s="10" t="inlineStr">
        <is>
          <t>6_3nf_branch_history – append-only change log of branch name, region and status (renames, closures).</t>
        </is>
      </c>
    </row>
    <row r="10">
      <c r="A10" s="10" t="inlineStr">
        <is>
          <t>7_3nf_product – static product attributes.</t>
        </is>
      </c>
    </row>
    <row r="11">
      <c r="A11" s="10" t="inlineStr">
        <is>
          <t>8_3nf_customer – fixed customer facts, legacy vs rectified ID, and today's segment / risk profile.</t>
        </is>
      </c>
    </row>
    <row r="12">
      <c r="A12" s="10" t="inlineStr">
        <is>
          <t>9_3nf_customer_history – append-only change log of segment and risk profile (derived from AUM, authorised by the bank; kept only for customers in the sales log).</t>
        </is>
      </c>
    </row>
    <row r="13">
      <c r="A13" s="10" t="inlineStr">
        <is>
          <t>10_ref_fx_rate – daily FX rates (USDHKD, USDCNY) pulled from the Wind / Bloomberg API; mock values here.</t>
        </is>
      </c>
    </row>
    <row r="14">
      <c r="A14" s="10" t="inlineStr">
        <is>
          <t>11_3nf_sales_person – salesperson ID → name.</t>
        </is>
      </c>
    </row>
    <row r="15">
      <c r="A15" s="10" t="inlineStr">
        <is>
          <t>12_sales_person_confirmation – workflow for mistyped salesperson IDs (Acknowledged / Corrected / pending).</t>
        </is>
      </c>
    </row>
    <row r="16">
      <c r="A16" s="10" t="inlineStr">
        <is>
          <t>13_checks – all data-quality checks in one place (PASS / FAIL / INFO).</t>
        </is>
      </c>
    </row>
    <row r="17">
      <c r="A17" s="10" t="inlineStr"/>
    </row>
    <row r="18">
      <c r="A18" s="40" t="inlineStr">
        <is>
          <t>Real-life cases built into the data</t>
        </is>
      </c>
    </row>
    <row r="19">
      <c r="A19" s="9" t="inlineStr">
        <is>
          <t>Branches</t>
        </is>
      </c>
    </row>
    <row r="20">
      <c r="A20" s="10" t="inlineStr">
        <is>
          <t>• B02 renamed: 'Tsim Sha Tsui' until 31 Mar, 'TST Harbour City' from 1 Apr (same branch_code).</t>
        </is>
      </c>
    </row>
    <row r="21">
      <c r="A21" s="10" t="inlineStr">
        <is>
          <t>• B05 Mong Kok closed after 28 Feb (successor B02); B04 Tai Po opened 1 May; B03 Shatin closed after 31 May (successor B04).</t>
        </is>
      </c>
    </row>
    <row r="22">
      <c r="A22" s="10" t="inlineStr">
        <is>
          <t>• branch_code is where the sale is booked; about 10% of sales are made by an RM from another branch (cross-branch selling).</t>
        </is>
      </c>
    </row>
    <row r="23">
      <c r="A23" s="9" t="inlineStr">
        <is>
          <t>Salespeople</t>
        </is>
      </c>
    </row>
    <row r="24">
      <c r="A24" s="10" t="inlineStr">
        <is>
          <t>• Salespeople sign a sale by typing their ID; the log holds no names. Two different people are both called 'Michael Chan' (E108, E109).</t>
        </is>
      </c>
    </row>
    <row r="25">
      <c r="A25" s="10" t="inlineStr">
        <is>
          <t>• 22 typed IDs are wrong: 8 only in case/spaces (fixed automatically), 14 not valid IDs (sent to 12_sales_person_confirmation: 7 acknowledged, 3 corrected, 4 pending).</t>
        </is>
      </c>
    </row>
    <row r="26">
      <c r="A26" s="10" t="inlineStr">
        <is>
          <t>• RMs move: Cindy Ng E103 B02 → B04 (1 Jun), Irene Kwok E110 B05 → B02 (1 Mar), Michael Chan E109 B03 → B04 (1 Jun); Frank Wu E107 leaves after 28 Feb, Grace Ho E105 after 31 May; Henry Lam E106 joins 1 May.</t>
        </is>
      </c>
    </row>
    <row r="27">
      <c r="A27" s="10" t="inlineStr">
        <is>
          <t>• Blank sales_person_id = self-directed sale (app or phone).</t>
        </is>
      </c>
    </row>
    <row r="28">
      <c r="A28" s="9" t="inlineStr">
        <is>
          <t>Customers</t>
        </is>
      </c>
    </row>
    <row r="29">
      <c r="A29" s="10" t="inlineStr">
        <is>
          <t>• cust_id is a 10-digit code. The legacy system drops a leading '00' when an ID is stored as a number (8 digits, 59 sales); the rectified ID restores it.</t>
        </is>
      </c>
    </row>
    <row r="30">
      <c r="A30" s="10" t="inlineStr">
        <is>
          <t>• Segment changes for 8 customers and risk profile for 11 during the period, so they are looked up as of each sale date.</t>
        </is>
      </c>
    </row>
    <row r="31">
      <c r="A31" s="9" t="inlineStr">
        <is>
          <t>Money</t>
        </is>
      </c>
    </row>
    <row r="32">
      <c r="A32" s="10" t="inlineStr">
        <is>
          <t>• Currencies USD / HKD / CNY; every sale is converted to HKD with the daily rate on or before its date (weekend sales use Friday's rate).</t>
        </is>
      </c>
    </row>
    <row r="33">
      <c r="A33" s="10" t="inlineStr">
        <is>
          <t>• Status Completed / Cancelled / Pending; only recent sales (from 16 Jun) are still Pending.</t>
        </is>
      </c>
    </row>
    <row r="34">
      <c r="A34" s="9" t="inlineStr">
        <is>
          <t>Other</t>
        </is>
      </c>
    </row>
    <row r="35">
      <c r="A35" s="10" t="inlineStr">
        <is>
          <t>• A few sales are of products riskier than the customer's risk profile at the time (suitability flag for later reporting).</t>
        </is>
      </c>
    </row>
    <row r="36">
      <c r="A36" s="10" t="inlineStr">
        <is>
          <t>• channel, campaign_code and status are system-generated (not typed by hand), so they have no reference tables yet.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2026-09-27T14:59:03Z</dcterms:created>
  <dcterms:modified xmlns:dcterms="http://purl.org/dc/terms/" xmlns:xsi="http://www.w3.org/2001/XMLSchema-instance" xsi:type="dcterms:W3CDTF">2026-10-04T03:24:39Z</dcterms:modified>
  <cp:lastModifiedBy>William</cp:lastModifiedBy>
  <cp:revision>0</cp:revision>
</cp:coreProperties>
</file>